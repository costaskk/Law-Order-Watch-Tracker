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da9b08ae20409c" /></Relationships>
</file>

<file path=xl/workbook.xml><?xml version="1.0" encoding="utf-8"?>
<x:workbook xmlns:x="http://schemas.openxmlformats.org/spreadsheetml/2006/main">
  <x:sheets>
    <x:sheet xmlns:r="http://schemas.openxmlformats.org/officeDocument/2006/relationships" name="Dashboard" sheetId="1" r:id="Raa99a181644c4967"/>
    <x:sheet xmlns:r="http://schemas.openxmlformats.org/officeDocument/2006/relationships" name="Chronological Guide" sheetId="2" r:id="Rf32d4328e3214a08"/>
    <x:sheet xmlns:r="http://schemas.openxmlformats.org/officeDocument/2006/relationships" name="Crossovers &amp; Arcs" sheetId="3" r:id="Reb8068d72de54ba1"/>
    <x:sheet xmlns:r="http://schemas.openxmlformats.org/officeDocument/2006/relationships" name="Show Catalogue" sheetId="4" r:id="R0592cff01655467b"/>
    <x:sheet xmlns:r="http://schemas.openxmlformats.org/officeDocument/2006/relationships" name="Trakt Sync" sheetId="5" r:id="Rf3bd4891c8c14be4"/>
    <x:sheet xmlns:r="http://schemas.openxmlformats.org/officeDocument/2006/relationships" name="Methodology &amp; Sources" sheetId="6" r:id="R52296027fdab464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
  </x:numFmts>
  <x:fonts count="20">
    <x:font>
      <x:sz val="11"/>
      <x:name val="Carlito"/>
    </x:font>
    <x:font>
      <x:sz val="10"/>
      <x:color rgb="FF182230"/>
      <x:name val="Aptos"/>
    </x:font>
    <x:font>
      <x:b/>
      <x:sz val="22"/>
      <x:color rgb="FFFFFFFF"/>
      <x:name val="Aptos Display"/>
    </x:font>
    <x:font>
      <x:sz val="10"/>
      <x:color rgb="FFDDE7F2"/>
      <x:name val="Aptos"/>
    </x:font>
    <x:font>
      <x:b/>
      <x:sz val="10"/>
      <x:color rgb="FFFFFFFF"/>
      <x:name val="Aptos"/>
    </x:font>
    <x:font>
      <x:b/>
      <x:sz val="9"/>
      <x:color rgb="FFDDE7F2"/>
      <x:name val="Aptos"/>
    </x:font>
    <x:font>
      <x:b/>
      <x:sz val="24"/>
      <x:color rgb="FF0B132B"/>
      <x:name val="Aptos Display"/>
    </x:font>
    <x:font>
      <x:b/>
      <x:sz val="24"/>
      <x:color rgb="FF00897B"/>
      <x:name val="Aptos Display"/>
    </x:font>
    <x:font>
      <x:b/>
      <x:sz val="24"/>
      <x:color rgb="FF8A5A00"/>
      <x:name val="Aptos Display"/>
    </x:font>
    <x:font>
      <x:b/>
      <x:sz val="12"/>
      <x:color rgb="FFFFFFFF"/>
      <x:name val="Aptos Display"/>
    </x:font>
    <x:font>
      <x:b/>
      <x:sz val="10"/>
      <x:color rgb="FF0B132B"/>
      <x:name val="Aptos"/>
    </x:font>
    <x:font>
      <x:b/>
      <x:sz val="10"/>
      <x:color rgb="FFC1121F"/>
      <x:name val="Aptos"/>
    </x:font>
    <x:font>
      <x:b/>
      <x:sz val="11"/>
      <x:color rgb="FF654600"/>
      <x:name val="Aptos"/>
    </x:font>
    <x:font>
      <x:i/>
      <x:sz val="9"/>
      <x:color rgb="FF536171"/>
      <x:name val="Aptos"/>
    </x:font>
    <x:font>
      <x:sz val="10"/>
      <x:color rgb="FF654600"/>
      <x:name val="Aptos"/>
    </x:font>
    <x:font>
      <x:b/>
      <x:sz val="10"/>
      <x:color rgb="FF2B6CB0"/>
      <x:name val="Aptos"/>
    </x:font>
    <x:font>
      <x:i/>
      <x:sz val="10"/>
      <x:color rgb="FF536171"/>
      <x:name val="Aptos"/>
    </x:font>
    <x:font>
      <x:sz val="10"/>
      <x:color rgb="FF0B132B"/>
      <x:name val="Aptos"/>
    </x:font>
    <x:font>
      <x:b/>
      <x:sz val="10"/>
      <x:color rgb="FF00897B"/>
      <x:name val="Aptos"/>
    </x:font>
    <x:font>
      <x:b/>
      <x:sz val="11"/>
      <x:color rgb="FF00897B"/>
      <x:name val="Aptos"/>
    </x:font>
  </x:fonts>
  <x:fills count="13">
    <x:fill>
      <x:patternFill patternType="none"/>
    </x:fill>
    <x:fill>
      <x:patternFill patternType="gray125"/>
    </x:fill>
    <x:fill>
      <x:patternFill patternType="solid">
        <x:fgColor rgb="FF0B132B"/>
      </x:patternFill>
    </x:fill>
    <x:fill>
      <x:patternFill patternType="solid">
        <x:fgColor rgb="FF14213D"/>
      </x:patternFill>
    </x:fill>
    <x:fill>
      <x:patternFill patternType="solid">
        <x:fgColor rgb="FFC1121F"/>
      </x:patternFill>
    </x:fill>
    <x:fill>
      <x:patternFill patternType="solid">
        <x:fgColor rgb="FFFFFFFF"/>
      </x:patternFill>
    </x:fill>
    <x:fill>
      <x:patternFill patternType="solid">
        <x:fgColor rgb="FFE2F4F1"/>
      </x:patternFill>
    </x:fill>
    <x:fill>
      <x:patternFill patternType="solid">
        <x:fgColor rgb="FFFFF3D4"/>
      </x:patternFill>
    </x:fill>
    <x:fill>
      <x:patternFill patternType="solid">
        <x:fgColor rgb="FF00897B"/>
      </x:patternFill>
    </x:fill>
    <x:fill>
      <x:patternFill patternType="solid">
        <x:fgColor rgb="FFE4A11B"/>
      </x:patternFill>
    </x:fill>
    <x:fill>
      <x:patternFill patternType="solid">
        <x:fgColor rgb="FFFCE8EA"/>
      </x:patternFill>
    </x:fill>
    <x:fill>
      <x:patternFill patternType="solid">
        <x:fgColor rgb="FFEDF1F5"/>
      </x:patternFill>
    </x:fill>
    <x:fill>
      <x:patternFill patternType="solid">
        <x:fgColor rgb="FFE8F1FB"/>
      </x:patternFill>
    </x:fill>
  </x:fills>
  <x:borders count="43">
    <x:border/>
    <x:border>
      <x:bottom style="medium">
        <x:color rgb="FF14213D"/>
      </x:bottom>
    </x:border>
    <x:border>
      <x:bottom style="thin">
        <x:color rgb="FFD8E0E8"/>
      </x:bottom>
    </x:border>
    <x:border>
      <x:top style="thin">
        <x:color rgb="FFD8E0E8"/>
      </x:top>
      <x:bottom style="thin">
        <x:color rgb="FFD8E0E8"/>
      </x:bottom>
    </x:border>
    <x:border>
      <x:top style="thin">
        <x:color rgb="FFD8E0E8"/>
      </x:top>
    </x:border>
    <x:border>
      <x:bottom style="medium">
        <x:color rgb="FFC1121F"/>
      </x:bottom>
    </x:border>
    <x:border>
      <x:left style="thin">
        <x:color rgb="FF14213D"/>
      </x:left>
      <x:top style="thin">
        <x:color rgb="FF14213D"/>
      </x:top>
      <x:bottom style="thin">
        <x:color rgb="FF14213D"/>
      </x:bottom>
    </x:border>
    <x:border>
      <x:top style="thin">
        <x:color rgb="FF14213D"/>
      </x:top>
      <x:bottom style="thin">
        <x:color rgb="FF14213D"/>
      </x:bottom>
    </x:border>
    <x:border>
      <x:right style="thin">
        <x:color rgb="FF14213D"/>
      </x:right>
      <x:top style="thin">
        <x:color rgb="FF14213D"/>
      </x:top>
      <x:bottom style="thin">
        <x:color rgb="FF14213D"/>
      </x:bottom>
    </x:border>
    <x:border>
      <x:left style="thin">
        <x:color rgb="FFD8E0E8"/>
      </x:left>
      <x:top style="thin">
        <x:color rgb="FFD8E0E8"/>
      </x:top>
    </x:border>
    <x:border>
      <x:right style="thin">
        <x:color rgb="FFD8E0E8"/>
      </x:right>
      <x:top style="thin">
        <x:color rgb="FFD8E0E8"/>
      </x:top>
    </x:border>
    <x:border>
      <x:left style="thin">
        <x:color rgb="FFD8E0E8"/>
      </x:left>
    </x:border>
    <x:border>
      <x:right style="thin">
        <x:color rgb="FFD8E0E8"/>
      </x:right>
    </x:border>
    <x:border>
      <x:left style="thin">
        <x:color rgb="FFD8E0E8"/>
      </x:left>
      <x:bottom style="thin">
        <x:color rgb="FFD8E0E8"/>
      </x:bottom>
    </x:border>
    <x:border>
      <x:right style="thin">
        <x:color rgb="FFD8E0E8"/>
      </x:right>
      <x:bottom style="thin">
        <x:color rgb="FFD8E0E8"/>
      </x:bottom>
    </x:border>
    <x:border>
      <x:left style="thin">
        <x:color rgb="FFE4A11B"/>
      </x:left>
      <x:top style="thin">
        <x:color rgb="FFE4A11B"/>
      </x:top>
    </x:border>
    <x:border>
      <x:top style="thin">
        <x:color rgb="FFE4A11B"/>
      </x:top>
    </x:border>
    <x:border>
      <x:right style="thin">
        <x:color rgb="FFE4A11B"/>
      </x:right>
      <x:top style="thin">
        <x:color rgb="FFE4A11B"/>
      </x:top>
    </x:border>
    <x:border>
      <x:left style="thin">
        <x:color rgb="FFE4A11B"/>
      </x:left>
    </x:border>
    <x:border>
      <x:right style="thin">
        <x:color rgb="FFE4A11B"/>
      </x:right>
    </x:border>
    <x:border>
      <x:left style="thin">
        <x:color rgb="FFE4A11B"/>
      </x:left>
      <x:bottom style="thin">
        <x:color rgb="FFE4A11B"/>
      </x:bottom>
    </x:border>
    <x:border>
      <x:bottom style="thin">
        <x:color rgb="FFE4A11B"/>
      </x:bottom>
    </x:border>
    <x:border>
      <x:right style="thin">
        <x:color rgb="FFE4A11B"/>
      </x:right>
      <x:bottom style="thin">
        <x:color rgb="FFE4A11B"/>
      </x:bottom>
    </x:border>
    <x:border>
      <x:left style="thin">
        <x:color rgb="FFEAB4BA"/>
      </x:left>
      <x:top style="thin">
        <x:color rgb="FFEAB4BA"/>
      </x:top>
      <x:bottom style="thin">
        <x:color rgb="FFEAB4BA"/>
      </x:bottom>
    </x:border>
    <x:border>
      <x:top style="thin">
        <x:color rgb="FFEAB4BA"/>
      </x:top>
      <x:bottom style="thin">
        <x:color rgb="FFEAB4BA"/>
      </x:bottom>
    </x:border>
    <x:border>
      <x:right style="thin">
        <x:color rgb="FFEAB4BA"/>
      </x:right>
      <x:top style="thin">
        <x:color rgb="FFEAB4BA"/>
      </x:top>
      <x:bottom style="thin">
        <x:color rgb="FFEAB4BA"/>
      </x:bottom>
    </x:border>
    <x:border>
      <x:left style="thin">
        <x:color rgb="FFB8CDE5"/>
      </x:left>
      <x:top style="thin">
        <x:color rgb="FFB8CDE5"/>
      </x:top>
    </x:border>
    <x:border>
      <x:top style="thin">
        <x:color rgb="FFB8CDE5"/>
      </x:top>
    </x:border>
    <x:border>
      <x:right style="thin">
        <x:color rgb="FFB8CDE5"/>
      </x:right>
      <x:top style="thin">
        <x:color rgb="FFB8CDE5"/>
      </x:top>
    </x:border>
    <x:border>
      <x:left style="thin">
        <x:color rgb="FFB8CDE5"/>
      </x:left>
    </x:border>
    <x:border>
      <x:right style="thin">
        <x:color rgb="FFB8CDE5"/>
      </x:right>
    </x:border>
    <x:border>
      <x:left style="thin">
        <x:color rgb="FFB8CDE5"/>
      </x:left>
      <x:bottom style="thin">
        <x:color rgb="FFB8CDE5"/>
      </x:bottom>
    </x:border>
    <x:border>
      <x:bottom style="thin">
        <x:color rgb="FFB8CDE5"/>
      </x:bottom>
    </x:border>
    <x:border>
      <x:right style="thin">
        <x:color rgb="FFB8CDE5"/>
      </x:right>
      <x:bottom style="thin">
        <x:color rgb="FFB8CDE5"/>
      </x:bottom>
    </x:border>
    <x:border>
      <x:bottom style="medium">
        <x:color rgb="FF00897B"/>
      </x:bottom>
    </x:border>
    <x:border>
      <x:left style="thin">
        <x:color rgb="FF9BD4CB"/>
      </x:left>
      <x:top style="thin">
        <x:color rgb="FF9BD4CB"/>
      </x:top>
    </x:border>
    <x:border>
      <x:top style="thin">
        <x:color rgb="FF9BD4CB"/>
      </x:top>
    </x:border>
    <x:border>
      <x:right style="thin">
        <x:color rgb="FF9BD4CB"/>
      </x:right>
      <x:top style="thin">
        <x:color rgb="FF9BD4CB"/>
      </x:top>
    </x:border>
    <x:border>
      <x:left style="thin">
        <x:color rgb="FF9BD4CB"/>
      </x:left>
    </x:border>
    <x:border>
      <x:right style="thin">
        <x:color rgb="FF9BD4CB"/>
      </x:right>
    </x:border>
    <x:border>
      <x:left style="thin">
        <x:color rgb="FF9BD4CB"/>
      </x:left>
      <x:bottom style="thin">
        <x:color rgb="FF9BD4CB"/>
      </x:bottom>
    </x:border>
    <x:border>
      <x:bottom style="thin">
        <x:color rgb="FF9BD4CB"/>
      </x:bottom>
    </x:border>
    <x:border>
      <x:right style="thin">
        <x:color rgb="FF9BD4CB"/>
      </x:right>
      <x:bottom style="thin">
        <x:color rgb="FF9BD4CB"/>
      </x:bottom>
    </x:border>
  </x:borders>
  <x:cellStyleXfs count="1">
    <x:xf numFmtId="0" fontId="0" fillId="0" borderId="0"/>
  </x:cellStyleXfs>
  <x:cellXfs count="347">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left" wrapText="1"/>
    </x:xf>
    <x:xf numFmtId="0" fontId="3" fillId="3" borderId="0" xfId="0" applyNumberFormat="1" applyFont="1" applyFill="1" applyBorder="1" applyAlignment="1">
      <x:alignment horizontal="left" vertical="center" wrapText="1"/>
    </x:xf>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vertical="center" wrapText="1"/>
    </x:xf>
    <x:xf numFmtId="0" fontId="1" fillId="0" borderId="0"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4" xfId="0" applyNumberFormat="1" applyFont="1" applyFill="1" applyBorder="1" applyAlignment="1">
      <x:alignment vertical="top"/>
    </x:xf>
    <x:xf numFmtId="200" fontId="1" fillId="0" borderId="2" xfId="0" applyNumberFormat="1" applyFont="1" applyFill="1" applyBorder="1" applyAlignment="1">
      <x:alignment vertical="top"/>
    </x:xf>
    <x:xf numFmtId="200" fontId="1" fillId="0" borderId="3" xfId="0" applyNumberFormat="1" applyFont="1" applyFill="1" applyBorder="1" applyAlignment="1">
      <x:alignment vertical="top"/>
    </x:xf>
    <x:xf numFmtId="200" fontId="1" fillId="0" borderId="4" xfId="0" applyNumberFormat="1" applyFont="1" applyFill="1" applyBorder="1" applyAlignment="1">
      <x:alignment vertical="top"/>
    </x:xf>
    <x:xf numFmtId="201" fontId="1" fillId="0" borderId="2" xfId="0" applyNumberFormat="1" applyFont="1" applyFill="1" applyBorder="1" applyAlignment="1">
      <x:alignment vertical="top"/>
    </x:xf>
    <x:xf numFmtId="201" fontId="1" fillId="0" borderId="3" xfId="0" applyNumberFormat="1" applyFont="1" applyFill="1" applyBorder="1" applyAlignment="1">
      <x:alignment vertical="top"/>
    </x:xf>
    <x:xf numFmtId="201" fontId="1" fillId="0" borderId="4" xfId="0" applyNumberFormat="1" applyFont="1" applyFill="1" applyBorder="1" applyAlignment="1">
      <x:alignment vertical="top"/>
    </x:xf>
    <x:xf numFmtId="202" fontId="1" fillId="0" borderId="2" xfId="0" applyNumberFormat="1" applyFont="1" applyFill="1" applyBorder="1" applyAlignment="1">
      <x:alignment vertical="top"/>
    </x:xf>
    <x:xf numFmtId="202" fontId="1" fillId="0" borderId="3" xfId="0" applyNumberFormat="1" applyFont="1" applyFill="1" applyBorder="1" applyAlignment="1">
      <x:alignment vertical="top"/>
    </x:xf>
    <x:xf numFmtId="202" fontId="1" fillId="0" borderId="4" xfId="0" applyNumberFormat="1" applyFont="1" applyFill="1" applyBorder="1" applyAlignment="1">
      <x:alignment vertical="top"/>
    </x:xf>
    <x:xf numFmtId="201" fontId="1" fillId="0" borderId="2" xfId="0" applyNumberFormat="1" applyFont="1" applyFill="1" applyBorder="1" applyAlignment="1">
      <x:alignment horizontal="left" vertical="top"/>
    </x:xf>
    <x:xf numFmtId="0" fontId="1" fillId="0" borderId="2" xfId="0" applyNumberFormat="1" applyFont="1" applyFill="1" applyBorder="1" applyAlignment="1">
      <x:alignment horizontal="left" vertical="top"/>
    </x:xf>
    <x:xf numFmtId="200" fontId="1" fillId="0" borderId="2" xfId="0" applyNumberFormat="1" applyFont="1" applyFill="1" applyBorder="1" applyAlignment="1">
      <x:alignment horizontal="left" vertical="top"/>
    </x:xf>
    <x:xf numFmtId="202" fontId="1" fillId="0" borderId="2" xfId="0" applyNumberFormat="1" applyFont="1" applyFill="1" applyBorder="1" applyAlignment="1">
      <x:alignment horizontal="left" vertical="top"/>
    </x:xf>
    <x:xf numFmtId="201" fontId="1" fillId="0" borderId="3" xfId="0" applyNumberFormat="1" applyFont="1" applyFill="1" applyBorder="1" applyAlignment="1">
      <x:alignment horizontal="left" vertical="top"/>
    </x:xf>
    <x:xf numFmtId="0" fontId="1" fillId="0" borderId="3" xfId="0" applyNumberFormat="1" applyFont="1" applyFill="1" applyBorder="1" applyAlignment="1">
      <x:alignment horizontal="left" vertical="top"/>
    </x:xf>
    <x:xf numFmtId="200" fontId="1" fillId="0" borderId="3" xfId="0" applyNumberFormat="1" applyFont="1" applyFill="1" applyBorder="1" applyAlignment="1">
      <x:alignment horizontal="left" vertical="top"/>
    </x:xf>
    <x:xf numFmtId="202" fontId="1" fillId="0" borderId="3" xfId="0" applyNumberFormat="1" applyFont="1" applyFill="1" applyBorder="1" applyAlignment="1">
      <x:alignment horizontal="left" vertical="top"/>
    </x:xf>
    <x:xf numFmtId="201" fontId="1" fillId="0" borderId="4" xfId="0" applyNumberFormat="1" applyFont="1" applyFill="1" applyBorder="1" applyAlignment="1">
      <x:alignment horizontal="left" vertical="top"/>
    </x:xf>
    <x:xf numFmtId="0" fontId="1" fillId="0" borderId="4" xfId="0" applyNumberFormat="1" applyFont="1" applyFill="1" applyBorder="1" applyAlignment="1">
      <x:alignment horizontal="left" vertical="top"/>
    </x:xf>
    <x:xf numFmtId="200" fontId="1" fillId="0" borderId="4" xfId="0" applyNumberFormat="1" applyFont="1" applyFill="1" applyBorder="1" applyAlignment="1">
      <x:alignment horizontal="left" vertical="top"/>
    </x:xf>
    <x:xf numFmtId="202" fontId="1" fillId="0" borderId="4" xfId="0" applyNumberFormat="1" applyFont="1" applyFill="1" applyBorder="1" applyAlignment="1">
      <x:alignment horizontal="left" vertical="top"/>
    </x:xf>
    <x:xf numFmtId="201" fontId="1" fillId="0" borderId="2" xfId="0" applyNumberFormat="1" applyFont="1" applyFill="1" applyBorder="1" applyAlignment="1">
      <x:alignment horizontal="center" vertical="top"/>
    </x:xf>
    <x:xf numFmtId="0" fontId="1" fillId="0" borderId="2" xfId="0" applyNumberFormat="1" applyFont="1" applyFill="1" applyBorder="1" applyAlignment="1">
      <x:alignment horizontal="center" vertical="top"/>
    </x:xf>
    <x:xf numFmtId="200" fontId="1" fillId="0" borderId="2" xfId="0" applyNumberFormat="1" applyFont="1" applyFill="1" applyBorder="1" applyAlignment="1">
      <x:alignment horizontal="center" vertical="top"/>
    </x:xf>
    <x:xf numFmtId="201" fontId="1" fillId="0" borderId="3" xfId="0" applyNumberFormat="1" applyFont="1" applyFill="1" applyBorder="1" applyAlignment="1">
      <x:alignment horizontal="center" vertical="top"/>
    </x:xf>
    <x:xf numFmtId="0" fontId="1" fillId="0" borderId="3" xfId="0" applyNumberFormat="1" applyFont="1" applyFill="1" applyBorder="1" applyAlignment="1">
      <x:alignment horizontal="center" vertical="top"/>
    </x:xf>
    <x:xf numFmtId="200" fontId="1" fillId="0" borderId="3" xfId="0" applyNumberFormat="1" applyFont="1" applyFill="1" applyBorder="1" applyAlignment="1">
      <x:alignment horizontal="center" vertical="top"/>
    </x:xf>
    <x:xf numFmtId="201" fontId="1" fillId="0" borderId="4" xfId="0" applyNumberFormat="1" applyFont="1" applyFill="1" applyBorder="1" applyAlignment="1">
      <x:alignment horizontal="center" vertical="top"/>
    </x:xf>
    <x:xf numFmtId="0" fontId="1" fillId="0" borderId="4" xfId="0" applyNumberFormat="1" applyFont="1" applyFill="1" applyBorder="1" applyAlignment="1">
      <x:alignment horizontal="center" vertical="top"/>
    </x:xf>
    <x:xf numFmtId="200" fontId="1" fillId="0" borderId="4" xfId="0" applyNumberFormat="1" applyFont="1" applyFill="1" applyBorder="1" applyAlignment="1">
      <x:alignment horizontal="center" vertical="top"/>
    </x:xf>
    <x:xf numFmtId="202" fontId="1" fillId="0" borderId="2" xfId="0" applyNumberFormat="1" applyFont="1" applyFill="1" applyBorder="1" applyAlignment="1">
      <x:alignment horizontal="center" vertical="top"/>
    </x:xf>
    <x:xf numFmtId="202" fontId="1" fillId="0" borderId="3" xfId="0" applyNumberFormat="1" applyFont="1" applyFill="1" applyBorder="1" applyAlignment="1">
      <x:alignment horizontal="center" vertical="top"/>
    </x:xf>
    <x:xf numFmtId="202" fontId="1" fillId="0" borderId="4" xfId="0" applyNumberFormat="1" applyFont="1" applyFill="1" applyBorder="1" applyAlignment="1">
      <x:alignment horizontal="center" vertical="top"/>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5" xfId="0" applyNumberFormat="1" applyFont="1" applyFill="1" applyBorder="1"/>
    <x:xf numFmtId="0" fontId="4" fillId="4" borderId="5" xfId="0" applyNumberFormat="1" applyFont="1" applyFill="1" applyBorder="1" applyAlignment="1">
      <x:alignment wrapText="1"/>
    </x:xf>
    <x:xf numFmtId="0" fontId="4" fillId="4" borderId="5" xfId="0" applyNumberFormat="1" applyFont="1" applyFill="1" applyBorder="1" applyAlignment="1">
      <x:alignment vertical="center" wrapText="1"/>
    </x:xf>
    <x:xf numFmtId="0" fontId="5" fillId="3" borderId="0"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8" xfId="0" applyNumberFormat="1" applyFont="1" applyFill="1" applyBorder="1"/>
    <x:xf numFmtId="0" fontId="5" fillId="3" borderId="6" xfId="0" applyNumberFormat="1" applyFont="1" applyFill="1" applyBorder="1" applyAlignment="1">
      <x:alignment horizontal="center"/>
    </x:xf>
    <x:xf numFmtId="0" fontId="5" fillId="3" borderId="7" xfId="0" applyNumberFormat="1" applyFont="1" applyFill="1" applyBorder="1" applyAlignment="1">
      <x:alignment horizontal="center"/>
    </x:xf>
    <x:xf numFmtId="0" fontId="5" fillId="3" borderId="8" xfId="0" applyNumberFormat="1" applyFont="1" applyFill="1" applyBorder="1" applyAlignment="1">
      <x:alignment horizontal="center"/>
    </x:xf>
    <x:xf numFmtId="0" fontId="5" fillId="3" borderId="6" xfId="0" applyNumberFormat="1" applyFont="1" applyFill="1" applyBorder="1" applyAlignment="1">
      <x:alignment horizontal="center" vertical="center"/>
    </x:xf>
    <x:xf numFmtId="0" fontId="5" fillId="3" borderId="7" xfId="0" applyNumberFormat="1" applyFont="1" applyFill="1" applyBorder="1" applyAlignment="1">
      <x:alignment horizontal="center" vertical="center"/>
    </x:xf>
    <x:xf numFmtId="0" fontId="5" fillId="3" borderId="8" xfId="0" applyNumberFormat="1" applyFont="1" applyFill="1" applyBorder="1" applyAlignment="1">
      <x:alignment horizontal="center" vertical="center"/>
    </x:xf>
    <x:xf numFmtId="0" fontId="1" fillId="5" borderId="0" xfId="0" applyNumberFormat="1" applyFont="1" applyFill="1" applyBorder="1"/>
    <x:xf numFmtId="0" fontId="6" fillId="5" borderId="0" xfId="0" applyNumberFormat="1" applyFont="1" applyFill="1" applyBorder="1"/>
    <x:xf numFmtId="0" fontId="6" fillId="5" borderId="9" xfId="0" applyNumberFormat="1" applyFont="1" applyFill="1" applyBorder="1"/>
    <x:xf numFmtId="0" fontId="6" fillId="5" borderId="4"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2" xfId="0" applyNumberFormat="1" applyFont="1" applyFill="1" applyBorder="1"/>
    <x:xf numFmtId="0" fontId="6" fillId="5" borderId="14" xfId="0" applyNumberFormat="1" applyFont="1" applyFill="1" applyBorder="1"/>
    <x:xf numFmtId="0" fontId="6" fillId="5" borderId="9" xfId="0" applyNumberFormat="1" applyFont="1" applyFill="1" applyBorder="1" applyAlignment="1">
      <x:alignment horizontal="center"/>
    </x:xf>
    <x:xf numFmtId="0" fontId="6" fillId="5" borderId="4" xfId="0" applyNumberFormat="1" applyFont="1" applyFill="1" applyBorder="1" applyAlignment="1">
      <x:alignment horizontal="center"/>
    </x:xf>
    <x:xf numFmtId="0" fontId="6" fillId="5" borderId="10" xfId="0" applyNumberFormat="1" applyFont="1" applyFill="1" applyBorder="1" applyAlignment="1">
      <x:alignment horizontal="center"/>
    </x:xf>
    <x:xf numFmtId="0" fontId="6" fillId="5" borderId="11" xfId="0" applyNumberFormat="1" applyFont="1" applyFill="1" applyBorder="1" applyAlignment="1">
      <x:alignment horizontal="center"/>
    </x:xf>
    <x:xf numFmtId="0" fontId="6" fillId="5" borderId="0" xfId="0" applyNumberFormat="1" applyFont="1" applyFill="1" applyBorder="1" applyAlignment="1">
      <x:alignment horizontal="center"/>
    </x:xf>
    <x:xf numFmtId="0" fontId="6" fillId="5" borderId="12" xfId="0" applyNumberFormat="1" applyFont="1" applyFill="1" applyBorder="1" applyAlignment="1">
      <x:alignment horizontal="center"/>
    </x:xf>
    <x:xf numFmtId="0" fontId="6" fillId="5" borderId="13" xfId="0" applyNumberFormat="1" applyFont="1" applyFill="1" applyBorder="1" applyAlignment="1">
      <x:alignment horizontal="center"/>
    </x:xf>
    <x:xf numFmtId="0" fontId="6" fillId="5" borderId="2" xfId="0" applyNumberFormat="1" applyFont="1" applyFill="1" applyBorder="1" applyAlignment="1">
      <x:alignment horizontal="center"/>
    </x:xf>
    <x:xf numFmtId="0" fontId="6" fillId="5" borderId="14" xfId="0" applyNumberFormat="1" applyFont="1" applyFill="1" applyBorder="1" applyAlignment="1">
      <x:alignment horizontal="center"/>
    </x:xf>
    <x:xf numFmtId="0" fontId="6" fillId="5" borderId="9" xfId="0" applyNumberFormat="1" applyFont="1" applyFill="1" applyBorder="1" applyAlignment="1">
      <x:alignment horizontal="center" vertical="center"/>
    </x:xf>
    <x:xf numFmtId="0" fontId="6" fillId="5" borderId="4" xfId="0" applyNumberFormat="1" applyFont="1" applyFill="1" applyBorder="1" applyAlignment="1">
      <x:alignment horizontal="center" vertical="center"/>
    </x:xf>
    <x:xf numFmtId="0" fontId="6" fillId="5" borderId="10" xfId="0" applyNumberFormat="1" applyFont="1" applyFill="1" applyBorder="1" applyAlignment="1">
      <x:alignment horizontal="center" vertical="center"/>
    </x:xf>
    <x:xf numFmtId="0" fontId="6" fillId="5" borderId="11" xfId="0" applyNumberFormat="1" applyFont="1" applyFill="1" applyBorder="1" applyAlignment="1">
      <x:alignment horizontal="center" vertical="center"/>
    </x:xf>
    <x:xf numFmtId="0" fontId="6" fillId="5" borderId="0" xfId="0" applyNumberFormat="1" applyFont="1" applyFill="1" applyBorder="1" applyAlignment="1">
      <x:alignment horizontal="center" vertical="center"/>
    </x:xf>
    <x:xf numFmtId="0" fontId="6" fillId="5" borderId="12" xfId="0" applyNumberFormat="1" applyFont="1" applyFill="1" applyBorder="1" applyAlignment="1">
      <x:alignment horizontal="center" vertical="center"/>
    </x:xf>
    <x:xf numFmtId="0" fontId="6" fillId="5" borderId="13" xfId="0" applyNumberFormat="1" applyFont="1" applyFill="1" applyBorder="1" applyAlignment="1">
      <x:alignment horizontal="center" vertical="center"/>
    </x:xf>
    <x:xf numFmtId="0" fontId="6" fillId="5" borderId="2" xfId="0" applyNumberFormat="1" applyFont="1" applyFill="1" applyBorder="1" applyAlignment="1">
      <x:alignment horizontal="center" vertical="center"/>
    </x:xf>
    <x:xf numFmtId="0" fontId="6" fillId="5" borderId="14" xfId="0" applyNumberFormat="1" applyFont="1" applyFill="1" applyBorder="1" applyAlignment="1">
      <x:alignment horizontal="center" vertical="center"/>
    </x:xf>
    <x:xf numFmtId="0" fontId="1" fillId="6" borderId="0" xfId="0" applyNumberFormat="1" applyFont="1" applyFill="1" applyBorder="1"/>
    <x:xf numFmtId="0" fontId="7" fillId="6" borderId="0" xfId="0" applyNumberFormat="1" applyFont="1" applyFill="1" applyBorder="1"/>
    <x:xf numFmtId="0" fontId="7" fillId="6" borderId="9" xfId="0" applyNumberFormat="1" applyFont="1" applyFill="1" applyBorder="1"/>
    <x:xf numFmtId="0" fontId="7" fillId="6" borderId="4"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2" xfId="0" applyNumberFormat="1" applyFont="1" applyFill="1" applyBorder="1"/>
    <x:xf numFmtId="0" fontId="7" fillId="6" borderId="14" xfId="0" applyNumberFormat="1" applyFont="1" applyFill="1" applyBorder="1"/>
    <x:xf numFmtId="0" fontId="7" fillId="6" borderId="9" xfId="0" applyNumberFormat="1" applyFont="1" applyFill="1" applyBorder="1" applyAlignment="1">
      <x:alignment horizontal="center"/>
    </x:xf>
    <x:xf numFmtId="0" fontId="7" fillId="6" borderId="4" xfId="0" applyNumberFormat="1" applyFont="1" applyFill="1" applyBorder="1" applyAlignment="1">
      <x:alignment horizontal="center"/>
    </x:xf>
    <x:xf numFmtId="0" fontId="7" fillId="6" borderId="10" xfId="0" applyNumberFormat="1" applyFont="1" applyFill="1" applyBorder="1" applyAlignment="1">
      <x:alignment horizontal="center"/>
    </x:xf>
    <x:xf numFmtId="0" fontId="7" fillId="6" borderId="11" xfId="0" applyNumberFormat="1" applyFont="1" applyFill="1" applyBorder="1" applyAlignment="1">
      <x:alignment horizontal="center"/>
    </x:xf>
    <x:xf numFmtId="0" fontId="7" fillId="6" borderId="0" xfId="0" applyNumberFormat="1" applyFont="1" applyFill="1" applyBorder="1" applyAlignment="1">
      <x:alignment horizontal="center"/>
    </x:xf>
    <x:xf numFmtId="0" fontId="7" fillId="6" borderId="12" xfId="0" applyNumberFormat="1" applyFont="1" applyFill="1" applyBorder="1" applyAlignment="1">
      <x:alignment horizontal="center"/>
    </x:xf>
    <x:xf numFmtId="0" fontId="7" fillId="6" borderId="13" xfId="0" applyNumberFormat="1" applyFont="1" applyFill="1" applyBorder="1" applyAlignment="1">
      <x:alignment horizontal="center"/>
    </x:xf>
    <x:xf numFmtId="0" fontId="7" fillId="6" borderId="2" xfId="0" applyNumberFormat="1" applyFont="1" applyFill="1" applyBorder="1" applyAlignment="1">
      <x:alignment horizontal="center"/>
    </x:xf>
    <x:xf numFmtId="0" fontId="7" fillId="6" borderId="14" xfId="0" applyNumberFormat="1" applyFont="1" applyFill="1" applyBorder="1" applyAlignment="1">
      <x:alignment horizontal="center"/>
    </x:xf>
    <x:xf numFmtId="0" fontId="7" fillId="6" borderId="9" xfId="0" applyNumberFormat="1" applyFont="1" applyFill="1" applyBorder="1" applyAlignment="1">
      <x:alignment horizontal="center" vertical="center"/>
    </x:xf>
    <x:xf numFmtId="0" fontId="7" fillId="6" borderId="4" xfId="0" applyNumberFormat="1" applyFont="1" applyFill="1" applyBorder="1" applyAlignment="1">
      <x:alignment horizontal="center" vertical="center"/>
    </x:xf>
    <x:xf numFmtId="0" fontId="7" fillId="6" borderId="10" xfId="0" applyNumberFormat="1" applyFont="1" applyFill="1" applyBorder="1" applyAlignment="1">
      <x:alignment horizontal="center" vertical="center"/>
    </x:xf>
    <x:xf numFmtId="0" fontId="7" fillId="6" borderId="11" xfId="0" applyNumberFormat="1" applyFont="1" applyFill="1" applyBorder="1" applyAlignment="1">
      <x:alignment horizontal="center" vertical="center"/>
    </x:xf>
    <x:xf numFmtId="0" fontId="7" fillId="6" borderId="0" xfId="0" applyNumberFormat="1" applyFont="1" applyFill="1" applyBorder="1" applyAlignment="1">
      <x:alignment horizontal="center" vertical="center"/>
    </x:xf>
    <x:xf numFmtId="0" fontId="7" fillId="6" borderId="12" xfId="0" applyNumberFormat="1" applyFont="1" applyFill="1" applyBorder="1" applyAlignment="1">
      <x:alignment horizontal="center" vertical="center"/>
    </x:xf>
    <x:xf numFmtId="0" fontId="7" fillId="6" borderId="13" xfId="0" applyNumberFormat="1" applyFont="1" applyFill="1" applyBorder="1" applyAlignment="1">
      <x:alignment horizontal="center" vertical="center"/>
    </x:xf>
    <x:xf numFmtId="0" fontId="7" fillId="6" borderId="2" xfId="0" applyNumberFormat="1" applyFont="1" applyFill="1" applyBorder="1" applyAlignment="1">
      <x:alignment horizontal="center" vertical="center"/>
    </x:xf>
    <x:xf numFmtId="0" fontId="7" fillId="6" borderId="14" xfId="0" applyNumberFormat="1" applyFont="1" applyFill="1" applyBorder="1" applyAlignment="1">
      <x:alignment horizontal="center" vertical="center"/>
    </x:xf>
    <x:xf numFmtId="0" fontId="1" fillId="7" borderId="0" xfId="0" applyNumberFormat="1" applyFont="1" applyFill="1" applyBorder="1"/>
    <x:xf numFmtId="0" fontId="8" fillId="7" borderId="0" xfId="0" applyNumberFormat="1" applyFont="1" applyFill="1" applyBorder="1"/>
    <x:xf numFmtId="0" fontId="8" fillId="7" borderId="9" xfId="0" applyNumberFormat="1" applyFont="1" applyFill="1" applyBorder="1"/>
    <x:xf numFmtId="0" fontId="8" fillId="7" borderId="4" xfId="0" applyNumberFormat="1" applyFont="1" applyFill="1" applyBorder="1"/>
    <x:xf numFmtId="0" fontId="8" fillId="7" borderId="10" xfId="0" applyNumberFormat="1" applyFont="1" applyFill="1" applyBorder="1"/>
    <x:xf numFmtId="0" fontId="8" fillId="7" borderId="11" xfId="0" applyNumberFormat="1" applyFont="1" applyFill="1" applyBorder="1"/>
    <x:xf numFmtId="0" fontId="8" fillId="7" borderId="12" xfId="0" applyNumberFormat="1" applyFont="1" applyFill="1" applyBorder="1"/>
    <x:xf numFmtId="0" fontId="8" fillId="7" borderId="13" xfId="0" applyNumberFormat="1" applyFont="1" applyFill="1" applyBorder="1"/>
    <x:xf numFmtId="0" fontId="8" fillId="7" borderId="2" xfId="0" applyNumberFormat="1" applyFont="1" applyFill="1" applyBorder="1"/>
    <x:xf numFmtId="0" fontId="8" fillId="7" borderId="14" xfId="0" applyNumberFormat="1" applyFont="1" applyFill="1" applyBorder="1"/>
    <x:xf numFmtId="0" fontId="8" fillId="7" borderId="9" xfId="0" applyNumberFormat="1" applyFont="1" applyFill="1" applyBorder="1" applyAlignment="1">
      <x:alignment horizontal="center"/>
    </x:xf>
    <x:xf numFmtId="0" fontId="8" fillId="7" borderId="4" xfId="0" applyNumberFormat="1" applyFont="1" applyFill="1" applyBorder="1" applyAlignment="1">
      <x:alignment horizontal="center"/>
    </x:xf>
    <x:xf numFmtId="0" fontId="8" fillId="7" borderId="10" xfId="0" applyNumberFormat="1" applyFont="1" applyFill="1" applyBorder="1" applyAlignment="1">
      <x:alignment horizontal="center"/>
    </x:xf>
    <x:xf numFmtId="0" fontId="8" fillId="7" borderId="11" xfId="0" applyNumberFormat="1" applyFont="1" applyFill="1" applyBorder="1" applyAlignment="1">
      <x:alignment horizontal="center"/>
    </x:xf>
    <x:xf numFmtId="0" fontId="8" fillId="7" borderId="0" xfId="0" applyNumberFormat="1" applyFont="1" applyFill="1" applyBorder="1" applyAlignment="1">
      <x:alignment horizontal="center"/>
    </x:xf>
    <x:xf numFmtId="0" fontId="8" fillId="7" borderId="12" xfId="0" applyNumberFormat="1" applyFont="1" applyFill="1" applyBorder="1" applyAlignment="1">
      <x:alignment horizontal="center"/>
    </x:xf>
    <x:xf numFmtId="0" fontId="8" fillId="7" borderId="13" xfId="0" applyNumberFormat="1" applyFont="1" applyFill="1" applyBorder="1" applyAlignment="1">
      <x:alignment horizontal="center"/>
    </x:xf>
    <x:xf numFmtId="0" fontId="8" fillId="7" borderId="2" xfId="0" applyNumberFormat="1" applyFont="1" applyFill="1" applyBorder="1" applyAlignment="1">
      <x:alignment horizontal="center"/>
    </x:xf>
    <x:xf numFmtId="0" fontId="8" fillId="7" borderId="14" xfId="0" applyNumberFormat="1" applyFont="1" applyFill="1" applyBorder="1" applyAlignment="1">
      <x:alignment horizontal="center"/>
    </x:xf>
    <x:xf numFmtId="0" fontId="8" fillId="7" borderId="9" xfId="0" applyNumberFormat="1" applyFont="1" applyFill="1" applyBorder="1" applyAlignment="1">
      <x:alignment horizontal="center" vertical="center"/>
    </x:xf>
    <x:xf numFmtId="0" fontId="8" fillId="7" borderId="4" xfId="0" applyNumberFormat="1" applyFont="1" applyFill="1" applyBorder="1" applyAlignment="1">
      <x:alignment horizontal="center" vertical="center"/>
    </x:xf>
    <x:xf numFmtId="0" fontId="8" fillId="7" borderId="10" xfId="0" applyNumberFormat="1" applyFont="1" applyFill="1" applyBorder="1" applyAlignment="1">
      <x:alignment horizontal="center" vertical="center"/>
    </x:xf>
    <x:xf numFmtId="0" fontId="8" fillId="7" borderId="11" xfId="0" applyNumberFormat="1" applyFont="1" applyFill="1" applyBorder="1" applyAlignment="1">
      <x:alignment horizontal="center" vertical="center"/>
    </x:xf>
    <x:xf numFmtId="0" fontId="8" fillId="7" borderId="0" xfId="0" applyNumberFormat="1" applyFont="1" applyFill="1" applyBorder="1" applyAlignment="1">
      <x:alignment horizontal="center" vertical="center"/>
    </x:xf>
    <x:xf numFmtId="0" fontId="8" fillId="7" borderId="12" xfId="0" applyNumberFormat="1" applyFont="1" applyFill="1" applyBorder="1" applyAlignment="1">
      <x:alignment horizontal="center" vertical="center"/>
    </x:xf>
    <x:xf numFmtId="0" fontId="8" fillId="7" borderId="13" xfId="0" applyNumberFormat="1" applyFont="1" applyFill="1" applyBorder="1" applyAlignment="1">
      <x:alignment horizontal="center" vertical="center"/>
    </x:xf>
    <x:xf numFmtId="0" fontId="8" fillId="7" borderId="2" xfId="0" applyNumberFormat="1" applyFont="1" applyFill="1" applyBorder="1" applyAlignment="1">
      <x:alignment horizontal="center" vertical="center"/>
    </x:xf>
    <x:xf numFmtId="0" fontId="8" fillId="7" borderId="14" xfId="0" applyNumberFormat="1" applyFont="1" applyFill="1" applyBorder="1" applyAlignment="1">
      <x:alignment horizontal="center" vertical="center"/>
    </x:xf>
    <x:xf numFmtId="203" fontId="8" fillId="7" borderId="9" xfId="0" applyNumberFormat="1" applyFont="1" applyFill="1" applyBorder="1" applyAlignment="1">
      <x:alignment horizontal="center" vertical="center"/>
    </x:xf>
    <x:xf numFmtId="0" fontId="9" fillId="3" borderId="0" xfId="0" applyNumberFormat="1" applyFont="1" applyFill="1" applyBorder="1"/>
    <x:xf numFmtId="0" fontId="9" fillId="3" borderId="0" xfId="0" applyNumberFormat="1" applyFont="1" applyFill="1" applyBorder="1" applyAlignment="1">
      <x:alignment horizontal="left"/>
    </x:xf>
    <x:xf numFmtId="0" fontId="9" fillId="3" borderId="0" xfId="0" applyNumberFormat="1" applyFont="1" applyFill="1" applyBorder="1" applyAlignment="1">
      <x:alignment horizontal="left" vertical="center"/>
    </x:xf>
    <x:xf numFmtId="0" fontId="9" fillId="4" borderId="0" xfId="0" applyNumberFormat="1" applyFont="1" applyFill="1" applyBorder="1"/>
    <x:xf numFmtId="0" fontId="9" fillId="4" borderId="0" xfId="0" applyNumberFormat="1" applyFont="1" applyFill="1" applyBorder="1" applyAlignment="1">
      <x:alignment horizontal="left"/>
    </x:xf>
    <x:xf numFmtId="0" fontId="9" fillId="4" borderId="0" xfId="0" applyNumberFormat="1" applyFont="1" applyFill="1" applyBorder="1" applyAlignment="1">
      <x:alignment horizontal="left" vertical="center"/>
    </x:xf>
    <x:xf numFmtId="201" fontId="1" fillId="0" borderId="0" xfId="0" applyNumberFormat="1" applyFont="1" applyFill="1" applyBorder="1"/>
    <x:xf numFmtId="203" fontId="1" fillId="0" borderId="0" xfId="0" applyNumberFormat="1" applyFont="1" applyFill="1" applyBorder="1"/>
    <x:xf numFmtId="0" fontId="1" fillId="0" borderId="2" xfId="0" applyNumberFormat="1" applyFont="1" applyFill="1" applyBorder="1"/>
    <x:xf numFmtId="201" fontId="1" fillId="0" borderId="2" xfId="0" applyNumberFormat="1" applyFont="1" applyFill="1" applyBorder="1"/>
    <x:xf numFmtId="203" fontId="1" fillId="0" borderId="2" xfId="0" applyNumberFormat="1" applyFont="1" applyFill="1" applyBorder="1"/>
    <x:xf numFmtId="0" fontId="1" fillId="0" borderId="3" xfId="0" applyNumberFormat="1" applyFont="1" applyFill="1" applyBorder="1"/>
    <x:xf numFmtId="201" fontId="1" fillId="0" borderId="3" xfId="0" applyNumberFormat="1" applyFont="1" applyFill="1" applyBorder="1"/>
    <x:xf numFmtId="203" fontId="1" fillId="0" borderId="3" xfId="0" applyNumberFormat="1" applyFont="1" applyFill="1" applyBorder="1"/>
    <x:xf numFmtId="0" fontId="1" fillId="0" borderId="4" xfId="0" applyNumberFormat="1" applyFont="1" applyFill="1" applyBorder="1"/>
    <x:xf numFmtId="201" fontId="1" fillId="0" borderId="4" xfId="0" applyNumberFormat="1" applyFont="1" applyFill="1" applyBorder="1"/>
    <x:xf numFmtId="203" fontId="1" fillId="0" borderId="4" xfId="0" applyNumberFormat="1" applyFont="1" applyFill="1" applyBorder="1"/>
    <x:xf numFmtId="0" fontId="1" fillId="0" borderId="2" xfId="0" applyNumberFormat="1" applyFont="1" applyFill="1" applyBorder="1" applyAlignment="1">
      <x:alignment vertical="center"/>
    </x:xf>
    <x:xf numFmtId="201" fontId="1" fillId="0" borderId="2" xfId="0" applyNumberFormat="1" applyFont="1" applyFill="1" applyBorder="1" applyAlignment="1">
      <x:alignment vertical="center"/>
    </x:xf>
    <x:xf numFmtId="203"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201" fontId="1" fillId="0" borderId="3" xfId="0" applyNumberFormat="1" applyFont="1" applyFill="1" applyBorder="1" applyAlignment="1">
      <x:alignment vertical="center"/>
    </x:xf>
    <x:xf numFmtId="203" fontId="1" fillId="0" borderId="3" xfId="0" applyNumberFormat="1" applyFont="1" applyFill="1" applyBorder="1" applyAlignment="1">
      <x:alignment vertical="center"/>
    </x:xf>
    <x:xf numFmtId="0" fontId="1" fillId="0" borderId="4" xfId="0" applyNumberFormat="1" applyFont="1" applyFill="1" applyBorder="1" applyAlignment="1">
      <x:alignment vertical="center"/>
    </x:xf>
    <x:xf numFmtId="201" fontId="1" fillId="0" borderId="4" xfId="0" applyNumberFormat="1" applyFont="1" applyFill="1" applyBorder="1" applyAlignment="1">
      <x:alignment vertical="center"/>
    </x:xf>
    <x:xf numFmtId="203" fontId="1" fillId="0" borderId="4" xfId="0" applyNumberFormat="1" applyFont="1" applyFill="1" applyBorder="1" applyAlignment="1">
      <x:alignment vertical="center"/>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0" fillId="0" borderId="2" xfId="0" applyNumberFormat="1" applyFont="1" applyFill="1" applyBorder="1" applyAlignment="1">
      <x:alignment vertical="center"/>
    </x:xf>
    <x:xf numFmtId="0" fontId="10" fillId="0" borderId="3" xfId="0" applyNumberFormat="1" applyFont="1" applyFill="1" applyBorder="1" applyAlignment="1">
      <x:alignment vertical="center"/>
    </x:xf>
    <x:xf numFmtId="0" fontId="10" fillId="0" borderId="4" xfId="0" applyNumberFormat="1" applyFont="1" applyFill="1" applyBorder="1" applyAlignment="1">
      <x:alignment vertical="center"/>
    </x:xf>
    <x:xf numFmtId="0" fontId="11" fillId="0" borderId="2" xfId="0" applyNumberFormat="1" applyFont="1" applyFill="1" applyBorder="1"/>
    <x:xf numFmtId="0" fontId="11" fillId="0" borderId="3" xfId="0" applyNumberFormat="1" applyFont="1" applyFill="1" applyBorder="1"/>
    <x:xf numFmtId="0" fontId="11" fillId="0" borderId="4" xfId="0" applyNumberFormat="1" applyFont="1" applyFill="1" applyBorder="1"/>
    <x:xf numFmtId="201" fontId="1" fillId="0" borderId="2" xfId="0" applyNumberFormat="1" applyFont="1" applyFill="1" applyBorder="1" applyAlignment="1">
      <x:alignment horizontal="center"/>
    </x:xf>
    <x:xf numFmtId="201" fontId="1" fillId="0" borderId="3" xfId="0" applyNumberFormat="1" applyFont="1" applyFill="1" applyBorder="1" applyAlignment="1">
      <x:alignment horizontal="center"/>
    </x:xf>
    <x:xf numFmtId="201" fontId="1" fillId="0" borderId="4" xfId="0" applyNumberFormat="1" applyFont="1" applyFill="1" applyBorder="1" applyAlignment="1">
      <x:alignment horizontal="center"/>
    </x:xf>
    <x:xf numFmtId="0" fontId="1"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horizontal="left"/>
    </x:xf>
    <x:xf numFmtId="0" fontId="9" fillId="8" borderId="0" xfId="0" applyNumberFormat="1" applyFont="1" applyFill="1" applyBorder="1" applyAlignment="1">
      <x:alignment horizontal="left" vertical="center"/>
    </x:xf>
    <x:xf numFmtId="0" fontId="1"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horizontal="left"/>
    </x:xf>
    <x:xf numFmtId="0" fontId="9" fillId="9" borderId="0" xfId="0" applyNumberFormat="1" applyFont="1" applyFill="1" applyBorder="1" applyAlignment="1">
      <x:alignment horizontal="left" vertical="center"/>
    </x:xf>
    <x:xf numFmtId="0" fontId="10" fillId="0" borderId="0" xfId="0" applyNumberFormat="1" applyFont="1" applyFill="1" applyBorder="1"/>
    <x:xf numFmtId="0" fontId="10" fillId="0" borderId="2" xfId="0" applyNumberFormat="1" applyFont="1" applyFill="1" applyBorder="1"/>
    <x:xf numFmtId="0" fontId="10" fillId="0" borderId="3" xfId="0" applyNumberFormat="1" applyFont="1" applyFill="1" applyBorder="1"/>
    <x:xf numFmtId="0" fontId="10" fillId="0" borderId="4" xfId="0" applyNumberFormat="1" applyFont="1" applyFill="1" applyBorder="1"/>
    <x:xf numFmtId="0" fontId="12" fillId="7" borderId="0" xfId="0" applyNumberFormat="1" applyFont="1" applyFill="1" applyBorder="1"/>
    <x:xf numFmtId="0" fontId="12" fillId="7" borderId="15" xfId="0" applyNumberFormat="1" applyFont="1" applyFill="1" applyBorder="1"/>
    <x:xf numFmtId="0" fontId="12" fillId="7" borderId="16" xfId="0" applyNumberFormat="1" applyFont="1" applyFill="1" applyBorder="1"/>
    <x:xf numFmtId="0" fontId="12" fillId="7" borderId="17" xfId="0" applyNumberFormat="1" applyFont="1" applyFill="1" applyBorder="1"/>
    <x:xf numFmtId="0" fontId="12" fillId="7" borderId="18" xfId="0" applyNumberFormat="1" applyFont="1" applyFill="1" applyBorder="1"/>
    <x:xf numFmtId="0" fontId="12" fillId="7" borderId="19" xfId="0" applyNumberFormat="1" applyFont="1" applyFill="1" applyBorder="1"/>
    <x:xf numFmtId="0" fontId="12" fillId="7" borderId="20" xfId="0" applyNumberFormat="1" applyFont="1" applyFill="1" applyBorder="1"/>
    <x:xf numFmtId="0" fontId="12" fillId="7" borderId="21" xfId="0" applyNumberFormat="1" applyFont="1" applyFill="1" applyBorder="1"/>
    <x:xf numFmtId="0" fontId="12" fillId="7" borderId="22" xfId="0" applyNumberFormat="1" applyFont="1" applyFill="1" applyBorder="1"/>
    <x:xf numFmtId="0" fontId="12" fillId="7" borderId="15" xfId="0" applyNumberFormat="1" applyFont="1" applyFill="1" applyBorder="1" applyAlignment="1">
      <x:alignment wrapText="1"/>
    </x:xf>
    <x:xf numFmtId="0" fontId="12" fillId="7" borderId="16" xfId="0" applyNumberFormat="1" applyFont="1" applyFill="1" applyBorder="1" applyAlignment="1">
      <x:alignment wrapText="1"/>
    </x:xf>
    <x:xf numFmtId="0" fontId="12" fillId="7" borderId="17" xfId="0" applyNumberFormat="1" applyFont="1" applyFill="1" applyBorder="1" applyAlignment="1">
      <x:alignment wrapText="1"/>
    </x:xf>
    <x:xf numFmtId="0" fontId="12" fillId="7" borderId="18" xfId="0" applyNumberFormat="1" applyFont="1" applyFill="1" applyBorder="1" applyAlignment="1">
      <x:alignment wrapText="1"/>
    </x:xf>
    <x:xf numFmtId="0" fontId="12" fillId="7" borderId="0" xfId="0" applyNumberFormat="1" applyFont="1" applyFill="1" applyBorder="1" applyAlignment="1">
      <x:alignment wrapText="1"/>
    </x:xf>
    <x:xf numFmtId="0" fontId="12" fillId="7" borderId="19" xfId="0" applyNumberFormat="1" applyFont="1" applyFill="1" applyBorder="1" applyAlignment="1">
      <x:alignment wrapText="1"/>
    </x:xf>
    <x:xf numFmtId="0" fontId="12" fillId="7" borderId="20" xfId="0" applyNumberFormat="1" applyFont="1" applyFill="1" applyBorder="1" applyAlignment="1">
      <x:alignment wrapText="1"/>
    </x:xf>
    <x:xf numFmtId="0" fontId="12" fillId="7" borderId="21" xfId="0" applyNumberFormat="1" applyFont="1" applyFill="1" applyBorder="1" applyAlignment="1">
      <x:alignment wrapText="1"/>
    </x:xf>
    <x:xf numFmtId="0" fontId="12" fillId="7" borderId="22" xfId="0" applyNumberFormat="1" applyFont="1" applyFill="1" applyBorder="1" applyAlignment="1">
      <x:alignment wrapText="1"/>
    </x:xf>
    <x:xf numFmtId="0" fontId="12" fillId="7" borderId="15" xfId="0" applyNumberFormat="1" applyFont="1" applyFill="1" applyBorder="1" applyAlignment="1">
      <x:alignment vertical="center" wrapText="1"/>
    </x:xf>
    <x:xf numFmtId="0" fontId="12" fillId="7" borderId="16" xfId="0" applyNumberFormat="1" applyFont="1" applyFill="1" applyBorder="1" applyAlignment="1">
      <x:alignment vertical="center" wrapText="1"/>
    </x:xf>
    <x:xf numFmtId="0" fontId="12" fillId="7" borderId="17" xfId="0" applyNumberFormat="1" applyFont="1" applyFill="1" applyBorder="1" applyAlignment="1">
      <x:alignment vertical="center" wrapText="1"/>
    </x:xf>
    <x:xf numFmtId="0" fontId="12" fillId="7" borderId="18" xfId="0" applyNumberFormat="1" applyFont="1" applyFill="1" applyBorder="1" applyAlignment="1">
      <x:alignment vertical="center" wrapText="1"/>
    </x:xf>
    <x:xf numFmtId="0" fontId="12" fillId="7" borderId="0" xfId="0" applyNumberFormat="1" applyFont="1" applyFill="1" applyBorder="1" applyAlignment="1">
      <x:alignment vertical="center" wrapText="1"/>
    </x:xf>
    <x:xf numFmtId="0" fontId="12" fillId="7" borderId="19" xfId="0" applyNumberFormat="1" applyFont="1" applyFill="1" applyBorder="1" applyAlignment="1">
      <x:alignment vertical="center" wrapText="1"/>
    </x:xf>
    <x:xf numFmtId="0" fontId="12" fillId="7" borderId="20" xfId="0" applyNumberFormat="1" applyFont="1" applyFill="1" applyBorder="1" applyAlignment="1">
      <x:alignment vertical="center" wrapText="1"/>
    </x:xf>
    <x:xf numFmtId="0" fontId="12" fillId="7" borderId="21"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3" fillId="0" borderId="0" xfId="0" applyNumberFormat="1" applyFont="1" applyFill="1" applyBorder="1"/>
    <x:xf numFmtId="0" fontId="13" fillId="0" borderId="0" xfId="0" applyNumberFormat="1" applyFont="1" applyFill="1" applyBorder="1" applyAlignment="1">
      <x:alignment wrapText="1"/>
    </x:xf>
    <x:xf numFmtId="0" fontId="1" fillId="10" borderId="0" xfId="0" applyNumberFormat="1" applyFont="1" applyFill="1" applyBorder="1"/>
    <x:xf numFmtId="0" fontId="11" fillId="10" borderId="0" xfId="0" applyNumberFormat="1" applyFont="1" applyFill="1" applyBorder="1"/>
    <x:xf numFmtId="0" fontId="11" fillId="10" borderId="23" xfId="0" applyNumberFormat="1" applyFont="1" applyFill="1" applyBorder="1"/>
    <x:xf numFmtId="0" fontId="11" fillId="10" borderId="24" xfId="0" applyNumberFormat="1" applyFont="1" applyFill="1" applyBorder="1"/>
    <x:xf numFmtId="0" fontId="11" fillId="10" borderId="25" xfId="0" applyNumberFormat="1" applyFont="1" applyFill="1" applyBorder="1"/>
    <x:xf numFmtId="0" fontId="11" fillId="10" borderId="23" xfId="0" applyNumberFormat="1" applyFont="1" applyFill="1" applyBorder="1" applyAlignment="1">
      <x:alignment wrapText="1"/>
    </x:xf>
    <x:xf numFmtId="0" fontId="11" fillId="10" borderId="24" xfId="0" applyNumberFormat="1" applyFont="1" applyFill="1" applyBorder="1" applyAlignment="1">
      <x:alignment wrapText="1"/>
    </x:xf>
    <x:xf numFmtId="0" fontId="11" fillId="10" borderId="25" xfId="0" applyNumberFormat="1" applyFont="1" applyFill="1" applyBorder="1" applyAlignment="1">
      <x:alignment wrapText="1"/>
    </x:xf>
    <x:xf numFmtId="0" fontId="11" fillId="10" borderId="23" xfId="0" applyNumberFormat="1" applyFont="1" applyFill="1" applyBorder="1" applyAlignment="1">
      <x:alignment vertical="center" wrapText="1"/>
    </x:xf>
    <x:xf numFmtId="0" fontId="11" fillId="10" borderId="24" xfId="0" applyNumberFormat="1" applyFont="1" applyFill="1" applyBorder="1" applyAlignment="1">
      <x:alignment vertical="center" wrapText="1"/>
    </x:xf>
    <x:xf numFmtId="0" fontId="11" fillId="10" borderId="25" xfId="0" applyNumberFormat="1" applyFont="1" applyFill="1" applyBorder="1" applyAlignment="1">
      <x:alignment vertical="center"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0" fillId="0" borderId="2" xfId="0" applyNumberFormat="1" applyFont="1" applyFill="1" applyBorder="1" applyAlignment="1">
      <x:alignment horizontal="center"/>
    </x:xf>
    <x:xf numFmtId="0" fontId="10" fillId="0" borderId="3" xfId="0" applyNumberFormat="1" applyFont="1" applyFill="1" applyBorder="1" applyAlignment="1">
      <x:alignment horizontal="center"/>
    </x:xf>
    <x:xf numFmtId="0" fontId="10" fillId="0" borderId="4" xfId="0" applyNumberFormat="1" applyFont="1" applyFill="1" applyBorder="1" applyAlignment="1">
      <x:alignment horizontal="center"/>
    </x:xf>
    <x:xf numFmtId="0" fontId="14" fillId="7" borderId="0" xfId="0" applyNumberFormat="1" applyFont="1" applyFill="1" applyBorder="1"/>
    <x:xf numFmtId="0" fontId="14" fillId="7" borderId="15" xfId="0" applyNumberFormat="1" applyFont="1" applyFill="1" applyBorder="1"/>
    <x:xf numFmtId="0" fontId="14" fillId="7" borderId="16" xfId="0" applyNumberFormat="1" applyFont="1" applyFill="1" applyBorder="1"/>
    <x:xf numFmtId="0" fontId="14" fillId="7" borderId="17" xfId="0" applyNumberFormat="1" applyFont="1" applyFill="1" applyBorder="1"/>
    <x:xf numFmtId="0" fontId="14" fillId="7" borderId="18" xfId="0" applyNumberFormat="1" applyFont="1" applyFill="1" applyBorder="1"/>
    <x:xf numFmtId="0" fontId="14" fillId="7" borderId="19" xfId="0" applyNumberFormat="1" applyFont="1" applyFill="1" applyBorder="1"/>
    <x:xf numFmtId="0" fontId="14" fillId="7" borderId="20" xfId="0" applyNumberFormat="1" applyFont="1" applyFill="1" applyBorder="1"/>
    <x:xf numFmtId="0" fontId="14" fillId="7" borderId="21" xfId="0" applyNumberFormat="1" applyFont="1" applyFill="1" applyBorder="1"/>
    <x:xf numFmtId="0" fontId="14" fillId="7" borderId="22" xfId="0" applyNumberFormat="1" applyFont="1" applyFill="1" applyBorder="1"/>
    <x:xf numFmtId="0" fontId="14" fillId="7" borderId="15" xfId="0" applyNumberFormat="1" applyFont="1" applyFill="1" applyBorder="1" applyAlignment="1">
      <x:alignment wrapText="1"/>
    </x:xf>
    <x:xf numFmtId="0" fontId="14" fillId="7" borderId="16" xfId="0" applyNumberFormat="1" applyFont="1" applyFill="1" applyBorder="1" applyAlignment="1">
      <x:alignment wrapText="1"/>
    </x:xf>
    <x:xf numFmtId="0" fontId="14" fillId="7" borderId="17" xfId="0" applyNumberFormat="1" applyFont="1" applyFill="1" applyBorder="1" applyAlignment="1">
      <x:alignment wrapText="1"/>
    </x:xf>
    <x:xf numFmtId="0" fontId="14" fillId="7" borderId="18" xfId="0" applyNumberFormat="1" applyFont="1" applyFill="1" applyBorder="1" applyAlignment="1">
      <x:alignment wrapText="1"/>
    </x:xf>
    <x:xf numFmtId="0" fontId="14" fillId="7" borderId="0" xfId="0" applyNumberFormat="1" applyFont="1" applyFill="1" applyBorder="1" applyAlignment="1">
      <x:alignment wrapText="1"/>
    </x:xf>
    <x:xf numFmtId="0" fontId="14" fillId="7" borderId="19" xfId="0" applyNumberFormat="1" applyFont="1" applyFill="1" applyBorder="1" applyAlignment="1">
      <x:alignment wrapText="1"/>
    </x:xf>
    <x:xf numFmtId="0" fontId="14" fillId="7" borderId="20" xfId="0" applyNumberFormat="1" applyFont="1" applyFill="1" applyBorder="1" applyAlignment="1">
      <x:alignment wrapText="1"/>
    </x:xf>
    <x:xf numFmtId="0" fontId="14" fillId="7" borderId="21" xfId="0" applyNumberFormat="1" applyFont="1" applyFill="1" applyBorder="1" applyAlignment="1">
      <x:alignment wrapText="1"/>
    </x:xf>
    <x:xf numFmtId="0" fontId="14" fillId="7" borderId="22" xfId="0" applyNumberFormat="1" applyFont="1" applyFill="1" applyBorder="1" applyAlignment="1">
      <x:alignment wrapText="1"/>
    </x:xf>
    <x:xf numFmtId="0" fontId="14" fillId="7" borderId="15" xfId="0" applyNumberFormat="1" applyFont="1" applyFill="1" applyBorder="1" applyAlignment="1">
      <x:alignment vertical="top" wrapText="1"/>
    </x:xf>
    <x:xf numFmtId="0" fontId="14" fillId="7" borderId="16" xfId="0" applyNumberFormat="1" applyFont="1" applyFill="1" applyBorder="1" applyAlignment="1">
      <x:alignment vertical="top" wrapText="1"/>
    </x:xf>
    <x:xf numFmtId="0" fontId="14" fillId="7" borderId="17" xfId="0" applyNumberFormat="1" applyFont="1" applyFill="1" applyBorder="1" applyAlignment="1">
      <x:alignment vertical="top" wrapText="1"/>
    </x:xf>
    <x:xf numFmtId="0" fontId="14" fillId="7" borderId="18" xfId="0" applyNumberFormat="1" applyFont="1" applyFill="1" applyBorder="1" applyAlignment="1">
      <x:alignment vertical="top" wrapText="1"/>
    </x:xf>
    <x:xf numFmtId="0" fontId="14" fillId="7" borderId="0" xfId="0" applyNumberFormat="1" applyFont="1" applyFill="1" applyBorder="1" applyAlignment="1">
      <x:alignment vertical="top" wrapText="1"/>
    </x:xf>
    <x:xf numFmtId="0" fontId="14" fillId="7" borderId="19" xfId="0" applyNumberFormat="1" applyFont="1" applyFill="1" applyBorder="1" applyAlignment="1">
      <x:alignment vertical="top" wrapText="1"/>
    </x:xf>
    <x:xf numFmtId="0" fontId="14" fillId="7" borderId="20" xfId="0" applyNumberFormat="1" applyFont="1" applyFill="1" applyBorder="1" applyAlignment="1">
      <x:alignment vertical="top" wrapText="1"/>
    </x:xf>
    <x:xf numFmtId="0" fontId="14" fillId="7" borderId="21" xfId="0" applyNumberFormat="1" applyFont="1" applyFill="1" applyBorder="1" applyAlignment="1">
      <x:alignment vertical="top" wrapText="1"/>
    </x:xf>
    <x:xf numFmtId="0" fontId="14" fillId="7" borderId="22" xfId="0" applyNumberFormat="1" applyFont="1" applyFill="1" applyBorder="1" applyAlignment="1">
      <x:alignment vertical="top" wrapText="1"/>
    </x:xf>
    <x:xf numFmtId="0" fontId="1" fillId="11" borderId="0" xfId="0" applyNumberFormat="1" applyFont="1" applyFill="1" applyBorder="1"/>
    <x:xf numFmtId="0" fontId="15" fillId="11" borderId="0" xfId="0" applyNumberFormat="1" applyFont="1" applyFill="1" applyBorder="1"/>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center" wrapText="1"/>
    </x:xf>
    <x:xf numFmtId="0" fontId="11" fillId="0" borderId="0" xfId="0" applyNumberFormat="1" applyFont="1" applyFill="1" applyBorder="1"/>
    <x:xf numFmtId="0" fontId="1" fillId="12" borderId="0" xfId="0" applyNumberFormat="1" applyFont="1" applyFill="1" applyBorder="1"/>
    <x:xf numFmtId="0" fontId="17" fillId="12" borderId="0" xfId="0" applyNumberFormat="1" applyFont="1" applyFill="1" applyBorder="1"/>
    <x:xf numFmtId="0" fontId="17" fillId="12" borderId="26" xfId="0" applyNumberFormat="1" applyFont="1" applyFill="1" applyBorder="1"/>
    <x:xf numFmtId="0" fontId="17" fillId="12" borderId="27" xfId="0" applyNumberFormat="1" applyFont="1" applyFill="1" applyBorder="1"/>
    <x:xf numFmtId="0" fontId="17" fillId="12" borderId="28" xfId="0" applyNumberFormat="1" applyFont="1" applyFill="1" applyBorder="1"/>
    <x:xf numFmtId="0" fontId="17" fillId="12" borderId="29" xfId="0" applyNumberFormat="1" applyFont="1" applyFill="1" applyBorder="1"/>
    <x:xf numFmtId="0" fontId="17" fillId="12" borderId="30" xfId="0" applyNumberFormat="1" applyFont="1" applyFill="1" applyBorder="1"/>
    <x:xf numFmtId="0" fontId="17" fillId="12" borderId="31" xfId="0" applyNumberFormat="1" applyFont="1" applyFill="1" applyBorder="1"/>
    <x:xf numFmtId="0" fontId="17" fillId="12" borderId="32" xfId="0" applyNumberFormat="1" applyFont="1" applyFill="1" applyBorder="1"/>
    <x:xf numFmtId="0" fontId="17" fillId="12" borderId="33" xfId="0" applyNumberFormat="1" applyFont="1" applyFill="1" applyBorder="1"/>
    <x:xf numFmtId="0" fontId="17" fillId="12" borderId="26" xfId="0" applyNumberFormat="1" applyFont="1" applyFill="1" applyBorder="1" applyAlignment="1">
      <x:alignment wrapText="1"/>
    </x:xf>
    <x:xf numFmtId="0" fontId="17" fillId="12" borderId="27" xfId="0" applyNumberFormat="1" applyFont="1" applyFill="1" applyBorder="1" applyAlignment="1">
      <x:alignment wrapText="1"/>
    </x:xf>
    <x:xf numFmtId="0" fontId="17" fillId="12" borderId="28" xfId="0" applyNumberFormat="1" applyFont="1" applyFill="1" applyBorder="1" applyAlignment="1">
      <x:alignment wrapText="1"/>
    </x:xf>
    <x:xf numFmtId="0" fontId="17" fillId="12" borderId="29" xfId="0" applyNumberFormat="1" applyFont="1" applyFill="1" applyBorder="1" applyAlignment="1">
      <x:alignment wrapText="1"/>
    </x:xf>
    <x:xf numFmtId="0" fontId="17" fillId="12" borderId="0" xfId="0" applyNumberFormat="1" applyFont="1" applyFill="1" applyBorder="1" applyAlignment="1">
      <x:alignment wrapText="1"/>
    </x:xf>
    <x:xf numFmtId="0" fontId="17" fillId="12" borderId="30" xfId="0" applyNumberFormat="1" applyFont="1" applyFill="1" applyBorder="1" applyAlignment="1">
      <x:alignment wrapText="1"/>
    </x:xf>
    <x:xf numFmtId="0" fontId="17" fillId="12" borderId="31" xfId="0" applyNumberFormat="1" applyFont="1" applyFill="1" applyBorder="1" applyAlignment="1">
      <x:alignment wrapText="1"/>
    </x:xf>
    <x:xf numFmtId="0" fontId="17" fillId="12" borderId="32" xfId="0" applyNumberFormat="1" applyFont="1" applyFill="1" applyBorder="1" applyAlignment="1">
      <x:alignment wrapText="1"/>
    </x:xf>
    <x:xf numFmtId="0" fontId="17" fillId="12" borderId="33" xfId="0" applyNumberFormat="1" applyFont="1" applyFill="1" applyBorder="1" applyAlignment="1">
      <x:alignment wrapText="1"/>
    </x:xf>
    <x:xf numFmtId="0" fontId="17" fillId="12" borderId="26" xfId="0" applyNumberFormat="1" applyFont="1" applyFill="1" applyBorder="1" applyAlignment="1">
      <x:alignment vertical="center" wrapText="1"/>
    </x:xf>
    <x:xf numFmtId="0" fontId="17" fillId="12" borderId="27" xfId="0" applyNumberFormat="1" applyFont="1" applyFill="1" applyBorder="1" applyAlignment="1">
      <x:alignment vertical="center" wrapText="1"/>
    </x:xf>
    <x:xf numFmtId="0" fontId="17" fillId="12" borderId="28" xfId="0" applyNumberFormat="1" applyFont="1" applyFill="1" applyBorder="1" applyAlignment="1">
      <x:alignment vertical="center" wrapText="1"/>
    </x:xf>
    <x:xf numFmtId="0" fontId="17" fillId="12" borderId="29" xfId="0" applyNumberFormat="1" applyFont="1" applyFill="1" applyBorder="1" applyAlignment="1">
      <x:alignment vertical="center" wrapText="1"/>
    </x:xf>
    <x:xf numFmtId="0" fontId="17" fillId="12" borderId="0" xfId="0" applyNumberFormat="1" applyFont="1" applyFill="1" applyBorder="1" applyAlignment="1">
      <x:alignment vertical="center" wrapText="1"/>
    </x:xf>
    <x:xf numFmtId="0" fontId="17" fillId="12" borderId="30" xfId="0" applyNumberFormat="1" applyFont="1" applyFill="1" applyBorder="1" applyAlignment="1">
      <x:alignment vertical="center" wrapText="1"/>
    </x:xf>
    <x:xf numFmtId="0" fontId="17" fillId="12" borderId="31" xfId="0" applyNumberFormat="1" applyFont="1" applyFill="1" applyBorder="1" applyAlignment="1">
      <x:alignment vertical="center" wrapText="1"/>
    </x:xf>
    <x:xf numFmtId="0" fontId="17" fillId="12" borderId="32" xfId="0" applyNumberFormat="1" applyFont="1" applyFill="1" applyBorder="1" applyAlignment="1">
      <x:alignment vertical="center" wrapText="1"/>
    </x:xf>
    <x:xf numFmtId="0" fontId="17" fillId="12" borderId="33" xfId="0" applyNumberFormat="1" applyFont="1" applyFill="1" applyBorder="1" applyAlignment="1">
      <x:alignment vertical="center" wrapText="1"/>
    </x:xf>
    <x:xf numFmtId="0" fontId="4" fillId="8" borderId="0" xfId="0" applyNumberFormat="1" applyFont="1" applyFill="1" applyBorder="1"/>
    <x:xf numFmtId="0" fontId="4" fillId="8" borderId="34" xfId="0" applyNumberFormat="1" applyFont="1" applyFill="1" applyBorder="1"/>
    <x:xf numFmtId="0" fontId="4" fillId="8" borderId="34" xfId="0" applyNumberFormat="1" applyFont="1" applyFill="1" applyBorder="1" applyAlignment="1">
      <x:alignment wrapText="1"/>
    </x:xf>
    <x:xf numFmtId="0" fontId="4" fillId="8" borderId="34" xfId="0" applyNumberFormat="1" applyFont="1" applyFill="1" applyBorder="1" applyAlignment="1">
      <x:alignment vertical="center" wrapText="1"/>
    </x:xf>
    <x:xf numFmtId="0" fontId="18" fillId="0" borderId="2" xfId="0" applyNumberFormat="1" applyFont="1" applyFill="1" applyBorder="1"/>
    <x:xf numFmtId="0" fontId="18" fillId="0" borderId="3" xfId="0" applyNumberFormat="1" applyFont="1" applyFill="1" applyBorder="1"/>
    <x:xf numFmtId="0" fontId="18" fillId="0" borderId="4" xfId="0" applyNumberFormat="1" applyFont="1" applyFill="1" applyBorder="1"/>
    <x:xf numFmtId="0" fontId="19" fillId="6" borderId="0" xfId="0" applyNumberFormat="1" applyFont="1" applyFill="1" applyBorder="1"/>
    <x:xf numFmtId="0" fontId="19" fillId="6" borderId="35" xfId="0" applyNumberFormat="1" applyFont="1" applyFill="1" applyBorder="1"/>
    <x:xf numFmtId="0" fontId="19" fillId="6" borderId="36" xfId="0" applyNumberFormat="1" applyFont="1" applyFill="1" applyBorder="1"/>
    <x:xf numFmtId="0" fontId="19" fillId="6" borderId="37" xfId="0" applyNumberFormat="1" applyFont="1" applyFill="1" applyBorder="1"/>
    <x:xf numFmtId="0" fontId="19" fillId="6" borderId="38" xfId="0" applyNumberFormat="1" applyFont="1" applyFill="1" applyBorder="1"/>
    <x:xf numFmtId="0" fontId="19" fillId="6" borderId="39" xfId="0" applyNumberFormat="1" applyFont="1" applyFill="1" applyBorder="1"/>
    <x:xf numFmtId="0" fontId="19" fillId="6" borderId="40" xfId="0" applyNumberFormat="1" applyFont="1" applyFill="1" applyBorder="1"/>
    <x:xf numFmtId="0" fontId="19" fillId="6" borderId="41" xfId="0" applyNumberFormat="1" applyFont="1" applyFill="1" applyBorder="1"/>
    <x:xf numFmtId="0" fontId="19" fillId="6" borderId="42" xfId="0" applyNumberFormat="1" applyFont="1" applyFill="1" applyBorder="1"/>
    <x:xf numFmtId="0" fontId="19" fillId="6" borderId="35" xfId="0" applyNumberFormat="1" applyFont="1" applyFill="1" applyBorder="1" applyAlignment="1">
      <x:alignment wrapText="1"/>
    </x:xf>
    <x:xf numFmtId="0" fontId="19" fillId="6" borderId="36" xfId="0" applyNumberFormat="1" applyFont="1" applyFill="1" applyBorder="1" applyAlignment="1">
      <x:alignment wrapText="1"/>
    </x:xf>
    <x:xf numFmtId="0" fontId="19" fillId="6" borderId="37" xfId="0" applyNumberFormat="1" applyFont="1" applyFill="1" applyBorder="1" applyAlignment="1">
      <x:alignment wrapText="1"/>
    </x:xf>
    <x:xf numFmtId="0" fontId="19" fillId="6" borderId="38" xfId="0" applyNumberFormat="1" applyFont="1" applyFill="1" applyBorder="1" applyAlignment="1">
      <x:alignment wrapText="1"/>
    </x:xf>
    <x:xf numFmtId="0" fontId="19" fillId="6" borderId="0" xfId="0" applyNumberFormat="1" applyFont="1" applyFill="1" applyBorder="1" applyAlignment="1">
      <x:alignment wrapText="1"/>
    </x:xf>
    <x:xf numFmtId="0" fontId="19" fillId="6" borderId="39" xfId="0" applyNumberFormat="1" applyFont="1" applyFill="1" applyBorder="1" applyAlignment="1">
      <x:alignment wrapText="1"/>
    </x:xf>
    <x:xf numFmtId="0" fontId="19" fillId="6" borderId="40" xfId="0" applyNumberFormat="1" applyFont="1" applyFill="1" applyBorder="1" applyAlignment="1">
      <x:alignment wrapText="1"/>
    </x:xf>
    <x:xf numFmtId="0" fontId="19" fillId="6" borderId="41" xfId="0" applyNumberFormat="1" applyFont="1" applyFill="1" applyBorder="1" applyAlignment="1">
      <x:alignment wrapText="1"/>
    </x:xf>
    <x:xf numFmtId="0" fontId="19" fillId="6" borderId="42" xfId="0" applyNumberFormat="1" applyFont="1" applyFill="1" applyBorder="1" applyAlignment="1">
      <x:alignment wrapText="1"/>
    </x:xf>
    <x:xf numFmtId="0" fontId="19" fillId="6" borderId="35" xfId="0" applyNumberFormat="1" applyFont="1" applyFill="1" applyBorder="1" applyAlignment="1">
      <x:alignment vertical="center" wrapText="1"/>
    </x:xf>
    <x:xf numFmtId="0" fontId="19" fillId="6" borderId="36" xfId="0" applyNumberFormat="1" applyFont="1" applyFill="1" applyBorder="1" applyAlignment="1">
      <x:alignment vertical="center" wrapText="1"/>
    </x:xf>
    <x:xf numFmtId="0" fontId="19" fillId="6" borderId="37" xfId="0" applyNumberFormat="1" applyFont="1" applyFill="1" applyBorder="1" applyAlignment="1">
      <x:alignment vertical="center" wrapText="1"/>
    </x:xf>
    <x:xf numFmtId="0" fontId="19" fillId="6" borderId="38" xfId="0" applyNumberFormat="1" applyFont="1" applyFill="1" applyBorder="1" applyAlignment="1">
      <x:alignment vertical="center" wrapText="1"/>
    </x:xf>
    <x:xf numFmtId="0" fontId="19" fillId="6" borderId="0" xfId="0" applyNumberFormat="1" applyFont="1" applyFill="1" applyBorder="1" applyAlignment="1">
      <x:alignment vertical="center" wrapText="1"/>
    </x:xf>
    <x:xf numFmtId="0" fontId="19" fillId="6" borderId="39" xfId="0" applyNumberFormat="1" applyFont="1" applyFill="1" applyBorder="1" applyAlignment="1">
      <x:alignment vertical="center" wrapText="1"/>
    </x:xf>
    <x:xf numFmtId="0" fontId="19" fillId="6" borderId="40" xfId="0" applyNumberFormat="1" applyFont="1" applyFill="1" applyBorder="1" applyAlignment="1">
      <x:alignment vertical="center" wrapText="1"/>
    </x:xf>
    <x:xf numFmtId="0" fontId="19" fillId="6" borderId="41" xfId="0" applyNumberFormat="1" applyFont="1" applyFill="1" applyBorder="1" applyAlignment="1">
      <x:alignment vertical="center" wrapText="1"/>
    </x:xf>
    <x:xf numFmtId="0" fontId="19" fillId="6" borderId="42" xfId="0" applyNumberFormat="1" applyFont="1" applyFill="1" applyBorder="1" applyAlignment="1">
      <x:alignment vertical="center" wrapText="1"/>
    </x:xf>
  </x:cellXfs>
  <x:cellStyles count="1">
    <x:cellStyle name="Normal" xfId="0"/>
  </x:cellStyles>
  <x:dxfs count="11">
    <x:dxf>
      <x:font>
        <x:b/>
        <x:color rgb="FF00897B"/>
      </x:font>
      <x:fill>
        <x:patternFill patternType="solid">
          <x:bgColor rgb="FFE2F4F1"/>
        </x:patternFill>
      </x:fill>
    </x:dxf>
    <x:dxf>
      <x:font>
        <x:b/>
        <x:color rgb="FF8A5A00"/>
      </x:font>
      <x:fill>
        <x:patternFill patternType="solid">
          <x:bgColor rgb="FFFFF3D4"/>
        </x:patternFill>
      </x:fill>
    </x:dxf>
    <x:dxf>
      <x:font>
        <x:color rgb="FF536171"/>
      </x:font>
      <x:fill>
        <x:patternFill patternType="solid">
          <x:bgColor rgb="FFEDF1F5"/>
        </x:patternFill>
      </x:fill>
    </x:dxf>
    <x:dxf>
      <x:font>
        <x:b/>
        <x:color rgb="FFC1121F"/>
      </x:font>
      <x:fill>
        <x:patternFill patternType="solid">
          <x:bgColor rgb="FFFCE8EA"/>
        </x:patternFill>
      </x:fill>
    </x:dxf>
    <x:dxf>
      <x:font>
        <x:color rgb="FF2B6CB0"/>
      </x:font>
      <x:fill>
        <x:patternFill patternType="solid">
          <x:bgColor rgb="FFE8F1FB"/>
        </x:patternFill>
      </x:fill>
    </x:dxf>
    <x:dxf>
      <x:font>
        <x:b/>
        <x:color rgb="FFC1121F"/>
      </x:font>
      <x:fill>
        <x:patternFill patternType="solid">
          <x:bgColor rgb="FFFCE8EA"/>
        </x:patternFill>
      </x:fill>
    </x:dxf>
    <x:dxf>
      <x:font>
        <x:b/>
        <x:color rgb="FF8A5A00"/>
      </x:font>
      <x:fill>
        <x:patternFill patternType="solid">
          <x:bgColor rgb="FFFFF3D4"/>
        </x:patternFill>
      </x:fill>
    </x:dxf>
    <x:dxf>
      <x:font>
        <x:b/>
        <x:color rgb="FF00897B"/>
      </x:font>
      <x:fill>
        <x:patternFill patternType="solid">
          <x:bgColor rgb="FFE2F4F1"/>
        </x:patternFill>
      </x:fill>
    </x:dxf>
    <x:dxf>
      <x:font>
        <x:b/>
        <x:color rgb="FF2B6CB0"/>
      </x:font>
      <x:fill>
        <x:patternFill patternType="solid">
          <x:bgColor rgb="FFE8F1FB"/>
        </x:patternFill>
      </x:fill>
    </x:dxf>
    <x:dxf>
      <x:font>
        <x:b/>
        <x:color rgb="FF00897B"/>
      </x:font>
      <x:fill>
        <x:patternFill patternType="solid">
          <x:bgColor rgb="FFE2F4F1"/>
        </x:patternFill>
      </x:fill>
    </x:dxf>
    <x:dxf>
      <x:font>
        <x:color rgb="FF725000"/>
      </x:font>
      <x:fill>
        <x:patternFill patternType="solid">
          <x:bgColor rgb="FFFFF3D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a19671075d4a73" /><Relationship Type="http://schemas.openxmlformats.org/officeDocument/2006/relationships/theme" Target="/xl/theme/theme1.xml" Id="R70af915744684b21" /><Relationship Type="http://schemas.openxmlformats.org/officeDocument/2006/relationships/sharedStrings" Target="/xl/sharedStrings.xml" Id="R4152f1ce68b14b17" /><Relationship Type="http://schemas.openxmlformats.org/officeDocument/2006/relationships/worksheet" Target="/xl/worksheets/sheet1.xml" Id="Raa99a181644c4967" /><Relationship Type="http://schemas.openxmlformats.org/officeDocument/2006/relationships/worksheet" Target="/xl/worksheets/sheet2.xml" Id="Rf32d4328e3214a08" /><Relationship Type="http://schemas.openxmlformats.org/officeDocument/2006/relationships/worksheet" Target="/xl/worksheets/sheet3.xml" Id="Reb8068d72de54ba1" /><Relationship Type="http://schemas.openxmlformats.org/officeDocument/2006/relationships/worksheet" Target="/xl/worksheets/sheet4.xml" Id="R0592cff01655467b" /><Relationship Type="http://schemas.openxmlformats.org/officeDocument/2006/relationships/worksheet" Target="/xl/worksheets/sheet5.xml" Id="Rf3bd4891c8c14be4" /><Relationship Type="http://schemas.openxmlformats.org/officeDocument/2006/relationships/worksheet" Target="/xl/worksheets/sheet6.xml" Id="R52296027fdab464e" /></Relationships>
</file>

<file path=xl/tables/table1.xml><?xml version="1.0" encoding="utf-8"?>
<x:table xmlns:x="http://schemas.openxmlformats.org/spreadsheetml/2006/main" id="1" name="GuideTable" displayName="GuideTable" ref="A4:S3575" headerRowCount="1" totalsRowCount="0" totalsRowShown="0">
  <x:autoFilter ref="A4:S3575"/>
  <x:tableColumns count="19">
    <x:tableColumn id="1" name="Order"/>
    <x:tableColumn id="2" name="Status"/>
    <x:tableColumn id="3" name="Air Date"/>
    <x:tableColumn id="4" name="Show"/>
    <x:tableColumn id="5" name="Franchise"/>
    <x:tableColumn id="6" name="Scope"/>
    <x:tableColumn id="7" name="Season"/>
    <x:tableColumn id="8" name="Episode"/>
    <x:tableColumn id="9" name="Code"/>
    <x:tableColumn id="10" name="Title"/>
    <x:tableColumn id="11" name="Role"/>
    <x:tableColumn id="12" name="Event / Arc"/>
    <x:tableColumn id="13" name="Part"/>
    <x:tableColumn id="14" name="Runtime"/>
    <x:tableColumn id="15" name="Overview"/>
    <x:tableColumn id="16" name="Connection"/>
    <x:tableColumn id="17" name="Trakt ID"/>
    <x:tableColumn id="18" name="IMDb ID"/>
    <x:tableColumn id="19" name="Source URL"/>
  </x:tableColumns>
  <x:tableStyleInfo name="TableStyleMedium2" showFirstColumn="0" showLastColumn="0" showRowStripes="1" showColumnStripes="0"/>
</x:table>
</file>

<file path=xl/tables/table2.xml><?xml version="1.0" encoding="utf-8"?>
<x:table xmlns:x="http://schemas.openxmlformats.org/spreadsheetml/2006/main" id="2" name="RelationshipTable" displayName="RelationshipTable" ref="A4:M95" headerRowCount="1" totalsRowCount="0" totalsRowShown="0">
  <x:autoFilter ref="A4:M95"/>
  <x:tableColumns count="13">
    <x:tableColumn id="1" name="Event / Arc"/>
    <x:tableColumn id="2" name="Type"/>
    <x:tableColumn id="3" name="Label"/>
    <x:tableColumn id="4" name="Part"/>
    <x:tableColumn id="5" name="Air Date"/>
    <x:tableColumn id="6" name="Order"/>
    <x:tableColumn id="7" name="Show"/>
    <x:tableColumn id="8" name="Code"/>
    <x:tableColumn id="9" name="Episode / Film"/>
    <x:tableColumn id="10" name="Narrative Role"/>
    <x:tableColumn id="11" name="Related Episodes"/>
    <x:tableColumn id="12" name="Evidence URL"/>
    <x:tableColumn id="13" name="Confidence"/>
  </x:tableColumns>
  <x:tableStyleInfo name="TableStyleMedium4" showFirstColumn="0" showLastColumn="0" showRowStripes="1" showColumnStripes="0"/>
</x:table>
</file>

<file path=xl/tables/table3.xml><?xml version="1.0" encoding="utf-8"?>
<x:table xmlns:x="http://schemas.openxmlformats.org/spreadsheetml/2006/main" id="3" name="CatalogueTable" displayName="CatalogueTable" ref="A4:L50" headerRowCount="1" totalsRowCount="0" totalsRowShown="0">
  <x:autoFilter ref="A4:L50"/>
  <x:tableColumns count="12">
    <x:tableColumn id="1" name="Show"/>
    <x:tableColumn id="2" name="Franchise"/>
    <x:tableColumn id="3" name="Scope"/>
    <x:tableColumn id="4" name="Items"/>
    <x:tableColumn id="5" name="Tagged"/>
    <x:tableColumn id="6" name="First Date"/>
    <x:tableColumn id="7" name="Last Date"/>
    <x:tableColumn id="8" name="Trakt Slug"/>
    <x:tableColumn id="9" name="Trakt ID"/>
    <x:tableColumn id="10" name="IMDb ID"/>
    <x:tableColumn id="11" name="Supplied-Source Coverage"/>
    <x:tableColumn id="12" name="Inclusion Rationa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d621fad6744900" /></Relationships>
</file>

<file path=xl/worksheets/_rels/sheet3.xml.rels>&#65279;<?xml version="1.0" encoding="utf-8"?><Relationships xmlns="http://schemas.openxmlformats.org/package/2006/relationships"><Relationship Type="http://schemas.openxmlformats.org/officeDocument/2006/relationships/table" Target="/xl/tables/table2.xml" Id="Rb9f210f1b84343c2" /></Relationships>
</file>

<file path=xl/worksheets/_rels/sheet4.xml.rels>&#65279;<?xml version="1.0" encoding="utf-8"?><Relationships xmlns="http://schemas.openxmlformats.org/package/2006/relationships"><Relationship Type="http://schemas.openxmlformats.org/officeDocument/2006/relationships/table" Target="/xl/tables/table3.xml" Id="R3168a814a8044664"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12" hidden="0" customWidth="1"/>
    <x:col min="4" max="4" width="12" hidden="0" customWidth="1"/>
    <x:col min="5" max="5" width="12" hidden="0" customWidth="1"/>
    <x:col min="6" max="6" width="12" hidden="0" customWidth="1"/>
    <x:col min="7" max="7" width="15" hidden="0" customWidth="1"/>
    <x:col min="8" max="8" width="15" hidden="0" customWidth="1"/>
    <x:col min="9" max="9" width="12" hidden="0" customWidth="1"/>
    <x:col min="10" max="10" width="17" hidden="0" customWidth="1"/>
    <x:col min="11" max="11" width="17" hidden="0" customWidth="1"/>
    <x:col min="12" max="12" width="17" hidden="0" customWidth="1"/>
  </x:cols>
  <x:sheetData>
    <x:row r="1" ht="30" customHeight="1">
      <x:c r="A1" s="5" t="str">
        <x:v>Wolf Universe Professional Watch Tracker</x:v>
      </x:c>
      <x:c r="B1" s="5" t="str">
        <x:v>Wolf Universe Professional Watch Tracker</x:v>
      </x:c>
      <x:c r="C1" s="5" t="str">
        <x:v>Wolf Universe Professional Watch Tracker</x:v>
      </x:c>
      <x:c r="D1" s="5" t="str">
        <x:v>Wolf Universe Professional Watch Tracker</x:v>
      </x:c>
      <x:c r="E1" s="5" t="str">
        <x:v>Wolf Universe Professional Watch Tracker</x:v>
      </x:c>
      <x:c r="F1" s="5" t="str">
        <x:v>Wolf Universe Professional Watch Tracker</x:v>
      </x:c>
      <x:c r="G1" s="5" t="str">
        <x:v>Wolf Universe Professional Watch Tracker</x:v>
      </x:c>
      <x:c r="H1" s="5" t="str">
        <x:v>Wolf Universe Professional Watch Tracker</x:v>
      </x:c>
      <x:c r="I1" s="5" t="str">
        <x:v>Wolf Universe Professional Watch Tracker</x:v>
      </x:c>
      <x:c r="J1" s="5" t="str">
        <x:v>Wolf Universe Professional Watch Tracker</x:v>
      </x:c>
      <x:c r="K1" s="5" t="str">
        <x:v>Wolf Universe Professional Watch Tracker</x:v>
      </x:c>
      <x:c r="L1" s="5" t="str">
        <x:v>Wolf Universe Professional Watch Tracker</x:v>
      </x:c>
      <x:c r="M1" s="1"/>
      <x:c r="N1" s="1"/>
      <x:c r="O1" s="1"/>
      <x:c r="P1" s="1"/>
      <x:c r="Q1" s="1"/>
      <x:c r="R1" s="1"/>
      <x:c r="S1" s="1"/>
      <x:c r="T1" s="1"/>
      <x:c r="U1" s="1"/>
      <x:c r="V1" s="1"/>
      <x:c r="W1" s="1"/>
      <x:c r="X1" s="1"/>
      <x:c r="Y1" s="1"/>
      <x:c r="Z1" s="1"/>
    </x:row>
    <x:row r="2" ht="30" customHeight="1">
      <x:c r="A2" s="5" t="str">
        <x:v>Wolf Universe Professional Watch Tracker</x:v>
      </x:c>
      <x:c r="B2" s="5" t="str">
        <x:v>Wolf Universe Professional Watch Tracker</x:v>
      </x:c>
      <x:c r="C2" s="5" t="str">
        <x:v>Wolf Universe Professional Watch Tracker</x:v>
      </x:c>
      <x:c r="D2" s="5" t="str">
        <x:v>Wolf Universe Professional Watch Tracker</x:v>
      </x:c>
      <x:c r="E2" s="5" t="str">
        <x:v>Wolf Universe Professional Watch Tracker</x:v>
      </x:c>
      <x:c r="F2" s="5" t="str">
        <x:v>Wolf Universe Professional Watch Tracker</x:v>
      </x:c>
      <x:c r="G2" s="5" t="str">
        <x:v>Wolf Universe Professional Watch Tracker</x:v>
      </x:c>
      <x:c r="H2" s="5" t="str">
        <x:v>Wolf Universe Professional Watch Tracker</x:v>
      </x:c>
      <x:c r="I2" s="5" t="str">
        <x:v>Wolf Universe Professional Watch Tracker</x:v>
      </x:c>
      <x:c r="J2" s="5" t="str">
        <x:v>Wolf Universe Professional Watch Tracker</x:v>
      </x:c>
      <x:c r="K2" s="5" t="str">
        <x:v>Wolf Universe Professional Watch Tracker</x:v>
      </x:c>
      <x:c r="L2" s="5" t="str">
        <x:v>Wolf Universe Professional Watch Tracker</x:v>
      </x:c>
      <x:c r="M2" s="1"/>
      <x:c r="N2" s="1"/>
      <x:c r="O2" s="1"/>
      <x:c r="P2" s="1"/>
      <x:c r="Q2" s="1"/>
      <x:c r="R2" s="1"/>
      <x:c r="S2" s="1"/>
      <x:c r="T2" s="1"/>
      <x:c r="U2" s="1"/>
      <x:c r="V2" s="1"/>
      <x:c r="W2" s="1"/>
      <x:c r="X2" s="1"/>
      <x:c r="Y2" s="1"/>
      <x:c r="Z2" s="1"/>
    </x:row>
    <x:row r="3" ht="24" customHeight="1">
      <x:c r="A3" s="10" t="str">
        <x:v>v4.0.1 verified chronology • 46 titles • crossover-aware • connected-account Trakt list creation in the companion web app</x:v>
      </x:c>
      <x:c r="B3" s="10" t="str">
        <x:v>v4.0.1 verified chronology • 46 titles • crossover-aware • connected-account Trakt list creation in the companion web app</x:v>
      </x:c>
      <x:c r="C3" s="10" t="str">
        <x:v>v4.0.1 verified chronology • 46 titles • crossover-aware • connected-account Trakt list creation in the companion web app</x:v>
      </x:c>
      <x:c r="D3" s="10" t="str">
        <x:v>v4.0.1 verified chronology • 46 titles • crossover-aware • connected-account Trakt list creation in the companion web app</x:v>
      </x:c>
      <x:c r="E3" s="10" t="str">
        <x:v>v4.0.1 verified chronology • 46 titles • crossover-aware • connected-account Trakt list creation in the companion web app</x:v>
      </x:c>
      <x:c r="F3" s="10" t="str">
        <x:v>v4.0.1 verified chronology • 46 titles • crossover-aware • connected-account Trakt list creation in the companion web app</x:v>
      </x:c>
      <x:c r="G3" s="10" t="str">
        <x:v>v4.0.1 verified chronology • 46 titles • crossover-aware • connected-account Trakt list creation in the companion web app</x:v>
      </x:c>
      <x:c r="H3" s="10" t="str">
        <x:v>v4.0.1 verified chronology • 46 titles • crossover-aware • connected-account Trakt list creation in the companion web app</x:v>
      </x:c>
      <x:c r="I3" s="10" t="str">
        <x:v>v4.0.1 verified chronology • 46 titles • crossover-aware • connected-account Trakt list creation in the companion web app</x:v>
      </x:c>
      <x:c r="J3" s="10" t="str">
        <x:v>v4.0.1 verified chronology • 46 titles • crossover-aware • connected-account Trakt list creation in the companion web app</x:v>
      </x:c>
      <x:c r="K3" s="10" t="str">
        <x:v>v4.0.1 verified chronology • 46 titles • crossover-aware • connected-account Trakt list creation in the companion web app</x:v>
      </x:c>
      <x:c r="L3" s="10" t="str">
        <x:v>v4.0.1 verified chronology • 46 titles • crossover-aware • connected-account Trakt list creation in the companion web app</x:v>
      </x:c>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x:c r="A5" s="67" t="str">
        <x:v>TOTAL ITEMS</x:v>
      </x:c>
      <x:c r="B5" s="68" t="str">
        <x:v>TOTAL ITEMS</x:v>
      </x:c>
      <x:c r="C5" s="69" t="str">
        <x:v>TOTAL ITEMS</x:v>
      </x:c>
      <x:c r="D5" s="67" t="str">
        <x:v>WATCHED</x:v>
      </x:c>
      <x:c r="E5" s="68" t="str">
        <x:v>WATCHED</x:v>
      </x:c>
      <x:c r="F5" s="69" t="str">
        <x:v>WATCHED</x:v>
      </x:c>
      <x:c r="G5" s="67" t="str">
        <x:v>REMAINING</x:v>
      </x:c>
      <x:c r="H5" s="68" t="str">
        <x:v>REMAINING</x:v>
      </x:c>
      <x:c r="I5" s="69" t="str">
        <x:v>REMAINING</x:v>
      </x:c>
      <x:c r="J5" s="67" t="str">
        <x:v>PROGRESS</x:v>
      </x:c>
      <x:c r="K5" s="68" t="str">
        <x:v>PROGRESS</x:v>
      </x:c>
      <x:c r="L5" s="69" t="str">
        <x:v>PROGRESS</x:v>
      </x:c>
      <x:c r="M5" s="1"/>
      <x:c r="N5" s="1"/>
      <x:c r="O5" s="1"/>
      <x:c r="P5" s="1"/>
      <x:c r="Q5" s="1"/>
      <x:c r="R5" s="1"/>
      <x:c r="S5" s="1"/>
      <x:c r="T5" s="1"/>
      <x:c r="U5" s="1"/>
      <x:c r="V5" s="1"/>
      <x:c r="W5" s="1"/>
      <x:c r="X5" s="1"/>
      <x:c r="Y5" s="1"/>
      <x:c r="Z5" s="1"/>
    </x:row>
    <x:row r="6">
      <x:c r="A6" s="89" t="n">
        <x:f>COUNTA('Chronological Guide'!$A$5:$A$3575)</x:f>
        <x:v>3571</x:v>
      </x:c>
      <x:c r="B6" s="90"/>
      <x:c r="C6" s="91"/>
      <x:c r="D6" s="117" t="n">
        <x:f>COUNTIF('Chronological Guide'!$B$5:$B$3575,"Watched")</x:f>
        <x:v>132</x:v>
      </x:c>
      <x:c r="E6" s="118"/>
      <x:c r="F6" s="119"/>
      <x:c r="G6" s="89" t="n">
        <x:f>A6-D6-COUNTIF('Chronological Guide'!$B$5:$B$3575,"Skipped")</x:f>
        <x:v>3439</x:v>
      </x:c>
      <x:c r="H6" s="90"/>
      <x:c r="I6" s="91"/>
      <x:c r="J6" s="154" t="n">
        <x:f>IFERROR(D6/A6,0)</x:f>
        <x:v>0.03696443573228787</x:v>
      </x:c>
      <x:c r="K6" s="146"/>
      <x:c r="L6" s="147"/>
      <x:c r="M6" s="1"/>
      <x:c r="N6" s="1"/>
      <x:c r="O6" s="1"/>
      <x:c r="P6" s="1"/>
      <x:c r="Q6" s="1"/>
      <x:c r="R6" s="1"/>
      <x:c r="S6" s="1"/>
      <x:c r="T6" s="1"/>
      <x:c r="U6" s="1"/>
      <x:c r="V6" s="1"/>
      <x:c r="W6" s="1"/>
      <x:c r="X6" s="1"/>
      <x:c r="Y6" s="1"/>
      <x:c r="Z6" s="1"/>
    </x:row>
    <x:row r="7">
      <x:c r="A7" s="92"/>
      <x:c r="B7" s="93"/>
      <x:c r="C7" s="94"/>
      <x:c r="D7" s="120"/>
      <x:c r="E7" s="121"/>
      <x:c r="F7" s="122"/>
      <x:c r="G7" s="92"/>
      <x:c r="H7" s="93"/>
      <x:c r="I7" s="94"/>
      <x:c r="J7" s="148"/>
      <x:c r="K7" s="149"/>
      <x:c r="L7" s="150"/>
      <x:c r="M7" s="1"/>
      <x:c r="N7" s="1"/>
      <x:c r="O7" s="1"/>
      <x:c r="P7" s="1"/>
      <x:c r="Q7" s="1"/>
      <x:c r="R7" s="1"/>
      <x:c r="S7" s="1"/>
      <x:c r="T7" s="1"/>
      <x:c r="U7" s="1"/>
      <x:c r="V7" s="1"/>
      <x:c r="W7" s="1"/>
      <x:c r="X7" s="1"/>
      <x:c r="Y7" s="1"/>
      <x:c r="Z7" s="1"/>
    </x:row>
    <x:row r="8">
      <x:c r="A8" s="95"/>
      <x:c r="B8" s="96"/>
      <x:c r="C8" s="97"/>
      <x:c r="D8" s="123"/>
      <x:c r="E8" s="124"/>
      <x:c r="F8" s="125"/>
      <x:c r="G8" s="95"/>
      <x:c r="H8" s="96"/>
      <x:c r="I8" s="97"/>
      <x:c r="J8" s="151"/>
      <x:c r="K8" s="152"/>
      <x:c r="L8" s="153"/>
      <x:c r="M8" s="1"/>
      <x:c r="N8" s="1"/>
      <x:c r="O8" s="1"/>
      <x:c r="P8" s="1"/>
      <x:c r="Q8" s="1"/>
      <x:c r="R8" s="1"/>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ht="24" customHeight="1">
      <x:c r="A10" s="157" t="str">
        <x:v>Scope breakdown</x:v>
      </x:c>
      <x:c r="B10" s="157"/>
      <x:c r="C10" s="157"/>
      <x:c r="D10" s="157"/>
      <x:c r="E10" s="157"/>
      <x:c r="F10" s="157"/>
      <x:c r="G10" s="160" t="str">
        <x:v>Relationship guide</x:v>
      </x:c>
      <x:c r="H10" s="160"/>
      <x:c r="I10" s="160"/>
      <x:c r="J10" s="160"/>
      <x:c r="K10" s="160"/>
      <x:c r="L10" s="160"/>
      <x:c r="M10" s="1"/>
      <x:c r="N10" s="1"/>
      <x:c r="O10" s="1"/>
      <x:c r="P10" s="1"/>
      <x:c r="Q10" s="1"/>
      <x:c r="R10" s="1"/>
      <x:c r="S10" s="1"/>
      <x:c r="T10" s="1"/>
      <x:c r="U10" s="1"/>
      <x:c r="V10" s="1"/>
      <x:c r="W10" s="1"/>
      <x:c r="X10" s="1"/>
      <x:c r="Y10" s="1"/>
      <x:c r="Z10" s="1"/>
    </x:row>
    <x:row r="11" ht="28" customHeight="1">
      <x:c r="A11" s="14" t="str">
        <x:v>Scope</x:v>
      </x:c>
      <x:c r="B11" s="14" t="str">
        <x:v>Intent</x:v>
      </x:c>
      <x:c r="C11" s="14" t="str">
        <x:v>Items</x:v>
      </x:c>
      <x:c r="D11" s="14" t="str">
        <x:v>Watched</x:v>
      </x:c>
      <x:c r="E11" s="14" t="str">
        <x:v>Remaining</x:v>
      </x:c>
      <x:c r="F11" s="14" t="str">
        <x:v>Progress</x:v>
      </x:c>
      <x:c r="G11" s="59" t="str">
        <x:v>Type</x:v>
      </x:c>
      <x:c r="H11" s="59"/>
      <x:c r="I11" s="59" t="str">
        <x:v>Tagged Items</x:v>
      </x:c>
      <x:c r="J11" s="59" t="str">
        <x:v>What it means</x:v>
      </x:c>
      <x:c r="K11" s="59"/>
      <x:c r="L11" s="59"/>
      <x:c r="M11" s="1"/>
      <x:c r="N11" s="1"/>
      <x:c r="O11" s="1"/>
      <x:c r="P11" s="1"/>
      <x:c r="Q11" s="1"/>
      <x:c r="R11" s="1"/>
      <x:c r="S11" s="1"/>
      <x:c r="T11" s="1"/>
      <x:c r="U11" s="1"/>
      <x:c r="V11" s="1"/>
      <x:c r="W11" s="1"/>
      <x:c r="X11" s="1"/>
      <x:c r="Y11" s="1"/>
      <x:c r="Z11" s="1"/>
    </x:row>
    <x:row r="12" ht="30" customHeight="1">
      <x:c r="A12" s="184" t="str">
        <x:v>core</x:v>
      </x:c>
      <x:c r="B12" s="181" t="str">
        <x:v>Main Law &amp; Order, One Chicago, and FBI franchises</x:v>
      </x:c>
      <x:c r="C12" s="173" t="n">
        <x:f>COUNTIF('Chronological Guide'!$F$5:$F$3575,A12)</x:f>
        <x:v>2715</x:v>
      </x:c>
      <x:c r="D12" s="173" t="n">
        <x:f>COUNTIFS('Chronological Guide'!$F$5:$F$3575,A12,'Chronological Guide'!$B$5:$B$3575,"Watched")</x:f>
        <x:v>132</x:v>
      </x:c>
      <x:c r="E12" s="173" t="n">
        <x:f>C12-D12-COUNTIFS('Chronological Guide'!$F$5:$F$3575,A12,'Chronological Guide'!$B$5:$B$3575,"Skipped")</x:f>
        <x:v>2583</x:v>
      </x:c>
      <x:c r="F12" s="174" t="n">
        <x:f>IFERROR(D12/C12,0)</x:f>
        <x:v>0.04861878453038674</x:v>
      </x:c>
      <x:c r="G12" s="187" t="str">
        <x:v>Crossover</x:v>
      </x:c>
      <x:c r="H12" s="187"/>
      <x:c r="I12" s="190" t="n">
        <x:f>COUNTIF('Crossovers &amp; Arcs'!$B$5:$B$95,"crossover")</x:f>
        <x:v>67</x:v>
      </x:c>
      <x:c r="J12" s="163" t="str">
        <x:v>Explicit multi-show event part</x:v>
      </x:c>
      <x:c r="K12" s="163"/>
      <x:c r="L12" s="163"/>
      <x:c r="M12" s="1"/>
      <x:c r="N12" s="1"/>
      <x:c r="O12" s="1"/>
      <x:c r="P12" s="1"/>
      <x:c r="Q12" s="1"/>
      <x:c r="R12" s="1"/>
      <x:c r="S12" s="1"/>
      <x:c r="T12" s="1"/>
      <x:c r="U12" s="1"/>
      <x:c r="V12" s="1"/>
      <x:c r="W12" s="1"/>
      <x:c r="X12" s="1"/>
      <x:c r="Y12" s="1"/>
      <x:c r="Z12" s="1"/>
    </x:row>
    <x:row r="13" ht="30" customHeight="1">
      <x:c r="A13" s="185" t="str">
        <x:v>connected</x:v>
      </x:c>
      <x:c r="B13" s="182" t="str">
        <x:v>Direct crossover and important bridge titles</x:v>
      </x:c>
      <x:c r="C13" s="176" t="n">
        <x:f>COUNTIF('Chronological Guide'!$F$5:$F$3575,A13)</x:f>
        <x:v>324</x:v>
      </x:c>
      <x:c r="D13" s="176" t="n">
        <x:f>COUNTIFS('Chronological Guide'!$F$5:$F$3575,A13,'Chronological Guide'!$B$5:$B$3575,"Watched")</x:f>
        <x:v>0</x:v>
      </x:c>
      <x:c r="E13" s="176" t="n">
        <x:f>C13-D13-COUNTIFS('Chronological Guide'!$F$5:$F$3575,A13,'Chronological Guide'!$B$5:$B$3575,"Skipped")</x:f>
        <x:v>324</x:v>
      </x:c>
      <x:c r="F13" s="177" t="n">
        <x:f>IFERROR(D13/C13,0)</x:f>
        <x:v>0</x:v>
      </x:c>
      <x:c r="G13" s="188" t="str">
        <x:v>Backdoor pilot</x:v>
      </x:c>
      <x:c r="H13" s="188"/>
      <x:c r="I13" s="191" t="n">
        <x:f>COUNTIF('Crossovers &amp; Arcs'!$B$5:$B$95,"backdoor_pilot")</x:f>
        <x:v>5</x:v>
      </x:c>
      <x:c r="J13" s="166" t="str">
        <x:v>Episode that launches a spinoff</x:v>
      </x:c>
      <x:c r="K13" s="166"/>
      <x:c r="L13" s="166"/>
      <x:c r="M13" s="1"/>
      <x:c r="N13" s="1"/>
      <x:c r="O13" s="1"/>
      <x:c r="P13" s="1"/>
      <x:c r="Q13" s="1"/>
      <x:c r="R13" s="1"/>
      <x:c r="S13" s="1"/>
      <x:c r="T13" s="1"/>
      <x:c r="U13" s="1"/>
      <x:c r="V13" s="1"/>
      <x:c r="W13" s="1"/>
      <x:c r="X13" s="1"/>
      <x:c r="Y13" s="1"/>
      <x:c r="Z13" s="1"/>
    </x:row>
    <x:row r="14" ht="30" customHeight="1">
      <x:c r="A14" s="185" t="str">
        <x:v>complete</x:v>
      </x:c>
      <x:c r="B14" s="182" t="str">
        <x:v>Extended Dick Wolf archive</x:v>
      </x:c>
      <x:c r="C14" s="176" t="n">
        <x:f>COUNTIF('Chronological Guide'!$F$5:$F$3575,A14)</x:f>
        <x:v>510</x:v>
      </x:c>
      <x:c r="D14" s="176" t="n">
        <x:f>COUNTIFS('Chronological Guide'!$F$5:$F$3575,A14,'Chronological Guide'!$B$5:$B$3575,"Watched")</x:f>
        <x:v>0</x:v>
      </x:c>
      <x:c r="E14" s="176" t="n">
        <x:f>C14-D14-COUNTIFS('Chronological Guide'!$F$5:$F$3575,A14,'Chronological Guide'!$B$5:$B$3575,"Skipped")</x:f>
        <x:v>510</x:v>
      </x:c>
      <x:c r="F14" s="177" t="n">
        <x:f>IFERROR(D14/C14,0)</x:f>
        <x:v>0</x:v>
      </x:c>
      <x:c r="G14" s="188" t="str">
        <x:v>Story arc</x:v>
      </x:c>
      <x:c r="H14" s="188"/>
      <x:c r="I14" s="191" t="n">
        <x:f>COUNTIF('Crossovers &amp; Arcs'!$B$5:$B$95,"story_arc")</x:f>
        <x:v>14</x:v>
      </x:c>
      <x:c r="J14" s="166" t="str">
        <x:v>Same-show multi-episode story</x:v>
      </x:c>
      <x:c r="K14" s="166"/>
      <x:c r="L14" s="166"/>
      <x:c r="M14" s="1"/>
      <x:c r="N14" s="1"/>
      <x:c r="O14" s="1"/>
      <x:c r="P14" s="1"/>
      <x:c r="Q14" s="1"/>
      <x:c r="R14" s="1"/>
      <x:c r="S14" s="1"/>
      <x:c r="T14" s="1"/>
      <x:c r="U14" s="1"/>
      <x:c r="V14" s="1"/>
      <x:c r="W14" s="1"/>
      <x:c r="X14" s="1"/>
      <x:c r="Y14" s="1"/>
      <x:c r="Z14" s="1"/>
    </x:row>
    <x:row r="15" ht="30" customHeight="1">
      <x:c r="A15" s="186" t="str">
        <x:v>adjacent</x:v>
      </x:c>
      <x:c r="B15" s="183" t="str">
        <x:v>Optional adjacent catalogue</x:v>
      </x:c>
      <x:c r="C15" s="179" t="n">
        <x:f>COUNTIF('Chronological Guide'!$F$5:$F$3575,A15)</x:f>
        <x:v>22</x:v>
      </x:c>
      <x:c r="D15" s="179" t="n">
        <x:f>COUNTIFS('Chronological Guide'!$F$5:$F$3575,A15,'Chronological Guide'!$B$5:$B$3575,"Watched")</x:f>
        <x:v>0</x:v>
      </x:c>
      <x:c r="E15" s="179" t="n">
        <x:f>C15-D15-COUNTIFS('Chronological Guide'!$F$5:$F$3575,A15,'Chronological Guide'!$B$5:$B$3575,"Skipped")</x:f>
        <x:v>22</x:v>
      </x:c>
      <x:c r="F15" s="180" t="n">
        <x:f>IFERROR(D15/C15,0)</x:f>
        <x:v>0</x:v>
      </x:c>
      <x:c r="G15" s="188" t="str">
        <x:v>Continuation</x:v>
      </x:c>
      <x:c r="H15" s="188"/>
      <x:c r="I15" s="191" t="n">
        <x:f>COUNTIF('Crossovers &amp; Arcs'!$B$5:$B$95,"continuation")</x:f>
        <x:v>2</x:v>
      </x:c>
      <x:c r="J15" s="166" t="str">
        <x:v>Film or special continuing a series</x:v>
      </x:c>
      <x:c r="K15" s="166"/>
      <x:c r="L15" s="166"/>
      <x:c r="M15" s="1"/>
      <x:c r="N15" s="1"/>
      <x:c r="O15" s="1"/>
      <x:c r="P15" s="1"/>
      <x:c r="Q15" s="1"/>
      <x:c r="R15" s="1"/>
      <x:c r="S15" s="1"/>
      <x:c r="T15" s="1"/>
      <x:c r="U15" s="1"/>
      <x:c r="V15" s="1"/>
      <x:c r="W15" s="1"/>
      <x:c r="X15" s="1"/>
      <x:c r="Y15" s="1"/>
      <x:c r="Z15" s="1"/>
    </x:row>
    <x:row r="16">
      <x:c r="A16" s="1"/>
      <x:c r="B16" s="1"/>
      <x:c r="C16" s="1"/>
      <x:c r="D16" s="1"/>
      <x:c r="E16" s="1"/>
      <x:c r="F16" s="1"/>
      <x:c r="G16" s="188" t="str">
        <x:v>Character bridge</x:v>
      </x:c>
      <x:c r="H16" s="188"/>
      <x:c r="I16" s="191" t="n">
        <x:f>COUNTIF('Crossovers &amp; Arcs'!$B$5:$B$95,"character_bridge")</x:f>
        <x:v>2</x:v>
      </x:c>
      <x:c r="J16" s="166" t="str">
        <x:v>Character-led universe connection</x:v>
      </x:c>
      <x:c r="K16" s="166"/>
      <x:c r="L16" s="166"/>
      <x:c r="M16" s="1"/>
      <x:c r="N16" s="1"/>
      <x:c r="O16" s="1"/>
      <x:c r="P16" s="1"/>
      <x:c r="Q16" s="1"/>
      <x:c r="R16" s="1"/>
      <x:c r="S16" s="1"/>
      <x:c r="T16" s="1"/>
      <x:c r="U16" s="1"/>
      <x:c r="V16" s="1"/>
      <x:c r="W16" s="1"/>
      <x:c r="X16" s="1"/>
      <x:c r="Y16" s="1"/>
      <x:c r="Z16" s="1"/>
    </x:row>
    <x:row r="17">
      <x:c r="A17" s="1"/>
      <x:c r="B17" s="1"/>
      <x:c r="C17" s="1"/>
      <x:c r="D17" s="1"/>
      <x:c r="E17" s="1"/>
      <x:c r="F17" s="1"/>
      <x:c r="G17" s="189" t="str">
        <x:v>Unaired</x:v>
      </x:c>
      <x:c r="H17" s="189"/>
      <x:c r="I17" s="192" t="n">
        <x:f>COUNTIF('Crossovers &amp; Arcs'!$B$5:$B$95,"unaired")</x:f>
        <x:v>1</x:v>
      </x:c>
      <x:c r="J17" s="169" t="str">
        <x:v>Produced item outside the broadcast run</x:v>
      </x:c>
      <x:c r="K17" s="169"/>
      <x:c r="L17" s="169"/>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24" customHeight="1">
      <x:c r="A19" s="196" t="str">
        <x:v>Verification status</x:v>
      </x:c>
      <x:c r="B19" s="196"/>
      <x:c r="C19" s="196"/>
      <x:c r="D19" s="196"/>
      <x:c r="E19" s="196"/>
      <x:c r="F19" s="196"/>
      <x:c r="G19" s="200" t="str">
        <x:v>Recommended next action</x:v>
      </x:c>
      <x:c r="H19" s="200"/>
      <x:c r="I19" s="200"/>
      <x:c r="J19" s="200"/>
      <x:c r="K19" s="200"/>
      <x:c r="L19" s="200"/>
      <x:c r="M19" s="1"/>
      <x:c r="N19" s="1"/>
      <x:c r="O19" s="1"/>
      <x:c r="P19" s="1"/>
      <x:c r="Q19" s="1"/>
      <x:c r="R19" s="1"/>
      <x:c r="S19" s="1"/>
      <x:c r="T19" s="1"/>
      <x:c r="U19" s="1"/>
      <x:c r="V19" s="1"/>
      <x:c r="W19" s="1"/>
      <x:c r="X19" s="1"/>
      <x:c r="Y19" s="1"/>
      <x:c r="Z19" s="1"/>
    </x:row>
    <x:row r="20">
      <x:c r="A20" s="184" t="str">
        <x:v>IMDb supplied list</x:v>
      </x:c>
      <x:c r="B20" s="181" t="str">
        <x:v>15 / 15 titles represented</x:v>
      </x:c>
      <x:c r="C20" s="181"/>
      <x:c r="D20" s="181"/>
      <x:c r="E20" s="181"/>
      <x:c r="F20" s="181"/>
      <x:c r="G20" s="223" t="str">
        <x:v>Open the companion web app, choose the scope or individual shows you want, then use Create Trakt list. After Trakt sign-in, the list is saved directly to the connected account.</x:v>
      </x:c>
      <x:c r="H20" s="224"/>
      <x:c r="I20" s="224"/>
      <x:c r="J20" s="224"/>
      <x:c r="K20" s="224"/>
      <x:c r="L20" s="225"/>
      <x:c r="M20" s="1"/>
      <x:c r="N20" s="1"/>
      <x:c r="O20" s="1"/>
      <x:c r="P20" s="1"/>
      <x:c r="Q20" s="1"/>
      <x:c r="R20" s="1"/>
      <x:c r="S20" s="1"/>
      <x:c r="T20" s="1"/>
      <x:c r="U20" s="1"/>
      <x:c r="V20" s="1"/>
      <x:c r="W20" s="1"/>
      <x:c r="X20" s="1"/>
      <x:c r="Y20" s="1"/>
      <x:c r="Z20" s="1"/>
    </x:row>
    <x:row r="21">
      <x:c r="A21" s="185" t="str">
        <x:v>Wolf Universe page</x:v>
      </x:c>
      <x:c r="B21" s="182" t="str">
        <x:v>19 / 19 titles represented</x:v>
      </x:c>
      <x:c r="C21" s="182"/>
      <x:c r="D21" s="182"/>
      <x:c r="E21" s="182"/>
      <x:c r="F21" s="182"/>
      <x:c r="G21" s="226"/>
      <x:c r="H21" s="227"/>
      <x:c r="I21" s="227"/>
      <x:c r="J21" s="227"/>
      <x:c r="K21" s="227"/>
      <x:c r="L21" s="228"/>
      <x:c r="M21" s="1"/>
      <x:c r="N21" s="1"/>
      <x:c r="O21" s="1"/>
      <x:c r="P21" s="1"/>
      <x:c r="Q21" s="1"/>
      <x:c r="R21" s="1"/>
      <x:c r="S21" s="1"/>
      <x:c r="T21" s="1"/>
      <x:c r="U21" s="1"/>
      <x:c r="V21" s="1"/>
      <x:c r="W21" s="1"/>
      <x:c r="X21" s="1"/>
      <x:c r="Y21" s="1"/>
      <x:c r="Z21" s="1"/>
    </x:row>
    <x:row r="22">
      <x:c r="A22" s="185" t="str">
        <x:v>Relationship metadata</x:v>
      </x:c>
      <x:c r="B22" s="182" t="str">
        <x:v>91 tagged guide rows (77 curated)</x:v>
      </x:c>
      <x:c r="C22" s="182"/>
      <x:c r="D22" s="182"/>
      <x:c r="E22" s="182"/>
      <x:c r="F22" s="182"/>
      <x:c r="G22" s="229"/>
      <x:c r="H22" s="230"/>
      <x:c r="I22" s="230"/>
      <x:c r="J22" s="230"/>
      <x:c r="K22" s="230"/>
      <x:c r="L22" s="231"/>
      <x:c r="M22" s="1"/>
      <x:c r="N22" s="1"/>
      <x:c r="O22" s="1"/>
      <x:c r="P22" s="1"/>
      <x:c r="Q22" s="1"/>
      <x:c r="R22" s="1"/>
      <x:c r="S22" s="1"/>
      <x:c r="T22" s="1"/>
      <x:c r="U22" s="1"/>
      <x:c r="V22" s="1"/>
      <x:c r="W22" s="1"/>
      <x:c r="X22" s="1"/>
      <x:c r="Y22" s="1"/>
      <x:c r="Z22" s="1"/>
    </x:row>
    <x:row r="23">
      <x:c r="A23" s="186" t="str">
        <x:v>Imported watch state</x:v>
      </x:c>
      <x:c r="B23" s="183" t="str">
        <x:v>132 watched entries preserved</x:v>
      </x:c>
      <x:c r="C23" s="183"/>
      <x:c r="D23" s="183"/>
      <x:c r="E23" s="183"/>
      <x:c r="F23" s="183"/>
      <x:c r="G23" s="248" t="str">
        <x:v>Statuses edited here remain workbook-local; the web app handles personal Supabase/Trakt account sync.</x:v>
      </x:c>
      <x:c r="H23" s="248"/>
      <x:c r="I23" s="248"/>
      <x:c r="J23" s="248"/>
      <x:c r="K23" s="248"/>
      <x:c r="L23" s="248"/>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34" customHeight="1">
      <x:c r="A25" s="242" t="str">
        <x:v>Catalogue corrections: Blood &amp; Money (2023), South Beach (1993), The Invisible Man (1998), L.A. Dragnet (2003), and Exiled (IMDb tt0164023, 84 min); unrelated same-title series were excluded.</x:v>
      </x:c>
      <x:c r="B25" s="243"/>
      <x:c r="C25" s="243"/>
      <x:c r="D25" s="243"/>
      <x:c r="E25" s="243"/>
      <x:c r="F25" s="243"/>
      <x:c r="G25" s="243"/>
      <x:c r="H25" s="243"/>
      <x:c r="I25" s="243"/>
      <x:c r="J25" s="243"/>
      <x:c r="K25" s="243"/>
      <x:c r="L25" s="244"/>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L2"/>
    <x:mergeCell ref="A3:L3"/>
    <x:mergeCell ref="A5:C5"/>
    <x:mergeCell ref="A6:C8"/>
    <x:mergeCell ref="D5:F5"/>
    <x:mergeCell ref="D6:F8"/>
    <x:mergeCell ref="G5:I5"/>
    <x:mergeCell ref="G6:I8"/>
    <x:mergeCell ref="J5:L5"/>
    <x:mergeCell ref="J6:L8"/>
    <x:mergeCell ref="A10:F10"/>
    <x:mergeCell ref="G10:L10"/>
    <x:mergeCell ref="G11:H11"/>
    <x:mergeCell ref="J11:L11"/>
    <x:mergeCell ref="G12:H12"/>
    <x:mergeCell ref="J12:L12"/>
    <x:mergeCell ref="G13:H13"/>
    <x:mergeCell ref="J13:L13"/>
    <x:mergeCell ref="G14:H14"/>
    <x:mergeCell ref="J14:L14"/>
    <x:mergeCell ref="G15:H15"/>
    <x:mergeCell ref="J15:L15"/>
    <x:mergeCell ref="G16:H16"/>
    <x:mergeCell ref="J16:L16"/>
    <x:mergeCell ref="G17:H17"/>
    <x:mergeCell ref="J17:L17"/>
    <x:mergeCell ref="A19:F19"/>
    <x:mergeCell ref="G19:L19"/>
    <x:mergeCell ref="B20:F20"/>
    <x:mergeCell ref="B21:F21"/>
    <x:mergeCell ref="B22:F22"/>
    <x:mergeCell ref="B23:F23"/>
    <x:mergeCell ref="G20:L22"/>
    <x:mergeCell ref="G23:L23"/>
    <x:mergeCell ref="A25:L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13" hidden="0" customWidth="1"/>
    <x:col min="4" max="4" width="31" hidden="0" customWidth="1"/>
    <x:col min="5" max="5" width="18" hidden="0" customWidth="1"/>
    <x:col min="6" max="6" width="12" hidden="0" customWidth="1"/>
    <x:col min="7" max="7" width="8" hidden="0" customWidth="1"/>
    <x:col min="8" max="8" width="9" hidden="0" customWidth="1"/>
    <x:col min="9" max="9" width="10" hidden="0" customWidth="1"/>
    <x:col min="10" max="10" width="31" hidden="0" customWidth="1"/>
    <x:col min="11" max="11" width="20" hidden="0" customWidth="1"/>
    <x:col min="12" max="12" width="28" hidden="0" customWidth="1"/>
    <x:col min="13" max="13" width="9" hidden="0" customWidth="1"/>
    <x:col min="14" max="14" width="10" hidden="0" customWidth="1"/>
    <x:col min="15" max="15" width="52" hidden="0" customWidth="1"/>
    <x:col min="16" max="16" width="44" hidden="0" customWidth="1"/>
    <x:col min="17" max="17" width="13" hidden="0" customWidth="1"/>
    <x:col min="18" max="18" width="14" hidden="0" customWidth="1"/>
    <x:col min="19" max="19" width="45" hidden="0" customWidth="1"/>
  </x:cols>
  <x:sheetData>
    <x:row r="1" ht="30" customHeight="1">
      <x:c r="A1" s="5" t="str">
        <x:v>Wolf Universe Chronological Guide</x:v>
      </x:c>
      <x:c r="B1" s="5" t="str">
        <x:v>Wolf Universe Chronological Guide</x:v>
      </x:c>
      <x:c r="C1" s="5" t="str">
        <x:v>Wolf Universe Chronological Guide</x:v>
      </x:c>
      <x:c r="D1" s="5" t="str">
        <x:v>Wolf Universe Chronological Guide</x:v>
      </x:c>
      <x:c r="E1" s="5" t="str">
        <x:v>Wolf Universe Chronological Guide</x:v>
      </x:c>
      <x:c r="F1" s="5" t="str">
        <x:v>Wolf Universe Chronological Guide</x:v>
      </x:c>
      <x:c r="G1" s="5" t="str">
        <x:v>Wolf Universe Chronological Guide</x:v>
      </x:c>
      <x:c r="H1" s="5" t="str">
        <x:v>Wolf Universe Chronological Guide</x:v>
      </x:c>
      <x:c r="I1" s="5" t="str">
        <x:v>Wolf Universe Chronological Guide</x:v>
      </x:c>
      <x:c r="J1" s="5" t="str">
        <x:v>Wolf Universe Chronological Guide</x:v>
      </x:c>
      <x:c r="K1" s="5" t="str">
        <x:v>Wolf Universe Chronological Guide</x:v>
      </x:c>
      <x:c r="L1" s="5" t="str">
        <x:v>Wolf Universe Chronological Guide</x:v>
      </x:c>
      <x:c r="M1" s="5" t="str">
        <x:v>Wolf Universe Chronological Guide</x:v>
      </x:c>
      <x:c r="N1" s="5" t="str">
        <x:v>Wolf Universe Chronological Guide</x:v>
      </x:c>
      <x:c r="O1" s="5" t="str">
        <x:v>Wolf Universe Chronological Guide</x:v>
      </x:c>
      <x:c r="P1" s="5" t="str">
        <x:v>Wolf Universe Chronological Guide</x:v>
      </x:c>
      <x:c r="Q1" s="5" t="str">
        <x:v>Wolf Universe Chronological Guide</x:v>
      </x:c>
      <x:c r="R1" s="5" t="str">
        <x:v>Wolf Universe Chronological Guide</x:v>
      </x:c>
      <x:c r="S1" s="5" t="str">
        <x:v>Wolf Universe Chronological Guide</x:v>
      </x:c>
      <x:c r="T1" s="1"/>
      <x:c r="U1" s="1"/>
      <x:c r="V1" s="1"/>
      <x:c r="W1" s="1"/>
      <x:c r="X1" s="1"/>
      <x:c r="Y1" s="1"/>
      <x:c r="Z1" s="1"/>
    </x:row>
    <x:row r="2" ht="30" customHeight="1">
      <x:c r="A2" s="5" t="str">
        <x:v>Wolf Universe Chronological Guide</x:v>
      </x:c>
      <x:c r="B2" s="5" t="str">
        <x:v>Wolf Universe Chronological Guide</x:v>
      </x:c>
      <x:c r="C2" s="5" t="str">
        <x:v>Wolf Universe Chronological Guide</x:v>
      </x:c>
      <x:c r="D2" s="5" t="str">
        <x:v>Wolf Universe Chronological Guide</x:v>
      </x:c>
      <x:c r="E2" s="5" t="str">
        <x:v>Wolf Universe Chronological Guide</x:v>
      </x:c>
      <x:c r="F2" s="5" t="str">
        <x:v>Wolf Universe Chronological Guide</x:v>
      </x:c>
      <x:c r="G2" s="5" t="str">
        <x:v>Wolf Universe Chronological Guide</x:v>
      </x:c>
      <x:c r="H2" s="5" t="str">
        <x:v>Wolf Universe Chronological Guide</x:v>
      </x:c>
      <x:c r="I2" s="5" t="str">
        <x:v>Wolf Universe Chronological Guide</x:v>
      </x:c>
      <x:c r="J2" s="5" t="str">
        <x:v>Wolf Universe Chronological Guide</x:v>
      </x:c>
      <x:c r="K2" s="5" t="str">
        <x:v>Wolf Universe Chronological Guide</x:v>
      </x:c>
      <x:c r="L2" s="5" t="str">
        <x:v>Wolf Universe Chronological Guide</x:v>
      </x:c>
      <x:c r="M2" s="5" t="str">
        <x:v>Wolf Universe Chronological Guide</x:v>
      </x:c>
      <x:c r="N2" s="5" t="str">
        <x:v>Wolf Universe Chronological Guide</x:v>
      </x:c>
      <x:c r="O2" s="5" t="str">
        <x:v>Wolf Universe Chronological Guide</x:v>
      </x:c>
      <x:c r="P2" s="5" t="str">
        <x:v>Wolf Universe Chronological Guide</x:v>
      </x:c>
      <x:c r="Q2" s="5" t="str">
        <x:v>Wolf Universe Chronological Guide</x:v>
      </x:c>
      <x:c r="R2" s="5" t="str">
        <x:v>Wolf Universe Chronological Guide</x:v>
      </x:c>
      <x:c r="S2" s="5" t="str">
        <x:v>Wolf Universe Chronological Guide</x:v>
      </x:c>
      <x:c r="T2" s="1"/>
      <x:c r="U2" s="1"/>
      <x:c r="V2" s="1"/>
      <x:c r="W2" s="1"/>
      <x:c r="X2" s="1"/>
      <x:c r="Y2" s="1"/>
      <x:c r="Z2" s="1"/>
    </x:row>
    <x:row r="3" ht="24" customHeight="1">
      <x:c r="A3" s="10" t="str">
        <x:v>Verified v4 catalogue • edit Status directly • role, event, and source fields explain crossovers, launch pilots, continuations, and multi-episode arcs</x:v>
      </x:c>
      <x:c r="B3" s="10" t="str">
        <x:v>Verified v4 catalogue • edit Status directly • role, event, and source fields explain crossovers, launch pilots, continuations, and multi-episode arcs</x:v>
      </x:c>
      <x:c r="C3" s="10" t="str">
        <x:v>Verified v4 catalogue • edit Status directly • role, event, and source fields explain crossovers, launch pilots, continuations, and multi-episode arcs</x:v>
      </x:c>
      <x:c r="D3" s="10" t="str">
        <x:v>Verified v4 catalogue • edit Status directly • role, event, and source fields explain crossovers, launch pilots, continuations, and multi-episode arcs</x:v>
      </x:c>
      <x:c r="E3" s="10" t="str">
        <x:v>Verified v4 catalogue • edit Status directly • role, event, and source fields explain crossovers, launch pilots, continuations, and multi-episode arcs</x:v>
      </x:c>
      <x:c r="F3" s="10" t="str">
        <x:v>Verified v4 catalogue • edit Status directly • role, event, and source fields explain crossovers, launch pilots, continuations, and multi-episode arcs</x:v>
      </x:c>
      <x:c r="G3" s="10" t="str">
        <x:v>Verified v4 catalogue • edit Status directly • role, event, and source fields explain crossovers, launch pilots, continuations, and multi-episode arcs</x:v>
      </x:c>
      <x:c r="H3" s="10" t="str">
        <x:v>Verified v4 catalogue • edit Status directly • role, event, and source fields explain crossovers, launch pilots, continuations, and multi-episode arcs</x:v>
      </x:c>
      <x:c r="I3" s="10" t="str">
        <x:v>Verified v4 catalogue • edit Status directly • role, event, and source fields explain crossovers, launch pilots, continuations, and multi-episode arcs</x:v>
      </x:c>
      <x:c r="J3" s="10" t="str">
        <x:v>Verified v4 catalogue • edit Status directly • role, event, and source fields explain crossovers, launch pilots, continuations, and multi-episode arcs</x:v>
      </x:c>
      <x:c r="K3" s="10" t="str">
        <x:v>Verified v4 catalogue • edit Status directly • role, event, and source fields explain crossovers, launch pilots, continuations, and multi-episode arcs</x:v>
      </x:c>
      <x:c r="L3" s="10" t="str">
        <x:v>Verified v4 catalogue • edit Status directly • role, event, and source fields explain crossovers, launch pilots, continuations, and multi-episode arcs</x:v>
      </x:c>
      <x:c r="M3" s="10" t="str">
        <x:v>Verified v4 catalogue • edit Status directly • role, event, and source fields explain crossovers, launch pilots, continuations, and multi-episode arcs</x:v>
      </x:c>
      <x:c r="N3" s="10" t="str">
        <x:v>Verified v4 catalogue • edit Status directly • role, event, and source fields explain crossovers, launch pilots, continuations, and multi-episode arcs</x:v>
      </x:c>
      <x:c r="O3" s="10" t="str">
        <x:v>Verified v4 catalogue • edit Status directly • role, event, and source fields explain crossovers, launch pilots, continuations, and multi-episode arcs</x:v>
      </x:c>
      <x:c r="P3" s="10" t="str">
        <x:v>Verified v4 catalogue • edit Status directly • role, event, and source fields explain crossovers, launch pilots, continuations, and multi-episode arcs</x:v>
      </x:c>
      <x:c r="Q3" s="10" t="str">
        <x:v>Verified v4 catalogue • edit Status directly • role, event, and source fields explain crossovers, launch pilots, continuations, and multi-episode arcs</x:v>
      </x:c>
      <x:c r="R3" s="10" t="str">
        <x:v>Verified v4 catalogue • edit Status directly • role, event, and source fields explain crossovers, launch pilots, continuations, and multi-episode arcs</x:v>
      </x:c>
      <x:c r="S3" s="10" t="str">
        <x:v>Verified v4 catalogue • edit Status directly • role, event, and source fields explain crossovers, launch pilots, continuations, and multi-episode arcs</x:v>
      </x:c>
      <x:c r="T3" s="1"/>
      <x:c r="U3" s="1"/>
      <x:c r="V3" s="1"/>
      <x:c r="W3" s="1"/>
      <x:c r="X3" s="1"/>
      <x:c r="Y3" s="1"/>
      <x:c r="Z3" s="1"/>
    </x:row>
    <x:row r="4" ht="28" customHeight="1">
      <x:c r="A4" s="14" t="str">
        <x:v>Order</x:v>
      </x:c>
      <x:c r="B4" s="14" t="str">
        <x:v>Status</x:v>
      </x:c>
      <x:c r="C4" s="14" t="str">
        <x:v>Air Date</x:v>
      </x:c>
      <x:c r="D4" s="14" t="str">
        <x:v>Show</x:v>
      </x:c>
      <x:c r="E4" s="14" t="str">
        <x:v>Franchise</x:v>
      </x:c>
      <x:c r="F4" s="14" t="str">
        <x:v>Scope</x:v>
      </x:c>
      <x:c r="G4" s="14" t="str">
        <x:v>Season</x:v>
      </x:c>
      <x:c r="H4" s="14" t="str">
        <x:v>Episode</x:v>
      </x:c>
      <x:c r="I4" s="14" t="str">
        <x:v>Code</x:v>
      </x:c>
      <x:c r="J4" s="14" t="str">
        <x:v>Title</x:v>
      </x:c>
      <x:c r="K4" s="14" t="str">
        <x:v>Role</x:v>
      </x:c>
      <x:c r="L4" s="14" t="str">
        <x:v>Event / Arc</x:v>
      </x:c>
      <x:c r="M4" s="14" t="str">
        <x:v>Part</x:v>
      </x:c>
      <x:c r="N4" s="14" t="str">
        <x:v>Runtime</x:v>
      </x:c>
      <x:c r="O4" s="14" t="str">
        <x:v>Overview</x:v>
      </x:c>
      <x:c r="P4" s="14" t="str">
        <x:v>Connection</x:v>
      </x:c>
      <x:c r="Q4" s="14" t="str">
        <x:v>Trakt ID</x:v>
      </x:c>
      <x:c r="R4" s="14" t="str">
        <x:v>IMDb ID</x:v>
      </x:c>
      <x:c r="S4" s="14" t="str">
        <x:v>Source URL</x:v>
      </x:c>
      <x:c r="T4" s="1"/>
      <x:c r="U4" s="1"/>
      <x:c r="V4" s="1"/>
      <x:c r="W4" s="1"/>
      <x:c r="X4" s="1"/>
      <x:c r="Y4" s="1"/>
      <x:c r="Z4" s="1"/>
    </x:row>
    <x:row r="5">
      <x:c r="A5" s="40" t="n">
        <x:v>1</x:v>
      </x:c>
      <x:c r="B5" s="41" t="str">
        <x:v>Not Started</x:v>
      </x:c>
      <x:c r="C5" s="42" t="n">
        <x:v>32560</x:v>
      </x:c>
      <x:c r="D5" s="29" t="str">
        <x:v>Gideon Oliver</x:v>
      </x:c>
      <x:c r="E5" s="29" t="str">
        <x:v>Crossover Adjacent</x:v>
      </x:c>
      <x:c r="F5" s="29" t="str">
        <x:v>complete</x:v>
      </x:c>
      <x:c r="G5" s="49" t="n">
        <x:v>1</x:v>
      </x:c>
      <x:c r="H5" s="49" t="n">
        <x:v>1</x:v>
      </x:c>
      <x:c r="I5" s="41" t="str">
        <x:v>01.01</x:v>
      </x:c>
      <x:c r="J5" s="29" t="str">
        <x:v>Sleep Well, Professor Oliver</x:v>
      </x:c>
      <x:c r="K5" s="29" t="str"/>
      <x:c r="L5" s="29" t="str"/>
      <x:c r="M5" s="41" t="str"/>
      <x:c r="N5" s="49" t="n">
        <x:v>120</x:v>
      </x:c>
      <x:c r="O5" s="52" t="str">
        <x:v>While helping the police find the murderer of a friend, Professor Oliver follows a bloody trail that leads to a satanic cult and snuff films.</x:v>
      </x:c>
      <x:c r="P5" s="52" t="str">
        <x:v>Early Dick Wolf television work</x:v>
      </x:c>
      <x:c r="Q5" s="16" t="str">
        <x:v>2847232</x:v>
      </x:c>
      <x:c r="R5" s="16" t="str"/>
      <x:c r="S5" s="16" t="str"/>
      <x:c r="T5" s="1"/>
      <x:c r="U5" s="1"/>
      <x:c r="V5" s="1"/>
      <x:c r="W5" s="1"/>
      <x:c r="X5" s="1"/>
      <x:c r="Y5" s="1"/>
      <x:c r="Z5" s="1"/>
    </x:row>
    <x:row r="6">
      <x:c r="A6" s="43" t="n">
        <x:v>2</x:v>
      </x:c>
      <x:c r="B6" s="44" t="str">
        <x:v>Not Started</x:v>
      </x:c>
      <x:c r="C6" s="45" t="n">
        <x:v>32581</x:v>
      </x:c>
      <x:c r="D6" s="33" t="str">
        <x:v>Gideon Oliver</x:v>
      </x:c>
      <x:c r="E6" s="33" t="str">
        <x:v>Crossover Adjacent</x:v>
      </x:c>
      <x:c r="F6" s="33" t="str">
        <x:v>complete</x:v>
      </x:c>
      <x:c r="G6" s="50" t="n">
        <x:v>1</x:v>
      </x:c>
      <x:c r="H6" s="50" t="n">
        <x:v>2</x:v>
      </x:c>
      <x:c r="I6" s="44" t="str">
        <x:v>01.02</x:v>
      </x:c>
      <x:c r="J6" s="33" t="str">
        <x:v>Tongs</x:v>
      </x:c>
      <x:c r="K6" s="33" t="str"/>
      <x:c r="L6" s="33" t="str"/>
      <x:c r="M6" s="44" t="str"/>
      <x:c r="N6" s="50" t="n">
        <x:v>120</x:v>
      </x:c>
      <x:c r="O6" s="53" t="str">
        <x:v>Professor Oliver learns that one of his best students is fighting in a violent Tong war in Chinatown</x:v>
      </x:c>
      <x:c r="P6" s="53" t="str">
        <x:v>Early Dick Wolf television work</x:v>
      </x:c>
      <x:c r="Q6" s="17" t="str">
        <x:v>2847233</x:v>
      </x:c>
      <x:c r="R6" s="17" t="str">
        <x:v>tt0587956</x:v>
      </x:c>
      <x:c r="S6" s="17" t="str"/>
      <x:c r="T6" s="1"/>
      <x:c r="U6" s="1"/>
      <x:c r="V6" s="1"/>
      <x:c r="W6" s="1"/>
      <x:c r="X6" s="1"/>
      <x:c r="Y6" s="1"/>
      <x:c r="Z6" s="1"/>
    </x:row>
    <x:row r="7">
      <x:c r="A7" s="43" t="n">
        <x:v>3</x:v>
      </x:c>
      <x:c r="B7" s="44" t="str">
        <x:v>Not Started</x:v>
      </x:c>
      <x:c r="C7" s="45" t="n">
        <x:v>32609</x:v>
      </x:c>
      <x:c r="D7" s="33" t="str">
        <x:v>Gideon Oliver</x:v>
      </x:c>
      <x:c r="E7" s="33" t="str">
        <x:v>Crossover Adjacent</x:v>
      </x:c>
      <x:c r="F7" s="33" t="str">
        <x:v>complete</x:v>
      </x:c>
      <x:c r="G7" s="50" t="n">
        <x:v>1</x:v>
      </x:c>
      <x:c r="H7" s="50" t="n">
        <x:v>3</x:v>
      </x:c>
      <x:c r="I7" s="44" t="str">
        <x:v>01.03</x:v>
      </x:c>
      <x:c r="J7" s="33" t="str">
        <x:v>The Last Plane From Coramaya</x:v>
      </x:c>
      <x:c r="K7" s="33" t="str"/>
      <x:c r="L7" s="33" t="str"/>
      <x:c r="M7" s="44" t="str"/>
      <x:c r="N7" s="50" t="n">
        <x:v>120</x:v>
      </x:c>
      <x:c r="O7" s="53" t="str"/>
      <x:c r="P7" s="53" t="str">
        <x:v>Early Dick Wolf television work</x:v>
      </x:c>
      <x:c r="Q7" s="17" t="str">
        <x:v>2847234</x:v>
      </x:c>
      <x:c r="R7" s="17" t="str"/>
      <x:c r="S7" s="17" t="str"/>
      <x:c r="T7" s="1"/>
      <x:c r="U7" s="1"/>
      <x:c r="V7" s="1"/>
      <x:c r="W7" s="1"/>
      <x:c r="X7" s="1"/>
      <x:c r="Y7" s="1"/>
      <x:c r="Z7" s="1"/>
    </x:row>
    <x:row r="8">
      <x:c r="A8" s="43" t="n">
        <x:v>4</x:v>
      </x:c>
      <x:c r="B8" s="44" t="str">
        <x:v>Not Started</x:v>
      </x:c>
      <x:c r="C8" s="45" t="n">
        <x:v>32623</x:v>
      </x:c>
      <x:c r="D8" s="33" t="str">
        <x:v>Gideon Oliver</x:v>
      </x:c>
      <x:c r="E8" s="33" t="str">
        <x:v>Crossover Adjacent</x:v>
      </x:c>
      <x:c r="F8" s="33" t="str">
        <x:v>complete</x:v>
      </x:c>
      <x:c r="G8" s="50" t="n">
        <x:v>1</x:v>
      </x:c>
      <x:c r="H8" s="50" t="n">
        <x:v>4</x:v>
      </x:c>
      <x:c r="I8" s="44" t="str">
        <x:v>01.04</x:v>
      </x:c>
      <x:c r="J8" s="33" t="str">
        <x:v>By the Waters of Babylon</x:v>
      </x:c>
      <x:c r="K8" s="33" t="str"/>
      <x:c r="L8" s="33" t="str"/>
      <x:c r="M8" s="44" t="str"/>
      <x:c r="N8" s="50" t="n">
        <x:v>120</x:v>
      </x:c>
      <x:c r="O8" s="53" t="str"/>
      <x:c r="P8" s="53" t="str">
        <x:v>Early Dick Wolf television work</x:v>
      </x:c>
      <x:c r="Q8" s="17" t="str">
        <x:v>2847235</x:v>
      </x:c>
      <x:c r="R8" s="17" t="str"/>
      <x:c r="S8" s="17" t="str"/>
      <x:c r="T8" s="1"/>
      <x:c r="U8" s="1"/>
      <x:c r="V8" s="1"/>
      <x:c r="W8" s="1"/>
      <x:c r="X8" s="1"/>
      <x:c r="Y8" s="1"/>
      <x:c r="Z8" s="1"/>
    </x:row>
    <x:row r="9">
      <x:c r="A9" s="43" t="n">
        <x:v>5</x:v>
      </x:c>
      <x:c r="B9" s="44" t="str">
        <x:v>Not Started</x:v>
      </x:c>
      <x:c r="C9" s="45" t="n">
        <x:v>32651</x:v>
      </x:c>
      <x:c r="D9" s="33" t="str">
        <x:v>Gideon Oliver</x:v>
      </x:c>
      <x:c r="E9" s="33" t="str">
        <x:v>Crossover Adjacent</x:v>
      </x:c>
      <x:c r="F9" s="33" t="str">
        <x:v>complete</x:v>
      </x:c>
      <x:c r="G9" s="50" t="n">
        <x:v>1</x:v>
      </x:c>
      <x:c r="H9" s="50" t="n">
        <x:v>5</x:v>
      </x:c>
      <x:c r="I9" s="44" t="str">
        <x:v>01.05</x:v>
      </x:c>
      <x:c r="J9" s="33" t="str">
        <x:v>Kennonite</x:v>
      </x:c>
      <x:c r="K9" s="33" t="str"/>
      <x:c r="L9" s="33" t="str"/>
      <x:c r="M9" s="44" t="str"/>
      <x:c r="N9" s="50" t="n">
        <x:v>120</x:v>
      </x:c>
      <x:c r="O9" s="53" t="str"/>
      <x:c r="P9" s="53" t="str">
        <x:v>Early Dick Wolf television work</x:v>
      </x:c>
      <x:c r="Q9" s="17" t="str">
        <x:v>2847236</x:v>
      </x:c>
      <x:c r="R9" s="17" t="str"/>
      <x:c r="S9" s="17" t="str"/>
      <x:c r="T9" s="1"/>
      <x:c r="U9" s="1"/>
      <x:c r="V9" s="1"/>
      <x:c r="W9" s="1"/>
      <x:c r="X9" s="1"/>
      <x:c r="Y9" s="1"/>
      <x:c r="Z9" s="1"/>
    </x:row>
    <x:row r="10">
      <x:c r="A10" s="43" t="n">
        <x:v>6</x:v>
      </x:c>
      <x:c r="B10" s="44" t="str">
        <x:v>Not Started</x:v>
      </x:c>
      <x:c r="C10" s="45" t="n">
        <x:v>32773</x:v>
      </x:c>
      <x:c r="D10" s="33" t="str">
        <x:v>Nasty Boys</x:v>
      </x:c>
      <x:c r="E10" s="33" t="str">
        <x:v>Crossover Adjacent</x:v>
      </x:c>
      <x:c r="F10" s="33" t="str">
        <x:v>complete</x:v>
      </x:c>
      <x:c r="G10" s="50" t="n">
        <x:v>1</x:v>
      </x:c>
      <x:c r="H10" s="50" t="n">
        <x:v>1</x:v>
      </x:c>
      <x:c r="I10" s="44" t="str">
        <x:v>01.01</x:v>
      </x:c>
      <x:c r="J10" s="33" t="str">
        <x:v>Pilot</x:v>
      </x:c>
      <x:c r="K10" s="33" t="str"/>
      <x:c r="L10" s="33" t="str"/>
      <x:c r="M10" s="44" t="str"/>
      <x:c r="N10" s="50" t="n">
        <x:v>60</x:v>
      </x:c>
      <x:c r="O10" s="53" t="str">
        <x:v>With the drug trade out of control in Las Vegas Lt. Farlowe convinces the brass that it is time for new methods with a different breed of cops. He pulls together the wildest and best of the Vegas force to form a super-secret strike force, he calls the North Town Narcotics Bureau, dubbed The Nasty Boys by local press. The Nasty Boys begin taking the drug dealers rings apart apiece at a time. Payday, the leader of one of the drug gangs, is not willing to simply wait and let the Boys come to him. He takes his fight to them head on, leaving Lt. Farlowe dead.</x:v>
      </x:c>
      <x:c r="P10" s="53" t="str">
        <x:v>Dick Wolf-created police drama</x:v>
      </x:c>
      <x:c r="Q10" s="17" t="str">
        <x:v>599603</x:v>
      </x:c>
      <x:c r="R10" s="17" t="str"/>
      <x:c r="S10" s="17" t="str"/>
      <x:c r="T10" s="1"/>
      <x:c r="U10" s="1"/>
      <x:c r="V10" s="1"/>
      <x:c r="W10" s="1"/>
      <x:c r="X10" s="1"/>
      <x:c r="Y10" s="1"/>
      <x:c r="Z10" s="1"/>
    </x:row>
    <x:row r="11">
      <x:c r="A11" s="43" t="n">
        <x:v>7</x:v>
      </x:c>
      <x:c r="B11" s="44" t="str">
        <x:v>Not Started</x:v>
      </x:c>
      <x:c r="C11" s="45" t="n">
        <x:v>32824</x:v>
      </x:c>
      <x:c r="D11" s="33" t="str">
        <x:v>Christine Cromwell</x:v>
      </x:c>
      <x:c r="E11" s="33" t="str">
        <x:v>Crossover Adjacent</x:v>
      </x:c>
      <x:c r="F11" s="33" t="str">
        <x:v>complete</x:v>
      </x:c>
      <x:c r="G11" s="50" t="n">
        <x:v>1</x:v>
      </x:c>
      <x:c r="H11" s="50" t="n">
        <x:v>1</x:v>
      </x:c>
      <x:c r="I11" s="44" t="str">
        <x:v>01.01</x:v>
      </x:c>
      <x:c r="J11" s="33" t="str">
        <x:v>Things That Go Bump in the Night</x:v>
      </x:c>
      <x:c r="K11" s="33" t="str"/>
      <x:c r="L11" s="33" t="str"/>
      <x:c r="M11" s="44" t="str"/>
      <x:c r="N11" s="50" t="n">
        <x:v>120</x:v>
      </x:c>
      <x:c r="O11" s="53" t="str"/>
      <x:c r="P11" s="53" t="str">
        <x:v>Early Dick Wolf legal/crime work</x:v>
      </x:c>
      <x:c r="Q11" s="17" t="str">
        <x:v>621750</x:v>
      </x:c>
      <x:c r="R11" s="17" t="str"/>
      <x:c r="S11" s="17" t="str"/>
      <x:c r="T11" s="1"/>
      <x:c r="U11" s="1"/>
      <x:c r="V11" s="1"/>
      <x:c r="W11" s="1"/>
      <x:c r="X11" s="1"/>
      <x:c r="Y11" s="1"/>
      <x:c r="Z11" s="1"/>
    </x:row>
    <x:row r="12">
      <x:c r="A12" s="43" t="n">
        <x:v>8</x:v>
      </x:c>
      <x:c r="B12" s="44" t="str">
        <x:v>Not Started</x:v>
      </x:c>
      <x:c r="C12" s="45" t="n">
        <x:v>32852</x:v>
      </x:c>
      <x:c r="D12" s="33" t="str">
        <x:v>Christine Cromwell</x:v>
      </x:c>
      <x:c r="E12" s="33" t="str">
        <x:v>Crossover Adjacent</x:v>
      </x:c>
      <x:c r="F12" s="33" t="str">
        <x:v>complete</x:v>
      </x:c>
      <x:c r="G12" s="50" t="n">
        <x:v>1</x:v>
      </x:c>
      <x:c r="H12" s="50" t="n">
        <x:v>2</x:v>
      </x:c>
      <x:c r="I12" s="44" t="str">
        <x:v>01.02</x:v>
      </x:c>
      <x:c r="J12" s="33" t="str">
        <x:v>Easy Come, Easy Go</x:v>
      </x:c>
      <x:c r="K12" s="33" t="str"/>
      <x:c r="L12" s="33" t="str"/>
      <x:c r="M12" s="44" t="str"/>
      <x:c r="N12" s="50" t="n">
        <x:v>120</x:v>
      </x:c>
      <x:c r="O12" s="53" t="str"/>
      <x:c r="P12" s="53" t="str">
        <x:v>Early Dick Wolf legal/crime work</x:v>
      </x:c>
      <x:c r="Q12" s="17" t="str">
        <x:v>621751</x:v>
      </x:c>
      <x:c r="R12" s="17" t="str"/>
      <x:c r="S12" s="17" t="str"/>
      <x:c r="T12" s="1"/>
      <x:c r="U12" s="1"/>
      <x:c r="V12" s="1"/>
      <x:c r="W12" s="1"/>
      <x:c r="X12" s="1"/>
      <x:c r="Y12" s="1"/>
      <x:c r="Z12" s="1"/>
    </x:row>
    <x:row r="13">
      <x:c r="A13" s="43" t="n">
        <x:v>9</x:v>
      </x:c>
      <x:c r="B13" s="44" t="str">
        <x:v>Not Started</x:v>
      </x:c>
      <x:c r="C13" s="45" t="n">
        <x:v>32901</x:v>
      </x:c>
      <x:c r="D13" s="33" t="str">
        <x:v>Christine Cromwell</x:v>
      </x:c>
      <x:c r="E13" s="33" t="str">
        <x:v>Crossover Adjacent</x:v>
      </x:c>
      <x:c r="F13" s="33" t="str">
        <x:v>complete</x:v>
      </x:c>
      <x:c r="G13" s="50" t="n">
        <x:v>1</x:v>
      </x:c>
      <x:c r="H13" s="50" t="n">
        <x:v>3</x:v>
      </x:c>
      <x:c r="I13" s="44" t="str">
        <x:v>01.03</x:v>
      </x:c>
      <x:c r="J13" s="33" t="str">
        <x:v>In Vito Veritas</x:v>
      </x:c>
      <x:c r="K13" s="33" t="str"/>
      <x:c r="L13" s="33" t="str"/>
      <x:c r="M13" s="44" t="str"/>
      <x:c r="N13" s="50" t="n">
        <x:v>120</x:v>
      </x:c>
      <x:c r="O13" s="53" t="str"/>
      <x:c r="P13" s="53" t="str">
        <x:v>Early Dick Wolf legal/crime work</x:v>
      </x:c>
      <x:c r="Q13" s="17" t="str">
        <x:v>621752</x:v>
      </x:c>
      <x:c r="R13" s="17" t="str"/>
      <x:c r="S13" s="17" t="str"/>
      <x:c r="T13" s="1"/>
      <x:c r="U13" s="1"/>
      <x:c r="V13" s="1"/>
      <x:c r="W13" s="1"/>
      <x:c r="X13" s="1"/>
      <x:c r="Y13" s="1"/>
      <x:c r="Z13" s="1"/>
    </x:row>
    <x:row r="14">
      <x:c r="A14" s="43" t="n">
        <x:v>10</x:v>
      </x:c>
      <x:c r="B14" s="44" t="str">
        <x:v>Not Started</x:v>
      </x:c>
      <x:c r="C14" s="45" t="n">
        <x:v>32922</x:v>
      </x:c>
      <x:c r="D14" s="33" t="str">
        <x:v>Christine Cromwell</x:v>
      </x:c>
      <x:c r="E14" s="33" t="str">
        <x:v>Crossover Adjacent</x:v>
      </x:c>
      <x:c r="F14" s="33" t="str">
        <x:v>complete</x:v>
      </x:c>
      <x:c r="G14" s="50" t="n">
        <x:v>1</x:v>
      </x:c>
      <x:c r="H14" s="50" t="n">
        <x:v>4</x:v>
      </x:c>
      <x:c r="I14" s="44" t="str">
        <x:v>01.04</x:v>
      </x:c>
      <x:c r="J14" s="33" t="str">
        <x:v>Only the Good Die Young</x:v>
      </x:c>
      <x:c r="K14" s="33" t="str"/>
      <x:c r="L14" s="33" t="str"/>
      <x:c r="M14" s="44" t="str"/>
      <x:c r="N14" s="50" t="n">
        <x:v>120</x:v>
      </x:c>
      <x:c r="O14" s="53" t="str"/>
      <x:c r="P14" s="53" t="str">
        <x:v>Early Dick Wolf legal/crime work</x:v>
      </x:c>
      <x:c r="Q14" s="17" t="str">
        <x:v>621753</x:v>
      </x:c>
      <x:c r="R14" s="17" t="str"/>
      <x:c r="S14" s="17" t="str"/>
      <x:c r="T14" s="1"/>
      <x:c r="U14" s="1"/>
      <x:c r="V14" s="1"/>
      <x:c r="W14" s="1"/>
      <x:c r="X14" s="1"/>
      <x:c r="Y14" s="1"/>
      <x:c r="Z14" s="1"/>
    </x:row>
    <x:row r="15">
      <x:c r="A15" s="43" t="n">
        <x:v>11</x:v>
      </x:c>
      <x:c r="B15" s="44" t="str">
        <x:v>Not Started</x:v>
      </x:c>
      <x:c r="C15" s="45" t="n">
        <x:v>32927</x:v>
      </x:c>
      <x:c r="D15" s="33" t="str">
        <x:v>Nasty Boys</x:v>
      </x:c>
      <x:c r="E15" s="33" t="str">
        <x:v>Crossover Adjacent</x:v>
      </x:c>
      <x:c r="F15" s="33" t="str">
        <x:v>complete</x:v>
      </x:c>
      <x:c r="G15" s="50" t="n">
        <x:v>1</x:v>
      </x:c>
      <x:c r="H15" s="50" t="n">
        <x:v>2</x:v>
      </x:c>
      <x:c r="I15" s="44" t="str">
        <x:v>01.02</x:v>
      </x:c>
      <x:c r="J15" s="33" t="str">
        <x:v>Fire And Ice</x:v>
      </x:c>
      <x:c r="K15" s="33" t="str"/>
      <x:c r="L15" s="33" t="str"/>
      <x:c r="M15" s="44" t="str"/>
      <x:c r="N15" s="50" t="n">
        <x:v>60</x:v>
      </x:c>
      <x:c r="O15" s="53" t="str">
        <x:v>The Boys fear being shut down with the lose of Capt. As it turns out despite some negative aspects of the Nasty Boys the police Brass can not argue with their results. The brass sends out a new team leader, Lt. Krieger, who is drastically different leadership methods that class with some of the Nasty Boys.</x:v>
      </x:c>
      <x:c r="P15" s="53" t="str">
        <x:v>Dick Wolf-created police drama</x:v>
      </x:c>
      <x:c r="Q15" s="17" t="str">
        <x:v>599604</x:v>
      </x:c>
      <x:c r="R15" s="17" t="str"/>
      <x:c r="S15" s="17" t="str"/>
      <x:c r="T15" s="1"/>
      <x:c r="U15" s="1"/>
      <x:c r="V15" s="1"/>
      <x:c r="W15" s="1"/>
      <x:c r="X15" s="1"/>
      <x:c r="Y15" s="1"/>
      <x:c r="Z15" s="1"/>
    </x:row>
    <x:row r="16">
      <x:c r="A16" s="43" t="n">
        <x:v>12</x:v>
      </x:c>
      <x:c r="B16" s="44" t="str">
        <x:v>Not Started</x:v>
      </x:c>
      <x:c r="C16" s="45" t="n">
        <x:v>32934</x:v>
      </x:c>
      <x:c r="D16" s="33" t="str">
        <x:v>Nasty Boys</x:v>
      </x:c>
      <x:c r="E16" s="33" t="str">
        <x:v>Crossover Adjacent</x:v>
      </x:c>
      <x:c r="F16" s="33" t="str">
        <x:v>complete</x:v>
      </x:c>
      <x:c r="G16" s="50" t="n">
        <x:v>1</x:v>
      </x:c>
      <x:c r="H16" s="50" t="n">
        <x:v>3</x:v>
      </x:c>
      <x:c r="I16" s="44" t="str">
        <x:v>01.03</x:v>
      </x:c>
      <x:c r="J16" s="33" t="str">
        <x:v>Endgame</x:v>
      </x:c>
      <x:c r="K16" s="33" t="str"/>
      <x:c r="L16" s="33" t="str"/>
      <x:c r="M16" s="44" t="str"/>
      <x:c r="N16" s="50" t="n">
        <x:v>60</x:v>
      </x:c>
      <x:c r="O16" s="53" t="str">
        <x:v>A group disguised as the Boys hits a crack house leaving ten bodies in the wake and the Nasty boys locked in the sights of Internal Affairs. With the police brass breathing down his neck Krieger refuses to divulge the names of the Nasty Boys. It is not long before the mastermind behind the Nasty Boy's problems is revealed as an old enemy, Payday, last seen in the pilot movie. Payday killed the Boys first leader and now the Boys are out for a little payback.</x:v>
      </x:c>
      <x:c r="P16" s="53" t="str">
        <x:v>Dick Wolf-created police drama</x:v>
      </x:c>
      <x:c r="Q16" s="17" t="str">
        <x:v>599605</x:v>
      </x:c>
      <x:c r="R16" s="17" t="str"/>
      <x:c r="S16" s="17" t="str"/>
      <x:c r="T16" s="1"/>
      <x:c r="U16" s="1"/>
      <x:c r="V16" s="1"/>
      <x:c r="W16" s="1"/>
      <x:c r="X16" s="1"/>
      <x:c r="Y16" s="1"/>
      <x:c r="Z16" s="1"/>
    </x:row>
    <x:row r="17">
      <x:c r="A17" s="43" t="n">
        <x:v>13</x:v>
      </x:c>
      <x:c r="B17" s="44" t="str">
        <x:v>Not Started</x:v>
      </x:c>
      <x:c r="C17" s="45" t="n">
        <x:v>32936</x:v>
      </x:c>
      <x:c r="D17" s="33" t="str">
        <x:v>H.E.L.P.</x:v>
      </x:c>
      <x:c r="E17" s="33" t="str">
        <x:v>Crossover Adjacent</x:v>
      </x:c>
      <x:c r="F17" s="33" t="str">
        <x:v>complete</x:v>
      </x:c>
      <x:c r="G17" s="50" t="n">
        <x:v>1</x:v>
      </x:c>
      <x:c r="H17" s="50" t="n">
        <x:v>1</x:v>
      </x:c>
      <x:c r="I17" s="44" t="str">
        <x:v>01.01</x:v>
      </x:c>
      <x:c r="J17" s="33" t="str">
        <x:v>Fire Down Below</x:v>
      </x:c>
      <x:c r="K17" s="33" t="str"/>
      <x:c r="L17" s="33" t="str"/>
      <x:c r="M17" s="44" t="str"/>
      <x:c r="N17" s="50" t="n">
        <x:v>60</x:v>
      </x:c>
      <x:c r="O17" s="53" t="str"/>
      <x:c r="P17" s="53" t="str">
        <x:v>Wolf Entertainment / Dick Wolf archive title</x:v>
      </x:c>
      <x:c r="Q17" s="17" t="str">
        <x:v>10693446</x:v>
      </x:c>
      <x:c r="R17" s="17" t="str"/>
      <x:c r="S17" s="17" t="str"/>
      <x:c r="T17" s="1"/>
      <x:c r="U17" s="1"/>
      <x:c r="V17" s="1"/>
      <x:c r="W17" s="1"/>
      <x:c r="X17" s="1"/>
      <x:c r="Y17" s="1"/>
      <x:c r="Z17" s="1"/>
    </x:row>
    <x:row r="18">
      <x:c r="A18" s="43" t="n">
        <x:v>14</x:v>
      </x:c>
      <x:c r="B18" s="44" t="str">
        <x:v>Not Started</x:v>
      </x:c>
      <x:c r="C18" s="45" t="n">
        <x:v>32941</x:v>
      </x:c>
      <x:c r="D18" s="33" t="str">
        <x:v>Nasty Boys</x:v>
      </x:c>
      <x:c r="E18" s="33" t="str">
        <x:v>Crossover Adjacent</x:v>
      </x:c>
      <x:c r="F18" s="33" t="str">
        <x:v>complete</x:v>
      </x:c>
      <x:c r="G18" s="50" t="n">
        <x:v>1</x:v>
      </x:c>
      <x:c r="H18" s="50" t="n">
        <x:v>4</x:v>
      </x:c>
      <x:c r="I18" s="44" t="str">
        <x:v>01.04</x:v>
      </x:c>
      <x:c r="J18" s="33" t="str">
        <x:v>The Good, The Bad, And The Nasty</x:v>
      </x:c>
      <x:c r="K18" s="33" t="str"/>
      <x:c r="L18" s="33" t="str"/>
      <x:c r="M18" s="44" t="str"/>
      <x:c r="N18" s="50" t="n">
        <x:v>60</x:v>
      </x:c>
      <x:c r="O18" s="53" t="str">
        <x:v>A group disguised as the Boys hits a crack house leaving ten bodies in the wake and the Nasty boys locked in the sights of Internal Affairs. With the police brass breathing down his neck Krieger refuses to divulge the names of the Nasty Boys. It is not long before the mastermind behind the Nasty Boy's problems is revealed as an old enemy, Payday, last seen in the pilot movie.  Payday killed the Boys first leader and now the Boys are out for a little payback</x:v>
      </x:c>
      <x:c r="P18" s="53" t="str">
        <x:v>Dick Wolf-created police drama</x:v>
      </x:c>
      <x:c r="Q18" s="17" t="str">
        <x:v>599606</x:v>
      </x:c>
      <x:c r="R18" s="17" t="str"/>
      <x:c r="S18" s="17" t="str"/>
      <x:c r="T18" s="1"/>
      <x:c r="U18" s="1"/>
      <x:c r="V18" s="1"/>
      <x:c r="W18" s="1"/>
      <x:c r="X18" s="1"/>
      <x:c r="Y18" s="1"/>
      <x:c r="Z18" s="1"/>
    </x:row>
    <x:row r="19">
      <x:c r="A19" s="43" t="n">
        <x:v>15</x:v>
      </x:c>
      <x:c r="B19" s="44" t="str">
        <x:v>Not Started</x:v>
      </x:c>
      <x:c r="C19" s="45" t="n">
        <x:v>32943</x:v>
      </x:c>
      <x:c r="D19" s="33" t="str">
        <x:v>H.E.L.P.</x:v>
      </x:c>
      <x:c r="E19" s="33" t="str">
        <x:v>Crossover Adjacent</x:v>
      </x:c>
      <x:c r="F19" s="33" t="str">
        <x:v>complete</x:v>
      </x:c>
      <x:c r="G19" s="50" t="n">
        <x:v>1</x:v>
      </x:c>
      <x:c r="H19" s="50" t="n">
        <x:v>2</x:v>
      </x:c>
      <x:c r="I19" s="44" t="str">
        <x:v>01.02</x:v>
      </x:c>
      <x:c r="J19" s="33" t="str">
        <x:v>Are You There, Alpha Centari</x:v>
      </x:c>
      <x:c r="K19" s="33" t="str"/>
      <x:c r="L19" s="33" t="str"/>
      <x:c r="M19" s="44" t="str"/>
      <x:c r="N19" s="50" t="n">
        <x:v>60</x:v>
      </x:c>
      <x:c r="O19" s="53" t="str"/>
      <x:c r="P19" s="53" t="str">
        <x:v>Wolf Entertainment / Dick Wolf archive title</x:v>
      </x:c>
      <x:c r="Q19" s="17" t="str">
        <x:v>10693447</x:v>
      </x:c>
      <x:c r="R19" s="17" t="str"/>
      <x:c r="S19" s="17" t="str"/>
      <x:c r="T19" s="1"/>
      <x:c r="U19" s="1"/>
      <x:c r="V19" s="1"/>
      <x:c r="W19" s="1"/>
      <x:c r="X19" s="1"/>
      <x:c r="Y19" s="1"/>
      <x:c r="Z19" s="1"/>
    </x:row>
    <x:row r="20">
      <x:c r="A20" s="43" t="n">
        <x:v>16</x:v>
      </x:c>
      <x:c r="B20" s="44" t="str">
        <x:v>Not Started</x:v>
      </x:c>
      <x:c r="C20" s="45" t="n">
        <x:v>32948</x:v>
      </x:c>
      <x:c r="D20" s="33" t="str">
        <x:v>Nasty Boys</x:v>
      </x:c>
      <x:c r="E20" s="33" t="str">
        <x:v>Crossover Adjacent</x:v>
      </x:c>
      <x:c r="F20" s="33" t="str">
        <x:v>complete</x:v>
      </x:c>
      <x:c r="G20" s="50" t="n">
        <x:v>1</x:v>
      </x:c>
      <x:c r="H20" s="50" t="n">
        <x:v>5</x:v>
      </x:c>
      <x:c r="I20" s="44" t="str">
        <x:v>01.05</x:v>
      </x:c>
      <x:c r="J20" s="33" t="str">
        <x:v>Last Tango In Vegas</x:v>
      </x:c>
      <x:c r="K20" s="33" t="str"/>
      <x:c r="L20" s="33" t="str"/>
      <x:c r="M20" s="44" t="str"/>
      <x:c r="N20" s="50" t="n">
        <x:v>60</x:v>
      </x:c>
      <x:c r="O20" s="53" t="str">
        <x:v>Illegal automatic weapons are hitting the streets of California and Vegas is the funnel. It's up to the Boys to stem the flow before the streets of Cali run with blood. Each of the Boys begins tackling the problem using their own talents and snitches.  Wheeler goes undercover as a dancer in a casino in order to get close to a woman involved in the weapon sales. Wheeler is in over his head when he falls for his target and has to kill her brother.</x:v>
      </x:c>
      <x:c r="P20" s="53" t="str">
        <x:v>Dick Wolf-created police drama</x:v>
      </x:c>
      <x:c r="Q20" s="17" t="str">
        <x:v>599607</x:v>
      </x:c>
      <x:c r="R20" s="17" t="str"/>
      <x:c r="S20" s="17" t="str"/>
      <x:c r="T20" s="1"/>
      <x:c r="U20" s="1"/>
      <x:c r="V20" s="1"/>
      <x:c r="W20" s="1"/>
      <x:c r="X20" s="1"/>
      <x:c r="Y20" s="1"/>
      <x:c r="Z20" s="1"/>
    </x:row>
    <x:row r="21">
      <x:c r="A21" s="43" t="n">
        <x:v>17</x:v>
      </x:c>
      <x:c r="B21" s="44" t="str">
        <x:v>Not Started</x:v>
      </x:c>
      <x:c r="C21" s="45" t="n">
        <x:v>32950</x:v>
      </x:c>
      <x:c r="D21" s="33" t="str">
        <x:v>H.E.L.P.</x:v>
      </x:c>
      <x:c r="E21" s="33" t="str">
        <x:v>Crossover Adjacent</x:v>
      </x:c>
      <x:c r="F21" s="33" t="str">
        <x:v>complete</x:v>
      </x:c>
      <x:c r="G21" s="50" t="n">
        <x:v>1</x:v>
      </x:c>
      <x:c r="H21" s="50" t="n">
        <x:v>3</x:v>
      </x:c>
      <x:c r="I21" s="44" t="str">
        <x:v>01.03</x:v>
      </x:c>
      <x:c r="J21" s="33" t="str">
        <x:v>The Children's Hour</x:v>
      </x:c>
      <x:c r="K21" s="33" t="str"/>
      <x:c r="L21" s="33" t="str"/>
      <x:c r="M21" s="44" t="str"/>
      <x:c r="N21" s="50" t="n">
        <x:v>60</x:v>
      </x:c>
      <x:c r="O21" s="53" t="str"/>
      <x:c r="P21" s="53" t="str">
        <x:v>Wolf Entertainment / Dick Wolf archive title</x:v>
      </x:c>
      <x:c r="Q21" s="17" t="str">
        <x:v>10693448</x:v>
      </x:c>
      <x:c r="R21" s="17" t="str"/>
      <x:c r="S21" s="17" t="str"/>
      <x:c r="T21" s="1"/>
      <x:c r="U21" s="1"/>
      <x:c r="V21" s="1"/>
      <x:c r="W21" s="1"/>
      <x:c r="X21" s="1"/>
      <x:c r="Y21" s="1"/>
      <x:c r="Z21" s="1"/>
    </x:row>
    <x:row r="22">
      <x:c r="A22" s="43" t="n">
        <x:v>18</x:v>
      </x:c>
      <x:c r="B22" s="44" t="str">
        <x:v>Not Started</x:v>
      </x:c>
      <x:c r="C22" s="45" t="n">
        <x:v>32957</x:v>
      </x:c>
      <x:c r="D22" s="33" t="str">
        <x:v>H.E.L.P.</x:v>
      </x:c>
      <x:c r="E22" s="33" t="str">
        <x:v>Crossover Adjacent</x:v>
      </x:c>
      <x:c r="F22" s="33" t="str">
        <x:v>complete</x:v>
      </x:c>
      <x:c r="G22" s="50" t="n">
        <x:v>1</x:v>
      </x:c>
      <x:c r="H22" s="50" t="n">
        <x:v>4</x:v>
      </x:c>
      <x:c r="I22" s="44" t="str">
        <x:v>01.04</x:v>
      </x:c>
      <x:c r="J22" s="33" t="str">
        <x:v>Steam Heat</x:v>
      </x:c>
      <x:c r="K22" s="33" t="str"/>
      <x:c r="L22" s="33" t="str"/>
      <x:c r="M22" s="44" t="str"/>
      <x:c r="N22" s="50" t="n">
        <x:v>60</x:v>
      </x:c>
      <x:c r="O22" s="53" t="str"/>
      <x:c r="P22" s="53" t="str">
        <x:v>Wolf Entertainment / Dick Wolf archive title</x:v>
      </x:c>
      <x:c r="Q22" s="17" t="str">
        <x:v>10693449</x:v>
      </x:c>
      <x:c r="R22" s="17" t="str"/>
      <x:c r="S22" s="17" t="str"/>
      <x:c r="T22" s="1"/>
      <x:c r="U22" s="1"/>
      <x:c r="V22" s="1"/>
      <x:c r="W22" s="1"/>
      <x:c r="X22" s="1"/>
      <x:c r="Y22" s="1"/>
      <x:c r="Z22" s="1"/>
    </x:row>
    <x:row r="23">
      <x:c r="A23" s="43" t="n">
        <x:v>19</x:v>
      </x:c>
      <x:c r="B23" s="44" t="str">
        <x:v>Not Started</x:v>
      </x:c>
      <x:c r="C23" s="45" t="n">
        <x:v>32962</x:v>
      </x:c>
      <x:c r="D23" s="33" t="str">
        <x:v>Nasty Boys</x:v>
      </x:c>
      <x:c r="E23" s="33" t="str">
        <x:v>Crossover Adjacent</x:v>
      </x:c>
      <x:c r="F23" s="33" t="str">
        <x:v>complete</x:v>
      </x:c>
      <x:c r="G23" s="50" t="n">
        <x:v>1</x:v>
      </x:c>
      <x:c r="H23" s="50" t="n">
        <x:v>6</x:v>
      </x:c>
      <x:c r="I23" s="44" t="str">
        <x:v>01.06</x:v>
      </x:c>
      <x:c r="J23" s="33" t="str">
        <x:v>Flesh And Blood</x:v>
      </x:c>
      <x:c r="K23" s="33" t="str"/>
      <x:c r="L23" s="33" t="str"/>
      <x:c r="M23" s="44" t="str"/>
      <x:c r="N23" s="50" t="n">
        <x:v>60</x:v>
      </x:c>
      <x:c r="O23" s="53" t="str">
        <x:v>The Boys take a trip to LA to bring down an Australian drug ring. Lt. Franklin makes a comment about trying to loose weight when offered a piece of Connie's birthday cake. In retaliation to the Boys trip to LA Serena Cruz and her child, Connie, are terrorized with Connie kidnapped as a bargaining chip. In protective custody for Cruz's family is put under strain. Cruz tries to make a deal with Australian drug ring, an exchange, Connie for members of the ring in federal custody. Cruz spills the beans to the rest of the Boys who set a dangerous plan in motion to get Connie back. It fails and Cruz's marriage reaches the breaking point. Cruz breaks with the Nasty Boys vowing to get Connie back his way. Krieger forces an old undercover associate to find Connie whatever the cost.</x:v>
      </x:c>
      <x:c r="P23" s="53" t="str">
        <x:v>Dick Wolf-created police drama</x:v>
      </x:c>
      <x:c r="Q23" s="17" t="str">
        <x:v>599608</x:v>
      </x:c>
      <x:c r="R23" s="17" t="str"/>
      <x:c r="S23" s="17" t="str"/>
      <x:c r="T23" s="1"/>
      <x:c r="U23" s="1"/>
      <x:c r="V23" s="1"/>
      <x:c r="W23" s="1"/>
      <x:c r="X23" s="1"/>
      <x:c r="Y23" s="1"/>
      <x:c r="Z23" s="1"/>
    </x:row>
    <x:row r="24">
      <x:c r="A24" s="43" t="n">
        <x:v>20</x:v>
      </x:c>
      <x:c r="B24" s="44" t="str">
        <x:v>Not Started</x:v>
      </x:c>
      <x:c r="C24" s="45" t="n">
        <x:v>32964</x:v>
      </x:c>
      <x:c r="D24" s="33" t="str">
        <x:v>H.E.L.P.</x:v>
      </x:c>
      <x:c r="E24" s="33" t="str">
        <x:v>Crossover Adjacent</x:v>
      </x:c>
      <x:c r="F24" s="33" t="str">
        <x:v>complete</x:v>
      </x:c>
      <x:c r="G24" s="50" t="n">
        <x:v>1</x:v>
      </x:c>
      <x:c r="H24" s="50" t="n">
        <x:v>5</x:v>
      </x:c>
      <x:c r="I24" s="44" t="str">
        <x:v>01.05</x:v>
      </x:c>
      <x:c r="J24" s="33" t="str">
        <x:v>To Everything, There is a Season</x:v>
      </x:c>
      <x:c r="K24" s="33" t="str"/>
      <x:c r="L24" s="33" t="str"/>
      <x:c r="M24" s="44" t="str"/>
      <x:c r="N24" s="50" t="n">
        <x:v>60</x:v>
      </x:c>
      <x:c r="O24" s="53" t="str"/>
      <x:c r="P24" s="53" t="str">
        <x:v>Wolf Entertainment / Dick Wolf archive title</x:v>
      </x:c>
      <x:c r="Q24" s="17" t="str">
        <x:v>10693450</x:v>
      </x:c>
      <x:c r="R24" s="17" t="str"/>
      <x:c r="S24" s="17" t="str"/>
      <x:c r="T24" s="1"/>
      <x:c r="U24" s="1"/>
      <x:c r="V24" s="1"/>
      <x:c r="W24" s="1"/>
      <x:c r="X24" s="1"/>
      <x:c r="Y24" s="1"/>
      <x:c r="Z24" s="1"/>
    </x:row>
    <x:row r="25">
      <x:c r="A25" s="43" t="n">
        <x:v>21</x:v>
      </x:c>
      <x:c r="B25" s="44" t="str">
        <x:v>Not Started</x:v>
      </x:c>
      <x:c r="C25" s="45" t="n">
        <x:v>32969</x:v>
      </x:c>
      <x:c r="D25" s="33" t="str">
        <x:v>Nasty Boys</x:v>
      </x:c>
      <x:c r="E25" s="33" t="str">
        <x:v>Crossover Adjacent</x:v>
      </x:c>
      <x:c r="F25" s="33" t="str">
        <x:v>complete</x:v>
      </x:c>
      <x:c r="G25" s="50" t="n">
        <x:v>1</x:v>
      </x:c>
      <x:c r="H25" s="50" t="n">
        <x:v>7</x:v>
      </x:c>
      <x:c r="I25" s="44" t="str">
        <x:v>01.07</x:v>
      </x:c>
      <x:c r="J25" s="33" t="str">
        <x:v>The Candidate</x:v>
      </x:c>
      <x:c r="K25" s="33" t="str"/>
      <x:c r="L25" s="33" t="str"/>
      <x:c r="M25" s="44" t="str"/>
      <x:c r="N25" s="50" t="n">
        <x:v>60</x:v>
      </x:c>
      <x:c r="O25" s="53" t="str">
        <x:v>The man running for governor is gun down just days before the election as he declared an all-out waragainst crime. The Nasty boys move into a new hide out. The would-be Lt. Governor throws his hat in the ring saying he will pick up where his friend left off. His supports of the Nasty Boys boost his approval ratings and the current Governor who is anti-Nasty begins to suffer. Wanting to see what a day in the life of   a Nasty Boy is like the politician takes a ride with Wheeler and Larson he shots dead the assassin. The   ensuing IA probe could prove to be the end of the Nasty Boys.  Larson's father drops a bombshell that the   Governor-to-be is dirty. Krieger and the Boys begin digging only to find Larson's father was right. Bribery,   extortion, and election fraud are in this guys closet. It's up to the Nasty Boys to punch his ticket.</x:v>
      </x:c>
      <x:c r="P25" s="53" t="str">
        <x:v>Dick Wolf-created police drama</x:v>
      </x:c>
      <x:c r="Q25" s="17" t="str">
        <x:v>599609</x:v>
      </x:c>
      <x:c r="R25" s="17" t="str"/>
      <x:c r="S25" s="17" t="str"/>
      <x:c r="T25" s="1"/>
      <x:c r="U25" s="1"/>
      <x:c r="V25" s="1"/>
      <x:c r="W25" s="1"/>
      <x:c r="X25" s="1"/>
      <x:c r="Y25" s="1"/>
      <x:c r="Z25" s="1"/>
    </x:row>
    <x:row r="26">
      <x:c r="A26" s="43" t="n">
        <x:v>22</x:v>
      </x:c>
      <x:c r="B26" s="44" t="str">
        <x:v>Not Started</x:v>
      </x:c>
      <x:c r="C26" s="45" t="n">
        <x:v>32971</x:v>
      </x:c>
      <x:c r="D26" s="33" t="str">
        <x:v>H.E.L.P.</x:v>
      </x:c>
      <x:c r="E26" s="33" t="str">
        <x:v>Crossover Adjacent</x:v>
      </x:c>
      <x:c r="F26" s="33" t="str">
        <x:v>complete</x:v>
      </x:c>
      <x:c r="G26" s="50" t="n">
        <x:v>1</x:v>
      </x:c>
      <x:c r="H26" s="50" t="n">
        <x:v>6</x:v>
      </x:c>
      <x:c r="I26" s="44" t="str">
        <x:v>01.06</x:v>
      </x:c>
      <x:c r="J26" s="33" t="str">
        <x:v>Undue Force</x:v>
      </x:c>
      <x:c r="K26" s="33" t="str"/>
      <x:c r="L26" s="33" t="str"/>
      <x:c r="M26" s="44" t="str"/>
      <x:c r="N26" s="50" t="n">
        <x:v>60</x:v>
      </x:c>
      <x:c r="O26" s="53" t="str"/>
      <x:c r="P26" s="53" t="str">
        <x:v>Wolf Entertainment / Dick Wolf archive title</x:v>
      </x:c>
      <x:c r="Q26" s="17" t="str">
        <x:v>10693451</x:v>
      </x:c>
      <x:c r="R26" s="17" t="str"/>
      <x:c r="S26" s="17" t="str"/>
      <x:c r="T26" s="1"/>
      <x:c r="U26" s="1"/>
      <x:c r="V26" s="1"/>
      <x:c r="W26" s="1"/>
      <x:c r="X26" s="1"/>
      <x:c r="Y26" s="1"/>
      <x:c r="Z26" s="1"/>
    </x:row>
    <x:row r="27">
      <x:c r="A27" s="43" t="n">
        <x:v>23</x:v>
      </x:c>
      <x:c r="B27" s="44" t="str">
        <x:v>Not Started</x:v>
      </x:c>
      <x:c r="C27" s="45" t="n">
        <x:v>32983</x:v>
      </x:c>
      <x:c r="D27" s="33" t="str">
        <x:v>Nasty Boys</x:v>
      </x:c>
      <x:c r="E27" s="33" t="str">
        <x:v>Crossover Adjacent</x:v>
      </x:c>
      <x:c r="F27" s="33" t="str">
        <x:v>complete</x:v>
      </x:c>
      <x:c r="G27" s="50" t="n">
        <x:v>1</x:v>
      </x:c>
      <x:c r="H27" s="50" t="n">
        <x:v>8</x:v>
      </x:c>
      <x:c r="I27" s="44" t="str">
        <x:v>01.08</x:v>
      </x:c>
      <x:c r="J27" s="33" t="str">
        <x:v>The Line</x:v>
      </x:c>
      <x:c r="K27" s="33" t="str"/>
      <x:c r="L27" s="33" t="str"/>
      <x:c r="M27" s="44" t="str"/>
      <x:c r="N27" s="50" t="n">
        <x:v>60</x:v>
      </x:c>
      <x:c r="O27" s="53" t="str">
        <x:v>The Boys are given Federal Marshall status and off to LA, once again. This time Wheeler's undercover as a cop, Cruz and Kee as drug dealers, and Morrisey and Larson as a couple of drug running bikers. Who's the target of such a wide sting? The LAPD Narcotics Unit. With three detectives, a LT., and a Capt. stealing from drug dealers, keeping the money, and selling the dope Wheeler has got himself in deep. When the dust settles four cops are dead and the LAPD in shame. Will Wheeler cross the line to avenge the death of an innocent cop?</x:v>
      </x:c>
      <x:c r="P27" s="53" t="str">
        <x:v>Dick Wolf-created police drama</x:v>
      </x:c>
      <x:c r="Q27" s="17" t="str">
        <x:v>599610</x:v>
      </x:c>
      <x:c r="R27" s="17" t="str"/>
      <x:c r="S27" s="17" t="str"/>
      <x:c r="T27" s="1"/>
      <x:c r="U27" s="1"/>
      <x:c r="V27" s="1"/>
      <x:c r="W27" s="1"/>
      <x:c r="X27" s="1"/>
      <x:c r="Y27" s="1"/>
      <x:c r="Z27" s="1"/>
    </x:row>
    <x:row r="28">
      <x:c r="A28" s="43" t="n">
        <x:v>24</x:v>
      </x:c>
      <x:c r="B28" s="44" t="str">
        <x:v>Not Started</x:v>
      </x:c>
      <x:c r="C28" s="45" t="n">
        <x:v>32990</x:v>
      </x:c>
      <x:c r="D28" s="33" t="str">
        <x:v>Nasty Boys</x:v>
      </x:c>
      <x:c r="E28" s="33" t="str">
        <x:v>Crossover Adjacent</x:v>
      </x:c>
      <x:c r="F28" s="33" t="str">
        <x:v>complete</x:v>
      </x:c>
      <x:c r="G28" s="50" t="n">
        <x:v>1</x:v>
      </x:c>
      <x:c r="H28" s="50" t="n">
        <x:v>9</x:v>
      </x:c>
      <x:c r="I28" s="44" t="str">
        <x:v>01.09</x:v>
      </x:c>
      <x:c r="J28" s="33" t="str">
        <x:v>Home Again</x:v>
      </x:c>
      <x:c r="K28" s="33" t="str"/>
      <x:c r="L28" s="33" t="str"/>
      <x:c r="M28" s="44" t="str"/>
      <x:c r="N28" s="50" t="n">
        <x:v>60</x:v>
      </x:c>
      <x:c r="O28" s="53" t="str">
        <x:v>A gang war erupts between the Asian gangs in LA. Kee is called home by is mother for the funeral of his other uncle. As it turns out his uncle is the leader of one of the competing gangs. Kee's cousin runs a dojo as a way to stay out of the gangs. Krieger thinks Kee could use some help and sends The Boys as back up. Kee's uncle drops a bombshell on him when he decides Kee should now lead the family gang. The war begins to heat up as the Boys arrive on their unauthorized assignment to take down Kee's uncle.</x:v>
      </x:c>
      <x:c r="P28" s="53" t="str">
        <x:v>Dick Wolf-created police drama</x:v>
      </x:c>
      <x:c r="Q28" s="17" t="str">
        <x:v>599611</x:v>
      </x:c>
      <x:c r="R28" s="17" t="str"/>
      <x:c r="S28" s="17" t="str"/>
      <x:c r="T28" s="1"/>
      <x:c r="U28" s="1"/>
      <x:c r="V28" s="1"/>
      <x:c r="W28" s="1"/>
      <x:c r="X28" s="1"/>
      <x:c r="Y28" s="1"/>
      <x:c r="Z28" s="1"/>
    </x:row>
    <x:row r="29">
      <x:c r="A29" s="43" t="n">
        <x:v>25</x:v>
      </x:c>
      <x:c r="B29" s="44" t="str">
        <x:v>Not Started</x:v>
      </x:c>
      <x:c r="C29" s="45" t="n">
        <x:v>33004</x:v>
      </x:c>
      <x:c r="D29" s="33" t="str">
        <x:v>Nasty Boys</x:v>
      </x:c>
      <x:c r="E29" s="33" t="str">
        <x:v>Crossover Adjacent</x:v>
      </x:c>
      <x:c r="F29" s="33" t="str">
        <x:v>complete</x:v>
      </x:c>
      <x:c r="G29" s="50" t="n">
        <x:v>1</x:v>
      </x:c>
      <x:c r="H29" s="50" t="n">
        <x:v>10</x:v>
      </x:c>
      <x:c r="I29" s="44" t="str">
        <x:v>01.10</x:v>
      </x:c>
      <x:c r="J29" s="33" t="str">
        <x:v>Crossover</x:v>
      </x:c>
      <x:c r="K29" s="33" t="str"/>
      <x:c r="L29" s="33" t="str"/>
      <x:c r="M29" s="44" t="str"/>
      <x:c r="N29" s="50" t="n">
        <x:v>60</x:v>
      </x:c>
      <x:c r="O29" s="53" t="str">
        <x:v>Serena's mother falls ill so she is off to the hospital with Connie in tow. Cruz on assignment is unable to watch the baby so is up to the Boys. An old Nemesis of Krieger is getting under his skin. The Boys raid his house and confiscate a stash of expensive basketball tickets. Wheeler's cousin is feeling the pressures collage basketball from the bookies, school, and the league. Wheeler's cousin on his first try OD's on crack. With A high profile basketball player dead the Boys kick it into overdrive to bring down a corrupt sports agent.</x:v>
      </x:c>
      <x:c r="P29" s="53" t="str">
        <x:v>Dick Wolf-created police drama</x:v>
      </x:c>
      <x:c r="Q29" s="17" t="str">
        <x:v>599612</x:v>
      </x:c>
      <x:c r="R29" s="17" t="str"/>
      <x:c r="S29" s="17" t="str"/>
      <x:c r="T29" s="1"/>
      <x:c r="U29" s="1"/>
      <x:c r="V29" s="1"/>
      <x:c r="W29" s="1"/>
      <x:c r="X29" s="1"/>
      <x:c r="Y29" s="1"/>
      <x:c r="Z29" s="1"/>
    </x:row>
    <x:row r="30">
      <x:c r="A30" s="43" t="n">
        <x:v>26</x:v>
      </x:c>
      <x:c r="B30" s="44" t="str">
        <x:v>Not Started</x:v>
      </x:c>
      <x:c r="C30" s="45" t="n">
        <x:v>33011</x:v>
      </x:c>
      <x:c r="D30" s="33" t="str">
        <x:v>Nasty Boys</x:v>
      </x:c>
      <x:c r="E30" s="33" t="str">
        <x:v>Crossover Adjacent</x:v>
      </x:c>
      <x:c r="F30" s="33" t="str">
        <x:v>complete</x:v>
      </x:c>
      <x:c r="G30" s="50" t="n">
        <x:v>1</x:v>
      </x:c>
      <x:c r="H30" s="50" t="n">
        <x:v>11</x:v>
      </x:c>
      <x:c r="I30" s="44" t="str">
        <x:v>01.11</x:v>
      </x:c>
      <x:c r="J30" s="33" t="str">
        <x:v>Dessert Run</x:v>
      </x:c>
      <x:c r="K30" s="33" t="str"/>
      <x:c r="L30" s="33" t="str"/>
      <x:c r="M30" s="44" t="str"/>
      <x:c r="N30" s="50" t="n">
        <x:v>60</x:v>
      </x:c>
      <x:c r="O30" s="53" t="str">
        <x:v>Wheeler's snitch Moe, who runs a helicopter service, has came across a major drug labor in the dessert. The word is that a large shipment is going out and the lab is to be shut down and moved. In the rush to get to the lab neither Krieger or Larson can be reached, leaving the team short two. When the short-handed team finds the drug lab the are out numbered 3 to 1 and severely outgunned. It's a running firefight across the dessert for nearly a day when the Boys are corned and captured. BY them Krieger and Larson have begun a search for their missing comrades. Their search leads them to Moe who is not telling that he abandoned the Boys is the dessert.  Faced with a grizzly execution the Boys desperately try to free themselves.</x:v>
      </x:c>
      <x:c r="P30" s="53" t="str">
        <x:v>Dick Wolf-created police drama</x:v>
      </x:c>
      <x:c r="Q30" s="17" t="str">
        <x:v>599613</x:v>
      </x:c>
      <x:c r="R30" s="17" t="str"/>
      <x:c r="S30" s="17" t="str"/>
      <x:c r="T30" s="1"/>
      <x:c r="U30" s="1"/>
      <x:c r="V30" s="1"/>
      <x:c r="W30" s="1"/>
      <x:c r="X30" s="1"/>
      <x:c r="Y30" s="1"/>
      <x:c r="Z30" s="1"/>
    </x:row>
    <x:row r="31">
      <x:c r="A31" s="43" t="n">
        <x:v>27</x:v>
      </x:c>
      <x:c r="B31" s="44" t="str">
        <x:v>Not Started</x:v>
      </x:c>
      <x:c r="C31" s="45" t="n">
        <x:v>33074</x:v>
      </x:c>
      <x:c r="D31" s="33" t="str">
        <x:v>Nasty Boys</x:v>
      </x:c>
      <x:c r="E31" s="33" t="str">
        <x:v>Crossover Adjacent</x:v>
      </x:c>
      <x:c r="F31" s="33" t="str">
        <x:v>complete</x:v>
      </x:c>
      <x:c r="G31" s="50" t="n">
        <x:v>1</x:v>
      </x:c>
      <x:c r="H31" s="50" t="n">
        <x:v>12</x:v>
      </x:c>
      <x:c r="I31" s="44" t="str">
        <x:v>01.12</x:v>
      </x:c>
      <x:c r="J31" s="33" t="str">
        <x:v>Kill Or Be Killed - (1)</x:v>
      </x:c>
      <x:c r="K31" s="33" t="str"/>
      <x:c r="L31" s="33" t="str"/>
      <x:c r="M31" s="44" t="str"/>
      <x:c r="N31" s="50" t="n">
        <x:v>60</x:v>
      </x:c>
      <x:c r="O31" s="53" t="str">
        <x:v>Drug dealers are being killed by a vigilante. With a personality profile the Boys begin a door to door search for the killer. Larson begins to doubt the team's effectiveness while he attempts to get a gang-banger out of the life with out blowing his cover. Taking a leap of faith Larson breaks his cover in a act of faith to the gangster. On his own Larson goes after the vigilante, almost getting himself trapped. In a last ditch effort to get the vigilante Larson and the gang-banger put themselves in the snipers crosshairs. The trap works but the courts kick the sniper loose, who takes his revenge by killing the reformed gang-banger. He then takes Cruz and a drug dealer hostage threatening to blow them al up unless he get air time on TV and to perform a trail against the dealers and the cops.</x:v>
      </x:c>
      <x:c r="P31" s="53" t="str">
        <x:v>Dick Wolf-created police drama</x:v>
      </x:c>
      <x:c r="Q31" s="17" t="str">
        <x:v>599614</x:v>
      </x:c>
      <x:c r="R31" s="17" t="str"/>
      <x:c r="S31" s="17" t="str"/>
      <x:c r="T31" s="1"/>
      <x:c r="U31" s="1"/>
      <x:c r="V31" s="1"/>
      <x:c r="W31" s="1"/>
      <x:c r="X31" s="1"/>
      <x:c r="Y31" s="1"/>
      <x:c r="Z31" s="1"/>
    </x:row>
    <x:row r="32">
      <x:c r="A32" s="43" t="n">
        <x:v>28</x:v>
      </x:c>
      <x:c r="B32" s="44" t="str">
        <x:v>Not Started</x:v>
      </x:c>
      <x:c r="C32" s="45" t="n">
        <x:v>33074</x:v>
      </x:c>
      <x:c r="D32" s="33" t="str">
        <x:v>Nasty Boys</x:v>
      </x:c>
      <x:c r="E32" s="33" t="str">
        <x:v>Crossover Adjacent</x:v>
      </x:c>
      <x:c r="F32" s="33" t="str">
        <x:v>complete</x:v>
      </x:c>
      <x:c r="G32" s="50" t="n">
        <x:v>1</x:v>
      </x:c>
      <x:c r="H32" s="50" t="n">
        <x:v>13</x:v>
      </x:c>
      <x:c r="I32" s="44" t="str">
        <x:v>01.13</x:v>
      </x:c>
      <x:c r="J32" s="33" t="str">
        <x:v>Kill Or Be Killed - (2)</x:v>
      </x:c>
      <x:c r="K32" s="33" t="str"/>
      <x:c r="L32" s="33" t="str"/>
      <x:c r="M32" s="44" t="str"/>
      <x:c r="N32" s="50" t="n">
        <x:v>60</x:v>
      </x:c>
      <x:c r="O32" s="53" t="str"/>
      <x:c r="P32" s="53" t="str">
        <x:v>Dick Wolf-created police drama</x:v>
      </x:c>
      <x:c r="Q32" s="17" t="str">
        <x:v>599615</x:v>
      </x:c>
      <x:c r="R32" s="17" t="str"/>
      <x:c r="S32" s="17" t="str"/>
      <x:c r="T32" s="1"/>
      <x:c r="U32" s="1"/>
      <x:c r="V32" s="1"/>
      <x:c r="W32" s="1"/>
      <x:c r="X32" s="1"/>
      <x:c r="Y32" s="1"/>
      <x:c r="Z32" s="1"/>
    </x:row>
    <x:row r="33">
      <x:c r="A33" s="43" t="n">
        <x:v>29</x:v>
      </x:c>
      <x:c r="B33" s="44" t="str">
        <x:v>Watched</x:v>
      </x:c>
      <x:c r="C33" s="45" t="n">
        <x:v>33129</x:v>
      </x:c>
      <x:c r="D33" s="33" t="str">
        <x:v>Law &amp; Order</x:v>
      </x:c>
      <x:c r="E33" s="33" t="str">
        <x:v>Law &amp; Order</x:v>
      </x:c>
      <x:c r="F33" s="33" t="str">
        <x:v>core</x:v>
      </x:c>
      <x:c r="G33" s="50" t="n">
        <x:v>1</x:v>
      </x:c>
      <x:c r="H33" s="50" t="n">
        <x:v>1</x:v>
      </x:c>
      <x:c r="I33" s="44" t="str">
        <x:v>01.01</x:v>
      </x:c>
      <x:c r="J33" s="33" t="str">
        <x:v>Prescription for Death</x:v>
      </x:c>
      <x:c r="K33" s="33" t="str"/>
      <x:c r="L33" s="33" t="str"/>
      <x:c r="M33" s="44" t="str"/>
      <x:c r="N33" s="50" t="n">
        <x:v>48</x:v>
      </x:c>
      <x:c r="O33" s="53" t="str">
        <x:v>When a young woman dies during a hectic emergency room night shift, her father claims the hospital was negligent, and an investigation leads the detectives to believe that the doctor treating her may have been drunk on duty.</x:v>
      </x:c>
      <x:c r="P33" s="53" t="str">
        <x:v>Core Law &amp; Order franchise</x:v>
      </x:c>
      <x:c r="Q33" s="17" t="str">
        <x:v>34055</x:v>
      </x:c>
      <x:c r="R33" s="17" t="str">
        <x:v>tt0629380</x:v>
      </x:c>
      <x:c r="S33" s="17" t="str"/>
      <x:c r="T33" s="1"/>
      <x:c r="U33" s="1"/>
      <x:c r="V33" s="1"/>
      <x:c r="W33" s="1"/>
      <x:c r="X33" s="1"/>
      <x:c r="Y33" s="1"/>
      <x:c r="Z33" s="1"/>
    </x:row>
    <x:row r="34">
      <x:c r="A34" s="43" t="n">
        <x:v>30</x:v>
      </x:c>
      <x:c r="B34" s="44" t="str">
        <x:v>Watched</x:v>
      </x:c>
      <x:c r="C34" s="45" t="n">
        <x:v>33136</x:v>
      </x:c>
      <x:c r="D34" s="33" t="str">
        <x:v>Law &amp; Order</x:v>
      </x:c>
      <x:c r="E34" s="33" t="str">
        <x:v>Law &amp; Order</x:v>
      </x:c>
      <x:c r="F34" s="33" t="str">
        <x:v>core</x:v>
      </x:c>
      <x:c r="G34" s="50" t="n">
        <x:v>1</x:v>
      </x:c>
      <x:c r="H34" s="50" t="n">
        <x:v>2</x:v>
      </x:c>
      <x:c r="I34" s="44" t="str">
        <x:v>01.02</x:v>
      </x:c>
      <x:c r="J34" s="33" t="str">
        <x:v>Subterranean Homeboy Blues</x:v>
      </x:c>
      <x:c r="K34" s="33" t="str"/>
      <x:c r="L34" s="33" t="str"/>
      <x:c r="M34" s="44" t="str"/>
      <x:c r="N34" s="50" t="n">
        <x:v>47</x:v>
      </x:c>
      <x:c r="O34" s="53" t="str">
        <x:v>The shooting of two black men by a white woman in a crowded subway initially appears to be a case of self-defense, but further investigation reveals revenge as a possible motive.</x:v>
      </x:c>
      <x:c r="P34" s="53" t="str">
        <x:v>Core Law &amp; Order franchise</x:v>
      </x:c>
      <x:c r="Q34" s="17" t="str">
        <x:v>34056</x:v>
      </x:c>
      <x:c r="R34" s="17" t="str">
        <x:v>tt0629438</x:v>
      </x:c>
      <x:c r="S34" s="17" t="str"/>
      <x:c r="T34" s="1"/>
      <x:c r="U34" s="1"/>
      <x:c r="V34" s="1"/>
      <x:c r="W34" s="1"/>
      <x:c r="X34" s="1"/>
      <x:c r="Y34" s="1"/>
      <x:c r="Z34" s="1"/>
    </x:row>
    <x:row r="35">
      <x:c r="A35" s="43" t="n">
        <x:v>31</x:v>
      </x:c>
      <x:c r="B35" s="44" t="str">
        <x:v>Watched</x:v>
      </x:c>
      <x:c r="C35" s="45" t="n">
        <x:v>33151</x:v>
      </x:c>
      <x:c r="D35" s="33" t="str">
        <x:v>Law &amp; Order</x:v>
      </x:c>
      <x:c r="E35" s="33" t="str">
        <x:v>Law &amp; Order</x:v>
      </x:c>
      <x:c r="F35" s="33" t="str">
        <x:v>core</x:v>
      </x:c>
      <x:c r="G35" s="50" t="n">
        <x:v>1</x:v>
      </x:c>
      <x:c r="H35" s="50" t="n">
        <x:v>3</x:v>
      </x:c>
      <x:c r="I35" s="44" t="str">
        <x:v>01.03</x:v>
      </x:c>
      <x:c r="J35" s="33" t="str">
        <x:v>The Reaper's Helper</x:v>
      </x:c>
      <x:c r="K35" s="33" t="str"/>
      <x:c r="L35" s="33" t="str"/>
      <x:c r="M35" s="44" t="str"/>
      <x:c r="N35" s="50" t="n">
        <x:v>46</x:v>
      </x:c>
      <x:c r="O35" s="53" t="str">
        <x:v>The death of a man with AIDS appears to be the work of a serial killer who may have been motivated by mercy.</x:v>
      </x:c>
      <x:c r="P35" s="53" t="str">
        <x:v>Core Law &amp; Order franchise</x:v>
      </x:c>
      <x:c r="Q35" s="17" t="str">
        <x:v>34057</x:v>
      </x:c>
      <x:c r="R35" s="17" t="str">
        <x:v>tt0629458</x:v>
      </x:c>
      <x:c r="S35" s="17" t="str"/>
      <x:c r="T35" s="1"/>
      <x:c r="U35" s="1"/>
      <x:c r="V35" s="1"/>
      <x:c r="W35" s="1"/>
      <x:c r="X35" s="1"/>
      <x:c r="Y35" s="1"/>
      <x:c r="Z35" s="1"/>
    </x:row>
    <x:row r="36">
      <x:c r="A36" s="43" t="n">
        <x:v>32</x:v>
      </x:c>
      <x:c r="B36" s="44" t="str">
        <x:v>Watched</x:v>
      </x:c>
      <x:c r="C36" s="45" t="n">
        <x:v>33158</x:v>
      </x:c>
      <x:c r="D36" s="33" t="str">
        <x:v>Law &amp; Order</x:v>
      </x:c>
      <x:c r="E36" s="33" t="str">
        <x:v>Law &amp; Order</x:v>
      </x:c>
      <x:c r="F36" s="33" t="str">
        <x:v>core</x:v>
      </x:c>
      <x:c r="G36" s="50" t="n">
        <x:v>1</x:v>
      </x:c>
      <x:c r="H36" s="50" t="n">
        <x:v>4</x:v>
      </x:c>
      <x:c r="I36" s="44" t="str">
        <x:v>01.04</x:v>
      </x:c>
      <x:c r="J36" s="33" t="str">
        <x:v>Kiss the Girls and Make Them Die</x:v>
      </x:c>
      <x:c r="K36" s="33" t="str"/>
      <x:c r="L36" s="33" t="str"/>
      <x:c r="M36" s="44" t="str"/>
      <x:c r="N36" s="50" t="n">
        <x:v>47</x:v>
      </x:c>
      <x:c r="O36" s="53" t="str">
        <x:v>Stone has difficulty prosecuting a privileged preppie with a history of abusing his girlfriends after one of them dies at his hands.</x:v>
      </x:c>
      <x:c r="P36" s="53" t="str">
        <x:v>Core Law &amp; Order franchise</x:v>
      </x:c>
      <x:c r="Q36" s="17" t="str">
        <x:v>34058</x:v>
      </x:c>
      <x:c r="R36" s="17" t="str">
        <x:v>tt0629325</x:v>
      </x:c>
      <x:c r="S36" s="17" t="str"/>
      <x:c r="T36" s="1"/>
      <x:c r="U36" s="1"/>
      <x:c r="V36" s="1"/>
      <x:c r="W36" s="1"/>
      <x:c r="X36" s="1"/>
      <x:c r="Y36" s="1"/>
      <x:c r="Z36" s="1"/>
    </x:row>
    <x:row r="37">
      <x:c r="A37" s="43" t="n">
        <x:v>33</x:v>
      </x:c>
      <x:c r="B37" s="44" t="str">
        <x:v>Watched</x:v>
      </x:c>
      <x:c r="C37" s="45" t="n">
        <x:v>33170</x:v>
      </x:c>
      <x:c r="D37" s="33" t="str">
        <x:v>Law &amp; Order</x:v>
      </x:c>
      <x:c r="E37" s="33" t="str">
        <x:v>Law &amp; Order</x:v>
      </x:c>
      <x:c r="F37" s="33" t="str">
        <x:v>core</x:v>
      </x:c>
      <x:c r="G37" s="50" t="n">
        <x:v>1</x:v>
      </x:c>
      <x:c r="H37" s="50" t="n">
        <x:v>5</x:v>
      </x:c>
      <x:c r="I37" s="44" t="str">
        <x:v>01.05</x:v>
      </x:c>
      <x:c r="J37" s="33" t="str">
        <x:v>Happily Ever After</x:v>
      </x:c>
      <x:c r="K37" s="33" t="str"/>
      <x:c r="L37" s="33" t="str"/>
      <x:c r="M37" s="44" t="str"/>
      <x:c r="N37" s="50" t="n">
        <x:v>48</x:v>
      </x:c>
      <x:c r="O37" s="53" t="str">
        <x:v>Greevey and Logan have a hunch that robbery is a cover for the real motive in the death of a millionaire in a parking garage.</x:v>
      </x:c>
      <x:c r="P37" s="53" t="str">
        <x:v>Core Law &amp; Order franchise</x:v>
      </x:c>
      <x:c r="Q37" s="17" t="str">
        <x:v>34059</x:v>
      </x:c>
      <x:c r="R37" s="17" t="str">
        <x:v>tt0629288</x:v>
      </x:c>
      <x:c r="S37" s="17" t="str"/>
      <x:c r="T37" s="1"/>
      <x:c r="U37" s="1"/>
      <x:c r="V37" s="1"/>
      <x:c r="W37" s="1"/>
      <x:c r="X37" s="1"/>
      <x:c r="Y37" s="1"/>
      <x:c r="Z37" s="1"/>
    </x:row>
    <x:row r="38">
      <x:c r="A38" s="43" t="n">
        <x:v>34</x:v>
      </x:c>
      <x:c r="B38" s="44" t="str">
        <x:v>Watched</x:v>
      </x:c>
      <x:c r="C38" s="45" t="n">
        <x:v>33177</x:v>
      </x:c>
      <x:c r="D38" s="33" t="str">
        <x:v>Law &amp; Order</x:v>
      </x:c>
      <x:c r="E38" s="33" t="str">
        <x:v>Law &amp; Order</x:v>
      </x:c>
      <x:c r="F38" s="33" t="str">
        <x:v>core</x:v>
      </x:c>
      <x:c r="G38" s="50" t="n">
        <x:v>1</x:v>
      </x:c>
      <x:c r="H38" s="50" t="n">
        <x:v>6</x:v>
      </x:c>
      <x:c r="I38" s="44" t="str">
        <x:v>01.06</x:v>
      </x:c>
      <x:c r="J38" s="33" t="str">
        <x:v>Everybody's Favorite Bagman</x:v>
      </x:c>
      <x:c r="K38" s="33" t="str"/>
      <x:c r="L38" s="33" t="str"/>
      <x:c r="M38" s="44" t="str"/>
      <x:c r="N38" s="50" t="n">
        <x:v>45</x:v>
      </x:c>
      <x:c r="O38" s="53" t="str">
        <x:v>The mugging of a councilman leads the detectives to arrest a mobster, who in turn leads Stone and Robinette to corrupt city officials.</x:v>
      </x:c>
      <x:c r="P38" s="53" t="str">
        <x:v>Core Law &amp; Order franchise</x:v>
      </x:c>
      <x:c r="Q38" s="17" t="str">
        <x:v>34060</x:v>
      </x:c>
      <x:c r="R38" s="17" t="str">
        <x:v>tt0629256</x:v>
      </x:c>
      <x:c r="S38" s="17" t="str"/>
      <x:c r="T38" s="1"/>
      <x:c r="U38" s="1"/>
      <x:c r="V38" s="1"/>
      <x:c r="W38" s="1"/>
      <x:c r="X38" s="1"/>
      <x:c r="Y38" s="1"/>
      <x:c r="Z38" s="1"/>
    </x:row>
    <x:row r="39">
      <x:c r="A39" s="43" t="n">
        <x:v>35</x:v>
      </x:c>
      <x:c r="B39" s="44" t="str">
        <x:v>Watched</x:v>
      </x:c>
      <x:c r="C39" s="45" t="n">
        <x:v>33191</x:v>
      </x:c>
      <x:c r="D39" s="33" t="str">
        <x:v>Law &amp; Order</x:v>
      </x:c>
      <x:c r="E39" s="33" t="str">
        <x:v>Law &amp; Order</x:v>
      </x:c>
      <x:c r="F39" s="33" t="str">
        <x:v>core</x:v>
      </x:c>
      <x:c r="G39" s="50" t="n">
        <x:v>1</x:v>
      </x:c>
      <x:c r="H39" s="50" t="n">
        <x:v>7</x:v>
      </x:c>
      <x:c r="I39" s="44" t="str">
        <x:v>01.07</x:v>
      </x:c>
      <x:c r="J39" s="33" t="str">
        <x:v>By Hooker, By Crook</x:v>
      </x:c>
      <x:c r="K39" s="33" t="str"/>
      <x:c r="L39" s="33" t="str"/>
      <x:c r="M39" s="44" t="str"/>
      <x:c r="N39" s="50" t="n">
        <x:v>47</x:v>
      </x:c>
      <x:c r="O39" s="53" t="str">
        <x:v>When Logan and Greevey investigate how a family man came to be found unconscious in Central Park, they uncover a very high-class call girl operation run by a well-educated socialite.</x:v>
      </x:c>
      <x:c r="P39" s="53" t="str">
        <x:v>Core Law &amp; Order franchise</x:v>
      </x:c>
      <x:c r="Q39" s="17" t="str">
        <x:v>34061</x:v>
      </x:c>
      <x:c r="R39" s="17" t="str">
        <x:v>tt0629195</x:v>
      </x:c>
      <x:c r="S39" s="17" t="str"/>
      <x:c r="T39" s="1"/>
      <x:c r="U39" s="1"/>
      <x:c r="V39" s="1"/>
      <x:c r="W39" s="1"/>
      <x:c r="X39" s="1"/>
      <x:c r="Y39" s="1"/>
      <x:c r="Z39" s="1"/>
    </x:row>
    <x:row r="40">
      <x:c r="A40" s="43" t="n">
        <x:v>36</x:v>
      </x:c>
      <x:c r="B40" s="44" t="str">
        <x:v>Watched</x:v>
      </x:c>
      <x:c r="C40" s="45" t="n">
        <x:v>33198</x:v>
      </x:c>
      <x:c r="D40" s="33" t="str">
        <x:v>Law &amp; Order</x:v>
      </x:c>
      <x:c r="E40" s="33" t="str">
        <x:v>Law &amp; Order</x:v>
      </x:c>
      <x:c r="F40" s="33" t="str">
        <x:v>core</x:v>
      </x:c>
      <x:c r="G40" s="50" t="n">
        <x:v>1</x:v>
      </x:c>
      <x:c r="H40" s="50" t="n">
        <x:v>8</x:v>
      </x:c>
      <x:c r="I40" s="44" t="str">
        <x:v>01.08</x:v>
      </x:c>
      <x:c r="J40" s="33" t="str">
        <x:v>Poison Ivy</x:v>
      </x:c>
      <x:c r="K40" s="33" t="str"/>
      <x:c r="L40" s="33" t="str"/>
      <x:c r="M40" s="44" t="str"/>
      <x:c r="N40" s="50" t="n">
        <x:v>47</x:v>
      </x:c>
      <x:c r="O40" s="53" t="str">
        <x:v>The shooting of a black honors student stirs up racial tensions, especially after it becomes apparent that the cop responsible for the death may have planted a gun on the body to excuse the shooting.</x:v>
      </x:c>
      <x:c r="P40" s="53" t="str">
        <x:v>Core Law &amp; Order franchise</x:v>
      </x:c>
      <x:c r="Q40" s="17" t="str">
        <x:v>34062</x:v>
      </x:c>
      <x:c r="R40" s="17" t="str">
        <x:v>tt0629376</x:v>
      </x:c>
      <x:c r="S40" s="17" t="str"/>
      <x:c r="T40" s="1"/>
      <x:c r="U40" s="1"/>
      <x:c r="V40" s="1"/>
      <x:c r="W40" s="1"/>
      <x:c r="X40" s="1"/>
      <x:c r="Y40" s="1"/>
      <x:c r="Z40" s="1"/>
    </x:row>
    <x:row r="41">
      <x:c r="A41" s="43" t="n">
        <x:v>37</x:v>
      </x:c>
      <x:c r="B41" s="44" t="str">
        <x:v>Watched</x:v>
      </x:c>
      <x:c r="C41" s="45" t="n">
        <x:v>33205</x:v>
      </x:c>
      <x:c r="D41" s="33" t="str">
        <x:v>Law &amp; Order</x:v>
      </x:c>
      <x:c r="E41" s="33" t="str">
        <x:v>Law &amp; Order</x:v>
      </x:c>
      <x:c r="F41" s="33" t="str">
        <x:v>core</x:v>
      </x:c>
      <x:c r="G41" s="50" t="n">
        <x:v>1</x:v>
      </x:c>
      <x:c r="H41" s="50" t="n">
        <x:v>9</x:v>
      </x:c>
      <x:c r="I41" s="44" t="str">
        <x:v>01.09</x:v>
      </x:c>
      <x:c r="J41" s="33" t="str">
        <x:v>Indifference</x:v>
      </x:c>
      <x:c r="K41" s="33" t="str"/>
      <x:c r="L41" s="33" t="str"/>
      <x:c r="M41" s="44" t="str"/>
      <x:c r="N41" s="50" t="n">
        <x:v>48</x:v>
      </x:c>
      <x:c r="O41" s="53" t="str">
        <x:v>During the investigation into the death of a little girl in a respectable, middle-class family, Greevey and Logan uncover a myriad of family secrets involving abuse, molestation, and murder.</x:v>
      </x:c>
      <x:c r="P41" s="53" t="str">
        <x:v>Core Law &amp; Order franchise</x:v>
      </x:c>
      <x:c r="Q41" s="17" t="str">
        <x:v>34063</x:v>
      </x:c>
      <x:c r="R41" s="17" t="str">
        <x:v>tt0629312</x:v>
      </x:c>
      <x:c r="S41" s="17" t="str"/>
      <x:c r="T41" s="1"/>
      <x:c r="U41" s="1"/>
      <x:c r="V41" s="1"/>
      <x:c r="W41" s="1"/>
      <x:c r="X41" s="1"/>
      <x:c r="Y41" s="1"/>
      <x:c r="Z41" s="1"/>
    </x:row>
    <x:row r="42">
      <x:c r="A42" s="43" t="n">
        <x:v>38</x:v>
      </x:c>
      <x:c r="B42" s="44" t="str">
        <x:v>Watched</x:v>
      </x:c>
      <x:c r="C42" s="45" t="n">
        <x:v>33211</x:v>
      </x:c>
      <x:c r="D42" s="33" t="str">
        <x:v>Law &amp; Order</x:v>
      </x:c>
      <x:c r="E42" s="33" t="str">
        <x:v>Law &amp; Order</x:v>
      </x:c>
      <x:c r="F42" s="33" t="str">
        <x:v>core</x:v>
      </x:c>
      <x:c r="G42" s="50" t="n">
        <x:v>1</x:v>
      </x:c>
      <x:c r="H42" s="50" t="n">
        <x:v>10</x:v>
      </x:c>
      <x:c r="I42" s="44" t="str">
        <x:v>01.10</x:v>
      </x:c>
      <x:c r="J42" s="33" t="str">
        <x:v>Prisoner of Love</x:v>
      </x:c>
      <x:c r="K42" s="33" t="str"/>
      <x:c r="L42" s="33" t="str"/>
      <x:c r="M42" s="44" t="str"/>
      <x:c r="N42" s="50" t="n">
        <x:v>46</x:v>
      </x:c>
      <x:c r="O42" s="53" t="str">
        <x:v>A city arts commissioner and a socialite come under investigation when an artist noted for his sadomasochistic themes is found dead under suspicious circumstances.</x:v>
      </x:c>
      <x:c r="P42" s="53" t="str">
        <x:v>Core Law &amp; Order franchise</x:v>
      </x:c>
      <x:c r="Q42" s="17" t="str">
        <x:v>34064</x:v>
      </x:c>
      <x:c r="R42" s="17" t="str">
        <x:v>tt0629384</x:v>
      </x:c>
      <x:c r="S42" s="17" t="str"/>
      <x:c r="T42" s="1"/>
      <x:c r="U42" s="1"/>
      <x:c r="V42" s="1"/>
      <x:c r="W42" s="1"/>
      <x:c r="X42" s="1"/>
      <x:c r="Y42" s="1"/>
      <x:c r="Z42" s="1"/>
    </x:row>
    <x:row r="43">
      <x:c r="A43" s="43" t="n">
        <x:v>39</x:v>
      </x:c>
      <x:c r="B43" s="44" t="str">
        <x:v>Watched</x:v>
      </x:c>
      <x:c r="C43" s="45" t="n">
        <x:v>33218</x:v>
      </x:c>
      <x:c r="D43" s="33" t="str">
        <x:v>Law &amp; Order</x:v>
      </x:c>
      <x:c r="E43" s="33" t="str">
        <x:v>Law &amp; Order</x:v>
      </x:c>
      <x:c r="F43" s="33" t="str">
        <x:v>core</x:v>
      </x:c>
      <x:c r="G43" s="50" t="n">
        <x:v>1</x:v>
      </x:c>
      <x:c r="H43" s="50" t="n">
        <x:v>11</x:v>
      </x:c>
      <x:c r="I43" s="44" t="str">
        <x:v>01.11</x:v>
      </x:c>
      <x:c r="J43" s="33" t="str">
        <x:v>Out of the Half-Light</x:v>
      </x:c>
      <x:c r="K43" s="33" t="str"/>
      <x:c r="L43" s="33" t="str"/>
      <x:c r="M43" s="44" t="str"/>
      <x:c r="N43" s="50" t="n">
        <x:v>47</x:v>
      </x:c>
      <x:c r="O43" s="53" t="str">
        <x:v>Greevey and Logan's investigation into a black teenager's claim that she was raped by white policemen is hampered by a publicity hungry, black politician who will not grant the detectives access to the victim.</x:v>
      </x:c>
      <x:c r="P43" s="53" t="str">
        <x:v>Core Law &amp; Order franchise</x:v>
      </x:c>
      <x:c r="Q43" s="17" t="str">
        <x:v>34065</x:v>
      </x:c>
      <x:c r="R43" s="17" t="str">
        <x:v>tt0629362</x:v>
      </x:c>
      <x:c r="S43" s="17" t="str"/>
      <x:c r="T43" s="1"/>
      <x:c r="U43" s="1"/>
      <x:c r="V43" s="1"/>
      <x:c r="W43" s="1"/>
      <x:c r="X43" s="1"/>
      <x:c r="Y43" s="1"/>
      <x:c r="Z43" s="1"/>
    </x:row>
    <x:row r="44">
      <x:c r="A44" s="43" t="n">
        <x:v>40</x:v>
      </x:c>
      <x:c r="B44" s="44" t="str">
        <x:v>Not Started</x:v>
      </x:c>
      <x:c r="C44" s="45" t="n">
        <x:v>33246</x:v>
      </x:c>
      <x:c r="D44" s="33" t="str">
        <x:v>Law &amp; Order</x:v>
      </x:c>
      <x:c r="E44" s="33" t="str">
        <x:v>Law &amp; Order</x:v>
      </x:c>
      <x:c r="F44" s="33" t="str">
        <x:v>core</x:v>
      </x:c>
      <x:c r="G44" s="50" t="n">
        <x:v>1</x:v>
      </x:c>
      <x:c r="H44" s="50" t="n">
        <x:v>12</x:v>
      </x:c>
      <x:c r="I44" s="44" t="str">
        <x:v>01.12</x:v>
      </x:c>
      <x:c r="J44" s="33" t="str">
        <x:v>Life Choice</x:v>
      </x:c>
      <x:c r="K44" s="33" t="str"/>
      <x:c r="L44" s="33" t="str"/>
      <x:c r="M44" s="44" t="str"/>
      <x:c r="N44" s="50" t="n">
        <x:v>48</x:v>
      </x:c>
      <x:c r="O44" s="53" t="str">
        <x:v>Stone faces pressure from the public and from Schiff as he prepares to prosecute the person accused of bombing an abortion clinic.</x:v>
      </x:c>
      <x:c r="P44" s="53" t="str">
        <x:v>Core Law &amp; Order franchise</x:v>
      </x:c>
      <x:c r="Q44" s="17" t="str">
        <x:v>34066</x:v>
      </x:c>
      <x:c r="R44" s="17" t="str">
        <x:v>tt0629328</x:v>
      </x:c>
      <x:c r="S44" s="17" t="str"/>
      <x:c r="T44" s="1"/>
      <x:c r="U44" s="1"/>
      <x:c r="V44" s="1"/>
      <x:c r="W44" s="1"/>
      <x:c r="X44" s="1"/>
      <x:c r="Y44" s="1"/>
      <x:c r="Z44" s="1"/>
    </x:row>
    <x:row r="45">
      <x:c r="A45" s="43" t="n">
        <x:v>41</x:v>
      </x:c>
      <x:c r="B45" s="44" t="str">
        <x:v>Not Started</x:v>
      </x:c>
      <x:c r="C45" s="45" t="n">
        <x:v>33253</x:v>
      </x:c>
      <x:c r="D45" s="33" t="str">
        <x:v>Law &amp; Order</x:v>
      </x:c>
      <x:c r="E45" s="33" t="str">
        <x:v>Law &amp; Order</x:v>
      </x:c>
      <x:c r="F45" s="33" t="str">
        <x:v>core</x:v>
      </x:c>
      <x:c r="G45" s="50" t="n">
        <x:v>1</x:v>
      </x:c>
      <x:c r="H45" s="50" t="n">
        <x:v>13</x:v>
      </x:c>
      <x:c r="I45" s="44" t="str">
        <x:v>01.13</x:v>
      </x:c>
      <x:c r="J45" s="33" t="str">
        <x:v>A Death in the Family</x:v>
      </x:c>
      <x:c r="K45" s="33" t="str"/>
      <x:c r="L45" s="33" t="str"/>
      <x:c r="M45" s="44" t="str"/>
      <x:c r="N45" s="50" t="n">
        <x:v>46</x:v>
      </x:c>
      <x:c r="O45" s="53" t="str">
        <x:v>Police start a citywide manhunt for a man suspected of killing a cop during a rooftop pursuit.</x:v>
      </x:c>
      <x:c r="P45" s="53" t="str">
        <x:v>Core Law &amp; Order franchise</x:v>
      </x:c>
      <x:c r="Q45" s="17" t="str">
        <x:v>34067</x:v>
      </x:c>
      <x:c r="R45" s="17" t="str">
        <x:v>tt0629140</x:v>
      </x:c>
      <x:c r="S45" s="17" t="str"/>
      <x:c r="T45" s="1"/>
      <x:c r="U45" s="1"/>
      <x:c r="V45" s="1"/>
      <x:c r="W45" s="1"/>
      <x:c r="X45" s="1"/>
      <x:c r="Y45" s="1"/>
      <x:c r="Z45" s="1"/>
    </x:row>
    <x:row r="46">
      <x:c r="A46" s="43" t="n">
        <x:v>42</x:v>
      </x:c>
      <x:c r="B46" s="44" t="str">
        <x:v>Not Started</x:v>
      </x:c>
      <x:c r="C46" s="45" t="n">
        <x:v>33274</x:v>
      </x:c>
      <x:c r="D46" s="33" t="str">
        <x:v>Law &amp; Order</x:v>
      </x:c>
      <x:c r="E46" s="33" t="str">
        <x:v>Law &amp; Order</x:v>
      </x:c>
      <x:c r="F46" s="33" t="str">
        <x:v>core</x:v>
      </x:c>
      <x:c r="G46" s="50" t="n">
        <x:v>1</x:v>
      </x:c>
      <x:c r="H46" s="50" t="n">
        <x:v>14</x:v>
      </x:c>
      <x:c r="I46" s="44" t="str">
        <x:v>01.14</x:v>
      </x:c>
      <x:c r="J46" s="33" t="str">
        <x:v>The Violence of Summer</x:v>
      </x:c>
      <x:c r="K46" s="33" t="str"/>
      <x:c r="L46" s="33" t="str"/>
      <x:c r="M46" s="44" t="str"/>
      <x:c r="N46" s="50" t="n">
        <x:v>47</x:v>
      </x:c>
      <x:c r="O46" s="53" t="str">
        <x:v>Greevey and Logan reopen an investigation to help Stone and Robinette build a stronger case against three boys accused of gang-raping a TV reporter.</x:v>
      </x:c>
      <x:c r="P46" s="53" t="str">
        <x:v>Core Law &amp; Order franchise</x:v>
      </x:c>
      <x:c r="Q46" s="17" t="str">
        <x:v>34068</x:v>
      </x:c>
      <x:c r="R46" s="17" t="str">
        <x:v>tt0629466</x:v>
      </x:c>
      <x:c r="S46" s="17" t="str"/>
      <x:c r="T46" s="1"/>
      <x:c r="U46" s="1"/>
      <x:c r="V46" s="1"/>
      <x:c r="W46" s="1"/>
      <x:c r="X46" s="1"/>
      <x:c r="Y46" s="1"/>
      <x:c r="Z46" s="1"/>
    </x:row>
    <x:row r="47">
      <x:c r="A47" s="43" t="n">
        <x:v>43</x:v>
      </x:c>
      <x:c r="B47" s="44" t="str">
        <x:v>Not Started</x:v>
      </x:c>
      <x:c r="C47" s="45" t="n">
        <x:v>33281</x:v>
      </x:c>
      <x:c r="D47" s="33" t="str">
        <x:v>Law &amp; Order</x:v>
      </x:c>
      <x:c r="E47" s="33" t="str">
        <x:v>Law &amp; Order</x:v>
      </x:c>
      <x:c r="F47" s="33" t="str">
        <x:v>core</x:v>
      </x:c>
      <x:c r="G47" s="50" t="n">
        <x:v>1</x:v>
      </x:c>
      <x:c r="H47" s="50" t="n">
        <x:v>15</x:v>
      </x:c>
      <x:c r="I47" s="44" t="str">
        <x:v>01.15</x:v>
      </x:c>
      <x:c r="J47" s="33" t="str">
        <x:v>The Torrents of Greed (1)</x:v>
      </x:c>
      <x:c r="K47" s="33" t="str"/>
      <x:c r="L47" s="33" t="str"/>
      <x:c r="M47" s="44" t="str"/>
      <x:c r="N47" s="50" t="n">
        <x:v>48</x:v>
      </x:c>
      <x:c r="O47" s="53" t="str">
        <x:v>An assault on a candy storeowner leads Stone and Robinette to build a case against a powerful mafia don.</x:v>
      </x:c>
      <x:c r="P47" s="53" t="str">
        <x:v>Core Law &amp; Order franchise</x:v>
      </x:c>
      <x:c r="Q47" s="17" t="str">
        <x:v>34069</x:v>
      </x:c>
      <x:c r="R47" s="17" t="str">
        <x:v>tt0629463</x:v>
      </x:c>
      <x:c r="S47" s="17" t="str"/>
      <x:c r="T47" s="1"/>
      <x:c r="U47" s="1"/>
      <x:c r="V47" s="1"/>
      <x:c r="W47" s="1"/>
      <x:c r="X47" s="1"/>
      <x:c r="Y47" s="1"/>
      <x:c r="Z47" s="1"/>
    </x:row>
    <x:row r="48">
      <x:c r="A48" s="43" t="n">
        <x:v>44</x:v>
      </x:c>
      <x:c r="B48" s="44" t="str">
        <x:v>Not Started</x:v>
      </x:c>
      <x:c r="C48" s="45" t="n">
        <x:v>33288</x:v>
      </x:c>
      <x:c r="D48" s="33" t="str">
        <x:v>Law &amp; Order</x:v>
      </x:c>
      <x:c r="E48" s="33" t="str">
        <x:v>Law &amp; Order</x:v>
      </x:c>
      <x:c r="F48" s="33" t="str">
        <x:v>core</x:v>
      </x:c>
      <x:c r="G48" s="50" t="n">
        <x:v>1</x:v>
      </x:c>
      <x:c r="H48" s="50" t="n">
        <x:v>16</x:v>
      </x:c>
      <x:c r="I48" s="44" t="str">
        <x:v>01.16</x:v>
      </x:c>
      <x:c r="J48" s="33" t="str">
        <x:v>The Torrents of Greed (2)</x:v>
      </x:c>
      <x:c r="K48" s="33" t="str"/>
      <x:c r="L48" s="33" t="str"/>
      <x:c r="M48" s="44" t="str"/>
      <x:c r="N48" s="50" t="n">
        <x:v>47</x:v>
      </x:c>
      <x:c r="O48" s="53" t="str">
        <x:v>Stone tries to salvage his prosecution of the Masucci family when Beigel faces bribery charges and seems willing to turn against his brother-in-law.</x:v>
      </x:c>
      <x:c r="P48" s="53" t="str">
        <x:v>Core Law &amp; Order franchise</x:v>
      </x:c>
      <x:c r="Q48" s="17" t="str">
        <x:v>34070</x:v>
      </x:c>
      <x:c r="R48" s="17" t="str">
        <x:v>tt0629464</x:v>
      </x:c>
      <x:c r="S48" s="17" t="str"/>
      <x:c r="T48" s="1"/>
      <x:c r="U48" s="1"/>
      <x:c r="V48" s="1"/>
      <x:c r="W48" s="1"/>
      <x:c r="X48" s="1"/>
      <x:c r="Y48" s="1"/>
      <x:c r="Z48" s="1"/>
    </x:row>
    <x:row r="49">
      <x:c r="A49" s="43" t="n">
        <x:v>45</x:v>
      </x:c>
      <x:c r="B49" s="44" t="str">
        <x:v>Not Started</x:v>
      </x:c>
      <x:c r="C49" s="45" t="n">
        <x:v>33295</x:v>
      </x:c>
      <x:c r="D49" s="33" t="str">
        <x:v>Law &amp; Order</x:v>
      </x:c>
      <x:c r="E49" s="33" t="str">
        <x:v>Law &amp; Order</x:v>
      </x:c>
      <x:c r="F49" s="33" t="str">
        <x:v>core</x:v>
      </x:c>
      <x:c r="G49" s="50" t="n">
        <x:v>1</x:v>
      </x:c>
      <x:c r="H49" s="50" t="n">
        <x:v>17</x:v>
      </x:c>
      <x:c r="I49" s="44" t="str">
        <x:v>01.17</x:v>
      </x:c>
      <x:c r="J49" s="33" t="str">
        <x:v>Mushrooms</x:v>
      </x:c>
      <x:c r="K49" s="33" t="str"/>
      <x:c r="L49" s="33" t="str"/>
      <x:c r="M49" s="44" t="str"/>
      <x:c r="N49" s="50" t="n">
        <x:v>48</x:v>
      </x:c>
      <x:c r="O49" s="53" t="str">
        <x:v>The accidental shooting of two children by a 14-year-old hired killer leads to a drug dealer and a real estate agent.</x:v>
      </x:c>
      <x:c r="P49" s="53" t="str">
        <x:v>Core Law &amp; Order franchise</x:v>
      </x:c>
      <x:c r="Q49" s="17" t="str">
        <x:v>34071</x:v>
      </x:c>
      <x:c r="R49" s="17" t="str">
        <x:v>tt0629349</x:v>
      </x:c>
      <x:c r="S49" s="17" t="str"/>
      <x:c r="T49" s="1"/>
      <x:c r="U49" s="1"/>
      <x:c r="V49" s="1"/>
      <x:c r="W49" s="1"/>
      <x:c r="X49" s="1"/>
      <x:c r="Y49" s="1"/>
      <x:c r="Z49" s="1"/>
    </x:row>
    <x:row r="50">
      <x:c r="A50" s="43" t="n">
        <x:v>46</x:v>
      </x:c>
      <x:c r="B50" s="44" t="str">
        <x:v>Not Started</x:v>
      </x:c>
      <x:c r="C50" s="45" t="n">
        <x:v>33309</x:v>
      </x:c>
      <x:c r="D50" s="33" t="str">
        <x:v>Law &amp; Order</x:v>
      </x:c>
      <x:c r="E50" s="33" t="str">
        <x:v>Law &amp; Order</x:v>
      </x:c>
      <x:c r="F50" s="33" t="str">
        <x:v>core</x:v>
      </x:c>
      <x:c r="G50" s="50" t="n">
        <x:v>1</x:v>
      </x:c>
      <x:c r="H50" s="50" t="n">
        <x:v>18</x:v>
      </x:c>
      <x:c r="I50" s="44" t="str">
        <x:v>01.18</x:v>
      </x:c>
      <x:c r="J50" s="33" t="str">
        <x:v>The Secret Sharers</x:v>
      </x:c>
      <x:c r="K50" s="33" t="str"/>
      <x:c r="L50" s="33" t="str"/>
      <x:c r="M50" s="44" t="str"/>
      <x:c r="N50" s="50" t="n">
        <x:v>48</x:v>
      </x:c>
      <x:c r="O50" s="53" t="str">
        <x:v>Stone faces a flashy Texas lawyer and a hostile community as he tries to prosecute a young man accused of killing a drug dealer.</x:v>
      </x:c>
      <x:c r="P50" s="53" t="str">
        <x:v>Core Law &amp; Order franchise</x:v>
      </x:c>
      <x:c r="Q50" s="17" t="str">
        <x:v>34072</x:v>
      </x:c>
      <x:c r="R50" s="17" t="str">
        <x:v>tt0629460</x:v>
      </x:c>
      <x:c r="S50" s="17" t="str"/>
      <x:c r="T50" s="1"/>
      <x:c r="U50" s="1"/>
      <x:c r="V50" s="1"/>
      <x:c r="W50" s="1"/>
      <x:c r="X50" s="1"/>
      <x:c r="Y50" s="1"/>
      <x:c r="Z50" s="1"/>
    </x:row>
    <x:row r="51">
      <x:c r="A51" s="43" t="n">
        <x:v>47</x:v>
      </x:c>
      <x:c r="B51" s="44" t="str">
        <x:v>Not Started</x:v>
      </x:c>
      <x:c r="C51" s="45" t="n">
        <x:v>33316</x:v>
      </x:c>
      <x:c r="D51" s="33" t="str">
        <x:v>Law &amp; Order</x:v>
      </x:c>
      <x:c r="E51" s="33" t="str">
        <x:v>Law &amp; Order</x:v>
      </x:c>
      <x:c r="F51" s="33" t="str">
        <x:v>core</x:v>
      </x:c>
      <x:c r="G51" s="50" t="n">
        <x:v>1</x:v>
      </x:c>
      <x:c r="H51" s="50" t="n">
        <x:v>19</x:v>
      </x:c>
      <x:c r="I51" s="44" t="str">
        <x:v>01.19</x:v>
      </x:c>
      <x:c r="J51" s="33" t="str">
        <x:v>The Serpent's Tooth</x:v>
      </x:c>
      <x:c r="K51" s="33" t="str"/>
      <x:c r="L51" s="33" t="str"/>
      <x:c r="M51" s="44" t="str"/>
      <x:c r="N51" s="50" t="n">
        <x:v>48</x:v>
      </x:c>
      <x:c r="O51" s="53" t="str">
        <x:v>Two brothers appear to be the logical suspects in the murder of their wealthy parents.</x:v>
      </x:c>
      <x:c r="P51" s="53" t="str">
        <x:v>Core Law &amp; Order franchise</x:v>
      </x:c>
      <x:c r="Q51" s="17" t="str">
        <x:v>34073</x:v>
      </x:c>
      <x:c r="R51" s="17" t="str">
        <x:v>tt0629461</x:v>
      </x:c>
      <x:c r="S51" s="17" t="str"/>
      <x:c r="T51" s="1"/>
      <x:c r="U51" s="1"/>
      <x:c r="V51" s="1"/>
      <x:c r="W51" s="1"/>
      <x:c r="X51" s="1"/>
      <x:c r="Y51" s="1"/>
      <x:c r="Z51" s="1"/>
    </x:row>
    <x:row r="52">
      <x:c r="A52" s="43" t="n">
        <x:v>48</x:v>
      </x:c>
      <x:c r="B52" s="44" t="str">
        <x:v>Not Started</x:v>
      </x:c>
      <x:c r="C52" s="45" t="n">
        <x:v>33323</x:v>
      </x:c>
      <x:c r="D52" s="33" t="str">
        <x:v>Law &amp; Order</x:v>
      </x:c>
      <x:c r="E52" s="33" t="str">
        <x:v>Law &amp; Order</x:v>
      </x:c>
      <x:c r="F52" s="33" t="str">
        <x:v>core</x:v>
      </x:c>
      <x:c r="G52" s="50" t="n">
        <x:v>1</x:v>
      </x:c>
      <x:c r="H52" s="50" t="n">
        <x:v>20</x:v>
      </x:c>
      <x:c r="I52" s="44" t="str">
        <x:v>01.20</x:v>
      </x:c>
      <x:c r="J52" s="33" t="str">
        <x:v>The Troubles</x:v>
      </x:c>
      <x:c r="K52" s="33" t="str"/>
      <x:c r="L52" s="33" t="str"/>
      <x:c r="M52" s="44" t="str"/>
      <x:c r="N52" s="50" t="n">
        <x:v>47</x:v>
      </x:c>
      <x:c r="O52" s="53" t="str">
        <x:v>Logan is forced to face his cultural biases when both a Cuban drug dealer and an Irish terrorist are suspected of killing a Lebanese gunrunner.</x:v>
      </x:c>
      <x:c r="P52" s="53" t="str">
        <x:v>Core Law &amp; Order franchise</x:v>
      </x:c>
      <x:c r="Q52" s="17" t="str">
        <x:v>34074</x:v>
      </x:c>
      <x:c r="R52" s="17" t="str">
        <x:v>tt0629465</x:v>
      </x:c>
      <x:c r="S52" s="17" t="str"/>
      <x:c r="T52" s="1"/>
      <x:c r="U52" s="1"/>
      <x:c r="V52" s="1"/>
      <x:c r="W52" s="1"/>
      <x:c r="X52" s="1"/>
      <x:c r="Y52" s="1"/>
      <x:c r="Z52" s="1"/>
    </x:row>
    <x:row r="53">
      <x:c r="A53" s="43" t="n">
        <x:v>49</x:v>
      </x:c>
      <x:c r="B53" s="44" t="str">
        <x:v>Not Started</x:v>
      </x:c>
      <x:c r="C53" s="45" t="n">
        <x:v>33330</x:v>
      </x:c>
      <x:c r="D53" s="33" t="str">
        <x:v>Law &amp; Order</x:v>
      </x:c>
      <x:c r="E53" s="33" t="str">
        <x:v>Law &amp; Order</x:v>
      </x:c>
      <x:c r="F53" s="33" t="str">
        <x:v>core</x:v>
      </x:c>
      <x:c r="G53" s="50" t="n">
        <x:v>1</x:v>
      </x:c>
      <x:c r="H53" s="50" t="n">
        <x:v>21</x:v>
      </x:c>
      <x:c r="I53" s="44" t="str">
        <x:v>01.21</x:v>
      </x:c>
      <x:c r="J53" s="33" t="str">
        <x:v>Sonata for Solo Organ</x:v>
      </x:c>
      <x:c r="K53" s="33" t="str"/>
      <x:c r="L53" s="33" t="str"/>
      <x:c r="M53" s="44" t="str"/>
      <x:c r="N53" s="50" t="n">
        <x:v>47</x:v>
      </x:c>
      <x:c r="O53" s="53" t="str">
        <x:v>Stone and Robinette prosecute a surgeon and the wealthy father of a transplant patient for illegally obtaining a kidney.</x:v>
      </x:c>
      <x:c r="P53" s="53" t="str">
        <x:v>Core Law &amp; Order franchise</x:v>
      </x:c>
      <x:c r="Q53" s="17" t="str">
        <x:v>34075</x:v>
      </x:c>
      <x:c r="R53" s="17" t="str">
        <x:v>tt0629431</x:v>
      </x:c>
      <x:c r="S53" s="17" t="str"/>
      <x:c r="T53" s="1"/>
      <x:c r="U53" s="1"/>
      <x:c r="V53" s="1"/>
      <x:c r="W53" s="1"/>
      <x:c r="X53" s="1"/>
      <x:c r="Y53" s="1"/>
      <x:c r="Z53" s="1"/>
    </x:row>
    <x:row r="54">
      <x:c r="A54" s="43" t="n">
        <x:v>50</x:v>
      </x:c>
      <x:c r="B54" s="44" t="str">
        <x:v>Not Started</x:v>
      </x:c>
      <x:c r="C54" s="45" t="n">
        <x:v>33398</x:v>
      </x:c>
      <x:c r="D54" s="33" t="str">
        <x:v>Law &amp; Order</x:v>
      </x:c>
      <x:c r="E54" s="33" t="str">
        <x:v>Law &amp; Order</x:v>
      </x:c>
      <x:c r="F54" s="33" t="str">
        <x:v>core</x:v>
      </x:c>
      <x:c r="G54" s="50" t="n">
        <x:v>1</x:v>
      </x:c>
      <x:c r="H54" s="50" t="n">
        <x:v>22</x:v>
      </x:c>
      <x:c r="I54" s="44" t="str">
        <x:v>01.22</x:v>
      </x:c>
      <x:c r="J54" s="33" t="str">
        <x:v>The Blue Wall</x:v>
      </x:c>
      <x:c r="K54" s="33" t="str"/>
      <x:c r="L54" s="33" t="str"/>
      <x:c r="M54" s="44" t="str"/>
      <x:c r="N54" s="50" t="n">
        <x:v>48</x:v>
      </x:c>
      <x:c r="O54" s="53" t="str">
        <x:v>Cragen comes under suspicion when his mentor in the department is investigated for laundering drug money.</x:v>
      </x:c>
      <x:c r="P54" s="53" t="str">
        <x:v>Core Law &amp; Order franchise</x:v>
      </x:c>
      <x:c r="Q54" s="17" t="str">
        <x:v>34076</x:v>
      </x:c>
      <x:c r="R54" s="17" t="str">
        <x:v>tt0629451</x:v>
      </x:c>
      <x:c r="S54" s="17" t="str"/>
      <x:c r="T54" s="1"/>
      <x:c r="U54" s="1"/>
      <x:c r="V54" s="1"/>
      <x:c r="W54" s="1"/>
      <x:c r="X54" s="1"/>
      <x:c r="Y54" s="1"/>
      <x:c r="Z54" s="1"/>
    </x:row>
    <x:row r="55">
      <x:c r="A55" s="43" t="n">
        <x:v>51</x:v>
      </x:c>
      <x:c r="B55" s="44" t="str">
        <x:v>Not Started</x:v>
      </x:c>
      <x:c r="C55" s="45" t="n">
        <x:v>33498</x:v>
      </x:c>
      <x:c r="D55" s="33" t="str">
        <x:v>Law &amp; Order</x:v>
      </x:c>
      <x:c r="E55" s="33" t="str">
        <x:v>Law &amp; Order</x:v>
      </x:c>
      <x:c r="F55" s="33" t="str">
        <x:v>core</x:v>
      </x:c>
      <x:c r="G55" s="50" t="n">
        <x:v>2</x:v>
      </x:c>
      <x:c r="H55" s="50" t="n">
        <x:v>1</x:v>
      </x:c>
      <x:c r="I55" s="44" t="str">
        <x:v>02.01</x:v>
      </x:c>
      <x:c r="J55" s="33" t="str">
        <x:v>Confession</x:v>
      </x:c>
      <x:c r="K55" s="33" t="str"/>
      <x:c r="L55" s="33" t="str"/>
      <x:c r="M55" s="44" t="str"/>
      <x:c r="N55" s="50" t="n">
        <x:v>46</x:v>
      </x:c>
      <x:c r="O55" s="53" t="str">
        <x:v>Logan crosses the line in order to obtain a confession from the man suspected of murdering Max Greevey. Stone finds that his prosecution is placed in jeopardy because of Logan's actions.</x:v>
      </x:c>
      <x:c r="P55" s="53" t="str">
        <x:v>Core Law &amp; Order franchise</x:v>
      </x:c>
      <x:c r="Q55" s="17" t="str">
        <x:v>34077</x:v>
      </x:c>
      <x:c r="R55" s="17" t="str">
        <x:v>tt0629213</x:v>
      </x:c>
      <x:c r="S55" s="17" t="str"/>
      <x:c r="T55" s="1"/>
      <x:c r="U55" s="1"/>
      <x:c r="V55" s="1"/>
      <x:c r="W55" s="1"/>
      <x:c r="X55" s="1"/>
      <x:c r="Y55" s="1"/>
      <x:c r="Z55" s="1"/>
    </x:row>
    <x:row r="56">
      <x:c r="A56" s="43" t="n">
        <x:v>52</x:v>
      </x:c>
      <x:c r="B56" s="44" t="str">
        <x:v>Not Started</x:v>
      </x:c>
      <x:c r="C56" s="45" t="n">
        <x:v>33505</x:v>
      </x:c>
      <x:c r="D56" s="33" t="str">
        <x:v>Law &amp; Order</x:v>
      </x:c>
      <x:c r="E56" s="33" t="str">
        <x:v>Law &amp; Order</x:v>
      </x:c>
      <x:c r="F56" s="33" t="str">
        <x:v>core</x:v>
      </x:c>
      <x:c r="G56" s="50" t="n">
        <x:v>2</x:v>
      </x:c>
      <x:c r="H56" s="50" t="n">
        <x:v>2</x:v>
      </x:c>
      <x:c r="I56" s="44" t="str">
        <x:v>02.02</x:v>
      </x:c>
      <x:c r="J56" s="33" t="str">
        <x:v>The Wages of Love</x:v>
      </x:c>
      <x:c r="K56" s="33" t="str"/>
      <x:c r="L56" s="33" t="str"/>
      <x:c r="M56" s="44" t="str"/>
      <x:c r="N56" s="50" t="n">
        <x:v>48</x:v>
      </x:c>
      <x:c r="O56" s="53" t="str">
        <x:v>A double homicide casts suspicion on both the ex-wife and the former boyfriend of the murdered duo, with the dead man's murdered son holding the key to the mystery.</x:v>
      </x:c>
      <x:c r="P56" s="53" t="str">
        <x:v>Core Law &amp; Order franchise</x:v>
      </x:c>
      <x:c r="Q56" s="17" t="str">
        <x:v>34078</x:v>
      </x:c>
      <x:c r="R56" s="17" t="str">
        <x:v>tt0629467</x:v>
      </x:c>
      <x:c r="S56" s="17" t="str"/>
      <x:c r="T56" s="1"/>
      <x:c r="U56" s="1"/>
      <x:c r="V56" s="1"/>
      <x:c r="W56" s="1"/>
      <x:c r="X56" s="1"/>
      <x:c r="Y56" s="1"/>
      <x:c r="Z56" s="1"/>
    </x:row>
    <x:row r="57">
      <x:c r="A57" s="43" t="n">
        <x:v>53</x:v>
      </x:c>
      <x:c r="B57" s="44" t="str">
        <x:v>Not Started</x:v>
      </x:c>
      <x:c r="C57" s="45" t="n">
        <x:v>33512</x:v>
      </x:c>
      <x:c r="D57" s="33" t="str">
        <x:v>Law &amp; Order</x:v>
      </x:c>
      <x:c r="E57" s="33" t="str">
        <x:v>Law &amp; Order</x:v>
      </x:c>
      <x:c r="F57" s="33" t="str">
        <x:v>core</x:v>
      </x:c>
      <x:c r="G57" s="50" t="n">
        <x:v>2</x:v>
      </x:c>
      <x:c r="H57" s="50" t="n">
        <x:v>3</x:v>
      </x:c>
      <x:c r="I57" s="44" t="str">
        <x:v>02.03</x:v>
      </x:c>
      <x:c r="J57" s="33" t="str">
        <x:v>Aria</x:v>
      </x:c>
      <x:c r="K57" s="33" t="str"/>
      <x:c r="L57" s="33" t="str"/>
      <x:c r="M57" s="44" t="str"/>
      <x:c r="N57" s="50" t="n">
        <x:v>48</x:v>
      </x:c>
      <x:c r="O57" s="53" t="str">
        <x:v>A lethal drug overdose leads the detectives to an aggressive stage mother and a pornographic movie producer.</x:v>
      </x:c>
      <x:c r="P57" s="53" t="str">
        <x:v>Core Law &amp; Order franchise</x:v>
      </x:c>
      <x:c r="Q57" s="17" t="str">
        <x:v>34079</x:v>
      </x:c>
      <x:c r="R57" s="17" t="str">
        <x:v>tt0394752</x:v>
      </x:c>
      <x:c r="S57" s="17" t="str"/>
      <x:c r="T57" s="1"/>
      <x:c r="U57" s="1"/>
      <x:c r="V57" s="1"/>
      <x:c r="W57" s="1"/>
      <x:c r="X57" s="1"/>
      <x:c r="Y57" s="1"/>
      <x:c r="Z57" s="1"/>
    </x:row>
    <x:row r="58">
      <x:c r="A58" s="43" t="n">
        <x:v>54</x:v>
      </x:c>
      <x:c r="B58" s="44" t="str">
        <x:v>Not Started</x:v>
      </x:c>
      <x:c r="C58" s="45" t="n">
        <x:v>33519</x:v>
      </x:c>
      <x:c r="D58" s="33" t="str">
        <x:v>Law &amp; Order</x:v>
      </x:c>
      <x:c r="E58" s="33" t="str">
        <x:v>Law &amp; Order</x:v>
      </x:c>
      <x:c r="F58" s="33" t="str">
        <x:v>core</x:v>
      </x:c>
      <x:c r="G58" s="50" t="n">
        <x:v>2</x:v>
      </x:c>
      <x:c r="H58" s="50" t="n">
        <x:v>4</x:v>
      </x:c>
      <x:c r="I58" s="44" t="str">
        <x:v>02.04</x:v>
      </x:c>
      <x:c r="J58" s="33" t="str">
        <x:v>Asylum</x:v>
      </x:c>
      <x:c r="K58" s="33" t="str"/>
      <x:c r="L58" s="33" t="str"/>
      <x:c r="M58" s="44" t="str"/>
      <x:c r="N58" s="50" t="n">
        <x:v>47</x:v>
      </x:c>
      <x:c r="O58" s="53" t="str">
        <x:v>The conviction of a homeless man for murder is threatened on appeal based on the lack of a search warrant for his "home", which was a lean-to in Central Park.</x:v>
      </x:c>
      <x:c r="P58" s="53" t="str">
        <x:v>Core Law &amp; Order franchise</x:v>
      </x:c>
      <x:c r="Q58" s="17" t="str">
        <x:v>34080</x:v>
      </x:c>
      <x:c r="R58" s="17" t="str">
        <x:v>tt0629163</x:v>
      </x:c>
      <x:c r="S58" s="17" t="str"/>
      <x:c r="T58" s="1"/>
      <x:c r="U58" s="1"/>
      <x:c r="V58" s="1"/>
      <x:c r="W58" s="1"/>
      <x:c r="X58" s="1"/>
      <x:c r="Y58" s="1"/>
      <x:c r="Z58" s="1"/>
    </x:row>
    <x:row r="59">
      <x:c r="A59" s="43" t="n">
        <x:v>55</x:v>
      </x:c>
      <x:c r="B59" s="44" t="str">
        <x:v>Not Started</x:v>
      </x:c>
      <x:c r="C59" s="45" t="n">
        <x:v>33533</x:v>
      </x:c>
      <x:c r="D59" s="33" t="str">
        <x:v>Law &amp; Order</x:v>
      </x:c>
      <x:c r="E59" s="33" t="str">
        <x:v>Law &amp; Order</x:v>
      </x:c>
      <x:c r="F59" s="33" t="str">
        <x:v>core</x:v>
      </x:c>
      <x:c r="G59" s="50" t="n">
        <x:v>2</x:v>
      </x:c>
      <x:c r="H59" s="50" t="n">
        <x:v>5</x:v>
      </x:c>
      <x:c r="I59" s="44" t="str">
        <x:v>02.05</x:v>
      </x:c>
      <x:c r="J59" s="33" t="str">
        <x:v>God Bless the Child</x:v>
      </x:c>
      <x:c r="K59" s="33" t="str"/>
      <x:c r="L59" s="33" t="str"/>
      <x:c r="M59" s="44" t="str"/>
      <x:c r="N59" s="50" t="n">
        <x:v>48</x:v>
      </x:c>
      <x:c r="O59" s="53" t="str">
        <x:v>A couple faces trial after they deny medical help to their daughter based on their religious beliefs.</x:v>
      </x:c>
      <x:c r="P59" s="53" t="str">
        <x:v>Core Law &amp; Order franchise</x:v>
      </x:c>
      <x:c r="Q59" s="17" t="str">
        <x:v>34081</x:v>
      </x:c>
      <x:c r="R59" s="17" t="str">
        <x:v>tt0629279</x:v>
      </x:c>
      <x:c r="S59" s="17" t="str"/>
      <x:c r="T59" s="1"/>
      <x:c r="U59" s="1"/>
      <x:c r="V59" s="1"/>
      <x:c r="W59" s="1"/>
      <x:c r="X59" s="1"/>
      <x:c r="Y59" s="1"/>
      <x:c r="Z59" s="1"/>
    </x:row>
    <x:row r="60">
      <x:c r="A60" s="43" t="n">
        <x:v>56</x:v>
      </x:c>
      <x:c r="B60" s="44" t="str">
        <x:v>Not Started</x:v>
      </x:c>
      <x:c r="C60" s="45" t="n">
        <x:v>33540</x:v>
      </x:c>
      <x:c r="D60" s="33" t="str">
        <x:v>Law &amp; Order</x:v>
      </x:c>
      <x:c r="E60" s="33" t="str">
        <x:v>Law &amp; Order</x:v>
      </x:c>
      <x:c r="F60" s="33" t="str">
        <x:v>core</x:v>
      </x:c>
      <x:c r="G60" s="50" t="n">
        <x:v>2</x:v>
      </x:c>
      <x:c r="H60" s="50" t="n">
        <x:v>6</x:v>
      </x:c>
      <x:c r="I60" s="44" t="str">
        <x:v>02.06</x:v>
      </x:c>
      <x:c r="J60" s="33" t="str">
        <x:v>Misconception</x:v>
      </x:c>
      <x:c r="K60" s="33" t="str"/>
      <x:c r="L60" s="33" t="str"/>
      <x:c r="M60" s="44" t="str"/>
      <x:c r="N60" s="50" t="n">
        <x:v>48</x:v>
      </x:c>
      <x:c r="O60" s="53" t="str">
        <x:v>The mugging of a pregnant legal secretary leads to a case involving her lover, her boss and charges of murder when she loses the baby.</x:v>
      </x:c>
      <x:c r="P60" s="53" t="str">
        <x:v>Core Law &amp; Order franchise</x:v>
      </x:c>
      <x:c r="Q60" s="17" t="str">
        <x:v>34082</x:v>
      </x:c>
      <x:c r="R60" s="17" t="str">
        <x:v>tt0629343</x:v>
      </x:c>
      <x:c r="S60" s="17" t="str"/>
      <x:c r="T60" s="1"/>
      <x:c r="U60" s="1"/>
      <x:c r="V60" s="1"/>
      <x:c r="W60" s="1"/>
      <x:c r="X60" s="1"/>
      <x:c r="Y60" s="1"/>
      <x:c r="Z60" s="1"/>
    </x:row>
    <x:row r="61">
      <x:c r="A61" s="43" t="n">
        <x:v>57</x:v>
      </x:c>
      <x:c r="B61" s="44" t="str">
        <x:v>Not Started</x:v>
      </x:c>
      <x:c r="C61" s="45" t="n">
        <x:v>33547</x:v>
      </x:c>
      <x:c r="D61" s="33" t="str">
        <x:v>Law &amp; Order</x:v>
      </x:c>
      <x:c r="E61" s="33" t="str">
        <x:v>Law &amp; Order</x:v>
      </x:c>
      <x:c r="F61" s="33" t="str">
        <x:v>core</x:v>
      </x:c>
      <x:c r="G61" s="50" t="n">
        <x:v>2</x:v>
      </x:c>
      <x:c r="H61" s="50" t="n">
        <x:v>7</x:v>
      </x:c>
      <x:c r="I61" s="44" t="str">
        <x:v>02.07</x:v>
      </x:c>
      <x:c r="J61" s="33" t="str">
        <x:v>In Memory Of</x:v>
      </x:c>
      <x:c r="K61" s="33" t="str"/>
      <x:c r="L61" s="33" t="str"/>
      <x:c r="M61" s="44" t="str"/>
      <x:c r="N61" s="50" t="n">
        <x:v>48</x:v>
      </x:c>
      <x:c r="O61" s="53" t="str">
        <x:v>The renovation of a brownstone uncovers the remains of a boy who disappeared 31 years earlier, reviving a wrenching and long-suppressed memory in his childhood friend and neighbor.</x:v>
      </x:c>
      <x:c r="P61" s="53" t="str">
        <x:v>Core Law &amp; Order franchise</x:v>
      </x:c>
      <x:c r="Q61" s="17" t="str">
        <x:v>34083</x:v>
      </x:c>
      <x:c r="R61" s="17" t="str">
        <x:v>tt0629311</x:v>
      </x:c>
      <x:c r="S61" s="17" t="str"/>
      <x:c r="T61" s="1"/>
      <x:c r="U61" s="1"/>
      <x:c r="V61" s="1"/>
      <x:c r="W61" s="1"/>
      <x:c r="X61" s="1"/>
      <x:c r="Y61" s="1"/>
      <x:c r="Z61" s="1"/>
    </x:row>
    <x:row r="62">
      <x:c r="A62" s="43" t="n">
        <x:v>58</x:v>
      </x:c>
      <x:c r="B62" s="44" t="str">
        <x:v>Not Started</x:v>
      </x:c>
      <x:c r="C62" s="45" t="n">
        <x:v>33554</x:v>
      </x:c>
      <x:c r="D62" s="33" t="str">
        <x:v>Law &amp; Order</x:v>
      </x:c>
      <x:c r="E62" s="33" t="str">
        <x:v>Law &amp; Order</x:v>
      </x:c>
      <x:c r="F62" s="33" t="str">
        <x:v>core</x:v>
      </x:c>
      <x:c r="G62" s="50" t="n">
        <x:v>2</x:v>
      </x:c>
      <x:c r="H62" s="50" t="n">
        <x:v>8</x:v>
      </x:c>
      <x:c r="I62" s="44" t="str">
        <x:v>02.08</x:v>
      </x:c>
      <x:c r="J62" s="33" t="str">
        <x:v>Out of Control</x:v>
      </x:c>
      <x:c r="K62" s="33" t="str"/>
      <x:c r="L62" s="33" t="str"/>
      <x:c r="M62" s="44" t="str"/>
      <x:c r="N62" s="50" t="n">
        <x:v>48</x:v>
      </x:c>
      <x:c r="O62" s="53" t="str">
        <x:v>The detectives investigate the gang rape of a college student during a fraternity Holloween party.</x:v>
      </x:c>
      <x:c r="P62" s="53" t="str">
        <x:v>Core Law &amp; Order franchise</x:v>
      </x:c>
      <x:c r="Q62" s="17" t="str">
        <x:v>34084</x:v>
      </x:c>
      <x:c r="R62" s="17" t="str">
        <x:v>tt0629361</x:v>
      </x:c>
      <x:c r="S62" s="17" t="str"/>
      <x:c r="T62" s="1"/>
      <x:c r="U62" s="1"/>
      <x:c r="V62" s="1"/>
      <x:c r="W62" s="1"/>
      <x:c r="X62" s="1"/>
      <x:c r="Y62" s="1"/>
      <x:c r="Z62" s="1"/>
    </x:row>
    <x:row r="63">
      <x:c r="A63" s="43" t="n">
        <x:v>59</x:v>
      </x:c>
      <x:c r="B63" s="44" t="str">
        <x:v>Not Started</x:v>
      </x:c>
      <x:c r="C63" s="45" t="n">
        <x:v>33561</x:v>
      </x:c>
      <x:c r="D63" s="33" t="str">
        <x:v>Law &amp; Order</x:v>
      </x:c>
      <x:c r="E63" s="33" t="str">
        <x:v>Law &amp; Order</x:v>
      </x:c>
      <x:c r="F63" s="33" t="str">
        <x:v>core</x:v>
      </x:c>
      <x:c r="G63" s="50" t="n">
        <x:v>2</x:v>
      </x:c>
      <x:c r="H63" s="50" t="n">
        <x:v>9</x:v>
      </x:c>
      <x:c r="I63" s="44" t="str">
        <x:v>02.09</x:v>
      </x:c>
      <x:c r="J63" s="33" t="str">
        <x:v>Renunciation</x:v>
      </x:c>
      <x:c r="K63" s="33" t="str"/>
      <x:c r="L63" s="33" t="str"/>
      <x:c r="M63" s="44" t="str"/>
      <x:c r="N63" s="50" t="n">
        <x:v>47</x:v>
      </x:c>
      <x:c r="O63" s="53" t="str">
        <x:v>A hit-and-run investigation leads to the discovery of a schoolteacher carrying on an affair with one of her students. Cerreta and Logan suspect that she may have manipulated him into killing her husband.</x:v>
      </x:c>
      <x:c r="P63" s="53" t="str">
        <x:v>Core Law &amp; Order franchise</x:v>
      </x:c>
      <x:c r="Q63" s="17" t="str">
        <x:v>34085</x:v>
      </x:c>
      <x:c r="R63" s="17" t="str">
        <x:v>tt0629400</x:v>
      </x:c>
      <x:c r="S63" s="17" t="str"/>
      <x:c r="T63" s="1"/>
      <x:c r="U63" s="1"/>
      <x:c r="V63" s="1"/>
      <x:c r="W63" s="1"/>
      <x:c r="X63" s="1"/>
      <x:c r="Y63" s="1"/>
      <x:c r="Z63" s="1"/>
    </x:row>
    <x:row r="64">
      <x:c r="A64" s="43" t="n">
        <x:v>60</x:v>
      </x:c>
      <x:c r="B64" s="44" t="str">
        <x:v>Not Started</x:v>
      </x:c>
      <x:c r="C64" s="45" t="n">
        <x:v>33568</x:v>
      </x:c>
      <x:c r="D64" s="33" t="str">
        <x:v>Law &amp; Order</x:v>
      </x:c>
      <x:c r="E64" s="33" t="str">
        <x:v>Law &amp; Order</x:v>
      </x:c>
      <x:c r="F64" s="33" t="str">
        <x:v>core</x:v>
      </x:c>
      <x:c r="G64" s="50" t="n">
        <x:v>2</x:v>
      </x:c>
      <x:c r="H64" s="50" t="n">
        <x:v>10</x:v>
      </x:c>
      <x:c r="I64" s="44" t="str">
        <x:v>02.10</x:v>
      </x:c>
      <x:c r="J64" s="33" t="str">
        <x:v>Heaven</x:v>
      </x:c>
      <x:c r="K64" s="33" t="str"/>
      <x:c r="L64" s="33" t="str"/>
      <x:c r="M64" s="44" t="str"/>
      <x:c r="N64" s="50" t="n">
        <x:v>47</x:v>
      </x:c>
      <x:c r="O64" s="53" t="str">
        <x:v>The investigation into a social-club fire which claimed 53 fatalities leads to a connection between arson, illegal immigrants and the sale of green cards.</x:v>
      </x:c>
      <x:c r="P64" s="53" t="str">
        <x:v>Core Law &amp; Order franchise</x:v>
      </x:c>
      <x:c r="Q64" s="17" t="str">
        <x:v>34086</x:v>
      </x:c>
      <x:c r="R64" s="17" t="str">
        <x:v>tt0629294</x:v>
      </x:c>
      <x:c r="S64" s="17" t="str"/>
      <x:c r="T64" s="1"/>
      <x:c r="U64" s="1"/>
      <x:c r="V64" s="1"/>
      <x:c r="W64" s="1"/>
      <x:c r="X64" s="1"/>
      <x:c r="Y64" s="1"/>
      <x:c r="Z64" s="1"/>
    </x:row>
    <x:row r="65">
      <x:c r="A65" s="43" t="n">
        <x:v>61</x:v>
      </x:c>
      <x:c r="B65" s="44" t="str">
        <x:v>Not Started</x:v>
      </x:c>
      <x:c r="C65" s="45" t="n">
        <x:v>33582</x:v>
      </x:c>
      <x:c r="D65" s="33" t="str">
        <x:v>Law &amp; Order</x:v>
      </x:c>
      <x:c r="E65" s="33" t="str">
        <x:v>Law &amp; Order</x:v>
      </x:c>
      <x:c r="F65" s="33" t="str">
        <x:v>core</x:v>
      </x:c>
      <x:c r="G65" s="50" t="n">
        <x:v>2</x:v>
      </x:c>
      <x:c r="H65" s="50" t="n">
        <x:v>11</x:v>
      </x:c>
      <x:c r="I65" s="44" t="str">
        <x:v>02.11</x:v>
      </x:c>
      <x:c r="J65" s="33" t="str">
        <x:v>His Hour Upon the Stage</x:v>
      </x:c>
      <x:c r="K65" s="33" t="str"/>
      <x:c r="L65" s="33" t="str"/>
      <x:c r="M65" s="44" t="str"/>
      <x:c r="N65" s="50" t="n">
        <x:v>48</x:v>
      </x:c>
      <x:c r="O65" s="53" t="str">
        <x:v>The discovery of a frozen corpse in a dumpster leads to rival Broadway producers.</x:v>
      </x:c>
      <x:c r="P65" s="53" t="str">
        <x:v>Core Law &amp; Order franchise</x:v>
      </x:c>
      <x:c r="Q65" s="17" t="str">
        <x:v>34087</x:v>
      </x:c>
      <x:c r="R65" s="17" t="str">
        <x:v>tt0629297</x:v>
      </x:c>
      <x:c r="S65" s="17" t="str"/>
      <x:c r="T65" s="1"/>
      <x:c r="U65" s="1"/>
      <x:c r="V65" s="1"/>
      <x:c r="W65" s="1"/>
      <x:c r="X65" s="1"/>
      <x:c r="Y65" s="1"/>
      <x:c r="Z65" s="1"/>
    </x:row>
    <x:row r="66">
      <x:c r="A66" s="43" t="n">
        <x:v>62</x:v>
      </x:c>
      <x:c r="B66" s="44" t="str">
        <x:v>Not Started</x:v>
      </x:c>
      <x:c r="C66" s="45" t="n">
        <x:v>33610</x:v>
      </x:c>
      <x:c r="D66" s="33" t="str">
        <x:v>Law &amp; Order</x:v>
      </x:c>
      <x:c r="E66" s="33" t="str">
        <x:v>Law &amp; Order</x:v>
      </x:c>
      <x:c r="F66" s="33" t="str">
        <x:v>core</x:v>
      </x:c>
      <x:c r="G66" s="50" t="n">
        <x:v>2</x:v>
      </x:c>
      <x:c r="H66" s="50" t="n">
        <x:v>12</x:v>
      </x:c>
      <x:c r="I66" s="44" t="str">
        <x:v>02.12</x:v>
      </x:c>
      <x:c r="J66" s="33" t="str">
        <x:v>Star Struck</x:v>
      </x:c>
      <x:c r="K66" s="33" t="str"/>
      <x:c r="L66" s="33" t="str"/>
      <x:c r="M66" s="44" t="str"/>
      <x:c r="N66" s="50" t="n">
        <x:v>47</x:v>
      </x:c>
      <x:c r="O66" s="53" t="str">
        <x:v>An obsessive fan pleads temporary insanity when he is charged with attempting to murder the soap-opera actress who is the center of his life.</x:v>
      </x:c>
      <x:c r="P66" s="53" t="str">
        <x:v>Core Law &amp; Order franchise</x:v>
      </x:c>
      <x:c r="Q66" s="17" t="str">
        <x:v>34088</x:v>
      </x:c>
      <x:c r="R66" s="17" t="str">
        <x:v>tt0629436</x:v>
      </x:c>
      <x:c r="S66" s="17" t="str"/>
      <x:c r="T66" s="1"/>
      <x:c r="U66" s="1"/>
      <x:c r="V66" s="1"/>
      <x:c r="W66" s="1"/>
      <x:c r="X66" s="1"/>
      <x:c r="Y66" s="1"/>
      <x:c r="Z66" s="1"/>
    </x:row>
    <x:row r="67">
      <x:c r="A67" s="43" t="n">
        <x:v>63</x:v>
      </x:c>
      <x:c r="B67" s="44" t="str">
        <x:v>Not Started</x:v>
      </x:c>
      <x:c r="C67" s="45" t="n">
        <x:v>33617</x:v>
      </x:c>
      <x:c r="D67" s="33" t="str">
        <x:v>Law &amp; Order</x:v>
      </x:c>
      <x:c r="E67" s="33" t="str">
        <x:v>Law &amp; Order</x:v>
      </x:c>
      <x:c r="F67" s="33" t="str">
        <x:v>core</x:v>
      </x:c>
      <x:c r="G67" s="50" t="n">
        <x:v>2</x:v>
      </x:c>
      <x:c r="H67" s="50" t="n">
        <x:v>13</x:v>
      </x:c>
      <x:c r="I67" s="44" t="str">
        <x:v>02.13</x:v>
      </x:c>
      <x:c r="J67" s="33" t="str">
        <x:v>Severance</x:v>
      </x:c>
      <x:c r="K67" s="33" t="str"/>
      <x:c r="L67" s="33" t="str"/>
      <x:c r="M67" s="44" t="str"/>
      <x:c r="N67" s="50" t="n">
        <x:v>47</x:v>
      </x:c>
      <x:c r="O67" s="53" t="str">
        <x:v>Stone faces an old rival in court as he tries to link a hit man and three murders to a sleazy lawyer and a powerful man behind bars.</x:v>
      </x:c>
      <x:c r="P67" s="53" t="str">
        <x:v>Core Law &amp; Order franchise</x:v>
      </x:c>
      <x:c r="Q67" s="17" t="str">
        <x:v>34089</x:v>
      </x:c>
      <x:c r="R67" s="17" t="str">
        <x:v>tt0629416</x:v>
      </x:c>
      <x:c r="S67" s="17" t="str"/>
      <x:c r="T67" s="1"/>
      <x:c r="U67" s="1"/>
      <x:c r="V67" s="1"/>
      <x:c r="W67" s="1"/>
      <x:c r="X67" s="1"/>
      <x:c r="Y67" s="1"/>
      <x:c r="Z67" s="1"/>
    </x:row>
    <x:row r="68">
      <x:c r="A68" s="43" t="n">
        <x:v>64</x:v>
      </x:c>
      <x:c r="B68" s="44" t="str">
        <x:v>Not Started</x:v>
      </x:c>
      <x:c r="C68" s="45" t="n">
        <x:v>33638</x:v>
      </x:c>
      <x:c r="D68" s="33" t="str">
        <x:v>Law &amp; Order</x:v>
      </x:c>
      <x:c r="E68" s="33" t="str">
        <x:v>Law &amp; Order</x:v>
      </x:c>
      <x:c r="F68" s="33" t="str">
        <x:v>core</x:v>
      </x:c>
      <x:c r="G68" s="50" t="n">
        <x:v>2</x:v>
      </x:c>
      <x:c r="H68" s="50" t="n">
        <x:v>14</x:v>
      </x:c>
      <x:c r="I68" s="44" t="str">
        <x:v>02.14</x:v>
      </x:c>
      <x:c r="J68" s="33" t="str">
        <x:v>Blood Is Thicker...</x:v>
      </x:c>
      <x:c r="K68" s="33" t="str"/>
      <x:c r="L68" s="33" t="str"/>
      <x:c r="M68" s="44" t="str"/>
      <x:c r="N68" s="50" t="n">
        <x:v>48</x:v>
      </x:c>
      <x:c r="O68" s="53" t="str">
        <x:v>An apparent mugging ends in the death of a wealthy woman but the case comes to hang on a silver pin that may have been in the victim's possession.</x:v>
      </x:c>
      <x:c r="P68" s="53" t="str">
        <x:v>Core Law &amp; Order franchise</x:v>
      </x:c>
      <x:c r="Q68" s="17" t="str">
        <x:v>34090</x:v>
      </x:c>
      <x:c r="R68" s="17" t="str">
        <x:v>tt0629181</x:v>
      </x:c>
      <x:c r="S68" s="17" t="str"/>
      <x:c r="T68" s="1"/>
      <x:c r="U68" s="1"/>
      <x:c r="V68" s="1"/>
      <x:c r="W68" s="1"/>
      <x:c r="X68" s="1"/>
      <x:c r="Y68" s="1"/>
      <x:c r="Z68" s="1"/>
    </x:row>
    <x:row r="69">
      <x:c r="A69" s="43" t="n">
        <x:v>65</x:v>
      </x:c>
      <x:c r="B69" s="44" t="str">
        <x:v>Not Started</x:v>
      </x:c>
      <x:c r="C69" s="45" t="n">
        <x:v>33645</x:v>
      </x:c>
      <x:c r="D69" s="33" t="str">
        <x:v>Law &amp; Order</x:v>
      </x:c>
      <x:c r="E69" s="33" t="str">
        <x:v>Law &amp; Order</x:v>
      </x:c>
      <x:c r="F69" s="33" t="str">
        <x:v>core</x:v>
      </x:c>
      <x:c r="G69" s="50" t="n">
        <x:v>2</x:v>
      </x:c>
      <x:c r="H69" s="50" t="n">
        <x:v>15</x:v>
      </x:c>
      <x:c r="I69" s="44" t="str">
        <x:v>02.15</x:v>
      </x:c>
      <x:c r="J69" s="33" t="str">
        <x:v>Trust</x:v>
      </x:c>
      <x:c r="K69" s="33" t="str"/>
      <x:c r="L69" s="33" t="str"/>
      <x:c r="M69" s="44" t="str"/>
      <x:c r="N69" s="50" t="n">
        <x:v>48</x:v>
      </x:c>
      <x:c r="O69" s="53" t="str">
        <x:v>Stone is determined to see that a teenage boy doesn't get away with murder twice when the young man is brought to trial for the shooting death of one of his friends.</x:v>
      </x:c>
      <x:c r="P69" s="53" t="str">
        <x:v>Core Law &amp; Order franchise</x:v>
      </x:c>
      <x:c r="Q69" s="17" t="str">
        <x:v>34091</x:v>
      </x:c>
      <x:c r="R69" s="17" t="str">
        <x:v>tt0629478</x:v>
      </x:c>
      <x:c r="S69" s="17" t="str"/>
      <x:c r="T69" s="1"/>
      <x:c r="U69" s="1"/>
      <x:c r="V69" s="1"/>
      <x:c r="W69" s="1"/>
      <x:c r="X69" s="1"/>
      <x:c r="Y69" s="1"/>
      <x:c r="Z69" s="1"/>
    </x:row>
    <x:row r="70">
      <x:c r="A70" s="43" t="n">
        <x:v>66</x:v>
      </x:c>
      <x:c r="B70" s="44" t="str">
        <x:v>Not Started</x:v>
      </x:c>
      <x:c r="C70" s="45" t="n">
        <x:v>33652</x:v>
      </x:c>
      <x:c r="D70" s="33" t="str">
        <x:v>Law &amp; Order</x:v>
      </x:c>
      <x:c r="E70" s="33" t="str">
        <x:v>Law &amp; Order</x:v>
      </x:c>
      <x:c r="F70" s="33" t="str">
        <x:v>core</x:v>
      </x:c>
      <x:c r="G70" s="50" t="n">
        <x:v>2</x:v>
      </x:c>
      <x:c r="H70" s="50" t="n">
        <x:v>16</x:v>
      </x:c>
      <x:c r="I70" s="44" t="str">
        <x:v>02.16</x:v>
      </x:c>
      <x:c r="J70" s="33" t="str">
        <x:v>Vengeance</x:v>
      </x:c>
      <x:c r="K70" s="33" t="str"/>
      <x:c r="L70" s="33" t="str"/>
      <x:c r="M70" s="44" t="str"/>
      <x:c r="N70" s="50" t="n">
        <x:v>47</x:v>
      </x:c>
      <x:c r="O70" s="53" t="str">
        <x:v>The parents of a murdered woman contest Stone's prosecution of her killer so that he can be extradited to their home state, where the death penalty still exists.</x:v>
      </x:c>
      <x:c r="P70" s="53" t="str">
        <x:v>Core Law &amp; Order franchise</x:v>
      </x:c>
      <x:c r="Q70" s="17" t="str">
        <x:v>34092</x:v>
      </x:c>
      <x:c r="R70" s="17" t="str">
        <x:v>tt0629486</x:v>
      </x:c>
      <x:c r="S70" s="17" t="str"/>
      <x:c r="T70" s="1"/>
      <x:c r="U70" s="1"/>
      <x:c r="V70" s="1"/>
      <x:c r="W70" s="1"/>
      <x:c r="X70" s="1"/>
      <x:c r="Y70" s="1"/>
      <x:c r="Z70" s="1"/>
    </x:row>
    <x:row r="71">
      <x:c r="A71" s="43" t="n">
        <x:v>67</x:v>
      </x:c>
      <x:c r="B71" s="44" t="str">
        <x:v>Not Started</x:v>
      </x:c>
      <x:c r="C71" s="45" t="n">
        <x:v>33666</x:v>
      </x:c>
      <x:c r="D71" s="33" t="str">
        <x:v>Law &amp; Order</x:v>
      </x:c>
      <x:c r="E71" s="33" t="str">
        <x:v>Law &amp; Order</x:v>
      </x:c>
      <x:c r="F71" s="33" t="str">
        <x:v>core</x:v>
      </x:c>
      <x:c r="G71" s="50" t="n">
        <x:v>2</x:v>
      </x:c>
      <x:c r="H71" s="50" t="n">
        <x:v>17</x:v>
      </x:c>
      <x:c r="I71" s="44" t="str">
        <x:v>02.17</x:v>
      </x:c>
      <x:c r="J71" s="33" t="str">
        <x:v>Sisters of Mercy</x:v>
      </x:c>
      <x:c r="K71" s="33" t="str"/>
      <x:c r="L71" s="33" t="str"/>
      <x:c r="M71" s="44" t="str"/>
      <x:c r="N71" s="50" t="n">
        <x:v>47</x:v>
      </x:c>
      <x:c r="O71" s="53" t="str">
        <x:v>Cerreta and Logan investigate the accusation that a nun in charge of a shelter for teens molested a young addict.</x:v>
      </x:c>
      <x:c r="P71" s="53" t="str">
        <x:v>Core Law &amp; Order franchise</x:v>
      </x:c>
      <x:c r="Q71" s="17" t="str">
        <x:v>34093</x:v>
      </x:c>
      <x:c r="R71" s="17" t="str">
        <x:v>tt0629424</x:v>
      </x:c>
      <x:c r="S71" s="17" t="str"/>
      <x:c r="T71" s="1"/>
      <x:c r="U71" s="1"/>
      <x:c r="V71" s="1"/>
      <x:c r="W71" s="1"/>
      <x:c r="X71" s="1"/>
      <x:c r="Y71" s="1"/>
      <x:c r="Z71" s="1"/>
    </x:row>
    <x:row r="72">
      <x:c r="A72" s="43" t="n">
        <x:v>68</x:v>
      </x:c>
      <x:c r="B72" s="44" t="str">
        <x:v>Not Started</x:v>
      </x:c>
      <x:c r="C72" s="45" t="n">
        <x:v>33694</x:v>
      </x:c>
      <x:c r="D72" s="33" t="str">
        <x:v>Law &amp; Order</x:v>
      </x:c>
      <x:c r="E72" s="33" t="str">
        <x:v>Law &amp; Order</x:v>
      </x:c>
      <x:c r="F72" s="33" t="str">
        <x:v>core</x:v>
      </x:c>
      <x:c r="G72" s="50" t="n">
        <x:v>2</x:v>
      </x:c>
      <x:c r="H72" s="50" t="n">
        <x:v>18</x:v>
      </x:c>
      <x:c r="I72" s="44" t="str">
        <x:v>02.18</x:v>
      </x:c>
      <x:c r="J72" s="33" t="str">
        <x:v>Cradle to Grave</x:v>
      </x:c>
      <x:c r="K72" s="33" t="str"/>
      <x:c r="L72" s="33" t="str"/>
      <x:c r="M72" s="44" t="str"/>
      <x:c r="N72" s="50" t="n">
        <x:v>47</x:v>
      </x:c>
      <x:c r="O72" s="53" t="str">
        <x:v>The discovery of a dead baby leads to a case involving a slumlord who would not provide any heat and who defends her actions by blaming the rent laws.</x:v>
      </x:c>
      <x:c r="P72" s="53" t="str">
        <x:v>Core Law &amp; Order franchise</x:v>
      </x:c>
      <x:c r="Q72" s="17" t="str">
        <x:v>34094</x:v>
      </x:c>
      <x:c r="R72" s="17" t="str">
        <x:v>tt0629220</x:v>
      </x:c>
      <x:c r="S72" s="17" t="str"/>
      <x:c r="T72" s="1"/>
      <x:c r="U72" s="1"/>
      <x:c r="V72" s="1"/>
      <x:c r="W72" s="1"/>
      <x:c r="X72" s="1"/>
      <x:c r="Y72" s="1"/>
      <x:c r="Z72" s="1"/>
    </x:row>
    <x:row r="73">
      <x:c r="A73" s="43" t="n">
        <x:v>69</x:v>
      </x:c>
      <x:c r="B73" s="44" t="str">
        <x:v>Not Started</x:v>
      </x:c>
      <x:c r="C73" s="45" t="n">
        <x:v>33699</x:v>
      </x:c>
      <x:c r="D73" s="33" t="str">
        <x:v>Mann &amp; Machine</x:v>
      </x:c>
      <x:c r="E73" s="33" t="str">
        <x:v>Crossover Adjacent</x:v>
      </x:c>
      <x:c r="F73" s="33" t="str">
        <x:v>complete</x:v>
      </x:c>
      <x:c r="G73" s="50" t="n">
        <x:v>1</x:v>
      </x:c>
      <x:c r="H73" s="50" t="n">
        <x:v>1</x:v>
      </x:c>
      <x:c r="I73" s="44" t="str">
        <x:v>01.01</x:v>
      </x:c>
      <x:c r="J73" s="33" t="str">
        <x:v>Prototype</x:v>
      </x:c>
      <x:c r="K73" s="33" t="str"/>
      <x:c r="L73" s="33" t="str"/>
      <x:c r="M73" s="44" t="str"/>
      <x:c r="N73" s="50" t="n">
        <x:v>45</x:v>
      </x:c>
      <x:c r="O73" s="53" t="str">
        <x:v>L.A. Detective, Bobby Mann, is partnered with a cybernetic female named Eve.  Eve discovers evidence linking another cop, Mann's childhood friend, to a series of murders of international steel brokers.</x:v>
      </x:c>
      <x:c r="P73" s="53" t="str">
        <x:v>Early Dick Wolf sci-fi police series</x:v>
      </x:c>
      <x:c r="Q73" s="17" t="str">
        <x:v>490231</x:v>
      </x:c>
      <x:c r="R73" s="17" t="str"/>
      <x:c r="S73" s="17" t="str"/>
      <x:c r="T73" s="1"/>
      <x:c r="U73" s="1"/>
      <x:c r="V73" s="1"/>
      <x:c r="W73" s="1"/>
      <x:c r="X73" s="1"/>
      <x:c r="Y73" s="1"/>
      <x:c r="Z73" s="1"/>
    </x:row>
    <x:row r="74">
      <x:c r="A74" s="43" t="n">
        <x:v>70</x:v>
      </x:c>
      <x:c r="B74" s="44" t="str">
        <x:v>Not Started</x:v>
      </x:c>
      <x:c r="C74" s="45" t="n">
        <x:v>33701</x:v>
      </x:c>
      <x:c r="D74" s="33" t="str">
        <x:v>Law &amp; Order</x:v>
      </x:c>
      <x:c r="E74" s="33" t="str">
        <x:v>Law &amp; Order</x:v>
      </x:c>
      <x:c r="F74" s="33" t="str">
        <x:v>core</x:v>
      </x:c>
      <x:c r="G74" s="50" t="n">
        <x:v>2</x:v>
      </x:c>
      <x:c r="H74" s="50" t="n">
        <x:v>19</x:v>
      </x:c>
      <x:c r="I74" s="44" t="str">
        <x:v>02.19</x:v>
      </x:c>
      <x:c r="J74" s="33" t="str">
        <x:v>The Fertile Fields</x:v>
      </x:c>
      <x:c r="K74" s="33" t="str"/>
      <x:c r="L74" s="33" t="str"/>
      <x:c r="M74" s="44" t="str"/>
      <x:c r="N74" s="50" t="n">
        <x:v>47</x:v>
      </x:c>
      <x:c r="O74" s="53" t="str">
        <x:v>The brutal murder of a Jewish jeweler appears to be a hate crime, but the investigation soon leads back to the man's brother and his shady business deals.</x:v>
      </x:c>
      <x:c r="P74" s="53" t="str">
        <x:v>Core Law &amp; Order franchise</x:v>
      </x:c>
      <x:c r="Q74" s="17" t="str">
        <x:v>34095</x:v>
      </x:c>
      <x:c r="R74" s="17" t="str">
        <x:v>tt0629455</x:v>
      </x:c>
      <x:c r="S74" s="17" t="str"/>
      <x:c r="T74" s="1"/>
      <x:c r="U74" s="1"/>
      <x:c r="V74" s="1"/>
      <x:c r="W74" s="1"/>
      <x:c r="X74" s="1"/>
      <x:c r="Y74" s="1"/>
      <x:c r="Z74" s="1"/>
    </x:row>
    <x:row r="75">
      <x:c r="A75" s="43" t="n">
        <x:v>71</x:v>
      </x:c>
      <x:c r="B75" s="44" t="str">
        <x:v>Not Started</x:v>
      </x:c>
      <x:c r="C75" s="45" t="n">
        <x:v>33706</x:v>
      </x:c>
      <x:c r="D75" s="33" t="str">
        <x:v>Mann &amp; Machine</x:v>
      </x:c>
      <x:c r="E75" s="33" t="str">
        <x:v>Crossover Adjacent</x:v>
      </x:c>
      <x:c r="F75" s="33" t="str">
        <x:v>complete</x:v>
      </x:c>
      <x:c r="G75" s="50" t="n">
        <x:v>1</x:v>
      </x:c>
      <x:c r="H75" s="50" t="n">
        <x:v>2</x:v>
      </x:c>
      <x:c r="I75" s="44" t="str">
        <x:v>01.02</x:v>
      </x:c>
      <x:c r="J75" s="33" t="str">
        <x:v>Dating Game</x:v>
      </x:c>
      <x:c r="K75" s="33" t="str"/>
      <x:c r="L75" s="33" t="str"/>
      <x:c r="M75" s="44" t="str"/>
      <x:c r="N75" s="50" t="n">
        <x:v>45</x:v>
      </x:c>
      <x:c r="O75" s="53" t="str">
        <x:v>When the series of murders are linked by the same dating service, Eve is set up for a date with the suspect.</x:v>
      </x:c>
      <x:c r="P75" s="53" t="str">
        <x:v>Early Dick Wolf sci-fi police series</x:v>
      </x:c>
      <x:c r="Q75" s="17" t="str">
        <x:v>490232</x:v>
      </x:c>
      <x:c r="R75" s="17" t="str"/>
      <x:c r="S75" s="17" t="str"/>
      <x:c r="T75" s="1"/>
      <x:c r="U75" s="1"/>
      <x:c r="V75" s="1"/>
      <x:c r="W75" s="1"/>
      <x:c r="X75" s="1"/>
      <x:c r="Y75" s="1"/>
      <x:c r="Z75" s="1"/>
    </x:row>
    <x:row r="76">
      <x:c r="A76" s="43" t="n">
        <x:v>72</x:v>
      </x:c>
      <x:c r="B76" s="44" t="str">
        <x:v>Not Started</x:v>
      </x:c>
      <x:c r="C76" s="45" t="n">
        <x:v>33708</x:v>
      </x:c>
      <x:c r="D76" s="33" t="str">
        <x:v>Law &amp; Order</x:v>
      </x:c>
      <x:c r="E76" s="33" t="str">
        <x:v>Law &amp; Order</x:v>
      </x:c>
      <x:c r="F76" s="33" t="str">
        <x:v>core</x:v>
      </x:c>
      <x:c r="G76" s="50" t="n">
        <x:v>2</x:v>
      </x:c>
      <x:c r="H76" s="50" t="n">
        <x:v>20</x:v>
      </x:c>
      <x:c r="I76" s="44" t="str">
        <x:v>02.20</x:v>
      </x:c>
      <x:c r="J76" s="33" t="str">
        <x:v>Intolerance</x:v>
      </x:c>
      <x:c r="K76" s="33" t="str"/>
      <x:c r="L76" s="33" t="str"/>
      <x:c r="M76" s="44" t="str"/>
      <x:c r="N76" s="50" t="n">
        <x:v>47</x:v>
      </x:c>
      <x:c r="O76" s="53" t="str">
        <x:v>When a Chinese-American honors student is killed, the investigation uncovers a racist mother who's son was competing with the victim for the same scholarship.</x:v>
      </x:c>
      <x:c r="P76" s="53" t="str">
        <x:v>Core Law &amp; Order franchise</x:v>
      </x:c>
      <x:c r="Q76" s="17" t="str">
        <x:v>34096</x:v>
      </x:c>
      <x:c r="R76" s="17" t="str">
        <x:v>tt0629313</x:v>
      </x:c>
      <x:c r="S76" s="17" t="str"/>
      <x:c r="T76" s="1"/>
      <x:c r="U76" s="1"/>
      <x:c r="V76" s="1"/>
      <x:c r="W76" s="1"/>
      <x:c r="X76" s="1"/>
      <x:c r="Y76" s="1"/>
      <x:c r="Z76" s="1"/>
    </x:row>
    <x:row r="77">
      <x:c r="A77" s="43" t="n">
        <x:v>73</x:v>
      </x:c>
      <x:c r="B77" s="44" t="str">
        <x:v>Not Started</x:v>
      </x:c>
      <x:c r="C77" s="45" t="n">
        <x:v>33710</x:v>
      </x:c>
      <x:c r="D77" s="33" t="str">
        <x:v>The Human Factor</x:v>
      </x:c>
      <x:c r="E77" s="33" t="str">
        <x:v>Crossover Adjacent</x:v>
      </x:c>
      <x:c r="F77" s="33" t="str">
        <x:v>complete</x:v>
      </x:c>
      <x:c r="G77" s="50" t="n">
        <x:v>1</x:v>
      </x:c>
      <x:c r="H77" s="50" t="n">
        <x:v>1</x:v>
      </x:c>
      <x:c r="I77" s="44" t="str">
        <x:v>01.01</x:v>
      </x:c>
      <x:c r="J77" s="33" t="str">
        <x:v>Pilot</x:v>
      </x:c>
      <x:c r="K77" s="33" t="str"/>
      <x:c r="L77" s="33" t="str"/>
      <x:c r="M77" s="44" t="str"/>
      <x:c r="N77" s="50" t="n">
        <x:v>60</x:v>
      </x:c>
      <x:c r="O77" s="53" t="str"/>
      <x:c r="P77" s="53" t="str">
        <x:v>Wolf Entertainment / Dick Wolf archive title</x:v>
      </x:c>
      <x:c r="Q77" s="17" t="str">
        <x:v>714291</x:v>
      </x:c>
      <x:c r="R77" s="17" t="str"/>
      <x:c r="S77" s="17" t="str"/>
      <x:c r="T77" s="1"/>
      <x:c r="U77" s="1"/>
      <x:c r="V77" s="1"/>
      <x:c r="W77" s="1"/>
      <x:c r="X77" s="1"/>
      <x:c r="Y77" s="1"/>
      <x:c r="Z77" s="1"/>
    </x:row>
    <x:row r="78">
      <x:c r="A78" s="43" t="n">
        <x:v>74</x:v>
      </x:c>
      <x:c r="B78" s="44" t="str">
        <x:v>Not Started</x:v>
      </x:c>
      <x:c r="C78" s="45" t="n">
        <x:v>33713</x:v>
      </x:c>
      <x:c r="D78" s="33" t="str">
        <x:v>Mann &amp; Machine</x:v>
      </x:c>
      <x:c r="E78" s="33" t="str">
        <x:v>Crossover Adjacent</x:v>
      </x:c>
      <x:c r="F78" s="33" t="str">
        <x:v>complete</x:v>
      </x:c>
      <x:c r="G78" s="50" t="n">
        <x:v>1</x:v>
      </x:c>
      <x:c r="H78" s="50" t="n">
        <x:v>3</x:v>
      </x:c>
      <x:c r="I78" s="44" t="str">
        <x:v>01.03</x:v>
      </x:c>
      <x:c r="J78" s="33" t="str">
        <x:v>No Pain, No Gain</x:v>
      </x:c>
      <x:c r="K78" s="33" t="str"/>
      <x:c r="L78" s="33" t="str"/>
      <x:c r="M78" s="44" t="str"/>
      <x:c r="N78" s="50" t="n">
        <x:v>45</x:v>
      </x:c>
      <x:c r="O78" s="53" t="str">
        <x:v>Eve enlists the help of an ex-cop to help investigate murders committed to obtain body parts.</x:v>
      </x:c>
      <x:c r="P78" s="53" t="str">
        <x:v>Early Dick Wolf sci-fi police series</x:v>
      </x:c>
      <x:c r="Q78" s="17" t="str">
        <x:v>490233</x:v>
      </x:c>
      <x:c r="R78" s="17" t="str"/>
      <x:c r="S78" s="17" t="str"/>
      <x:c r="T78" s="1"/>
      <x:c r="U78" s="1"/>
      <x:c r="V78" s="1"/>
      <x:c r="W78" s="1"/>
      <x:c r="X78" s="1"/>
      <x:c r="Y78" s="1"/>
      <x:c r="Z78" s="1"/>
    </x:row>
    <x:row r="79">
      <x:c r="A79" s="43" t="n">
        <x:v>75</x:v>
      </x:c>
      <x:c r="B79" s="44" t="str">
        <x:v>Not Started</x:v>
      </x:c>
      <x:c r="C79" s="45" t="n">
        <x:v>33717</x:v>
      </x:c>
      <x:c r="D79" s="33" t="str">
        <x:v>The Human Factor</x:v>
      </x:c>
      <x:c r="E79" s="33" t="str">
        <x:v>Crossover Adjacent</x:v>
      </x:c>
      <x:c r="F79" s="33" t="str">
        <x:v>complete</x:v>
      </x:c>
      <x:c r="G79" s="50" t="n">
        <x:v>1</x:v>
      </x:c>
      <x:c r="H79" s="50" t="n">
        <x:v>2</x:v>
      </x:c>
      <x:c r="I79" s="44" t="str">
        <x:v>01.02</x:v>
      </x:c>
      <x:c r="J79" s="33" t="str">
        <x:v>Second Opinions</x:v>
      </x:c>
      <x:c r="K79" s="33" t="str"/>
      <x:c r="L79" s="33" t="str"/>
      <x:c r="M79" s="44" t="str"/>
      <x:c r="N79" s="50" t="n">
        <x:v>60</x:v>
      </x:c>
      <x:c r="O79" s="53" t="str">
        <x:v>Alec gets more than he bargained for when he offers a second opinion to a stressed-out air-traffic controller whose doctor is Alec's former partner; and Matt (Kurt Deutsch) opens the hospital up to a lawsuit. Leon: Thomas Ryan. Dr. Doyal: Lynne Cormack.</x:v>
      </x:c>
      <x:c r="P79" s="53" t="str">
        <x:v>Wolf Entertainment / Dick Wolf archive title</x:v>
      </x:c>
      <x:c r="Q79" s="17" t="str">
        <x:v>714292</x:v>
      </x:c>
      <x:c r="R79" s="17" t="str"/>
      <x:c r="S79" s="17" t="str"/>
      <x:c r="T79" s="1"/>
      <x:c r="U79" s="1"/>
      <x:c r="V79" s="1"/>
      <x:c r="W79" s="1"/>
      <x:c r="X79" s="1"/>
      <x:c r="Y79" s="1"/>
      <x:c r="Z79" s="1"/>
    </x:row>
    <x:row r="80">
      <x:c r="A80" s="43" t="n">
        <x:v>76</x:v>
      </x:c>
      <x:c r="B80" s="44" t="str">
        <x:v>Not Started</x:v>
      </x:c>
      <x:c r="C80" s="45" t="n">
        <x:v>33720</x:v>
      </x:c>
      <x:c r="D80" s="33" t="str">
        <x:v>Mann &amp; Machine</x:v>
      </x:c>
      <x:c r="E80" s="33" t="str">
        <x:v>Crossover Adjacent</x:v>
      </x:c>
      <x:c r="F80" s="33" t="str">
        <x:v>complete</x:v>
      </x:c>
      <x:c r="G80" s="50" t="n">
        <x:v>1</x:v>
      </x:c>
      <x:c r="H80" s="50" t="n">
        <x:v>4</x:v>
      </x:c>
      <x:c r="I80" s="44" t="str">
        <x:v>01.04</x:v>
      </x:c>
      <x:c r="J80" s="33" t="str">
        <x:v>Water, Water, Everywhere</x:v>
      </x:c>
      <x:c r="K80" s="33" t="str"/>
      <x:c r="L80" s="33" t="str"/>
      <x:c r="M80" s="44" t="str"/>
      <x:c r="N80" s="50" t="n">
        <x:v>45</x:v>
      </x:c>
      <x:c r="O80" s="53" t="str">
        <x:v>Mann's neighbor, a food-reporter, investigates the murder of a fellow reporter who broke a story about a contaminated reservoir.</x:v>
      </x:c>
      <x:c r="P80" s="53" t="str">
        <x:v>Early Dick Wolf sci-fi police series</x:v>
      </x:c>
      <x:c r="Q80" s="17" t="str">
        <x:v>490234</x:v>
      </x:c>
      <x:c r="R80" s="17" t="str"/>
      <x:c r="S80" s="17" t="str"/>
      <x:c r="T80" s="1"/>
      <x:c r="U80" s="1"/>
      <x:c r="V80" s="1"/>
      <x:c r="W80" s="1"/>
      <x:c r="X80" s="1"/>
      <x:c r="Y80" s="1"/>
      <x:c r="Z80" s="1"/>
    </x:row>
    <x:row r="81">
      <x:c r="A81" s="43" t="n">
        <x:v>77</x:v>
      </x:c>
      <x:c r="B81" s="44" t="str">
        <x:v>Not Started</x:v>
      </x:c>
      <x:c r="C81" s="45" t="n">
        <x:v>33722</x:v>
      </x:c>
      <x:c r="D81" s="33" t="str">
        <x:v>Law &amp; Order</x:v>
      </x:c>
      <x:c r="E81" s="33" t="str">
        <x:v>Law &amp; Order</x:v>
      </x:c>
      <x:c r="F81" s="33" t="str">
        <x:v>core</x:v>
      </x:c>
      <x:c r="G81" s="50" t="n">
        <x:v>2</x:v>
      </x:c>
      <x:c r="H81" s="50" t="n">
        <x:v>21</x:v>
      </x:c>
      <x:c r="I81" s="44" t="str">
        <x:v>02.21</x:v>
      </x:c>
      <x:c r="J81" s="33" t="str">
        <x:v>Silence</x:v>
      </x:c>
      <x:c r="K81" s="33" t="str"/>
      <x:c r="L81" s="33" t="str"/>
      <x:c r="M81" s="44" t="str"/>
      <x:c r="N81" s="50" t="n">
        <x:v>47</x:v>
      </x:c>
      <x:c r="O81" s="53" t="str">
        <x:v>A politician opposes the prosecution of his son's murderer because it might mean revealing that his late son was gay.</x:v>
      </x:c>
      <x:c r="P81" s="53" t="str">
        <x:v>Core Law &amp; Order franchise</x:v>
      </x:c>
      <x:c r="Q81" s="17" t="str">
        <x:v>34097</x:v>
      </x:c>
      <x:c r="R81" s="17" t="str">
        <x:v>tt0629423</x:v>
      </x:c>
      <x:c r="S81" s="17" t="str"/>
      <x:c r="T81" s="1"/>
      <x:c r="U81" s="1"/>
      <x:c r="V81" s="1"/>
      <x:c r="W81" s="1"/>
      <x:c r="X81" s="1"/>
      <x:c r="Y81" s="1"/>
      <x:c r="Z81" s="1"/>
    </x:row>
    <x:row r="82">
      <x:c r="A82" s="43" t="n">
        <x:v>78</x:v>
      </x:c>
      <x:c r="B82" s="44" t="str">
        <x:v>Not Started</x:v>
      </x:c>
      <x:c r="C82" s="45" t="n">
        <x:v>33724</x:v>
      </x:c>
      <x:c r="D82" s="33" t="str">
        <x:v>The Human Factor</x:v>
      </x:c>
      <x:c r="E82" s="33" t="str">
        <x:v>Crossover Adjacent</x:v>
      </x:c>
      <x:c r="F82" s="33" t="str">
        <x:v>complete</x:v>
      </x:c>
      <x:c r="G82" s="50" t="n">
        <x:v>1</x:v>
      </x:c>
      <x:c r="H82" s="50" t="n">
        <x:v>3</x:v>
      </x:c>
      <x:c r="I82" s="44" t="str">
        <x:v>01.03</x:v>
      </x:c>
      <x:c r="J82" s="33" t="str">
        <x:v>Between the Sheets</x:v>
      </x:c>
      <x:c r="K82" s="33" t="str"/>
      <x:c r="L82" s="33" t="str"/>
      <x:c r="M82" s="44" t="str"/>
      <x:c r="N82" s="50" t="n">
        <x:v>60</x:v>
      </x:c>
      <x:c r="O82" s="53" t="str"/>
      <x:c r="P82" s="53" t="str">
        <x:v>Wolf Entertainment / Dick Wolf archive title</x:v>
      </x:c>
      <x:c r="Q82" s="17" t="str">
        <x:v>714293</x:v>
      </x:c>
      <x:c r="R82" s="17" t="str"/>
      <x:c r="S82" s="17" t="str"/>
      <x:c r="T82" s="1"/>
      <x:c r="U82" s="1"/>
      <x:c r="V82" s="1"/>
      <x:c r="W82" s="1"/>
      <x:c r="X82" s="1"/>
      <x:c r="Y82" s="1"/>
      <x:c r="Z82" s="1"/>
    </x:row>
    <x:row r="83">
      <x:c r="A83" s="43" t="n">
        <x:v>79</x:v>
      </x:c>
      <x:c r="B83" s="44" t="str">
        <x:v>Not Started</x:v>
      </x:c>
      <x:c r="C83" s="45" t="n">
        <x:v>33736</x:v>
      </x:c>
      <x:c r="D83" s="33" t="str">
        <x:v>Law &amp; Order</x:v>
      </x:c>
      <x:c r="E83" s="33" t="str">
        <x:v>Law &amp; Order</x:v>
      </x:c>
      <x:c r="F83" s="33" t="str">
        <x:v>core</x:v>
      </x:c>
      <x:c r="G83" s="50" t="n">
        <x:v>2</x:v>
      </x:c>
      <x:c r="H83" s="50" t="n">
        <x:v>22</x:v>
      </x:c>
      <x:c r="I83" s="44" t="str">
        <x:v>02.22</x:v>
      </x:c>
      <x:c r="J83" s="33" t="str">
        <x:v>The Working Stiff</x:v>
      </x:c>
      <x:c r="K83" s="33" t="str"/>
      <x:c r="L83" s="33" t="str"/>
      <x:c r="M83" s="44" t="str"/>
      <x:c r="N83" s="50" t="n">
        <x:v>47</x:v>
      </x:c>
      <x:c r="O83" s="53" t="str">
        <x:v>The murder of a Wall Street legend begins a case involving an ailing union worker and a former governor and old friend of Schiff's.</x:v>
      </x:c>
      <x:c r="P83" s="53" t="str">
        <x:v>Core Law &amp; Order franchise</x:v>
      </x:c>
      <x:c r="Q83" s="17" t="str">
        <x:v>34098</x:v>
      </x:c>
      <x:c r="R83" s="17" t="str">
        <x:v>tt0629469</x:v>
      </x:c>
      <x:c r="S83" s="17" t="str"/>
      <x:c r="T83" s="1"/>
      <x:c r="U83" s="1"/>
      <x:c r="V83" s="1"/>
      <x:c r="W83" s="1"/>
      <x:c r="X83" s="1"/>
      <x:c r="Y83" s="1"/>
      <x:c r="Z83" s="1"/>
    </x:row>
    <x:row r="84">
      <x:c r="A84" s="43" t="n">
        <x:v>80</x:v>
      </x:c>
      <x:c r="B84" s="44" t="str">
        <x:v>Not Started</x:v>
      </x:c>
      <x:c r="C84" s="45" t="n">
        <x:v>33745</x:v>
      </x:c>
      <x:c r="D84" s="33" t="str">
        <x:v>The Human Factor</x:v>
      </x:c>
      <x:c r="E84" s="33" t="str">
        <x:v>Crossover Adjacent</x:v>
      </x:c>
      <x:c r="F84" s="33" t="str">
        <x:v>complete</x:v>
      </x:c>
      <x:c r="G84" s="50" t="n">
        <x:v>1</x:v>
      </x:c>
      <x:c r="H84" s="50" t="n">
        <x:v>4</x:v>
      </x:c>
      <x:c r="I84" s="44" t="str">
        <x:v>01.04</x:v>
      </x:c>
      <x:c r="J84" s="33" t="str">
        <x:v>A Gift from Frankie Paluzzo</x:v>
      </x:c>
      <x:c r="K84" s="33" t="str"/>
      <x:c r="L84" s="33" t="str"/>
      <x:c r="M84" s="44" t="str"/>
      <x:c r="N84" s="50" t="n">
        <x:v>60</x:v>
      </x:c>
      <x:c r="O84" s="53" t="str"/>
      <x:c r="P84" s="53" t="str">
        <x:v>Wolf Entertainment / Dick Wolf archive title</x:v>
      </x:c>
      <x:c r="Q84" s="17" t="str">
        <x:v>714294</x:v>
      </x:c>
      <x:c r="R84" s="17" t="str"/>
      <x:c r="S84" s="17" t="str"/>
      <x:c r="T84" s="1"/>
      <x:c r="U84" s="1"/>
      <x:c r="V84" s="1"/>
      <x:c r="W84" s="1"/>
      <x:c r="X84" s="1"/>
      <x:c r="Y84" s="1"/>
      <x:c r="Z84" s="1"/>
    </x:row>
    <x:row r="85">
      <x:c r="A85" s="43" t="n">
        <x:v>81</x:v>
      </x:c>
      <x:c r="B85" s="44" t="str">
        <x:v>Not Started</x:v>
      </x:c>
      <x:c r="C85" s="45" t="n">
        <x:v>33752</x:v>
      </x:c>
      <x:c r="D85" s="33" t="str">
        <x:v>The Human Factor</x:v>
      </x:c>
      <x:c r="E85" s="33" t="str">
        <x:v>Crossover Adjacent</x:v>
      </x:c>
      <x:c r="F85" s="33" t="str">
        <x:v>complete</x:v>
      </x:c>
      <x:c r="G85" s="50" t="n">
        <x:v>1</x:v>
      </x:c>
      <x:c r="H85" s="50" t="n">
        <x:v>5</x:v>
      </x:c>
      <x:c r="I85" s="44" t="str">
        <x:v>01.05</x:v>
      </x:c>
      <x:c r="J85" s="33" t="str">
        <x:v>Do the Right Thing</x:v>
      </x:c>
      <x:c r="K85" s="33" t="str"/>
      <x:c r="L85" s="33" t="str"/>
      <x:c r="M85" s="44" t="str"/>
      <x:c r="N85" s="50" t="n">
        <x:v>60</x:v>
      </x:c>
      <x:c r="O85" s="53" t="str"/>
      <x:c r="P85" s="53" t="str">
        <x:v>Wolf Entertainment / Dick Wolf archive title</x:v>
      </x:c>
      <x:c r="Q85" s="17" t="str">
        <x:v>714295</x:v>
      </x:c>
      <x:c r="R85" s="17" t="str"/>
      <x:c r="S85" s="17" t="str"/>
      <x:c r="T85" s="1"/>
      <x:c r="U85" s="1"/>
      <x:c r="V85" s="1"/>
      <x:c r="W85" s="1"/>
      <x:c r="X85" s="1"/>
      <x:c r="Y85" s="1"/>
      <x:c r="Z85" s="1"/>
    </x:row>
    <x:row r="86">
      <x:c r="A86" s="43" t="n">
        <x:v>82</x:v>
      </x:c>
      <x:c r="B86" s="44" t="str">
        <x:v>Not Started</x:v>
      </x:c>
      <x:c r="C86" s="45" t="n">
        <x:v>33764</x:v>
      </x:c>
      <x:c r="D86" s="33" t="str">
        <x:v>Mann &amp; Machine</x:v>
      </x:c>
      <x:c r="E86" s="33" t="str">
        <x:v>Crossover Adjacent</x:v>
      </x:c>
      <x:c r="F86" s="33" t="str">
        <x:v>complete</x:v>
      </x:c>
      <x:c r="G86" s="50" t="n">
        <x:v>1</x:v>
      </x:c>
      <x:c r="H86" s="50" t="n">
        <x:v>5</x:v>
      </x:c>
      <x:c r="I86" s="44" t="str">
        <x:v>01.05</x:v>
      </x:c>
      <x:c r="J86" s="33" t="str">
        <x:v>Torch Song</x:v>
      </x:c>
      <x:c r="K86" s="33" t="str"/>
      <x:c r="L86" s="33" t="str"/>
      <x:c r="M86" s="44" t="str"/>
      <x:c r="N86" s="50" t="n">
        <x:v>45</x:v>
      </x:c>
      <x:c r="O86" s="53" t="str">
        <x:v>Eve becomes friends with a singer who believes her sister was killed by the music executive that's tormenting her.</x:v>
      </x:c>
      <x:c r="P86" s="53" t="str">
        <x:v>Early Dick Wolf sci-fi police series</x:v>
      </x:c>
      <x:c r="Q86" s="17" t="str">
        <x:v>490235</x:v>
      </x:c>
      <x:c r="R86" s="17" t="str"/>
      <x:c r="S86" s="17" t="str"/>
      <x:c r="T86" s="1"/>
      <x:c r="U86" s="1"/>
      <x:c r="V86" s="1"/>
      <x:c r="W86" s="1"/>
      <x:c r="X86" s="1"/>
      <x:c r="Y86" s="1"/>
      <x:c r="Z86" s="1"/>
    </x:row>
    <x:row r="87">
      <x:c r="A87" s="43" t="n">
        <x:v>83</x:v>
      </x:c>
      <x:c r="B87" s="44" t="str">
        <x:v>Not Started</x:v>
      </x:c>
      <x:c r="C87" s="45" t="n">
        <x:v>33771</x:v>
      </x:c>
      <x:c r="D87" s="33" t="str">
        <x:v>Mann &amp; Machine</x:v>
      </x:c>
      <x:c r="E87" s="33" t="str">
        <x:v>Crossover Adjacent</x:v>
      </x:c>
      <x:c r="F87" s="33" t="str">
        <x:v>complete</x:v>
      </x:c>
      <x:c r="G87" s="50" t="n">
        <x:v>1</x:v>
      </x:c>
      <x:c r="H87" s="50" t="n">
        <x:v>6</x:v>
      </x:c>
      <x:c r="I87" s="44" t="str">
        <x:v>01.06</x:v>
      </x:c>
      <x:c r="J87" s="33" t="str">
        <x:v>Mann's Fate</x:v>
      </x:c>
      <x:c r="K87" s="33" t="str"/>
      <x:c r="L87" s="33" t="str"/>
      <x:c r="M87" s="44" t="str"/>
      <x:c r="N87" s="50" t="n">
        <x:v>45</x:v>
      </x:c>
      <x:c r="O87" s="53" t="str">
        <x:v>When a man seeking revenge on the cop who put him in prison destroys Mann's home, Mann moves in with Eve.</x:v>
      </x:c>
      <x:c r="P87" s="53" t="str">
        <x:v>Early Dick Wolf sci-fi police series</x:v>
      </x:c>
      <x:c r="Q87" s="17" t="str">
        <x:v>490236</x:v>
      </x:c>
      <x:c r="R87" s="17" t="str"/>
      <x:c r="S87" s="17" t="str"/>
      <x:c r="T87" s="1"/>
      <x:c r="U87" s="1"/>
      <x:c r="V87" s="1"/>
      <x:c r="W87" s="1"/>
      <x:c r="X87" s="1"/>
      <x:c r="Y87" s="1"/>
      <x:c r="Z87" s="1"/>
    </x:row>
    <x:row r="88">
      <x:c r="A88" s="43" t="n">
        <x:v>84</x:v>
      </x:c>
      <x:c r="B88" s="44" t="str">
        <x:v>Not Started</x:v>
      </x:c>
      <x:c r="C88" s="45" t="n">
        <x:v>33785</x:v>
      </x:c>
      <x:c r="D88" s="33" t="str">
        <x:v>Mann &amp; Machine</x:v>
      </x:c>
      <x:c r="E88" s="33" t="str">
        <x:v>Crossover Adjacent</x:v>
      </x:c>
      <x:c r="F88" s="33" t="str">
        <x:v>complete</x:v>
      </x:c>
      <x:c r="G88" s="50" t="n">
        <x:v>1</x:v>
      </x:c>
      <x:c r="H88" s="50" t="n">
        <x:v>7</x:v>
      </x:c>
      <x:c r="I88" s="44" t="str">
        <x:v>01.07</x:v>
      </x:c>
      <x:c r="J88" s="33" t="str">
        <x:v>Truth or Consequences</x:v>
      </x:c>
      <x:c r="K88" s="33" t="str"/>
      <x:c r="L88" s="33" t="str"/>
      <x:c r="M88" s="44" t="str"/>
      <x:c r="N88" s="50" t="n">
        <x:v>45</x:v>
      </x:c>
      <x:c r="O88" s="53" t="str">
        <x:v>When a mother and daughter agree to testify against her husband's mobster employers, Eve is assigned to protect them and gains further understanding about the human condition.</x:v>
      </x:c>
      <x:c r="P88" s="53" t="str">
        <x:v>Early Dick Wolf sci-fi police series</x:v>
      </x:c>
      <x:c r="Q88" s="17" t="str">
        <x:v>490237</x:v>
      </x:c>
      <x:c r="R88" s="17" t="str"/>
      <x:c r="S88" s="17" t="str"/>
      <x:c r="T88" s="1"/>
      <x:c r="U88" s="1"/>
      <x:c r="V88" s="1"/>
      <x:c r="W88" s="1"/>
      <x:c r="X88" s="1"/>
      <x:c r="Y88" s="1"/>
      <x:c r="Z88" s="1"/>
    </x:row>
    <x:row r="89">
      <x:c r="A89" s="43" t="n">
        <x:v>85</x:v>
      </x:c>
      <x:c r="B89" s="44" t="str">
        <x:v>Not Started</x:v>
      </x:c>
      <x:c r="C89" s="45" t="n">
        <x:v>33792</x:v>
      </x:c>
      <x:c r="D89" s="33" t="str">
        <x:v>Mann &amp; Machine</x:v>
      </x:c>
      <x:c r="E89" s="33" t="str">
        <x:v>Crossover Adjacent</x:v>
      </x:c>
      <x:c r="F89" s="33" t="str">
        <x:v>complete</x:v>
      </x:c>
      <x:c r="G89" s="50" t="n">
        <x:v>1</x:v>
      </x:c>
      <x:c r="H89" s="50" t="n">
        <x:v>8</x:v>
      </x:c>
      <x:c r="I89" s="44" t="str">
        <x:v>01.08</x:v>
      </x:c>
      <x:c r="J89" s="33" t="str">
        <x:v>Billion Dollar Baby</x:v>
      </x:c>
      <x:c r="K89" s="33" t="str"/>
      <x:c r="L89" s="33" t="str"/>
      <x:c r="M89" s="44" t="str"/>
      <x:c r="N89" s="50" t="n">
        <x:v>45</x:v>
      </x:c>
      <x:c r="O89" s="53" t="str">
        <x:v>Parental instincts are sparked in Eve for a genetically engineered baby that's worth millions to baby brokers who will kill for the child.</x:v>
      </x:c>
      <x:c r="P89" s="53" t="str">
        <x:v>Early Dick Wolf sci-fi police series</x:v>
      </x:c>
      <x:c r="Q89" s="17" t="str">
        <x:v>490238</x:v>
      </x:c>
      <x:c r="R89" s="17" t="str"/>
      <x:c r="S89" s="17" t="str"/>
      <x:c r="T89" s="1"/>
      <x:c r="U89" s="1"/>
      <x:c r="V89" s="1"/>
      <x:c r="W89" s="1"/>
      <x:c r="X89" s="1"/>
      <x:c r="Y89" s="1"/>
      <x:c r="Z89" s="1"/>
    </x:row>
    <x:row r="90">
      <x:c r="A90" s="43" t="n">
        <x:v>86</x:v>
      </x:c>
      <x:c r="B90" s="44" t="str">
        <x:v>Not Started</x:v>
      </x:c>
      <x:c r="C90" s="45" t="n">
        <x:v>33799</x:v>
      </x:c>
      <x:c r="D90" s="33" t="str">
        <x:v>Mann &amp; Machine</x:v>
      </x:c>
      <x:c r="E90" s="33" t="str">
        <x:v>Crossover Adjacent</x:v>
      </x:c>
      <x:c r="F90" s="33" t="str">
        <x:v>complete</x:v>
      </x:c>
      <x:c r="G90" s="50" t="n">
        <x:v>1</x:v>
      </x:c>
      <x:c r="H90" s="50" t="n">
        <x:v>9</x:v>
      </x:c>
      <x:c r="I90" s="44" t="str">
        <x:v>01.09</x:v>
      </x:c>
      <x:c r="J90" s="33" t="str">
        <x:v>Cold, Cold Heart</x:v>
      </x:c>
      <x:c r="K90" s="33" t="str"/>
      <x:c r="L90" s="33" t="str"/>
      <x:c r="M90" s="44" t="str"/>
      <x:c r="N90" s="50" t="n">
        <x:v>45</x:v>
      </x:c>
      <x:c r="O90" s="53" t="str">
        <x:v>Investigating the death of a doctor who's the only hope for a terminally ill cryonics scientist, Mann poses as Eve's dying brother.</x:v>
      </x:c>
      <x:c r="P90" s="53" t="str">
        <x:v>Early Dick Wolf sci-fi police series</x:v>
      </x:c>
      <x:c r="Q90" s="17" t="str">
        <x:v>490239</x:v>
      </x:c>
      <x:c r="R90" s="17" t="str"/>
      <x:c r="S90" s="17" t="str"/>
      <x:c r="T90" s="1"/>
      <x:c r="U90" s="1"/>
      <x:c r="V90" s="1"/>
      <x:c r="W90" s="1"/>
      <x:c r="X90" s="1"/>
      <x:c r="Y90" s="1"/>
      <x:c r="Z90" s="1"/>
    </x:row>
    <x:row r="91">
      <x:c r="A91" s="43" t="n">
        <x:v>87</x:v>
      </x:c>
      <x:c r="B91" s="44" t="str">
        <x:v>Not Started</x:v>
      </x:c>
      <x:c r="C91" s="45" t="n">
        <x:v>33870</x:v>
      </x:c>
      <x:c r="D91" s="33" t="str">
        <x:v>Law &amp; Order</x:v>
      </x:c>
      <x:c r="E91" s="33" t="str">
        <x:v>Law &amp; Order</x:v>
      </x:c>
      <x:c r="F91" s="33" t="str">
        <x:v>core</x:v>
      </x:c>
      <x:c r="G91" s="50" t="n">
        <x:v>3</x:v>
      </x:c>
      <x:c r="H91" s="50" t="n">
        <x:v>1</x:v>
      </x:c>
      <x:c r="I91" s="44" t="str">
        <x:v>03.01</x:v>
      </x:c>
      <x:c r="J91" s="33" t="str">
        <x:v>Skin Deep</x:v>
      </x:c>
      <x:c r="K91" s="33" t="str"/>
      <x:c r="L91" s="33" t="str"/>
      <x:c r="M91" s="44" t="str"/>
      <x:c r="N91" s="50" t="n">
        <x:v>47</x:v>
      </x:c>
      <x:c r="O91" s="53" t="str">
        <x:v>When a sleazy photographer is murdered, his models appear to be the most likely suspects.</x:v>
      </x:c>
      <x:c r="P91" s="53" t="str">
        <x:v>Core Law &amp; Order franchise</x:v>
      </x:c>
      <x:c r="Q91" s="17" t="str">
        <x:v>34099</x:v>
      </x:c>
      <x:c r="R91" s="17" t="str">
        <x:v>tt0629425</x:v>
      </x:c>
      <x:c r="S91" s="17" t="str">
        <x:v>1</x:v>
      </x:c>
      <x:c r="T91" s="1"/>
      <x:c r="U91" s="1"/>
      <x:c r="V91" s="1"/>
      <x:c r="W91" s="1"/>
      <x:c r="X91" s="1"/>
      <x:c r="Y91" s="1"/>
      <x:c r="Z91" s="1"/>
    </x:row>
    <x:row r="92">
      <x:c r="A92" s="43" t="n">
        <x:v>88</x:v>
      </x:c>
      <x:c r="B92" s="44" t="str">
        <x:v>Not Started</x:v>
      </x:c>
      <x:c r="C92" s="45" t="n">
        <x:v>33877</x:v>
      </x:c>
      <x:c r="D92" s="33" t="str">
        <x:v>Law &amp; Order</x:v>
      </x:c>
      <x:c r="E92" s="33" t="str">
        <x:v>Law &amp; Order</x:v>
      </x:c>
      <x:c r="F92" s="33" t="str">
        <x:v>core</x:v>
      </x:c>
      <x:c r="G92" s="50" t="n">
        <x:v>3</x:v>
      </x:c>
      <x:c r="H92" s="50" t="n">
        <x:v>2</x:v>
      </x:c>
      <x:c r="I92" s="44" t="str">
        <x:v>03.02</x:v>
      </x:c>
      <x:c r="J92" s="33" t="str">
        <x:v>Conspiracy</x:v>
      </x:c>
      <x:c r="K92" s="33" t="str"/>
      <x:c r="L92" s="33" t="str"/>
      <x:c r="M92" s="44" t="str"/>
      <x:c r="N92" s="50" t="n">
        <x:v>48</x:v>
      </x:c>
      <x:c r="O92" s="53" t="str">
        <x:v>The assassination of an African-American leader leads to the arrest of a man whose ex-wife was suspected of having an affair with the victim.</x:v>
      </x:c>
      <x:c r="P92" s="53" t="str">
        <x:v>Core Law &amp; Order franchise</x:v>
      </x:c>
      <x:c r="Q92" s="17" t="str">
        <x:v>34100</x:v>
      </x:c>
      <x:c r="R92" s="17" t="str">
        <x:v>tt0629214</x:v>
      </x:c>
      <x:c r="S92" s="17" t="str">
        <x:v>2</x:v>
      </x:c>
      <x:c r="T92" s="1"/>
      <x:c r="U92" s="1"/>
      <x:c r="V92" s="1"/>
      <x:c r="W92" s="1"/>
      <x:c r="X92" s="1"/>
      <x:c r="Y92" s="1"/>
      <x:c r="Z92" s="1"/>
    </x:row>
    <x:row r="93">
      <x:c r="A93" s="43" t="n">
        <x:v>89</x:v>
      </x:c>
      <x:c r="B93" s="44" t="str">
        <x:v>Not Started</x:v>
      </x:c>
      <x:c r="C93" s="45" t="n">
        <x:v>33884</x:v>
      </x:c>
      <x:c r="D93" s="33" t="str">
        <x:v>Law &amp; Order</x:v>
      </x:c>
      <x:c r="E93" s="33" t="str">
        <x:v>Law &amp; Order</x:v>
      </x:c>
      <x:c r="F93" s="33" t="str">
        <x:v>core</x:v>
      </x:c>
      <x:c r="G93" s="50" t="n">
        <x:v>3</x:v>
      </x:c>
      <x:c r="H93" s="50" t="n">
        <x:v>3</x:v>
      </x:c>
      <x:c r="I93" s="44" t="str">
        <x:v>03.03</x:v>
      </x:c>
      <x:c r="J93" s="33" t="str">
        <x:v>Forgiveness</x:v>
      </x:c>
      <x:c r="K93" s="33" t="str"/>
      <x:c r="L93" s="33" t="str"/>
      <x:c r="M93" s="44" t="str"/>
      <x:c r="N93" s="50" t="n">
        <x:v>48</x:v>
      </x:c>
      <x:c r="O93" s="53" t="str">
        <x:v>A priest-turned-lawyer uses race and class as the basis for his defense of a young Mexican man who murdered his wealthy girlfriend after she broke up with him.</x:v>
      </x:c>
      <x:c r="P93" s="53" t="str">
        <x:v>Core Law &amp; Order franchise</x:v>
      </x:c>
      <x:c r="Q93" s="17" t="str">
        <x:v>34101</x:v>
      </x:c>
      <x:c r="R93" s="17" t="str">
        <x:v>tt0629271</x:v>
      </x:c>
      <x:c r="S93" s="17" t="str">
        <x:v>3</x:v>
      </x:c>
      <x:c r="T93" s="1"/>
      <x:c r="U93" s="1"/>
      <x:c r="V93" s="1"/>
      <x:c r="W93" s="1"/>
      <x:c r="X93" s="1"/>
      <x:c r="Y93" s="1"/>
      <x:c r="Z93" s="1"/>
    </x:row>
    <x:row r="94">
      <x:c r="A94" s="43" t="n">
        <x:v>90</x:v>
      </x:c>
      <x:c r="B94" s="44" t="str">
        <x:v>Not Started</x:v>
      </x:c>
      <x:c r="C94" s="45" t="n">
        <x:v>33891</x:v>
      </x:c>
      <x:c r="D94" s="33" t="str">
        <x:v>Law &amp; Order</x:v>
      </x:c>
      <x:c r="E94" s="33" t="str">
        <x:v>Law &amp; Order</x:v>
      </x:c>
      <x:c r="F94" s="33" t="str">
        <x:v>core</x:v>
      </x:c>
      <x:c r="G94" s="50" t="n">
        <x:v>3</x:v>
      </x:c>
      <x:c r="H94" s="50" t="n">
        <x:v>4</x:v>
      </x:c>
      <x:c r="I94" s="44" t="str">
        <x:v>03.04</x:v>
      </x:c>
      <x:c r="J94" s="33" t="str">
        <x:v>The Corporate Veil</x:v>
      </x:c>
      <x:c r="K94" s="33" t="str"/>
      <x:c r="L94" s="33" t="str"/>
      <x:c r="M94" s="44" t="str"/>
      <x:c r="N94" s="50" t="n">
        <x:v>47</x:v>
      </x:c>
      <x:c r="O94" s="53" t="str">
        <x:v>A teenager's fatal heart attack is traced to fraud and greed on the part of the manufacturer of his pacemaker and their supplier.</x:v>
      </x:c>
      <x:c r="P94" s="53" t="str">
        <x:v>Core Law &amp; Order franchise</x:v>
      </x:c>
      <x:c r="Q94" s="17" t="str">
        <x:v>34102</x:v>
      </x:c>
      <x:c r="R94" s="17" t="str">
        <x:v>tt0629454</x:v>
      </x:c>
      <x:c r="S94" s="17" t="str">
        <x:v>4</x:v>
      </x:c>
      <x:c r="T94" s="1"/>
      <x:c r="U94" s="1"/>
      <x:c r="V94" s="1"/>
      <x:c r="W94" s="1"/>
      <x:c r="X94" s="1"/>
      <x:c r="Y94" s="1"/>
      <x:c r="Z94" s="1"/>
    </x:row>
    <x:row r="95">
      <x:c r="A95" s="43" t="n">
        <x:v>91</x:v>
      </x:c>
      <x:c r="B95" s="44" t="str">
        <x:v>Not Started</x:v>
      </x:c>
      <x:c r="C95" s="45" t="n">
        <x:v>33898</x:v>
      </x:c>
      <x:c r="D95" s="33" t="str">
        <x:v>Law &amp; Order</x:v>
      </x:c>
      <x:c r="E95" s="33" t="str">
        <x:v>Law &amp; Order</x:v>
      </x:c>
      <x:c r="F95" s="33" t="str">
        <x:v>core</x:v>
      </x:c>
      <x:c r="G95" s="50" t="n">
        <x:v>3</x:v>
      </x:c>
      <x:c r="H95" s="50" t="n">
        <x:v>5</x:v>
      </x:c>
      <x:c r="I95" s="44" t="str">
        <x:v>03.05</x:v>
      </x:c>
      <x:c r="J95" s="33" t="str">
        <x:v>Wedded Bliss</x:v>
      </x:c>
      <x:c r="K95" s="33" t="str"/>
      <x:c r="L95" s="33" t="str"/>
      <x:c r="M95" s="44" t="str"/>
      <x:c r="N95" s="50" t="n">
        <x:v>47</x:v>
      </x:c>
      <x:c r="O95" s="53" t="str">
        <x:v>The discovery of a young woman's body in the river leads to an investigation of illegal sweatshops and the enslavement of young immigrants.</x:v>
      </x:c>
      <x:c r="P95" s="53" t="str">
        <x:v>Core Law &amp; Order franchise</x:v>
      </x:c>
      <x:c r="Q95" s="17" t="str">
        <x:v>34103</x:v>
      </x:c>
      <x:c r="R95" s="17" t="str">
        <x:v>tt0629495</x:v>
      </x:c>
      <x:c r="S95" s="17" t="str">
        <x:v>5</x:v>
      </x:c>
      <x:c r="T95" s="1"/>
      <x:c r="U95" s="1"/>
      <x:c r="V95" s="1"/>
      <x:c r="W95" s="1"/>
      <x:c r="X95" s="1"/>
      <x:c r="Y95" s="1"/>
      <x:c r="Z95" s="1"/>
    </x:row>
    <x:row r="96">
      <x:c r="A96" s="43" t="n">
        <x:v>92</x:v>
      </x:c>
      <x:c r="B96" s="44" t="str">
        <x:v>Not Started</x:v>
      </x:c>
      <x:c r="C96" s="45" t="n">
        <x:v>33912</x:v>
      </x:c>
      <x:c r="D96" s="33" t="str">
        <x:v>Law &amp; Order</x:v>
      </x:c>
      <x:c r="E96" s="33" t="str">
        <x:v>Law &amp; Order</x:v>
      </x:c>
      <x:c r="F96" s="33" t="str">
        <x:v>core</x:v>
      </x:c>
      <x:c r="G96" s="50" t="n">
        <x:v>3</x:v>
      </x:c>
      <x:c r="H96" s="50" t="n">
        <x:v>6</x:v>
      </x:c>
      <x:c r="I96" s="44" t="str">
        <x:v>03.06</x:v>
      </x:c>
      <x:c r="J96" s="33" t="str">
        <x:v>Helpless</x:v>
      </x:c>
      <x:c r="K96" s="33" t="str"/>
      <x:c r="L96" s="33" t="str"/>
      <x:c r="M96" s="44" t="str"/>
      <x:c r="N96" s="50" t="n">
        <x:v>47</x:v>
      </x:c>
      <x:c r="O96" s="53" t="str">
        <x:v>Dr. Olivet accuses her gynecologist of rape, but Stone finds his case in trouble when he discovers that Olivet tape-recorded the crime.</x:v>
      </x:c>
      <x:c r="P96" s="53" t="str">
        <x:v>Core Law &amp; Order franchise</x:v>
      </x:c>
      <x:c r="Q96" s="17" t="str">
        <x:v>34104</x:v>
      </x:c>
      <x:c r="R96" s="17" t="str">
        <x:v>tt0394753</x:v>
      </x:c>
      <x:c r="S96" s="17" t="str">
        <x:v>6</x:v>
      </x:c>
      <x:c r="T96" s="1"/>
      <x:c r="U96" s="1"/>
      <x:c r="V96" s="1"/>
      <x:c r="W96" s="1"/>
      <x:c r="X96" s="1"/>
      <x:c r="Y96" s="1"/>
      <x:c r="Z96" s="1"/>
    </x:row>
    <x:row r="97">
      <x:c r="A97" s="43" t="n">
        <x:v>93</x:v>
      </x:c>
      <x:c r="B97" s="44" t="str">
        <x:v>Not Started</x:v>
      </x:c>
      <x:c r="C97" s="45" t="n">
        <x:v>33919</x:v>
      </x:c>
      <x:c r="D97" s="33" t="str">
        <x:v>Law &amp; Order</x:v>
      </x:c>
      <x:c r="E97" s="33" t="str">
        <x:v>Law &amp; Order</x:v>
      </x:c>
      <x:c r="F97" s="33" t="str">
        <x:v>core</x:v>
      </x:c>
      <x:c r="G97" s="50" t="n">
        <x:v>3</x:v>
      </x:c>
      <x:c r="H97" s="50" t="n">
        <x:v>7</x:v>
      </x:c>
      <x:c r="I97" s="44" t="str">
        <x:v>03.07</x:v>
      </x:c>
      <x:c r="J97" s="33" t="str">
        <x:v>Self Defense</x:v>
      </x:c>
      <x:c r="K97" s="33" t="str"/>
      <x:c r="L97" s="33" t="str"/>
      <x:c r="M97" s="44" t="str"/>
      <x:c r="N97" s="50" t="n">
        <x:v>47</x:v>
      </x:c>
      <x:c r="O97" s="53" t="str">
        <x:v>Cerreta and Stone find themselves on opposite sides of the fence when a storeowner kills two robbers and then claims self-defense as a justification.</x:v>
      </x:c>
      <x:c r="P97" s="53" t="str">
        <x:v>Core Law &amp; Order franchise</x:v>
      </x:c>
      <x:c r="Q97" s="17" t="str">
        <x:v>34105</x:v>
      </x:c>
      <x:c r="R97" s="17" t="str">
        <x:v>tt0629415</x:v>
      </x:c>
      <x:c r="S97" s="17" t="str">
        <x:v>7</x:v>
      </x:c>
      <x:c r="T97" s="1"/>
      <x:c r="U97" s="1"/>
      <x:c r="V97" s="1"/>
      <x:c r="W97" s="1"/>
      <x:c r="X97" s="1"/>
      <x:c r="Y97" s="1"/>
      <x:c r="Z97" s="1"/>
    </x:row>
    <x:row r="98">
      <x:c r="A98" s="43" t="n">
        <x:v>94</x:v>
      </x:c>
      <x:c r="B98" s="44" t="str">
        <x:v>Not Started</x:v>
      </x:c>
      <x:c r="C98" s="45" t="n">
        <x:v>33926</x:v>
      </x:c>
      <x:c r="D98" s="33" t="str">
        <x:v>Law &amp; Order</x:v>
      </x:c>
      <x:c r="E98" s="33" t="str">
        <x:v>Law &amp; Order</x:v>
      </x:c>
      <x:c r="F98" s="33" t="str">
        <x:v>core</x:v>
      </x:c>
      <x:c r="G98" s="50" t="n">
        <x:v>3</x:v>
      </x:c>
      <x:c r="H98" s="50" t="n">
        <x:v>8</x:v>
      </x:c>
      <x:c r="I98" s="44" t="str">
        <x:v>03.08</x:v>
      </x:c>
      <x:c r="J98" s="33" t="str">
        <x:v>Prince of Darkness</x:v>
      </x:c>
      <x:c r="K98" s="33" t="str"/>
      <x:c r="L98" s="33" t="str"/>
      <x:c r="M98" s="44" t="str"/>
      <x:c r="N98" s="50" t="n">
        <x:v>47</x:v>
      </x:c>
      <x:c r="O98" s="53" t="str">
        <x:v>Cerreta poses as a weapons dealer to help Stone build a case against a Columbian hit man, but the deal takes an unexpected turn, resulting in bloodshed.</x:v>
      </x:c>
      <x:c r="P98" s="53" t="str">
        <x:v>Core Law &amp; Order franchise</x:v>
      </x:c>
      <x:c r="Q98" s="17" t="str">
        <x:v>34106</x:v>
      </x:c>
      <x:c r="R98" s="17" t="str">
        <x:v>tt0629383</x:v>
      </x:c>
      <x:c r="S98" s="17" t="str">
        <x:v>8</x:v>
      </x:c>
      <x:c r="T98" s="1"/>
      <x:c r="U98" s="1"/>
      <x:c r="V98" s="1"/>
      <x:c r="W98" s="1"/>
      <x:c r="X98" s="1"/>
      <x:c r="Y98" s="1"/>
      <x:c r="Z98" s="1"/>
    </x:row>
    <x:row r="99">
      <x:c r="A99" s="43" t="n">
        <x:v>95</x:v>
      </x:c>
      <x:c r="B99" s="44" t="str">
        <x:v>Not Started</x:v>
      </x:c>
      <x:c r="C99" s="45" t="n">
        <x:v>33933</x:v>
      </x:c>
      <x:c r="D99" s="33" t="str">
        <x:v>Law &amp; Order</x:v>
      </x:c>
      <x:c r="E99" s="33" t="str">
        <x:v>Law &amp; Order</x:v>
      </x:c>
      <x:c r="F99" s="33" t="str">
        <x:v>core</x:v>
      </x:c>
      <x:c r="G99" s="50" t="n">
        <x:v>3</x:v>
      </x:c>
      <x:c r="H99" s="50" t="n">
        <x:v>9</x:v>
      </x:c>
      <x:c r="I99" s="44" t="str">
        <x:v>03.09</x:v>
      </x:c>
      <x:c r="J99" s="33" t="str">
        <x:v>Point of View</x:v>
      </x:c>
      <x:c r="K99" s="33" t="str"/>
      <x:c r="L99" s="33" t="str"/>
      <x:c r="M99" s="44" t="str"/>
      <x:c r="N99" s="50" t="n">
        <x:v>47</x:v>
      </x:c>
      <x:c r="O99" s="53" t="str">
        <x:v>Logan gets a new partner and Stone faces an old friend from law school as they investigate a woman's claim of self-defense in the shooting death of a small time hood.</x:v>
      </x:c>
      <x:c r="P99" s="53" t="str">
        <x:v>Core Law &amp; Order franchise</x:v>
      </x:c>
      <x:c r="Q99" s="17" t="str">
        <x:v>34107</x:v>
      </x:c>
      <x:c r="R99" s="17" t="str">
        <x:v>tt0629375</x:v>
      </x:c>
      <x:c r="S99" s="17" t="str">
        <x:v>9</x:v>
      </x:c>
      <x:c r="T99" s="1"/>
      <x:c r="U99" s="1"/>
      <x:c r="V99" s="1"/>
      <x:c r="W99" s="1"/>
      <x:c r="X99" s="1"/>
      <x:c r="Y99" s="1"/>
      <x:c r="Z99" s="1"/>
    </x:row>
    <x:row r="100">
      <x:c r="A100" s="43" t="n">
        <x:v>96</x:v>
      </x:c>
      <x:c r="B100" s="44" t="str">
        <x:v>Not Started</x:v>
      </x:c>
      <x:c r="C100" s="45" t="n">
        <x:v>33947</x:v>
      </x:c>
      <x:c r="D100" s="33" t="str">
        <x:v>Law &amp; Order</x:v>
      </x:c>
      <x:c r="E100" s="33" t="str">
        <x:v>Law &amp; Order</x:v>
      </x:c>
      <x:c r="F100" s="33" t="str">
        <x:v>core</x:v>
      </x:c>
      <x:c r="G100" s="50" t="n">
        <x:v>3</x:v>
      </x:c>
      <x:c r="H100" s="50" t="n">
        <x:v>10</x:v>
      </x:c>
      <x:c r="I100" s="44" t="str">
        <x:v>03.10</x:v>
      </x:c>
      <x:c r="J100" s="33" t="str">
        <x:v>Consultation</x:v>
      </x:c>
      <x:c r="K100" s="33" t="str"/>
      <x:c r="L100" s="33" t="str"/>
      <x:c r="M100" s="44" t="str"/>
      <x:c r="N100" s="50" t="n">
        <x:v>47</x:v>
      </x:c>
      <x:c r="O100" s="53" t="str">
        <x:v>An engineer and a tribal chief become the chief suspects in the death of a Nigerian woman who died while smuggling heroin internally.</x:v>
      </x:c>
      <x:c r="P100" s="53" t="str">
        <x:v>Core Law &amp; Order franchise</x:v>
      </x:c>
      <x:c r="Q100" s="17" t="str">
        <x:v>34108</x:v>
      </x:c>
      <x:c r="R100" s="17" t="str">
        <x:v>tt0629215</x:v>
      </x:c>
      <x:c r="S100" s="17" t="str">
        <x:v>10</x:v>
      </x:c>
      <x:c r="T100" s="1"/>
      <x:c r="U100" s="1"/>
      <x:c r="V100" s="1"/>
      <x:c r="W100" s="1"/>
      <x:c r="X100" s="1"/>
      <x:c r="Y100" s="1"/>
      <x:c r="Z100" s="1"/>
    </x:row>
    <x:row r="101">
      <x:c r="A101" s="43" t="n">
        <x:v>97</x:v>
      </x:c>
      <x:c r="B101" s="44" t="str">
        <x:v>Not Started</x:v>
      </x:c>
      <x:c r="C101" s="45" t="n">
        <x:v>33971</x:v>
      </x:c>
      <x:c r="D101" s="33" t="str">
        <x:v>Homicide: Life on the Street</x:v>
      </x:c>
      <x:c r="E101" s="33" t="str">
        <x:v>Law &amp; Order</x:v>
      </x:c>
      <x:c r="F101" s="33" t="str">
        <x:v>connected</x:v>
      </x:c>
      <x:c r="G101" s="50" t="n">
        <x:v>0</x:v>
      </x:c>
      <x:c r="H101" s="50" t="n">
        <x:v>1</x:v>
      </x:c>
      <x:c r="I101" s="44" t="str">
        <x:v>S00.01</x:v>
      </x:c>
      <x:c r="J101" s="33" t="str">
        <x:v>An Interview with Barry Levinson</x:v>
      </x:c>
      <x:c r="K101" s="33" t="str"/>
      <x:c r="L101" s="33" t="str"/>
      <x:c r="M101" s="44" t="str"/>
      <x:c r="N101" s="50" t="n">
        <x:v>45</x:v>
      </x:c>
      <x:c r="O101" s="53" t="str">
        <x:v>Academy Award-winning American screenwriter &amp; film director talks about his show: Homicide - Life on the Street</x:v>
      </x:c>
      <x:c r="P101" s="53" t="str">
        <x:v>Direct crossover with Law &amp; Order; Munch bridge to SVU</x:v>
      </x:c>
      <x:c r="Q101" s="17" t="str">
        <x:v>5386039</x:v>
      </x:c>
      <x:c r="R101" s="17" t="str">
        <x:v>tt0629203</x:v>
      </x:c>
      <x:c r="S101" s="17" t="str"/>
      <x:c r="T101" s="1"/>
      <x:c r="U101" s="1"/>
      <x:c r="V101" s="1"/>
      <x:c r="W101" s="1"/>
      <x:c r="X101" s="1"/>
      <x:c r="Y101" s="1"/>
      <x:c r="Z101" s="1"/>
    </x:row>
    <x:row r="102">
      <x:c r="A102" s="43" t="n">
        <x:v>98</x:v>
      </x:c>
      <x:c r="B102" s="44" t="str">
        <x:v>Not Started</x:v>
      </x:c>
      <x:c r="C102" s="45" t="n">
        <x:v>33975</x:v>
      </x:c>
      <x:c r="D102" s="33" t="str">
        <x:v>Law &amp; Order</x:v>
      </x:c>
      <x:c r="E102" s="33" t="str">
        <x:v>Law &amp; Order</x:v>
      </x:c>
      <x:c r="F102" s="33" t="str">
        <x:v>core</x:v>
      </x:c>
      <x:c r="G102" s="50" t="n">
        <x:v>3</x:v>
      </x:c>
      <x:c r="H102" s="50" t="n">
        <x:v>11</x:v>
      </x:c>
      <x:c r="I102" s="44" t="str">
        <x:v>03.11</x:v>
      </x:c>
      <x:c r="J102" s="33" t="str">
        <x:v>Extended Family</x:v>
      </x:c>
      <x:c r="K102" s="33" t="str"/>
      <x:c r="L102" s="33" t="str"/>
      <x:c r="M102" s="44" t="str"/>
      <x:c r="N102" s="50" t="n">
        <x:v>47</x:v>
      </x:c>
      <x:c r="O102" s="53" t="str">
        <x:v>The apparent abduction of a little girl by her natural mother becomes complicated by charges of sexual molestation.</x:v>
      </x:c>
      <x:c r="P102" s="53" t="str">
        <x:v>Core Law &amp; Order franchise</x:v>
      </x:c>
      <x:c r="Q102" s="17" t="str">
        <x:v>34109</x:v>
      </x:c>
      <x:c r="R102" s="17" t="str">
        <x:v>tt0629259</x:v>
      </x:c>
      <x:c r="S102" s="17" t="str">
        <x:v>11</x:v>
      </x:c>
      <x:c r="T102" s="1"/>
      <x:c r="U102" s="1"/>
      <x:c r="V102" s="1"/>
      <x:c r="W102" s="1"/>
      <x:c r="X102" s="1"/>
      <x:c r="Y102" s="1"/>
      <x:c r="Z102" s="1"/>
    </x:row>
    <x:row r="103">
      <x:c r="A103" s="43" t="n">
        <x:v>99</x:v>
      </x:c>
      <x:c r="B103" s="44" t="str">
        <x:v>Not Started</x:v>
      </x:c>
      <x:c r="C103" s="45" t="n">
        <x:v>33982</x:v>
      </x:c>
      <x:c r="D103" s="33" t="str">
        <x:v>Law &amp; Order</x:v>
      </x:c>
      <x:c r="E103" s="33" t="str">
        <x:v>Law &amp; Order</x:v>
      </x:c>
      <x:c r="F103" s="33" t="str">
        <x:v>core</x:v>
      </x:c>
      <x:c r="G103" s="50" t="n">
        <x:v>3</x:v>
      </x:c>
      <x:c r="H103" s="50" t="n">
        <x:v>12</x:v>
      </x:c>
      <x:c r="I103" s="44" t="str">
        <x:v>03.12</x:v>
      </x:c>
      <x:c r="J103" s="33" t="str">
        <x:v>Right to Counsel</x:v>
      </x:c>
      <x:c r="K103" s="33" t="str"/>
      <x:c r="L103" s="33" t="str"/>
      <x:c r="M103" s="44" t="str"/>
      <x:c r="N103" s="50" t="n">
        <x:v>47</x:v>
      </x:c>
      <x:c r="O103" s="53" t="str">
        <x:v>After Stone accepts a plea bargain from the much younger and poorer lover of a wealthy older woman found murdered in her apartment, he begins to have doubts that he has sent the right man to prison, especially as he learns more about the attorney who handled the woman's estate.</x:v>
      </x:c>
      <x:c r="P103" s="53" t="str">
        <x:v>Core Law &amp; Order franchise</x:v>
      </x:c>
      <x:c r="Q103" s="17" t="str">
        <x:v>34110</x:v>
      </x:c>
      <x:c r="R103" s="17" t="str">
        <x:v>tt0629402</x:v>
      </x:c>
      <x:c r="S103" s="17" t="str">
        <x:v>12</x:v>
      </x:c>
      <x:c r="T103" s="1"/>
      <x:c r="U103" s="1"/>
      <x:c r="V103" s="1"/>
      <x:c r="W103" s="1"/>
      <x:c r="X103" s="1"/>
      <x:c r="Y103" s="1"/>
      <x:c r="Z103" s="1"/>
    </x:row>
    <x:row r="104">
      <x:c r="A104" s="43" t="n">
        <x:v>100</x:v>
      </x:c>
      <x:c r="B104" s="44" t="str">
        <x:v>Not Started</x:v>
      </x:c>
      <x:c r="C104" s="45" t="n">
        <x:v>34000</x:v>
      </x:c>
      <x:c r="D104" s="33" t="str">
        <x:v>Homicide: Life on the Street</x:v>
      </x:c>
      <x:c r="E104" s="33" t="str">
        <x:v>Law &amp; Order</x:v>
      </x:c>
      <x:c r="F104" s="33" t="str">
        <x:v>connected</x:v>
      </x:c>
      <x:c r="G104" s="50" t="n">
        <x:v>1</x:v>
      </x:c>
      <x:c r="H104" s="50" t="n">
        <x:v>1</x:v>
      </x:c>
      <x:c r="I104" s="44" t="str">
        <x:v>01.01</x:v>
      </x:c>
      <x:c r="J104" s="33" t="str">
        <x:v>Gone for Goode</x:v>
      </x:c>
      <x:c r="K104" s="33" t="str"/>
      <x:c r="L104" s="33" t="str"/>
      <x:c r="M104" s="44" t="str"/>
      <x:c r="N104" s="50" t="n">
        <x:v>47</x:v>
      </x:c>
      <x:c r="O104" s="53" t="str">
        <x:v>Lewis and Crosetti uncover a woman who's been killing her husbands for insurance money. Howard tries to keep her cases-solved record perfect, but she is reassigned with Felton as her partner. Bolander convinces Munch to help him finish up an unsolved case. A new guy, Tim Bayliss, from the mayor's office gets his first case in homicide, the murder of an 11-year-old girl. His partner Pembleton, we find out, is less than enthusiastic to work with him or anyone else in the unit.</x:v>
      </x:c>
      <x:c r="P104" s="53" t="str">
        <x:v>Direct crossover with Law &amp; Order; Munch bridge to SVU</x:v>
      </x:c>
      <x:c r="Q104" s="17" t="str">
        <x:v>319978</x:v>
      </x:c>
      <x:c r="R104" s="17" t="str">
        <x:v>tt0604374</x:v>
      </x:c>
      <x:c r="S104" s="17" t="str">
        <x:v>13</x:v>
      </x:c>
      <x:c r="T104" s="1"/>
      <x:c r="U104" s="1"/>
      <x:c r="V104" s="1"/>
      <x:c r="W104" s="1"/>
      <x:c r="X104" s="1"/>
      <x:c r="Y104" s="1"/>
      <x:c r="Z104" s="1"/>
    </x:row>
    <x:row r="105">
      <x:c r="A105" s="43" t="n">
        <x:v>101</x:v>
      </x:c>
      <x:c r="B105" s="44" t="str">
        <x:v>Not Started</x:v>
      </x:c>
      <x:c r="C105" s="45" t="n">
        <x:v>34003</x:v>
      </x:c>
      <x:c r="D105" s="33" t="str">
        <x:v>Homicide: Life on the Street</x:v>
      </x:c>
      <x:c r="E105" s="33" t="str">
        <x:v>Law &amp; Order</x:v>
      </x:c>
      <x:c r="F105" s="33" t="str">
        <x:v>connected</x:v>
      </x:c>
      <x:c r="G105" s="50" t="n">
        <x:v>1</x:v>
      </x:c>
      <x:c r="H105" s="50" t="n">
        <x:v>2</x:v>
      </x:c>
      <x:c r="I105" s="44" t="str">
        <x:v>01.02</x:v>
      </x:c>
      <x:c r="J105" s="33" t="str">
        <x:v>Ghost of a Chance</x:v>
      </x:c>
      <x:c r="K105" s="33" t="str"/>
      <x:c r="L105" s="33" t="str"/>
      <x:c r="M105" s="44" t="str"/>
      <x:c r="N105" s="50" t="n">
        <x:v>48</x:v>
      </x:c>
      <x:c r="O105" s="53" t="str">
        <x:v>Bayliss and Pembleton continue to struggle with the Watson case. Bolander and Munch discuss ""iguana style"" and are called to check out the homicide of a victim that isn't dead, at least the first time they're called. While checking out some leads for the Watson case, Crosetti gives his theory on the conspiracy to kill Abraham Lincoln. Lewis wants to flood Memorial Stadium. Bolander expresses an interest in Dr. Blythe; Munch advises and sends flower's in Stan's name. Danvers needs a stronger case; however, Howard is frustrated with a dead end. Then the ghost of the victim leads her to the undiscovered proof. Tim attends Adena's funeral.</x:v>
      </x:c>
      <x:c r="P105" s="53" t="str">
        <x:v>Direct crossover with Law &amp; Order; Munch bridge to SVU</x:v>
      </x:c>
      <x:c r="Q105" s="17" t="str">
        <x:v>319979</x:v>
      </x:c>
      <x:c r="R105" s="17" t="str">
        <x:v>tt0604330</x:v>
      </x:c>
      <x:c r="S105" s="17" t="str">
        <x:v>15</x:v>
      </x:c>
      <x:c r="T105" s="1"/>
      <x:c r="U105" s="1"/>
      <x:c r="V105" s="1"/>
      <x:c r="W105" s="1"/>
      <x:c r="X105" s="1"/>
      <x:c r="Y105" s="1"/>
      <x:c r="Z105" s="1"/>
    </x:row>
    <x:row r="106">
      <x:c r="A106" s="43" t="n">
        <x:v>102</x:v>
      </x:c>
      <x:c r="B106" s="44" t="str">
        <x:v>Not Started</x:v>
      </x:c>
      <x:c r="C106" s="45" t="n">
        <x:v>34003</x:v>
      </x:c>
      <x:c r="D106" s="33" t="str">
        <x:v>Law &amp; Order</x:v>
      </x:c>
      <x:c r="E106" s="33" t="str">
        <x:v>Law &amp; Order</x:v>
      </x:c>
      <x:c r="F106" s="33" t="str">
        <x:v>core</x:v>
      </x:c>
      <x:c r="G106" s="50" t="n">
        <x:v>3</x:v>
      </x:c>
      <x:c r="H106" s="50" t="n">
        <x:v>13</x:v>
      </x:c>
      <x:c r="I106" s="44" t="str">
        <x:v>03.13</x:v>
      </x:c>
      <x:c r="J106" s="33" t="str">
        <x:v>Night and Fog</x:v>
      </x:c>
      <x:c r="K106" s="33" t="str"/>
      <x:c r="L106" s="33" t="str"/>
      <x:c r="M106" s="44" t="str"/>
      <x:c r="N106" s="50" t="n">
        <x:v>47</x:v>
      </x:c>
      <x:c r="O106" s="53" t="str">
        <x:v>The confession of an elderly man that he assisted his wife in committing suicide doesn't fully satisfy Stone when rumors surface that the man was once a Nazi collaborator.</x:v>
      </x:c>
      <x:c r="P106" s="53" t="str">
        <x:v>Core Law &amp; Order franchise</x:v>
      </x:c>
      <x:c r="Q106" s="17" t="str">
        <x:v>34111</x:v>
      </x:c>
      <x:c r="R106" s="17" t="str">
        <x:v>tt0629354</x:v>
      </x:c>
      <x:c r="S106" s="17" t="str">
        <x:v>14</x:v>
      </x:c>
      <x:c r="T106" s="1"/>
      <x:c r="U106" s="1"/>
      <x:c r="V106" s="1"/>
      <x:c r="W106" s="1"/>
      <x:c r="X106" s="1"/>
      <x:c r="Y106" s="1"/>
      <x:c r="Z106" s="1"/>
    </x:row>
    <x:row r="107">
      <x:c r="A107" s="43" t="n">
        <x:v>103</x:v>
      </x:c>
      <x:c r="B107" s="44" t="str">
        <x:v>Not Started</x:v>
      </x:c>
      <x:c r="C107" s="45" t="n">
        <x:v>34010</x:v>
      </x:c>
      <x:c r="D107" s="33" t="str">
        <x:v>Homicide: Life on the Street</x:v>
      </x:c>
      <x:c r="E107" s="33" t="str">
        <x:v>Law &amp; Order</x:v>
      </x:c>
      <x:c r="F107" s="33" t="str">
        <x:v>connected</x:v>
      </x:c>
      <x:c r="G107" s="50" t="n">
        <x:v>1</x:v>
      </x:c>
      <x:c r="H107" s="50" t="n">
        <x:v>3</x:v>
      </x:c>
      <x:c r="I107" s="44" t="str">
        <x:v>01.03</x:v>
      </x:c>
      <x:c r="J107" s="33" t="str">
        <x:v>Son of a Gun</x:v>
      </x:c>
      <x:c r="K107" s="33" t="str"/>
      <x:c r="L107" s="33" t="str"/>
      <x:c r="M107" s="44" t="str"/>
      <x:c r="N107" s="50" t="n">
        <x:v>46</x:v>
      </x:c>
      <x:c r="O107" s="53" t="str">
        <x:v>Crosetti and Lewis investigate the shooting of a fellow police officer whom Crosetti regards as a son, Howard suspects a rabid Spiro Agnew fan of murder but ends up solving the Calpurnia Church case meanwhile Bolander makes a friend whose death interrupts his date with Dr. Blythe.</x:v>
      </x:c>
      <x:c r="P107" s="53" t="str">
        <x:v>Direct crossover with Law &amp; Order; Munch bridge to SVU</x:v>
      </x:c>
      <x:c r="Q107" s="17" t="str">
        <x:v>319980</x:v>
      </x:c>
      <x:c r="R107" s="17" t="str">
        <x:v>tt0604421</x:v>
      </x:c>
      <x:c r="S107" s="17" t="str">
        <x:v>17</x:v>
      </x:c>
      <x:c r="T107" s="1"/>
      <x:c r="U107" s="1"/>
      <x:c r="V107" s="1"/>
      <x:c r="W107" s="1"/>
      <x:c r="X107" s="1"/>
      <x:c r="Y107" s="1"/>
      <x:c r="Z107" s="1"/>
    </x:row>
    <x:row r="108">
      <x:c r="A108" s="43" t="n">
        <x:v>104</x:v>
      </x:c>
      <x:c r="B108" s="44" t="str">
        <x:v>Not Started</x:v>
      </x:c>
      <x:c r="C108" s="45" t="n">
        <x:v>34010</x:v>
      </x:c>
      <x:c r="D108" s="33" t="str">
        <x:v>Law &amp; Order</x:v>
      </x:c>
      <x:c r="E108" s="33" t="str">
        <x:v>Law &amp; Order</x:v>
      </x:c>
      <x:c r="F108" s="33" t="str">
        <x:v>core</x:v>
      </x:c>
      <x:c r="G108" s="50" t="n">
        <x:v>3</x:v>
      </x:c>
      <x:c r="H108" s="50" t="n">
        <x:v>14</x:v>
      </x:c>
      <x:c r="I108" s="44" t="str">
        <x:v>03.14</x:v>
      </x:c>
      <x:c r="J108" s="33" t="str">
        <x:v>Promises to Keep</x:v>
      </x:c>
      <x:c r="K108" s="33" t="str"/>
      <x:c r="L108" s="33" t="str"/>
      <x:c r="M108" s="44" t="str"/>
      <x:c r="N108" s="50" t="n">
        <x:v>47</x:v>
      </x:c>
      <x:c r="O108" s="53" t="str">
        <x:v>The investigation into the murder of a young physician leads to the discovery of an unorthodox and illegal relationship between her fiance and his psychiatrist.</x:v>
      </x:c>
      <x:c r="P108" s="53" t="str">
        <x:v>Core Law &amp; Order franchise</x:v>
      </x:c>
      <x:c r="Q108" s="17" t="str">
        <x:v>34112</x:v>
      </x:c>
      <x:c r="R108" s="17" t="str">
        <x:v>tt0629389</x:v>
      </x:c>
      <x:c r="S108" s="17" t="str">
        <x:v>16</x:v>
      </x:c>
      <x:c r="T108" s="1"/>
      <x:c r="U108" s="1"/>
      <x:c r="V108" s="1"/>
      <x:c r="W108" s="1"/>
      <x:c r="X108" s="1"/>
      <x:c r="Y108" s="1"/>
      <x:c r="Z108" s="1"/>
    </x:row>
    <x:row r="109">
      <x:c r="A109" s="43" t="n">
        <x:v>105</x:v>
      </x:c>
      <x:c r="B109" s="44" t="str">
        <x:v>Not Started</x:v>
      </x:c>
      <x:c r="C109" s="45" t="n">
        <x:v>34024</x:v>
      </x:c>
      <x:c r="D109" s="33" t="str">
        <x:v>Homicide: Life on the Street</x:v>
      </x:c>
      <x:c r="E109" s="33" t="str">
        <x:v>Law &amp; Order</x:v>
      </x:c>
      <x:c r="F109" s="33" t="str">
        <x:v>connected</x:v>
      </x:c>
      <x:c r="G109" s="50" t="n">
        <x:v>1</x:v>
      </x:c>
      <x:c r="H109" s="50" t="n">
        <x:v>4</x:v>
      </x:c>
      <x:c r="I109" s="44" t="str">
        <x:v>01.04</x:v>
      </x:c>
      <x:c r="J109" s="33" t="str">
        <x:v>A Shot in the Dark</x:v>
      </x:c>
      <x:c r="K109" s="33" t="str"/>
      <x:c r="L109" s="33" t="str"/>
      <x:c r="M109" s="44" t="str"/>
      <x:c r="N109" s="50" t="n">
        <x:v>47</x:v>
      </x:c>
      <x:c r="O109" s="53" t="str">
        <x:v>Crosetti focuses his investigation into the shooting of Officer Thormann on one suspect, while Lewis continues to investigate. Meanwhile, Pembleton and Bayliss pursue different leads in the murder case of eleven-year-old Adena Watson.</x:v>
      </x:c>
      <x:c r="P109" s="53" t="str">
        <x:v>Direct crossover with Law &amp; Order; Munch bridge to SVU</x:v>
      </x:c>
      <x:c r="Q109" s="17" t="str">
        <x:v>319981</x:v>
      </x:c>
      <x:c r="R109" s="17" t="str">
        <x:v>tt0604333</x:v>
      </x:c>
      <x:c r="S109" s="17" t="str">
        <x:v>19</x:v>
      </x:c>
      <x:c r="T109" s="1"/>
      <x:c r="U109" s="1"/>
      <x:c r="V109" s="1"/>
      <x:c r="W109" s="1"/>
      <x:c r="X109" s="1"/>
      <x:c r="Y109" s="1"/>
      <x:c r="Z109" s="1"/>
    </x:row>
    <x:row r="110">
      <x:c r="A110" s="43" t="n">
        <x:v>106</x:v>
      </x:c>
      <x:c r="B110" s="44" t="str">
        <x:v>Not Started</x:v>
      </x:c>
      <x:c r="C110" s="45" t="n">
        <x:v>34024</x:v>
      </x:c>
      <x:c r="D110" s="33" t="str">
        <x:v>Law &amp; Order</x:v>
      </x:c>
      <x:c r="E110" s="33" t="str">
        <x:v>Law &amp; Order</x:v>
      </x:c>
      <x:c r="F110" s="33" t="str">
        <x:v>core</x:v>
      </x:c>
      <x:c r="G110" s="50" t="n">
        <x:v>3</x:v>
      </x:c>
      <x:c r="H110" s="50" t="n">
        <x:v>15</x:v>
      </x:c>
      <x:c r="I110" s="44" t="str">
        <x:v>03.15</x:v>
      </x:c>
      <x:c r="J110" s="33" t="str">
        <x:v>Mother Love</x:v>
      </x:c>
      <x:c r="K110" s="33" t="str"/>
      <x:c r="L110" s="33" t="str"/>
      <x:c r="M110" s="44" t="str"/>
      <x:c r="N110" s="50" t="n">
        <x:v>47</x:v>
      </x:c>
      <x:c r="O110" s="53" t="str">
        <x:v>The absence of a murder weapon complicates the investigation into the murder of a drug addict who stole from her family to support her habit.</x:v>
      </x:c>
      <x:c r="P110" s="53" t="str">
        <x:v>Core Law &amp; Order franchise</x:v>
      </x:c>
      <x:c r="Q110" s="17" t="str">
        <x:v>34113</x:v>
      </x:c>
      <x:c r="R110" s="17" t="str">
        <x:v>tt0629346</x:v>
      </x:c>
      <x:c r="S110" s="17" t="str">
        <x:v>18</x:v>
      </x:c>
      <x:c r="T110" s="1"/>
      <x:c r="U110" s="1"/>
      <x:c r="V110" s="1"/>
      <x:c r="W110" s="1"/>
      <x:c r="X110" s="1"/>
      <x:c r="Y110" s="1"/>
      <x:c r="Z110" s="1"/>
    </x:row>
    <x:row r="111">
      <x:c r="A111" s="43" t="n">
        <x:v>107</x:v>
      </x:c>
      <x:c r="B111" s="44" t="str">
        <x:v>Not Started</x:v>
      </x:c>
      <x:c r="C111" s="45" t="n">
        <x:v>34031</x:v>
      </x:c>
      <x:c r="D111" s="33" t="str">
        <x:v>Homicide: Life on the Street</x:v>
      </x:c>
      <x:c r="E111" s="33" t="str">
        <x:v>Law &amp; Order</x:v>
      </x:c>
      <x:c r="F111" s="33" t="str">
        <x:v>connected</x:v>
      </x:c>
      <x:c r="G111" s="50" t="n">
        <x:v>1</x:v>
      </x:c>
      <x:c r="H111" s="50" t="n">
        <x:v>5</x:v>
      </x:c>
      <x:c r="I111" s="44" t="str">
        <x:v>01.05</x:v>
      </x:c>
      <x:c r="J111" s="33" t="str">
        <x:v>Three Men and Adena</x:v>
      </x:c>
      <x:c r="K111" s="33" t="str"/>
      <x:c r="L111" s="33" t="str"/>
      <x:c r="M111" s="44" t="str"/>
      <x:c r="N111" s="50" t="n">
        <x:v>45</x:v>
      </x:c>
      <x:c r="O111" s="53" t="str">
        <x:v>Pembleton and Bayliss have only twelve hours to grill their prime suspect in the Adena Watson case before they must let him go.</x:v>
      </x:c>
      <x:c r="P111" s="53" t="str">
        <x:v>Direct crossover with Law &amp; Order; Munch bridge to SVU</x:v>
      </x:c>
      <x:c r="Q111" s="17" t="str">
        <x:v>319982</x:v>
      </x:c>
      <x:c r="R111" s="17" t="str">
        <x:v>tt0604440</x:v>
      </x:c>
      <x:c r="S111" s="17" t="str">
        <x:v>21</x:v>
      </x:c>
      <x:c r="T111" s="1"/>
      <x:c r="U111" s="1"/>
      <x:c r="V111" s="1"/>
      <x:c r="W111" s="1"/>
      <x:c r="X111" s="1"/>
      <x:c r="Y111" s="1"/>
      <x:c r="Z111" s="1"/>
    </x:row>
    <x:row r="112">
      <x:c r="A112" s="43" t="n">
        <x:v>108</x:v>
      </x:c>
      <x:c r="B112" s="44" t="str">
        <x:v>Not Started</x:v>
      </x:c>
      <x:c r="C112" s="45" t="n">
        <x:v>34031</x:v>
      </x:c>
      <x:c r="D112" s="33" t="str">
        <x:v>Law &amp; Order</x:v>
      </x:c>
      <x:c r="E112" s="33" t="str">
        <x:v>Law &amp; Order</x:v>
      </x:c>
      <x:c r="F112" s="33" t="str">
        <x:v>core</x:v>
      </x:c>
      <x:c r="G112" s="50" t="n">
        <x:v>3</x:v>
      </x:c>
      <x:c r="H112" s="50" t="n">
        <x:v>16</x:v>
      </x:c>
      <x:c r="I112" s="44" t="str">
        <x:v>03.16</x:v>
      </x:c>
      <x:c r="J112" s="33" t="str">
        <x:v>Jurisdiction</x:v>
      </x:c>
      <x:c r="K112" s="33" t="str"/>
      <x:c r="L112" s="33" t="str"/>
      <x:c r="M112" s="44" t="str"/>
      <x:c r="N112" s="50" t="n">
        <x:v>47</x:v>
      </x:c>
      <x:c r="O112" s="53" t="str">
        <x:v>Stone battles the Brooklyn DA's office over prosecutorial jurisdiction in the case of a mentally handicapped man who confesses to the stabbing deaths of two women.</x:v>
      </x:c>
      <x:c r="P112" s="53" t="str">
        <x:v>Core Law &amp; Order franchise</x:v>
      </x:c>
      <x:c r="Q112" s="17" t="str">
        <x:v>34114</x:v>
      </x:c>
      <x:c r="R112" s="17" t="str">
        <x:v>tt0629319</x:v>
      </x:c>
      <x:c r="S112" s="17" t="str">
        <x:v>20</x:v>
      </x:c>
      <x:c r="T112" s="1"/>
      <x:c r="U112" s="1"/>
      <x:c r="V112" s="1"/>
      <x:c r="W112" s="1"/>
      <x:c r="X112" s="1"/>
      <x:c r="Y112" s="1"/>
      <x:c r="Z112" s="1"/>
    </x:row>
    <x:row r="113">
      <x:c r="A113" s="43" t="n">
        <x:v>109</x:v>
      </x:c>
      <x:c r="B113" s="44" t="str">
        <x:v>Not Started</x:v>
      </x:c>
      <x:c r="C113" s="45" t="n">
        <x:v>34038</x:v>
      </x:c>
      <x:c r="D113" s="33" t="str">
        <x:v>Homicide: Life on the Street</x:v>
      </x:c>
      <x:c r="E113" s="33" t="str">
        <x:v>Law &amp; Order</x:v>
      </x:c>
      <x:c r="F113" s="33" t="str">
        <x:v>connected</x:v>
      </x:c>
      <x:c r="G113" s="50" t="n">
        <x:v>1</x:v>
      </x:c>
      <x:c r="H113" s="50" t="n">
        <x:v>6</x:v>
      </x:c>
      <x:c r="I113" s="44" t="str">
        <x:v>01.06</x:v>
      </x:c>
      <x:c r="J113" s="33" t="str">
        <x:v>A Dog and Pony Show</x:v>
      </x:c>
      <x:c r="K113" s="33" t="str"/>
      <x:c r="L113" s="33" t="str"/>
      <x:c r="M113" s="44" t="str"/>
      <x:c r="N113" s="50" t="n">
        <x:v>46</x:v>
      </x:c>
      <x:c r="O113" s="53" t="str">
        <x:v>While Giardello is busy sending off an old friend to retirement Pembleton and Bayliss investigate the murder of a dog, Howard and Felton argue over whether Felton finds Howard attractive while dealing with a drug-related homicide and Bolander and Munch take Dr. Blythe's son on a ride along. Meanwhile, Crosetti takes care of the bed-ridden and blind Thormann.</x:v>
      </x:c>
      <x:c r="P113" s="53" t="str">
        <x:v>Direct crossover with Law &amp; Order; Munch bridge to SVU</x:v>
      </x:c>
      <x:c r="Q113" s="17" t="str">
        <x:v>319983</x:v>
      </x:c>
      <x:c r="R113" s="17" t="str">
        <x:v>tt0604359</x:v>
      </x:c>
      <x:c r="S113" s="17" t="str">
        <x:v>23</x:v>
      </x:c>
      <x:c r="T113" s="1"/>
      <x:c r="U113" s="1"/>
      <x:c r="V113" s="1"/>
      <x:c r="W113" s="1"/>
      <x:c r="X113" s="1"/>
      <x:c r="Y113" s="1"/>
      <x:c r="Z113" s="1"/>
    </x:row>
    <x:row r="114">
      <x:c r="A114" s="43" t="n">
        <x:v>110</x:v>
      </x:c>
      <x:c r="B114" s="44" t="str">
        <x:v>Not Started</x:v>
      </x:c>
      <x:c r="C114" s="45" t="n">
        <x:v>34038</x:v>
      </x:c>
      <x:c r="D114" s="33" t="str">
        <x:v>Law &amp; Order</x:v>
      </x:c>
      <x:c r="E114" s="33" t="str">
        <x:v>Law &amp; Order</x:v>
      </x:c>
      <x:c r="F114" s="33" t="str">
        <x:v>core</x:v>
      </x:c>
      <x:c r="G114" s="50" t="n">
        <x:v>3</x:v>
      </x:c>
      <x:c r="H114" s="50" t="n">
        <x:v>17</x:v>
      </x:c>
      <x:c r="I114" s="44" t="str">
        <x:v>03.17</x:v>
      </x:c>
      <x:c r="J114" s="33" t="str">
        <x:v>Conduct Unbecoming</x:v>
      </x:c>
      <x:c r="K114" s="33" t="str"/>
      <x:c r="L114" s="33" t="str"/>
      <x:c r="M114" s="44" t="str"/>
      <x:c r="N114" s="50" t="n">
        <x:v>47</x:v>
      </x:c>
      <x:c r="O114" s="53" t="str">
        <x:v>Stone and the police battle the closed ranks of the Navy to investigate the death of a female Naval officer during a party in a Manhattan hotel.</x:v>
      </x:c>
      <x:c r="P114" s="53" t="str">
        <x:v>Core Law &amp; Order franchise</x:v>
      </x:c>
      <x:c r="Q114" s="17" t="str">
        <x:v>34115</x:v>
      </x:c>
      <x:c r="R114" s="17" t="str">
        <x:v>tt0629212</x:v>
      </x:c>
      <x:c r="S114" s="17" t="str">
        <x:v>22</x:v>
      </x:c>
      <x:c r="T114" s="1"/>
      <x:c r="U114" s="1"/>
      <x:c r="V114" s="1"/>
      <x:c r="W114" s="1"/>
      <x:c r="X114" s="1"/>
      <x:c r="Y114" s="1"/>
      <x:c r="Z114" s="1"/>
    </x:row>
    <x:row r="115">
      <x:c r="A115" s="43" t="n">
        <x:v>111</x:v>
      </x:c>
      <x:c r="B115" s="44" t="str">
        <x:v>Not Started</x:v>
      </x:c>
      <x:c r="C115" s="45" t="n">
        <x:v>34045</x:v>
      </x:c>
      <x:c r="D115" s="33" t="str">
        <x:v>Homicide: Life on the Street</x:v>
      </x:c>
      <x:c r="E115" s="33" t="str">
        <x:v>Law &amp; Order</x:v>
      </x:c>
      <x:c r="F115" s="33" t="str">
        <x:v>connected</x:v>
      </x:c>
      <x:c r="G115" s="50" t="n">
        <x:v>1</x:v>
      </x:c>
      <x:c r="H115" s="50" t="n">
        <x:v>7</x:v>
      </x:c>
      <x:c r="I115" s="44" t="str">
        <x:v>01.07</x:v>
      </x:c>
      <x:c r="J115" s="33" t="str">
        <x:v>And the Rockets' Dead Glare</x:v>
      </x:c>
      <x:c r="K115" s="33" t="str"/>
      <x:c r="L115" s="33" t="str"/>
      <x:c r="M115" s="44" t="str"/>
      <x:c r="N115" s="50" t="n">
        <x:v>46</x:v>
      </x:c>
      <x:c r="O115" s="53" t="str">
        <x:v>Howard and Felton are in court over the Pony Johnson case, Crosetti and Lewis go head to head with the Secret Service and Bolander and Munch argue over drug legalization. Meanwhile, Pembleton gets an unexpected job offer.</x:v>
      </x:c>
      <x:c r="P115" s="53" t="str">
        <x:v>Direct crossover with Law &amp; Order; Munch bridge to SVU</x:v>
      </x:c>
      <x:c r="Q115" s="17" t="str">
        <x:v>319984</x:v>
      </x:c>
      <x:c r="R115" s="17" t="str">
        <x:v>tt0604337</x:v>
      </x:c>
      <x:c r="S115" s="17" t="str">
        <x:v>25</x:v>
      </x:c>
      <x:c r="T115" s="1"/>
      <x:c r="U115" s="1"/>
      <x:c r="V115" s="1"/>
      <x:c r="W115" s="1"/>
      <x:c r="X115" s="1"/>
      <x:c r="Y115" s="1"/>
      <x:c r="Z115" s="1"/>
    </x:row>
    <x:row r="116">
      <x:c r="A116" s="43" t="n">
        <x:v>112</x:v>
      </x:c>
      <x:c r="B116" s="44" t="str">
        <x:v>Not Started</x:v>
      </x:c>
      <x:c r="C116" s="45" t="n">
        <x:v>34045</x:v>
      </x:c>
      <x:c r="D116" s="33" t="str">
        <x:v>Law &amp; Order</x:v>
      </x:c>
      <x:c r="E116" s="33" t="str">
        <x:v>Law &amp; Order</x:v>
      </x:c>
      <x:c r="F116" s="33" t="str">
        <x:v>core</x:v>
      </x:c>
      <x:c r="G116" s="50" t="n">
        <x:v>3</x:v>
      </x:c>
      <x:c r="H116" s="50" t="n">
        <x:v>18</x:v>
      </x:c>
      <x:c r="I116" s="44" t="str">
        <x:v>03.18</x:v>
      </x:c>
      <x:c r="J116" s="33" t="str">
        <x:v>Animal Instinct</x:v>
      </x:c>
      <x:c r="K116" s="33" t="str"/>
      <x:c r="L116" s="33" t="str"/>
      <x:c r="M116" s="44" t="str"/>
      <x:c r="N116" s="50" t="n">
        <x:v>47</x:v>
      </x:c>
      <x:c r="O116" s="53" t="str">
        <x:v>The initial investigation into the death of a research scientist leads to an animal-rights group until evidence surfaces that her husband's affair with a coworker may point to a possible motive for the murder.</x:v>
      </x:c>
      <x:c r="P116" s="53" t="str">
        <x:v>Core Law &amp; Order franchise</x:v>
      </x:c>
      <x:c r="Q116" s="17" t="str">
        <x:v>34116</x:v>
      </x:c>
      <x:c r="R116" s="17" t="str">
        <x:v>tt0629158</x:v>
      </x:c>
      <x:c r="S116" s="17" t="str">
        <x:v>24</x:v>
      </x:c>
      <x:c r="T116" s="1"/>
      <x:c r="U116" s="1"/>
      <x:c r="V116" s="1"/>
      <x:c r="W116" s="1"/>
      <x:c r="X116" s="1"/>
      <x:c r="Y116" s="1"/>
      <x:c r="Z116" s="1"/>
    </x:row>
    <x:row r="117">
      <x:c r="A117" s="43" t="n">
        <x:v>113</x:v>
      </x:c>
      <x:c r="B117" s="44" t="str">
        <x:v>Not Started</x:v>
      </x:c>
      <x:c r="C117" s="45" t="n">
        <x:v>34052</x:v>
      </x:c>
      <x:c r="D117" s="33" t="str">
        <x:v>Homicide: Life on the Street</x:v>
      </x:c>
      <x:c r="E117" s="33" t="str">
        <x:v>Law &amp; Order</x:v>
      </x:c>
      <x:c r="F117" s="33" t="str">
        <x:v>connected</x:v>
      </x:c>
      <x:c r="G117" s="50" t="n">
        <x:v>1</x:v>
      </x:c>
      <x:c r="H117" s="50" t="n">
        <x:v>8</x:v>
      </x:c>
      <x:c r="I117" s="44" t="str">
        <x:v>01.08</x:v>
      </x:c>
      <x:c r="J117" s="33" t="str">
        <x:v>Smoke Gets in Your Eyes</x:v>
      </x:c>
      <x:c r="K117" s="33" t="str"/>
      <x:c r="L117" s="33" t="str"/>
      <x:c r="M117" s="44" t="str"/>
      <x:c r="N117" s="50" t="n">
        <x:v>47</x:v>
      </x:c>
      <x:c r="O117" s="53" t="str">
        <x:v>Quitting smoking dominates the conversation ad behavior of the homicide detectives even as they solve what may be a gang-related killing of a 14-year-old boy. Lt. Giardello discovers a secret asbestos removal project on the third floor and confronts his superiors on behalf of his squad.</x:v>
      </x:c>
      <x:c r="P117" s="53" t="str">
        <x:v>Direct crossover with Law &amp; Order; Munch bridge to SVU</x:v>
      </x:c>
      <x:c r="Q117" s="17" t="str">
        <x:v>319985</x:v>
      </x:c>
      <x:c r="R117" s="17" t="str">
        <x:v>tt0604416</x:v>
      </x:c>
      <x:c r="S117" s="17" t="str">
        <x:v>26</x:v>
      </x:c>
      <x:c r="T117" s="1"/>
      <x:c r="U117" s="1"/>
      <x:c r="V117" s="1"/>
      <x:c r="W117" s="1"/>
      <x:c r="X117" s="1"/>
      <x:c r="Y117" s="1"/>
      <x:c r="Z117" s="1"/>
    </x:row>
    <x:row r="118">
      <x:c r="A118" s="43" t="n">
        <x:v>114</x:v>
      </x:c>
      <x:c r="B118" s="44" t="str">
        <x:v>Not Started</x:v>
      </x:c>
      <x:c r="C118" s="45" t="n">
        <x:v>34059</x:v>
      </x:c>
      <x:c r="D118" s="33" t="str">
        <x:v>Homicide: Life on the Street</x:v>
      </x:c>
      <x:c r="E118" s="33" t="str">
        <x:v>Law &amp; Order</x:v>
      </x:c>
      <x:c r="F118" s="33" t="str">
        <x:v>connected</x:v>
      </x:c>
      <x:c r="G118" s="50" t="n">
        <x:v>1</x:v>
      </x:c>
      <x:c r="H118" s="50" t="n">
        <x:v>9</x:v>
      </x:c>
      <x:c r="I118" s="44" t="str">
        <x:v>01.09</x:v>
      </x:c>
      <x:c r="J118" s="33" t="str">
        <x:v>Night of the Dead Living</x:v>
      </x:c>
      <x:c r="K118" s="33" t="str"/>
      <x:c r="L118" s="33" t="str"/>
      <x:c r="M118" s="44" t="str"/>
      <x:c r="N118" s="50" t="n">
        <x:v>48</x:v>
      </x:c>
      <x:c r="O118" s="53" t="str">
        <x:v>The homicide team pulls the graveyard shift on the hottest night of the year. Bayliss is consumed by the Adena Watson case, driving a bigger wedge between him and partner Pembleton. Giardello finds a baby in a cage. A renegade Santa Claus runs loose in the building and the whole squad tries to figure out who's responsible for a candle that keeps getting lit.</x:v>
      </x:c>
      <x:c r="P118" s="53" t="str">
        <x:v>Direct crossover with Law &amp; Order; Munch bridge to SVU</x:v>
      </x:c>
      <x:c r="Q118" s="17" t="str">
        <x:v>319986</x:v>
      </x:c>
      <x:c r="R118" s="17" t="str">
        <x:v>tt0604432</x:v>
      </x:c>
      <x:c r="S118" s="17" t="str">
        <x:v>27</x:v>
      </x:c>
      <x:c r="T118" s="1"/>
      <x:c r="U118" s="1"/>
      <x:c r="V118" s="1"/>
      <x:c r="W118" s="1"/>
      <x:c r="X118" s="1"/>
      <x:c r="Y118" s="1"/>
      <x:c r="Z118" s="1"/>
    </x:row>
    <x:row r="119">
      <x:c r="A119" s="43" t="n">
        <x:v>115</x:v>
      </x:c>
      <x:c r="B119" s="44" t="str">
        <x:v>Not Started</x:v>
      </x:c>
      <x:c r="C119" s="45" t="n">
        <x:v>34080</x:v>
      </x:c>
      <x:c r="D119" s="33" t="str">
        <x:v>Law &amp; Order</x:v>
      </x:c>
      <x:c r="E119" s="33" t="str">
        <x:v>Law &amp; Order</x:v>
      </x:c>
      <x:c r="F119" s="33" t="str">
        <x:v>core</x:v>
      </x:c>
      <x:c r="G119" s="50" t="n">
        <x:v>3</x:v>
      </x:c>
      <x:c r="H119" s="50" t="n">
        <x:v>19</x:v>
      </x:c>
      <x:c r="I119" s="44" t="str">
        <x:v>03.19</x:v>
      </x:c>
      <x:c r="J119" s="33" t="str">
        <x:v>Virus</x:v>
      </x:c>
      <x:c r="K119" s="33" t="str"/>
      <x:c r="L119" s="33" t="str"/>
      <x:c r="M119" s="44" t="str"/>
      <x:c r="N119" s="50" t="n">
        <x:v>47</x:v>
      </x:c>
      <x:c r="O119" s="53" t="str">
        <x:v>While investigating several deaths at a diabetes clinic, Briscoe and Logan discover that teenage computer hackers may have tampered with the clinic's medical database.</x:v>
      </x:c>
      <x:c r="P119" s="53" t="str">
        <x:v>Core Law &amp; Order franchise</x:v>
      </x:c>
      <x:c r="Q119" s="17" t="str">
        <x:v>34117</x:v>
      </x:c>
      <x:c r="R119" s="17" t="str">
        <x:v>tt0629490</x:v>
      </x:c>
      <x:c r="S119" s="17" t="str">
        <x:v>28</x:v>
      </x:c>
      <x:c r="T119" s="1"/>
      <x:c r="U119" s="1"/>
      <x:c r="V119" s="1"/>
      <x:c r="W119" s="1"/>
      <x:c r="X119" s="1"/>
      <x:c r="Y119" s="1"/>
      <x:c r="Z119" s="1"/>
    </x:row>
    <x:row r="120">
      <x:c r="A120" s="43" t="n">
        <x:v>116</x:v>
      </x:c>
      <x:c r="B120" s="44" t="str">
        <x:v>Not Started</x:v>
      </x:c>
      <x:c r="C120" s="45" t="n">
        <x:v>34094</x:v>
      </x:c>
      <x:c r="D120" s="33" t="str">
        <x:v>Law &amp; Order</x:v>
      </x:c>
      <x:c r="E120" s="33" t="str">
        <x:v>Law &amp; Order</x:v>
      </x:c>
      <x:c r="F120" s="33" t="str">
        <x:v>core</x:v>
      </x:c>
      <x:c r="G120" s="50" t="n">
        <x:v>3</x:v>
      </x:c>
      <x:c r="H120" s="50" t="n">
        <x:v>20</x:v>
      </x:c>
      <x:c r="I120" s="44" t="str">
        <x:v>03.20</x:v>
      </x:c>
      <x:c r="J120" s="33" t="str">
        <x:v>Securitate</x:v>
      </x:c>
      <x:c r="K120" s="33" t="str"/>
      <x:c r="L120" s="33" t="str"/>
      <x:c r="M120" s="44" t="str"/>
      <x:c r="N120" s="50" t="n">
        <x:v>47</x:v>
      </x:c>
      <x:c r="O120" s="53" t="str">
        <x:v>When a Romanian immigrant kills, his lawyer announces he will plead his client "not guilty due to cultural insanity" claiming the man had been conditioned to violence in his homeland.</x:v>
      </x:c>
      <x:c r="P120" s="53" t="str">
        <x:v>Core Law &amp; Order franchise</x:v>
      </x:c>
      <x:c r="Q120" s="17" t="str">
        <x:v>34118</x:v>
      </x:c>
      <x:c r="R120" s="17" t="str">
        <x:v>tt0629412</x:v>
      </x:c>
      <x:c r="S120" s="17" t="str">
        <x:v>29</x:v>
      </x:c>
      <x:c r="T120" s="1"/>
      <x:c r="U120" s="1"/>
      <x:c r="V120" s="1"/>
      <x:c r="W120" s="1"/>
      <x:c r="X120" s="1"/>
      <x:c r="Y120" s="1"/>
      <x:c r="Z120" s="1"/>
    </x:row>
    <x:row r="121">
      <x:c r="A121" s="43" t="n">
        <x:v>117</x:v>
      </x:c>
      <x:c r="B121" s="44" t="str">
        <x:v>Not Started</x:v>
      </x:c>
      <x:c r="C121" s="45" t="n">
        <x:v>34101</x:v>
      </x:c>
      <x:c r="D121" s="33" t="str">
        <x:v>Law &amp; Order</x:v>
      </x:c>
      <x:c r="E121" s="33" t="str">
        <x:v>Law &amp; Order</x:v>
      </x:c>
      <x:c r="F121" s="33" t="str">
        <x:v>core</x:v>
      </x:c>
      <x:c r="G121" s="50" t="n">
        <x:v>3</x:v>
      </x:c>
      <x:c r="H121" s="50" t="n">
        <x:v>21</x:v>
      </x:c>
      <x:c r="I121" s="44" t="str">
        <x:v>03.21</x:v>
      </x:c>
      <x:c r="J121" s="33" t="str">
        <x:v>Manhood</x:v>
      </x:c>
      <x:c r="K121" s="33" t="str"/>
      <x:c r="L121" s="33" t="str"/>
      <x:c r="M121" s="44" t="str"/>
      <x:c r="N121" s="50" t="n">
        <x:v>47</x:v>
      </x:c>
      <x:c r="O121" s="53" t="str">
        <x:v>The statement of a drug dealer who survived a shoot-out that killed a cop leads Logan and Briscoe to suspect that the cop died because he was gay and his fellow officers were reluctant to back him up.</x:v>
      </x:c>
      <x:c r="P121" s="53" t="str">
        <x:v>Core Law &amp; Order franchise</x:v>
      </x:c>
      <x:c r="Q121" s="17" t="str">
        <x:v>34119</x:v>
      </x:c>
      <x:c r="R121" s="17" t="str">
        <x:v>tt0629334</x:v>
      </x:c>
      <x:c r="S121" s="17" t="str">
        <x:v>30</x:v>
      </x:c>
      <x:c r="T121" s="1"/>
      <x:c r="U121" s="1"/>
      <x:c r="V121" s="1"/>
      <x:c r="W121" s="1"/>
      <x:c r="X121" s="1"/>
      <x:c r="Y121" s="1"/>
      <x:c r="Z121" s="1"/>
    </x:row>
    <x:row r="122">
      <x:c r="A122" s="43" t="n">
        <x:v>118</x:v>
      </x:c>
      <x:c r="B122" s="44" t="str">
        <x:v>Not Started</x:v>
      </x:c>
      <x:c r="C122" s="45" t="n">
        <x:v>34108</x:v>
      </x:c>
      <x:c r="D122" s="33" t="str">
        <x:v>Law &amp; Order</x:v>
      </x:c>
      <x:c r="E122" s="33" t="str">
        <x:v>Law &amp; Order</x:v>
      </x:c>
      <x:c r="F122" s="33" t="str">
        <x:v>core</x:v>
      </x:c>
      <x:c r="G122" s="50" t="n">
        <x:v>3</x:v>
      </x:c>
      <x:c r="H122" s="50" t="n">
        <x:v>22</x:v>
      </x:c>
      <x:c r="I122" s="44" t="str">
        <x:v>03.22</x:v>
      </x:c>
      <x:c r="J122" s="33" t="str">
        <x:v>Benevolence</x:v>
      </x:c>
      <x:c r="K122" s="33" t="str"/>
      <x:c r="L122" s="33" t="str"/>
      <x:c r="M122" s="44" t="str"/>
      <x:c r="N122" s="50" t="n">
        <x:v>47</x:v>
      </x:c>
      <x:c r="O122" s="53" t="str">
        <x:v>Logan and Briscoe begin their investigation into the death of a hearing-impaired young woman by questioning her two most recent boyfriends.</x:v>
      </x:c>
      <x:c r="P122" s="53" t="str">
        <x:v>Core Law &amp; Order franchise</x:v>
      </x:c>
      <x:c r="Q122" s="17" t="str">
        <x:v>34120</x:v>
      </x:c>
      <x:c r="R122" s="17" t="str">
        <x:v>tt0629172</x:v>
      </x:c>
      <x:c r="S122" s="17" t="str">
        <x:v>31</x:v>
      </x:c>
      <x:c r="T122" s="1"/>
      <x:c r="U122" s="1"/>
      <x:c r="V122" s="1"/>
      <x:c r="W122" s="1"/>
      <x:c r="X122" s="1"/>
      <x:c r="Y122" s="1"/>
      <x:c r="Z122" s="1"/>
    </x:row>
    <x:row r="123">
      <x:c r="A123" s="43" t="n">
        <x:v>119</x:v>
      </x:c>
      <x:c r="B123" s="44" t="str">
        <x:v>Not Started</x:v>
      </x:c>
      <x:c r="C123" s="45" t="n">
        <x:v>34126</x:v>
      </x:c>
      <x:c r="D123" s="33" t="str">
        <x:v>South Beach</x:v>
      </x:c>
      <x:c r="E123" s="33" t="str">
        <x:v>Wolf Archive</x:v>
      </x:c>
      <x:c r="F123" s="33" t="str">
        <x:v>complete</x:v>
      </x:c>
      <x:c r="G123" s="50" t="n">
        <x:v>1</x:v>
      </x:c>
      <x:c r="H123" s="50" t="n">
        <x:v>1</x:v>
      </x:c>
      <x:c r="I123" s="44" t="str">
        <x:v>01.01</x:v>
      </x:c>
      <x:c r="J123" s="33" t="str">
        <x:v>Diamond in the Rough</x:v>
      </x:c>
      <x:c r="K123" s="33" t="str"/>
      <x:c r="L123" s="33" t="str"/>
      <x:c r="M123" s="44" t="str"/>
      <x:c r="N123" s="50" t="n">
        <x:v>60</x:v>
      </x:c>
      <x:c r="O123" s="53" t="str">
        <x:v>Crime drama following two former thieves working for a private investigator in South Beach, Miami.</x:v>
      </x:c>
      <x:c r="P123" s="53" t="str">
        <x:v>1993 Dick Wolf/Bob DeLaurentis crime drama; the unrelated 2006 UPN series is excluded.</x:v>
      </x:c>
      <x:c r="Q123" s="17" t="str"/>
      <x:c r="R123" s="17" t="str"/>
      <x:c r="S123" s="17" t="str">
        <x:v>https://www.tvguide.com/tvshows/south-beach/episodes-season-1/1030084708/</x:v>
      </x:c>
      <x:c r="T123" s="1"/>
      <x:c r="U123" s="1"/>
      <x:c r="V123" s="1"/>
      <x:c r="W123" s="1"/>
      <x:c r="X123" s="1"/>
      <x:c r="Y123" s="1"/>
      <x:c r="Z123" s="1"/>
    </x:row>
    <x:row r="124">
      <x:c r="A124" s="43" t="n">
        <x:v>120</x:v>
      </x:c>
      <x:c r="B124" s="44" t="str">
        <x:v>Not Started</x:v>
      </x:c>
      <x:c r="C124" s="45" t="n">
        <x:v>34128</x:v>
      </x:c>
      <x:c r="D124" s="33" t="str">
        <x:v>South Beach</x:v>
      </x:c>
      <x:c r="E124" s="33" t="str">
        <x:v>Wolf Archive</x:v>
      </x:c>
      <x:c r="F124" s="33" t="str">
        <x:v>complete</x:v>
      </x:c>
      <x:c r="G124" s="50" t="n">
        <x:v>1</x:v>
      </x:c>
      <x:c r="H124" s="50" t="n">
        <x:v>2</x:v>
      </x:c>
      <x:c r="I124" s="44" t="str">
        <x:v>01.02</x:v>
      </x:c>
      <x:c r="J124" s="33" t="str">
        <x:v>Pirates of the Caribbean</x:v>
      </x:c>
      <x:c r="K124" s="33" t="str"/>
      <x:c r="L124" s="33" t="str"/>
      <x:c r="M124" s="44" t="str"/>
      <x:c r="N124" s="50" t="n">
        <x:v>60</x:v>
      </x:c>
      <x:c r="O124" s="53" t="str">
        <x:v>Crime drama following two former thieves working for a private investigator in South Beach, Miami.</x:v>
      </x:c>
      <x:c r="P124" s="53" t="str">
        <x:v>1993 Dick Wolf/Bob DeLaurentis crime drama; the unrelated 2006 UPN series is excluded.</x:v>
      </x:c>
      <x:c r="Q124" s="17" t="str"/>
      <x:c r="R124" s="17" t="str"/>
      <x:c r="S124" s="17" t="str">
        <x:v>https://www.tvguide.com/tvshows/south-beach/episodes-season-1/1030084708/</x:v>
      </x:c>
      <x:c r="T124" s="1"/>
      <x:c r="U124" s="1"/>
      <x:c r="V124" s="1"/>
      <x:c r="W124" s="1"/>
      <x:c r="X124" s="1"/>
      <x:c r="Y124" s="1"/>
      <x:c r="Z124" s="1"/>
    </x:row>
    <x:row r="125">
      <x:c r="A125" s="43" t="n">
        <x:v>121</x:v>
      </x:c>
      <x:c r="B125" s="44" t="str">
        <x:v>Not Started</x:v>
      </x:c>
      <x:c r="C125" s="45" t="n">
        <x:v>34135</x:v>
      </x:c>
      <x:c r="D125" s="33" t="str">
        <x:v>South Beach</x:v>
      </x:c>
      <x:c r="E125" s="33" t="str">
        <x:v>Wolf Archive</x:v>
      </x:c>
      <x:c r="F125" s="33" t="str">
        <x:v>complete</x:v>
      </x:c>
      <x:c r="G125" s="50" t="n">
        <x:v>1</x:v>
      </x:c>
      <x:c r="H125" s="50" t="n">
        <x:v>3</x:v>
      </x:c>
      <x:c r="I125" s="44" t="str">
        <x:v>01.03</x:v>
      </x:c>
      <x:c r="J125" s="33" t="str">
        <x:v>Stake Out</x:v>
      </x:c>
      <x:c r="K125" s="33" t="str"/>
      <x:c r="L125" s="33" t="str"/>
      <x:c r="M125" s="44" t="str"/>
      <x:c r="N125" s="50" t="n">
        <x:v>60</x:v>
      </x:c>
      <x:c r="O125" s="53" t="str">
        <x:v>Crime drama following two former thieves working for a private investigator in South Beach, Miami.</x:v>
      </x:c>
      <x:c r="P125" s="53" t="str">
        <x:v>1993 Dick Wolf/Bob DeLaurentis crime drama; the unrelated 2006 UPN series is excluded.</x:v>
      </x:c>
      <x:c r="Q125" s="17" t="str"/>
      <x:c r="R125" s="17" t="str"/>
      <x:c r="S125" s="17" t="str">
        <x:v>https://www.tvguide.com/tvshows/south-beach/episodes-season-1/1030084708/</x:v>
      </x:c>
      <x:c r="T125" s="1"/>
      <x:c r="U125" s="1"/>
      <x:c r="V125" s="1"/>
      <x:c r="W125" s="1"/>
      <x:c r="X125" s="1"/>
      <x:c r="Y125" s="1"/>
      <x:c r="Z125" s="1"/>
    </x:row>
    <x:row r="126">
      <x:c r="A126" s="43" t="n">
        <x:v>122</x:v>
      </x:c>
      <x:c r="B126" s="44" t="str">
        <x:v>Not Started</x:v>
      </x:c>
      <x:c r="C126" s="45" t="n">
        <x:v>34149</x:v>
      </x:c>
      <x:c r="D126" s="33" t="str">
        <x:v>South Beach</x:v>
      </x:c>
      <x:c r="E126" s="33" t="str">
        <x:v>Wolf Archive</x:v>
      </x:c>
      <x:c r="F126" s="33" t="str">
        <x:v>complete</x:v>
      </x:c>
      <x:c r="G126" s="50" t="n">
        <x:v>1</x:v>
      </x:c>
      <x:c r="H126" s="50" t="n">
        <x:v>4</x:v>
      </x:c>
      <x:c r="I126" s="44" t="str">
        <x:v>01.04</x:v>
      </x:c>
      <x:c r="J126" s="33" t="str">
        <x:v>Skin and Bones</x:v>
      </x:c>
      <x:c r="K126" s="33" t="str"/>
      <x:c r="L126" s="33" t="str"/>
      <x:c r="M126" s="44" t="str"/>
      <x:c r="N126" s="50" t="n">
        <x:v>60</x:v>
      </x:c>
      <x:c r="O126" s="53" t="str">
        <x:v>Crime drama following two former thieves working for a private investigator in South Beach, Miami.</x:v>
      </x:c>
      <x:c r="P126" s="53" t="str">
        <x:v>1993 Dick Wolf/Bob DeLaurentis crime drama; the unrelated 2006 UPN series is excluded.</x:v>
      </x:c>
      <x:c r="Q126" s="17" t="str"/>
      <x:c r="R126" s="17" t="str"/>
      <x:c r="S126" s="17" t="str">
        <x:v>https://www.tvguide.com/tvshows/south-beach/episodes-season-1/1030084708/</x:v>
      </x:c>
      <x:c r="T126" s="1"/>
      <x:c r="U126" s="1"/>
      <x:c r="V126" s="1"/>
      <x:c r="W126" s="1"/>
      <x:c r="X126" s="1"/>
      <x:c r="Y126" s="1"/>
      <x:c r="Z126" s="1"/>
    </x:row>
    <x:row r="127">
      <x:c r="A127" s="43" t="n">
        <x:v>123</x:v>
      </x:c>
      <x:c r="B127" s="44" t="str">
        <x:v>Not Started</x:v>
      </x:c>
      <x:c r="C127" s="45" t="n">
        <x:v>34161</x:v>
      </x:c>
      <x:c r="D127" s="33" t="str">
        <x:v>South Beach</x:v>
      </x:c>
      <x:c r="E127" s="33" t="str">
        <x:v>Wolf Archive</x:v>
      </x:c>
      <x:c r="F127" s="33" t="str">
        <x:v>complete</x:v>
      </x:c>
      <x:c r="G127" s="50" t="n">
        <x:v>1</x:v>
      </x:c>
      <x:c r="H127" s="50" t="n">
        <x:v>5</x:v>
      </x:c>
      <x:c r="I127" s="44" t="str">
        <x:v>01.05</x:v>
      </x:c>
      <x:c r="J127" s="33" t="str">
        <x:v>Wild Thing</x:v>
      </x:c>
      <x:c r="K127" s="33" t="str"/>
      <x:c r="L127" s="33" t="str"/>
      <x:c r="M127" s="44" t="str"/>
      <x:c r="N127" s="50" t="n">
        <x:v>60</x:v>
      </x:c>
      <x:c r="O127" s="53" t="str">
        <x:v>Crime drama following two former thieves working for a private investigator in South Beach, Miami.</x:v>
      </x:c>
      <x:c r="P127" s="53" t="str">
        <x:v>1993 Dick Wolf/Bob DeLaurentis crime drama; the unrelated 2006 UPN series is excluded.</x:v>
      </x:c>
      <x:c r="Q127" s="17" t="str"/>
      <x:c r="R127" s="17" t="str"/>
      <x:c r="S127" s="17" t="str">
        <x:v>https://www.tvguide.com/tvshows/south-beach/episodes-season-1/1030084708/</x:v>
      </x:c>
      <x:c r="T127" s="1"/>
      <x:c r="U127" s="1"/>
      <x:c r="V127" s="1"/>
      <x:c r="W127" s="1"/>
      <x:c r="X127" s="1"/>
      <x:c r="Y127" s="1"/>
      <x:c r="Z127" s="1"/>
    </x:row>
    <x:row r="128">
      <x:c r="A128" s="43" t="n">
        <x:v>124</x:v>
      </x:c>
      <x:c r="B128" s="44" t="str">
        <x:v>Not Started</x:v>
      </x:c>
      <x:c r="C128" s="45" t="n">
        <x:v>34193</x:v>
      </x:c>
      <x:c r="D128" s="33" t="str">
        <x:v>South Beach</x:v>
      </x:c>
      <x:c r="E128" s="33" t="str">
        <x:v>Wolf Archive</x:v>
      </x:c>
      <x:c r="F128" s="33" t="str">
        <x:v>complete</x:v>
      </x:c>
      <x:c r="G128" s="50" t="n">
        <x:v>1</x:v>
      </x:c>
      <x:c r="H128" s="50" t="n">
        <x:v>6</x:v>
      </x:c>
      <x:c r="I128" s="44" t="str">
        <x:v>01.06</x:v>
      </x:c>
      <x:c r="J128" s="33" t="str">
        <x:v>I Witness</x:v>
      </x:c>
      <x:c r="K128" s="33" t="str"/>
      <x:c r="L128" s="33" t="str"/>
      <x:c r="M128" s="44" t="str"/>
      <x:c r="N128" s="50" t="n">
        <x:v>60</x:v>
      </x:c>
      <x:c r="O128" s="53" t="str">
        <x:v>Crime drama following two former thieves working for a private investigator in South Beach, Miami.</x:v>
      </x:c>
      <x:c r="P128" s="53" t="str">
        <x:v>1993 Dick Wolf/Bob DeLaurentis crime drama; the unrelated 2006 UPN series is excluded.</x:v>
      </x:c>
      <x:c r="Q128" s="17" t="str"/>
      <x:c r="R128" s="17" t="str"/>
      <x:c r="S128" s="17" t="str">
        <x:v>https://www.tvguide.com/tvshows/south-beach/episodes-season-1/1030084708/</x:v>
      </x:c>
      <x:c r="T128" s="1"/>
      <x:c r="U128" s="1"/>
      <x:c r="V128" s="1"/>
      <x:c r="W128" s="1"/>
      <x:c r="X128" s="1"/>
      <x:c r="Y128" s="1"/>
      <x:c r="Z128" s="1"/>
    </x:row>
    <x:row r="129">
      <x:c r="A129" s="43" t="n">
        <x:v>125</x:v>
      </x:c>
      <x:c r="B129" s="44" t="str">
        <x:v>Not Started</x:v>
      </x:c>
      <x:c r="C129" s="45"/>
      <x:c r="D129" s="33" t="str">
        <x:v>South Beach</x:v>
      </x:c>
      <x:c r="E129" s="33" t="str">
        <x:v>Wolf Archive</x:v>
      </x:c>
      <x:c r="F129" s="33" t="str">
        <x:v>complete</x:v>
      </x:c>
      <x:c r="G129" s="50" t="n">
        <x:v>1</x:v>
      </x:c>
      <x:c r="H129" s="50" t="n">
        <x:v>7</x:v>
      </x:c>
      <x:c r="I129" s="44" t="str">
        <x:v>01.07</x:v>
      </x:c>
      <x:c r="J129" s="33" t="str">
        <x:v>School for Scandal</x:v>
      </x:c>
      <x:c r="K129" s="33" t="str">
        <x:v>Unaired episode</x:v>
      </x:c>
      <x:c r="L129" s="33" t="str">
        <x:v>Produced but unaired</x:v>
      </x:c>
      <x:c r="M129" s="44" t="str"/>
      <x:c r="N129" s="50" t="n">
        <x:v>60</x:v>
      </x:c>
      <x:c r="O129" s="53" t="str">
        <x:v>Crime drama following two former thieves working for a private investigator in South Beach, Miami.</x:v>
      </x:c>
      <x:c r="P129" s="53" t="str">
        <x:v>1993 Dick Wolf/Bob DeLaurentis crime drama; the unrelated 2006 UPN series is excluded.</x:v>
      </x:c>
      <x:c r="Q129" s="17" t="str"/>
      <x:c r="R129" s="17" t="str"/>
      <x:c r="S129" s="17" t="str">
        <x:v>https://app.trakt.tv/shows/south-beach-1993</x:v>
      </x:c>
      <x:c r="T129" s="1"/>
      <x:c r="U129" s="1"/>
      <x:c r="V129" s="1"/>
      <x:c r="W129" s="1"/>
      <x:c r="X129" s="1"/>
      <x:c r="Y129" s="1"/>
      <x:c r="Z129" s="1"/>
    </x:row>
    <x:row r="130">
      <x:c r="A130" s="43" t="n">
        <x:v>126</x:v>
      </x:c>
      <x:c r="B130" s="44" t="str">
        <x:v>Not Started</x:v>
      </x:c>
      <x:c r="C130" s="45" t="n">
        <x:v>34227</x:v>
      </x:c>
      <x:c r="D130" s="33" t="str">
        <x:v>Law &amp; Order</x:v>
      </x:c>
      <x:c r="E130" s="33" t="str">
        <x:v>Law &amp; Order</x:v>
      </x:c>
      <x:c r="F130" s="33" t="str">
        <x:v>core</x:v>
      </x:c>
      <x:c r="G130" s="50" t="n">
        <x:v>4</x:v>
      </x:c>
      <x:c r="H130" s="50" t="n">
        <x:v>1</x:v>
      </x:c>
      <x:c r="I130" s="44" t="str">
        <x:v>04.01</x:v>
      </x:c>
      <x:c r="J130" s="33" t="str">
        <x:v>Sweeps</x:v>
      </x:c>
      <x:c r="K130" s="33" t="str"/>
      <x:c r="L130" s="33" t="str"/>
      <x:c r="M130" s="44" t="str"/>
      <x:c r="N130" s="50" t="n">
        <x:v>46</x:v>
      </x:c>
      <x:c r="O130" s="53" t="str">
        <x:v>A guest is murdered on-air on a controversial talk show. Meanwhile Logan and Briscoe have a new boss, Lt. Anita Van Buren, and Stone gets a new collague; the police and district attorney attempt to prosecute the show's abrasive host.</x:v>
      </x:c>
      <x:c r="P130" s="53" t="str">
        <x:v>Core Law &amp; Order franchise</x:v>
      </x:c>
      <x:c r="Q130" s="17" t="str">
        <x:v>34121</x:v>
      </x:c>
      <x:c r="R130" s="17" t="str">
        <x:v>tt0629444</x:v>
      </x:c>
      <x:c r="S130" s="17" t="str">
        <x:v>32</x:v>
      </x:c>
      <x:c r="T130" s="1"/>
      <x:c r="U130" s="1"/>
      <x:c r="V130" s="1"/>
      <x:c r="W130" s="1"/>
      <x:c r="X130" s="1"/>
      <x:c r="Y130" s="1"/>
      <x:c r="Z130" s="1"/>
    </x:row>
    <x:row r="131">
      <x:c r="A131" s="43" t="n">
        <x:v>127</x:v>
      </x:c>
      <x:c r="B131" s="44" t="str">
        <x:v>Not Started</x:v>
      </x:c>
      <x:c r="C131" s="45" t="n">
        <x:v>34241</x:v>
      </x:c>
      <x:c r="D131" s="33" t="str">
        <x:v>Law &amp; Order</x:v>
      </x:c>
      <x:c r="E131" s="33" t="str">
        <x:v>Law &amp; Order</x:v>
      </x:c>
      <x:c r="F131" s="33" t="str">
        <x:v>core</x:v>
      </x:c>
      <x:c r="G131" s="50" t="n">
        <x:v>4</x:v>
      </x:c>
      <x:c r="H131" s="50" t="n">
        <x:v>2</x:v>
      </x:c>
      <x:c r="I131" s="44" t="str">
        <x:v>04.02</x:v>
      </x:c>
      <x:c r="J131" s="33" t="str">
        <x:v>Volunteers</x:v>
      </x:c>
      <x:c r="K131" s="33" t="str"/>
      <x:c r="L131" s="33" t="str"/>
      <x:c r="M131" s="44" t="str"/>
      <x:c r="N131" s="50" t="n">
        <x:v>47</x:v>
      </x:c>
      <x:c r="O131" s="53" t="str">
        <x:v>A disruptive, unbalanced homeless man is found severely beaten in an alley of the middle class neighborhood he calls home, leading Stone to try and prosecute one of the residents for premeditated murder.</x:v>
      </x:c>
      <x:c r="P131" s="53" t="str">
        <x:v>Core Law &amp; Order franchise</x:v>
      </x:c>
      <x:c r="Q131" s="17" t="str">
        <x:v>34122</x:v>
      </x:c>
      <x:c r="R131" s="17" t="str">
        <x:v>tt0629491</x:v>
      </x:c>
      <x:c r="S131" s="17" t="str">
        <x:v>33</x:v>
      </x:c>
      <x:c r="T131" s="1"/>
      <x:c r="U131" s="1"/>
      <x:c r="V131" s="1"/>
      <x:c r="W131" s="1"/>
      <x:c r="X131" s="1"/>
      <x:c r="Y131" s="1"/>
      <x:c r="Z131" s="1"/>
    </x:row>
    <x:row r="132">
      <x:c r="A132" s="43" t="n">
        <x:v>128</x:v>
      </x:c>
      <x:c r="B132" s="44" t="str">
        <x:v>Not Started</x:v>
      </x:c>
      <x:c r="C132" s="45" t="n">
        <x:v>34248</x:v>
      </x:c>
      <x:c r="D132" s="33" t="str">
        <x:v>Law &amp; Order</x:v>
      </x:c>
      <x:c r="E132" s="33" t="str">
        <x:v>Law &amp; Order</x:v>
      </x:c>
      <x:c r="F132" s="33" t="str">
        <x:v>core</x:v>
      </x:c>
      <x:c r="G132" s="50" t="n">
        <x:v>4</x:v>
      </x:c>
      <x:c r="H132" s="50" t="n">
        <x:v>3</x:v>
      </x:c>
      <x:c r="I132" s="44" t="str">
        <x:v>04.03</x:v>
      </x:c>
      <x:c r="J132" s="33" t="str">
        <x:v>Discord</x:v>
      </x:c>
      <x:c r="K132" s="33" t="str"/>
      <x:c r="L132" s="33" t="str"/>
      <x:c r="M132" s="44" t="str"/>
      <x:c r="N132" s="50" t="n">
        <x:v>46</x:v>
      </x:c>
      <x:c r="O132" s="53" t="str">
        <x:v>A college student charges an admittedly promiscuous rock star with rape, but he claims the act was consensual.</x:v>
      </x:c>
      <x:c r="P132" s="53" t="str">
        <x:v>Core Law &amp; Order franchise</x:v>
      </x:c>
      <x:c r="Q132" s="17" t="str">
        <x:v>34123</x:v>
      </x:c>
      <x:c r="R132" s="17" t="str">
        <x:v>tt0629240</x:v>
      </x:c>
      <x:c r="S132" s="17" t="str">
        <x:v>34</x:v>
      </x:c>
      <x:c r="T132" s="1"/>
      <x:c r="U132" s="1"/>
      <x:c r="V132" s="1"/>
      <x:c r="W132" s="1"/>
      <x:c r="X132" s="1"/>
      <x:c r="Y132" s="1"/>
      <x:c r="Z132" s="1"/>
    </x:row>
    <x:row r="133">
      <x:c r="A133" s="43" t="n">
        <x:v>129</x:v>
      </x:c>
      <x:c r="B133" s="44" t="str">
        <x:v>Not Started</x:v>
      </x:c>
      <x:c r="C133" s="45" t="n">
        <x:v>34255</x:v>
      </x:c>
      <x:c r="D133" s="33" t="str">
        <x:v>Law &amp; Order</x:v>
      </x:c>
      <x:c r="E133" s="33" t="str">
        <x:v>Law &amp; Order</x:v>
      </x:c>
      <x:c r="F133" s="33" t="str">
        <x:v>core</x:v>
      </x:c>
      <x:c r="G133" s="50" t="n">
        <x:v>4</x:v>
      </x:c>
      <x:c r="H133" s="50" t="n">
        <x:v>4</x:v>
      </x:c>
      <x:c r="I133" s="44" t="str">
        <x:v>04.04</x:v>
      </x:c>
      <x:c r="J133" s="33" t="str">
        <x:v>Profile</x:v>
      </x:c>
      <x:c r="K133" s="33" t="str"/>
      <x:c r="L133" s="33" t="str"/>
      <x:c r="M133" s="44" t="str"/>
      <x:c r="N133" s="50" t="n">
        <x:v>45</x:v>
      </x:c>
      <x:c r="O133" s="53" t="str">
        <x:v>Stone finds himself up against an ambitious black lawyer defending a white, racist serial killer.</x:v>
      </x:c>
      <x:c r="P133" s="53" t="str">
        <x:v>Core Law &amp; Order franchise</x:v>
      </x:c>
      <x:c r="Q133" s="17" t="str">
        <x:v>34124</x:v>
      </x:c>
      <x:c r="R133" s="17" t="str">
        <x:v>tt0629387</x:v>
      </x:c>
      <x:c r="S133" s="17" t="str">
        <x:v>35</x:v>
      </x:c>
      <x:c r="T133" s="1"/>
      <x:c r="U133" s="1"/>
      <x:c r="V133" s="1"/>
      <x:c r="W133" s="1"/>
      <x:c r="X133" s="1"/>
      <x:c r="Y133" s="1"/>
      <x:c r="Z133" s="1"/>
    </x:row>
    <x:row r="134">
      <x:c r="A134" s="43" t="n">
        <x:v>130</x:v>
      </x:c>
      <x:c r="B134" s="44" t="str">
        <x:v>Not Started</x:v>
      </x:c>
      <x:c r="C134" s="45" t="n">
        <x:v>34262</x:v>
      </x:c>
      <x:c r="D134" s="33" t="str">
        <x:v>Law &amp; Order</x:v>
      </x:c>
      <x:c r="E134" s="33" t="str">
        <x:v>Law &amp; Order</x:v>
      </x:c>
      <x:c r="F134" s="33" t="str">
        <x:v>core</x:v>
      </x:c>
      <x:c r="G134" s="50" t="n">
        <x:v>4</x:v>
      </x:c>
      <x:c r="H134" s="50" t="n">
        <x:v>5</x:v>
      </x:c>
      <x:c r="I134" s="44" t="str">
        <x:v>04.05</x:v>
      </x:c>
      <x:c r="J134" s="33" t="str">
        <x:v>Black Tie</x:v>
      </x:c>
      <x:c r="K134" s="33" t="str"/>
      <x:c r="L134" s="33" t="str"/>
      <x:c r="M134" s="44" t="str"/>
      <x:c r="N134" s="50" t="n">
        <x:v>45</x:v>
      </x:c>
      <x:c r="O134" s="53" t="str">
        <x:v>The police suspect a cover up when they receive an anonymous tip that a wealthy man was murdered by his wife, who refuses to allow an autopsy after a physician declares that the death occurred from natural causes.</x:v>
      </x:c>
      <x:c r="P134" s="53" t="str">
        <x:v>Core Law &amp; Order franchise</x:v>
      </x:c>
      <x:c r="Q134" s="17" t="str">
        <x:v>34125</x:v>
      </x:c>
      <x:c r="R134" s="17" t="str">
        <x:v>tt0629177</x:v>
      </x:c>
      <x:c r="S134" s="17" t="str">
        <x:v>36</x:v>
      </x:c>
      <x:c r="T134" s="1"/>
      <x:c r="U134" s="1"/>
      <x:c r="V134" s="1"/>
      <x:c r="W134" s="1"/>
      <x:c r="X134" s="1"/>
      <x:c r="Y134" s="1"/>
      <x:c r="Z134" s="1"/>
    </x:row>
    <x:row r="135">
      <x:c r="A135" s="43" t="n">
        <x:v>131</x:v>
      </x:c>
      <x:c r="B135" s="44" t="str">
        <x:v>Not Started</x:v>
      </x:c>
      <x:c r="C135" s="45" t="n">
        <x:v>34269</x:v>
      </x:c>
      <x:c r="D135" s="33" t="str">
        <x:v>Law &amp; Order</x:v>
      </x:c>
      <x:c r="E135" s="33" t="str">
        <x:v>Law &amp; Order</x:v>
      </x:c>
      <x:c r="F135" s="33" t="str">
        <x:v>core</x:v>
      </x:c>
      <x:c r="G135" s="50" t="n">
        <x:v>4</x:v>
      </x:c>
      <x:c r="H135" s="50" t="n">
        <x:v>6</x:v>
      </x:c>
      <x:c r="I135" s="44" t="str">
        <x:v>04.06</x:v>
      </x:c>
      <x:c r="J135" s="33" t="str">
        <x:v>Pride and Joy</x:v>
      </x:c>
      <x:c r="K135" s="33" t="str"/>
      <x:c r="L135" s="33" t="str"/>
      <x:c r="M135" s="44" t="str"/>
      <x:c r="N135" s="50" t="n">
        <x:v>47</x:v>
      </x:c>
      <x:c r="O135" s="53" t="str">
        <x:v>A 17-year-old boy becomes the chief suspect in the murder of his father, raising questions of self-defense and abuse that the family does not want to face.</x:v>
      </x:c>
      <x:c r="P135" s="53" t="str">
        <x:v>Core Law &amp; Order franchise</x:v>
      </x:c>
      <x:c r="Q135" s="17" t="str">
        <x:v>34126</x:v>
      </x:c>
      <x:c r="R135" s="17" t="str">
        <x:v>tt0629382</x:v>
      </x:c>
      <x:c r="S135" s="17" t="str">
        <x:v>37</x:v>
      </x:c>
      <x:c r="T135" s="1"/>
      <x:c r="U135" s="1"/>
      <x:c r="V135" s="1"/>
      <x:c r="W135" s="1"/>
      <x:c r="X135" s="1"/>
      <x:c r="Y135" s="1"/>
      <x:c r="Z135" s="1"/>
    </x:row>
    <x:row r="136">
      <x:c r="A136" s="43" t="n">
        <x:v>132</x:v>
      </x:c>
      <x:c r="B136" s="44" t="str">
        <x:v>Not Started</x:v>
      </x:c>
      <x:c r="C136" s="45" t="n">
        <x:v>34276</x:v>
      </x:c>
      <x:c r="D136" s="33" t="str">
        <x:v>Law &amp; Order</x:v>
      </x:c>
      <x:c r="E136" s="33" t="str">
        <x:v>Law &amp; Order</x:v>
      </x:c>
      <x:c r="F136" s="33" t="str">
        <x:v>core</x:v>
      </x:c>
      <x:c r="G136" s="50" t="n">
        <x:v>4</x:v>
      </x:c>
      <x:c r="H136" s="50" t="n">
        <x:v>7</x:v>
      </x:c>
      <x:c r="I136" s="44" t="str">
        <x:v>04.07</x:v>
      </x:c>
      <x:c r="J136" s="33" t="str">
        <x:v>Apocrypha</x:v>
      </x:c>
      <x:c r="K136" s="33" t="str"/>
      <x:c r="L136" s="33" t="str"/>
      <x:c r="M136" s="44" t="str"/>
      <x:c r="N136" s="50" t="n">
        <x:v>47</x:v>
      </x:c>
      <x:c r="O136" s="53" t="str">
        <x:v>Stone and Kincaid try to prove that the young woman believed to have planted a bomb in a parking garage had been brainwashed and was acting under the direct orders of a charismatic cult leader.</x:v>
      </x:c>
      <x:c r="P136" s="53" t="str">
        <x:v>Core Law &amp; Order franchise</x:v>
      </x:c>
      <x:c r="Q136" s="17" t="str">
        <x:v>34127</x:v>
      </x:c>
      <x:c r="R136" s="17" t="str">
        <x:v>tt0629159</x:v>
      </x:c>
      <x:c r="S136" s="17" t="str">
        <x:v>38</x:v>
      </x:c>
      <x:c r="T136" s="1"/>
      <x:c r="U136" s="1"/>
      <x:c r="V136" s="1"/>
      <x:c r="W136" s="1"/>
      <x:c r="X136" s="1"/>
      <x:c r="Y136" s="1"/>
      <x:c r="Z136" s="1"/>
    </x:row>
    <x:row r="137">
      <x:c r="A137" s="43" t="n">
        <x:v>133</x:v>
      </x:c>
      <x:c r="B137" s="44" t="str">
        <x:v>Not Started</x:v>
      </x:c>
      <x:c r="C137" s="45" t="n">
        <x:v>34282</x:v>
      </x:c>
      <x:c r="D137" s="33" t="str">
        <x:v>Law &amp; Order</x:v>
      </x:c>
      <x:c r="E137" s="33" t="str">
        <x:v>Law &amp; Order</x:v>
      </x:c>
      <x:c r="F137" s="33" t="str">
        <x:v>core</x:v>
      </x:c>
      <x:c r="G137" s="50" t="n">
        <x:v>4</x:v>
      </x:c>
      <x:c r="H137" s="50" t="n">
        <x:v>8</x:v>
      </x:c>
      <x:c r="I137" s="44" t="str">
        <x:v>04.08</x:v>
      </x:c>
      <x:c r="J137" s="33" t="str">
        <x:v>American Dream</x:v>
      </x:c>
      <x:c r="K137" s="33" t="str"/>
      <x:c r="L137" s="33" t="str"/>
      <x:c r="M137" s="44" t="str"/>
      <x:c r="N137" s="50" t="n">
        <x:v>47</x:v>
      </x:c>
      <x:c r="O137" s="53" t="str">
        <x:v>A skeleton unearthed at a building site resurrects one of Stone's old cases, and brings him face to face with the tenacious, brilliant culprit, who is seeking a new trial.</x:v>
      </x:c>
      <x:c r="P137" s="53" t="str">
        <x:v>Core Law &amp; Order franchise</x:v>
      </x:c>
      <x:c r="Q137" s="17" t="str">
        <x:v>34128</x:v>
      </x:c>
      <x:c r="R137" s="17" t="str">
        <x:v>tt0629155</x:v>
      </x:c>
      <x:c r="S137" s="17" t="str">
        <x:v>39</x:v>
      </x:c>
      <x:c r="T137" s="1"/>
      <x:c r="U137" s="1"/>
      <x:c r="V137" s="1"/>
      <x:c r="W137" s="1"/>
      <x:c r="X137" s="1"/>
      <x:c r="Y137" s="1"/>
      <x:c r="Z137" s="1"/>
    </x:row>
    <x:row r="138">
      <x:c r="A138" s="43" t="n">
        <x:v>134</x:v>
      </x:c>
      <x:c r="B138" s="44" t="str">
        <x:v>Not Started</x:v>
      </x:c>
      <x:c r="C138" s="45" t="n">
        <x:v>34289</x:v>
      </x:c>
      <x:c r="D138" s="33" t="str">
        <x:v>Law &amp; Order</x:v>
      </x:c>
      <x:c r="E138" s="33" t="str">
        <x:v>Law &amp; Order</x:v>
      </x:c>
      <x:c r="F138" s="33" t="str">
        <x:v>core</x:v>
      </x:c>
      <x:c r="G138" s="50" t="n">
        <x:v>4</x:v>
      </x:c>
      <x:c r="H138" s="50" t="n">
        <x:v>9</x:v>
      </x:c>
      <x:c r="I138" s="44" t="str">
        <x:v>04.09</x:v>
      </x:c>
      <x:c r="J138" s="33" t="str">
        <x:v>Born Bad</x:v>
      </x:c>
      <x:c r="K138" s="33" t="str"/>
      <x:c r="L138" s="33" t="str"/>
      <x:c r="M138" s="44" t="str"/>
      <x:c r="N138" s="50" t="n">
        <x:v>46</x:v>
      </x:c>
      <x:c r="O138" s="53" t="str">
        <x:v>A lawyer decides to defend her teenage client charged with murder as an adult with the claim that he's violent because of a genetic predisposition due to an extra Y chromosome.</x:v>
      </x:c>
      <x:c r="P138" s="53" t="str">
        <x:v>Core Law &amp; Order franchise</x:v>
      </x:c>
      <x:c r="Q138" s="17" t="str">
        <x:v>34129</x:v>
      </x:c>
      <x:c r="R138" s="17" t="str">
        <x:v>tt0629187</x:v>
      </x:c>
      <x:c r="S138" s="17" t="str">
        <x:v>40</x:v>
      </x:c>
      <x:c r="T138" s="1"/>
      <x:c r="U138" s="1"/>
      <x:c r="V138" s="1"/>
      <x:c r="W138" s="1"/>
      <x:c r="X138" s="1"/>
      <x:c r="Y138" s="1"/>
      <x:c r="Z138" s="1"/>
    </x:row>
    <x:row r="139">
      <x:c r="A139" s="43" t="n">
        <x:v>135</x:v>
      </x:c>
      <x:c r="B139" s="44" t="str">
        <x:v>Not Started</x:v>
      </x:c>
      <x:c r="C139" s="45" t="n">
        <x:v>34304</x:v>
      </x:c>
      <x:c r="D139" s="33" t="str">
        <x:v>Law &amp; Order</x:v>
      </x:c>
      <x:c r="E139" s="33" t="str">
        <x:v>Law &amp; Order</x:v>
      </x:c>
      <x:c r="F139" s="33" t="str">
        <x:v>core</x:v>
      </x:c>
      <x:c r="G139" s="50" t="n">
        <x:v>4</x:v>
      </x:c>
      <x:c r="H139" s="50" t="n">
        <x:v>10</x:v>
      </x:c>
      <x:c r="I139" s="44" t="str">
        <x:v>04.10</x:v>
      </x:c>
      <x:c r="J139" s="33" t="str">
        <x:v>The Pursuit of Happiness</x:v>
      </x:c>
      <x:c r="K139" s="33" t="str"/>
      <x:c r="L139" s="33" t="str"/>
      <x:c r="M139" s="44" t="str"/>
      <x:c r="N139" s="50" t="n">
        <x:v>47</x:v>
      </x:c>
      <x:c r="O139" s="53" t="str">
        <x:v>A "green-card" bride from Russia is suspected of murdering her rich, but cold husband, who was threatening to divorce her just weeks before she would qualify to remain in this country.</x:v>
      </x:c>
      <x:c r="P139" s="53" t="str">
        <x:v>Core Law &amp; Order franchise</x:v>
      </x:c>
      <x:c r="Q139" s="17" t="str">
        <x:v>34130</x:v>
      </x:c>
      <x:c r="R139" s="17" t="str">
        <x:v>tt0629457</x:v>
      </x:c>
      <x:c r="S139" s="17" t="str">
        <x:v>41</x:v>
      </x:c>
      <x:c r="T139" s="1"/>
      <x:c r="U139" s="1"/>
      <x:c r="V139" s="1"/>
      <x:c r="W139" s="1"/>
      <x:c r="X139" s="1"/>
      <x:c r="Y139" s="1"/>
      <x:c r="Z139" s="1"/>
    </x:row>
    <x:row r="140">
      <x:c r="A140" s="43" t="n">
        <x:v>136</x:v>
      </x:c>
      <x:c r="B140" s="44" t="str">
        <x:v>Not Started</x:v>
      </x:c>
      <x:c r="C140" s="45" t="n">
        <x:v>34339</x:v>
      </x:c>
      <x:c r="D140" s="33" t="str">
        <x:v>Law &amp; Order</x:v>
      </x:c>
      <x:c r="E140" s="33" t="str">
        <x:v>Law &amp; Order</x:v>
      </x:c>
      <x:c r="F140" s="33" t="str">
        <x:v>core</x:v>
      </x:c>
      <x:c r="G140" s="50" t="n">
        <x:v>4</x:v>
      </x:c>
      <x:c r="H140" s="50" t="n">
        <x:v>11</x:v>
      </x:c>
      <x:c r="I140" s="44" t="str">
        <x:v>04.11</x:v>
      </x:c>
      <x:c r="J140" s="33" t="str">
        <x:v>Golden Years</x:v>
      </x:c>
      <x:c r="K140" s="33" t="str"/>
      <x:c r="L140" s="33" t="str"/>
      <x:c r="M140" s="44" t="str"/>
      <x:c r="N140" s="50" t="n">
        <x:v>47</x:v>
      </x:c>
      <x:c r="O140" s="53" t="str">
        <x:v>An emaciated elderly woman is found dead of an apparent heart attack and her granddaughter is charged with neglect and grave indifference to human life.</x:v>
      </x:c>
      <x:c r="P140" s="53" t="str">
        <x:v>Core Law &amp; Order franchise</x:v>
      </x:c>
      <x:c r="Q140" s="17" t="str">
        <x:v>34131</x:v>
      </x:c>
      <x:c r="R140" s="17" t="str">
        <x:v>tt0629280</x:v>
      </x:c>
      <x:c r="S140" s="17" t="str">
        <x:v>42</x:v>
      </x:c>
      <x:c r="T140" s="1"/>
      <x:c r="U140" s="1"/>
      <x:c r="V140" s="1"/>
      <x:c r="W140" s="1"/>
      <x:c r="X140" s="1"/>
      <x:c r="Y140" s="1"/>
      <x:c r="Z140" s="1"/>
    </x:row>
    <x:row r="141">
      <x:c r="A141" s="43" t="n">
        <x:v>137</x:v>
      </x:c>
      <x:c r="B141" s="44" t="str">
        <x:v>Not Started</x:v>
      </x:c>
      <x:c r="C141" s="45" t="n">
        <x:v>34341</x:v>
      </x:c>
      <x:c r="D141" s="33" t="str">
        <x:v>Homicide: Life on the Street</x:v>
      </x:c>
      <x:c r="E141" s="33" t="str">
        <x:v>Law &amp; Order</x:v>
      </x:c>
      <x:c r="F141" s="33" t="str">
        <x:v>connected</x:v>
      </x:c>
      <x:c r="G141" s="50" t="n">
        <x:v>2</x:v>
      </x:c>
      <x:c r="H141" s="50" t="n">
        <x:v>1</x:v>
      </x:c>
      <x:c r="I141" s="44" t="str">
        <x:v>02.01</x:v>
      </x:c>
      <x:c r="J141" s="33" t="str">
        <x:v>Bop Gun</x:v>
      </x:c>
      <x:c r="K141" s="33" t="str"/>
      <x:c r="L141" s="33" t="str"/>
      <x:c r="M141" s="44" t="str"/>
      <x:c r="N141" s="50" t="n">
        <x:v>47</x:v>
      </x:c>
      <x:c r="O141" s="53" t="str">
        <x:v>All the detectives scramble to solve the case, when the mother, in a family on vacation, is murdered during a holdup. The husband has a hard time dealing with the reality of him not doing anything during the situation and Felton's indifference. When the suspects are found Howard is convinced that the youth who confesses to the murder didn't do it.</x:v>
      </x:c>
      <x:c r="P141" s="53" t="str">
        <x:v>Direct crossover with Law &amp; Order; Munch bridge to SVU</x:v>
      </x:c>
      <x:c r="Q141" s="17" t="str">
        <x:v>319987</x:v>
      </x:c>
      <x:c r="R141" s="17" t="str">
        <x:v>tt0604349</x:v>
      </x:c>
      <x:c r="S141" s="17" t="str">
        <x:v>44</x:v>
      </x:c>
      <x:c r="T141" s="1"/>
      <x:c r="U141" s="1"/>
      <x:c r="V141" s="1"/>
      <x:c r="W141" s="1"/>
      <x:c r="X141" s="1"/>
      <x:c r="Y141" s="1"/>
      <x:c r="Z141" s="1"/>
    </x:row>
    <x:row r="142">
      <x:c r="A142" s="43" t="n">
        <x:v>138</x:v>
      </x:c>
      <x:c r="B142" s="44" t="str">
        <x:v>Not Started</x:v>
      </x:c>
      <x:c r="C142" s="45" t="n">
        <x:v>34346</x:v>
      </x:c>
      <x:c r="D142" s="33" t="str">
        <x:v>Law &amp; Order</x:v>
      </x:c>
      <x:c r="E142" s="33" t="str">
        <x:v>Law &amp; Order</x:v>
      </x:c>
      <x:c r="F142" s="33" t="str">
        <x:v>core</x:v>
      </x:c>
      <x:c r="G142" s="50" t="n">
        <x:v>4</x:v>
      </x:c>
      <x:c r="H142" s="50" t="n">
        <x:v>12</x:v>
      </x:c>
      <x:c r="I142" s="44" t="str">
        <x:v>04.12</x:v>
      </x:c>
      <x:c r="J142" s="33" t="str">
        <x:v>Snatched</x:v>
      </x:c>
      <x:c r="K142" s="33" t="str"/>
      <x:c r="L142" s="33" t="str"/>
      <x:c r="M142" s="44" t="str"/>
      <x:c r="N142" s="50" t="n">
        <x:v>47</x:v>
      </x:c>
      <x:c r="O142" s="53" t="str">
        <x:v>A millionaire friend of Schiff's won't cooperate with the police following his son's kidnapping.</x:v>
      </x:c>
      <x:c r="P142" s="53" t="str">
        <x:v>Core Law &amp; Order franchise</x:v>
      </x:c>
      <x:c r="Q142" s="17" t="str">
        <x:v>34132</x:v>
      </x:c>
      <x:c r="R142" s="17" t="str">
        <x:v>tt0629429</x:v>
      </x:c>
      <x:c r="S142" s="17" t="str">
        <x:v>43</x:v>
      </x:c>
      <x:c r="T142" s="1"/>
      <x:c r="U142" s="1"/>
      <x:c r="V142" s="1"/>
      <x:c r="W142" s="1"/>
      <x:c r="X142" s="1"/>
      <x:c r="Y142" s="1"/>
      <x:c r="Z142" s="1"/>
    </x:row>
    <x:row r="143">
      <x:c r="A143" s="43" t="n">
        <x:v>139</x:v>
      </x:c>
      <x:c r="B143" s="44" t="str">
        <x:v>Not Started</x:v>
      </x:c>
      <x:c r="C143" s="45" t="n">
        <x:v>34348</x:v>
      </x:c>
      <x:c r="D143" s="33" t="str">
        <x:v>Homicide: Life on the Street</x:v>
      </x:c>
      <x:c r="E143" s="33" t="str">
        <x:v>Law &amp; Order</x:v>
      </x:c>
      <x:c r="F143" s="33" t="str">
        <x:v>connected</x:v>
      </x:c>
      <x:c r="G143" s="50" t="n">
        <x:v>2</x:v>
      </x:c>
      <x:c r="H143" s="50" t="n">
        <x:v>2</x:v>
      </x:c>
      <x:c r="I143" s="44" t="str">
        <x:v>02.02</x:v>
      </x:c>
      <x:c r="J143" s="33" t="str">
        <x:v>See No Evil</x:v>
      </x:c>
      <x:c r="K143" s="33" t="str"/>
      <x:c r="L143" s="33" t="str"/>
      <x:c r="M143" s="44" t="str"/>
      <x:c r="N143" s="50" t="n">
        <x:v>47</x:v>
      </x:c>
      <x:c r="O143" s="53" t="str">
        <x:v>Gee informs the detectives that they must meet with a sensitivity consultant. Felton protects a friend who's going to help his terminally ill father commit suicide. Pembleton investigates a routine murder that escalates into a case of possible police brutality. Bolander has no intention of meeting with the consultant to the point where he takes a suspension without pay. Lewis investigates the death of the father of Felton's friend and discovers the truth and confronts Beau.</x:v>
      </x:c>
      <x:c r="P143" s="53" t="str">
        <x:v>Direct crossover with Law &amp; Order; Munch bridge to SVU</x:v>
      </x:c>
      <x:c r="Q143" s="17" t="str">
        <x:v>319988</x:v>
      </x:c>
      <x:c r="R143" s="17" t="str">
        <x:v>tt0604410</x:v>
      </x:c>
      <x:c r="S143" s="17" t="str">
        <x:v>46</x:v>
      </x:c>
      <x:c r="T143" s="1"/>
      <x:c r="U143" s="1"/>
      <x:c r="V143" s="1"/>
      <x:c r="W143" s="1"/>
      <x:c r="X143" s="1"/>
      <x:c r="Y143" s="1"/>
      <x:c r="Z143" s="1"/>
    </x:row>
    <x:row r="144">
      <x:c r="A144" s="43" t="n">
        <x:v>140</x:v>
      </x:c>
      <x:c r="B144" s="44" t="str">
        <x:v>Not Started</x:v>
      </x:c>
      <x:c r="C144" s="45" t="n">
        <x:v>34353</x:v>
      </x:c>
      <x:c r="D144" s="33" t="str">
        <x:v>Law &amp; Order</x:v>
      </x:c>
      <x:c r="E144" s="33" t="str">
        <x:v>Law &amp; Order</x:v>
      </x:c>
      <x:c r="F144" s="33" t="str">
        <x:v>core</x:v>
      </x:c>
      <x:c r="G144" s="50" t="n">
        <x:v>4</x:v>
      </x:c>
      <x:c r="H144" s="50" t="n">
        <x:v>13</x:v>
      </x:c>
      <x:c r="I144" s="44" t="str">
        <x:v>04.13</x:v>
      </x:c>
      <x:c r="J144" s="33" t="str">
        <x:v>Breeder</x:v>
      </x:c>
      <x:c r="K144" s="33" t="str"/>
      <x:c r="L144" s="33" t="str"/>
      <x:c r="M144" s="44" t="str"/>
      <x:c r="N144" s="50" t="n">
        <x:v>47</x:v>
      </x:c>
      <x:c r="O144" s="53" t="str">
        <x:v>While investigating a woman's claim that she passed out in a taxi and awoke to find her newborn missing, Briscoe and Logan uncover a scam involving private adoptions.</x:v>
      </x:c>
      <x:c r="P144" s="53" t="str">
        <x:v>Core Law &amp; Order franchise</x:v>
      </x:c>
      <x:c r="Q144" s="17" t="str">
        <x:v>34133</x:v>
      </x:c>
      <x:c r="R144" s="17" t="str">
        <x:v>tt0629189</x:v>
      </x:c>
      <x:c r="S144" s="17" t="str">
        <x:v>45</x:v>
      </x:c>
      <x:c r="T144" s="1"/>
      <x:c r="U144" s="1"/>
      <x:c r="V144" s="1"/>
      <x:c r="W144" s="1"/>
      <x:c r="X144" s="1"/>
      <x:c r="Y144" s="1"/>
      <x:c r="Z144" s="1"/>
    </x:row>
    <x:row r="145">
      <x:c r="A145" s="43" t="n">
        <x:v>141</x:v>
      </x:c>
      <x:c r="B145" s="44" t="str">
        <x:v>Not Started</x:v>
      </x:c>
      <x:c r="C145" s="45" t="n">
        <x:v>34355</x:v>
      </x:c>
      <x:c r="D145" s="33" t="str">
        <x:v>Homicide: Life on the Street</x:v>
      </x:c>
      <x:c r="E145" s="33" t="str">
        <x:v>Law &amp; Order</x:v>
      </x:c>
      <x:c r="F145" s="33" t="str">
        <x:v>connected</x:v>
      </x:c>
      <x:c r="G145" s="50" t="n">
        <x:v>2</x:v>
      </x:c>
      <x:c r="H145" s="50" t="n">
        <x:v>3</x:v>
      </x:c>
      <x:c r="I145" s="44" t="str">
        <x:v>02.03</x:v>
      </x:c>
      <x:c r="J145" s="33" t="str">
        <x:v>Black and Blue</x:v>
      </x:c>
      <x:c r="K145" s="33" t="str"/>
      <x:c r="L145" s="33" t="str"/>
      <x:c r="M145" s="44" t="str"/>
      <x:c r="N145" s="50" t="n">
        <x:v>46</x:v>
      </x:c>
      <x:c r="O145" s="53" t="str">
        <x:v>Things begin to heat up between Pembleton and Gee over the alleged police brutality case and one of the suspects is an ex-lover of Kay's. Bolander meets a waitress who encourages him to resume his cello playing. Munch's girlfriend is less than enthusiastic when he surprises her with a new fish for her tank. Frank, in the box, gets the confession that Gee is looking for. Unfortunately, the suspect is anything but guilty of that crime.</x:v>
      </x:c>
      <x:c r="P145" s="53" t="str">
        <x:v>Direct crossover with Law &amp; Order; Munch bridge to SVU</x:v>
      </x:c>
      <x:c r="Q145" s="17" t="str">
        <x:v>319989</x:v>
      </x:c>
      <x:c r="R145" s="17" t="str">
        <x:v>tt0604343</x:v>
      </x:c>
      <x:c r="S145" s="17" t="str">
        <x:v>47</x:v>
      </x:c>
      <x:c r="T145" s="1"/>
      <x:c r="U145" s="1"/>
      <x:c r="V145" s="1"/>
      <x:c r="W145" s="1"/>
      <x:c r="X145" s="1"/>
      <x:c r="Y145" s="1"/>
      <x:c r="Z145" s="1"/>
    </x:row>
    <x:row r="146">
      <x:c r="A146" s="43" t="n">
        <x:v>142</x:v>
      </x:c>
      <x:c r="B146" s="44" t="str">
        <x:v>Not Started</x:v>
      </x:c>
      <x:c r="C146" s="45" t="n">
        <x:v>34362</x:v>
      </x:c>
      <x:c r="D146" s="33" t="str">
        <x:v>Homicide: Life on the Street</x:v>
      </x:c>
      <x:c r="E146" s="33" t="str">
        <x:v>Law &amp; Order</x:v>
      </x:c>
      <x:c r="F146" s="33" t="str">
        <x:v>connected</x:v>
      </x:c>
      <x:c r="G146" s="50" t="n">
        <x:v>2</x:v>
      </x:c>
      <x:c r="H146" s="50" t="n">
        <x:v>4</x:v>
      </x:c>
      <x:c r="I146" s="44" t="str">
        <x:v>02.04</x:v>
      </x:c>
      <x:c r="J146" s="33" t="str">
        <x:v>A Many Splendored Thing</x:v>
      </x:c>
      <x:c r="K146" s="33" t="str"/>
      <x:c r="L146" s="33" t="str"/>
      <x:c r="M146" s="44" t="str"/>
      <x:c r="N146" s="50" t="n">
        <x:v>46</x:v>
      </x:c>
      <x:c r="O146" s="53" t="str">
        <x:v>Bolander asks Kay if she would double date with him and Linda, to try to take the pressure off his first real date. A slain phone-sex operator is found clutching a note naming her boss as the perpetrator, Bayliss and Pembleton investigate. Munch has trouble dealing with Bolander's happiness, so he crashes the double date and makes everyone miserable. A man is shot to death over a pen at the library, Lewis and Crosetti investigate and find a man with a pen fetish. As Bayliss looks into the murder he begins to get involved.</x:v>
      </x:c>
      <x:c r="P146" s="53" t="str">
        <x:v>Direct crossover with Law &amp; Order; Munch bridge to SVU</x:v>
      </x:c>
      <x:c r="Q146" s="17" t="str">
        <x:v>319990</x:v>
      </x:c>
      <x:c r="R146" s="17" t="str">
        <x:v>tt0604331</x:v>
      </x:c>
      <x:c r="S146" s="17" t="str"/>
      <x:c r="T146" s="1"/>
      <x:c r="U146" s="1"/>
      <x:c r="V146" s="1"/>
      <x:c r="W146" s="1"/>
      <x:c r="X146" s="1"/>
      <x:c r="Y146" s="1"/>
      <x:c r="Z146" s="1"/>
    </x:row>
    <x:row r="147">
      <x:c r="A147" s="43" t="n">
        <x:v>143</x:v>
      </x:c>
      <x:c r="B147" s="44" t="str">
        <x:v>Not Started</x:v>
      </x:c>
      <x:c r="C147" s="45" t="n">
        <x:v>34367</x:v>
      </x:c>
      <x:c r="D147" s="33" t="str">
        <x:v>Law &amp; Order</x:v>
      </x:c>
      <x:c r="E147" s="33" t="str">
        <x:v>Law &amp; Order</x:v>
      </x:c>
      <x:c r="F147" s="33" t="str">
        <x:v>core</x:v>
      </x:c>
      <x:c r="G147" s="50" t="n">
        <x:v>4</x:v>
      </x:c>
      <x:c r="H147" s="50" t="n">
        <x:v>14</x:v>
      </x:c>
      <x:c r="I147" s="44" t="str">
        <x:v>04.14</x:v>
      </x:c>
      <x:c r="J147" s="33" t="str">
        <x:v>Censure</x:v>
      </x:c>
      <x:c r="K147" s="33" t="str"/>
      <x:c r="L147" s="33" t="str"/>
      <x:c r="M147" s="44" t="str"/>
      <x:c r="N147" s="50" t="n">
        <x:v>47</x:v>
      </x:c>
      <x:c r="O147" s="53" t="str">
        <x:v>A phone call threatening a woman's young daughter leads to a case that causes Kincaid to resign from Schiff's office because of an affair in her past.</x:v>
      </x:c>
      <x:c r="P147" s="53" t="str">
        <x:v>Core Law &amp; Order franchise</x:v>
      </x:c>
      <x:c r="Q147" s="17" t="str">
        <x:v>34134</x:v>
      </x:c>
      <x:c r="R147" s="17" t="str">
        <x:v>tt0629202</x:v>
      </x:c>
      <x:c r="S147" s="17" t="str">
        <x:v>49</x:v>
      </x:c>
      <x:c r="T147" s="1"/>
      <x:c r="U147" s="1"/>
      <x:c r="V147" s="1"/>
      <x:c r="W147" s="1"/>
      <x:c r="X147" s="1"/>
      <x:c r="Y147" s="1"/>
      <x:c r="Z147" s="1"/>
    </x:row>
    <x:row r="148">
      <x:c r="A148" s="43" t="n">
        <x:v>144</x:v>
      </x:c>
      <x:c r="B148" s="44" t="str">
        <x:v>Not Started</x:v>
      </x:c>
      <x:c r="C148" s="45" t="n">
        <x:v>34374</x:v>
      </x:c>
      <x:c r="D148" s="33" t="str">
        <x:v>Law &amp; Order</x:v>
      </x:c>
      <x:c r="E148" s="33" t="str">
        <x:v>Law &amp; Order</x:v>
      </x:c>
      <x:c r="F148" s="33" t="str">
        <x:v>core</x:v>
      </x:c>
      <x:c r="G148" s="50" t="n">
        <x:v>4</x:v>
      </x:c>
      <x:c r="H148" s="50" t="n">
        <x:v>15</x:v>
      </x:c>
      <x:c r="I148" s="44" t="str">
        <x:v>04.15</x:v>
      </x:c>
      <x:c r="J148" s="33" t="str">
        <x:v>Kids</x:v>
      </x:c>
      <x:c r="K148" s="33" t="str"/>
      <x:c r="L148" s="33" t="str"/>
      <x:c r="M148" s="44" t="str"/>
      <x:c r="N148" s="50" t="n">
        <x:v>47</x:v>
      </x:c>
      <x:c r="O148" s="53" t="str">
        <x:v>A 14-year-old's shooting death involves the son of a former police detective, who's also an old friend of Briscoe's.</x:v>
      </x:c>
      <x:c r="P148" s="53" t="str">
        <x:v>Core Law &amp; Order franchise</x:v>
      </x:c>
      <x:c r="Q148" s="17" t="str">
        <x:v>34135</x:v>
      </x:c>
      <x:c r="R148" s="17" t="str">
        <x:v>tt0629323</x:v>
      </x:c>
      <x:c r="S148" s="17" t="str">
        <x:v>50</x:v>
      </x:c>
      <x:c r="T148" s="1"/>
      <x:c r="U148" s="1"/>
      <x:c r="V148" s="1"/>
      <x:c r="W148" s="1"/>
      <x:c r="X148" s="1"/>
      <x:c r="Y148" s="1"/>
      <x:c r="Z148" s="1"/>
    </x:row>
    <x:row r="149">
      <x:c r="A149" s="43" t="n">
        <x:v>145</x:v>
      </x:c>
      <x:c r="B149" s="44" t="str">
        <x:v>Not Started</x:v>
      </x:c>
      <x:c r="C149" s="45" t="n">
        <x:v>34395</x:v>
      </x:c>
      <x:c r="D149" s="33" t="str">
        <x:v>Law &amp; Order</x:v>
      </x:c>
      <x:c r="E149" s="33" t="str">
        <x:v>Law &amp; Order</x:v>
      </x:c>
      <x:c r="F149" s="33" t="str">
        <x:v>core</x:v>
      </x:c>
      <x:c r="G149" s="50" t="n">
        <x:v>4</x:v>
      </x:c>
      <x:c r="H149" s="50" t="n">
        <x:v>16</x:v>
      </x:c>
      <x:c r="I149" s="44" t="str">
        <x:v>04.16</x:v>
      </x:c>
      <x:c r="J149" s="33" t="str">
        <x:v>Big Bang</x:v>
      </x:c>
      <x:c r="K149" s="33" t="str"/>
      <x:c r="L149" s="33" t="str"/>
      <x:c r="M149" s="44" t="str"/>
      <x:c r="N149" s="50" t="n">
        <x:v>47</x:v>
      </x:c>
      <x:c r="O149" s="53" t="str">
        <x:v>A scientist becomes the chief suspect when his estranged wife, who's been delaying divorce proceedings, is the victim of a letter bomb.</x:v>
      </x:c>
      <x:c r="P149" s="53" t="str">
        <x:v>Core Law &amp; Order franchise</x:v>
      </x:c>
      <x:c r="Q149" s="17" t="str">
        <x:v>34136</x:v>
      </x:c>
      <x:c r="R149" s="17" t="str">
        <x:v>tt0629174</x:v>
      </x:c>
      <x:c r="S149" s="17" t="str">
        <x:v>51</x:v>
      </x:c>
      <x:c r="T149" s="1"/>
      <x:c r="U149" s="1"/>
      <x:c r="V149" s="1"/>
      <x:c r="W149" s="1"/>
      <x:c r="X149" s="1"/>
      <x:c r="Y149" s="1"/>
      <x:c r="Z149" s="1"/>
    </x:row>
    <x:row r="150">
      <x:c r="A150" s="43" t="n">
        <x:v>146</x:v>
      </x:c>
      <x:c r="B150" s="44" t="str">
        <x:v>Not Started</x:v>
      </x:c>
      <x:c r="C150" s="45" t="n">
        <x:v>34402</x:v>
      </x:c>
      <x:c r="D150" s="33" t="str">
        <x:v>Law &amp; Order</x:v>
      </x:c>
      <x:c r="E150" s="33" t="str">
        <x:v>Law &amp; Order</x:v>
      </x:c>
      <x:c r="F150" s="33" t="str">
        <x:v>core</x:v>
      </x:c>
      <x:c r="G150" s="50" t="n">
        <x:v>4</x:v>
      </x:c>
      <x:c r="H150" s="50" t="n">
        <x:v>17</x:v>
      </x:c>
      <x:c r="I150" s="44" t="str">
        <x:v>04.17</x:v>
      </x:c>
      <x:c r="J150" s="33" t="str">
        <x:v>Mayhem</x:v>
      </x:c>
      <x:c r="K150" s="33" t="str"/>
      <x:c r="L150" s="33" t="str"/>
      <x:c r="M150" s="44" t="str"/>
      <x:c r="N150" s="50" t="n">
        <x:v>47</x:v>
      </x:c>
      <x:c r="O150" s="53" t="str">
        <x:v>During a 24-hour period, Briscoe and Logan have a heavy caseload that includes 5 unrelated murders and a domestic quarrel, which results in the maiming of the husband.</x:v>
      </x:c>
      <x:c r="P150" s="53" t="str">
        <x:v>Core Law &amp; Order franchise</x:v>
      </x:c>
      <x:c r="Q150" s="17" t="str">
        <x:v>34137</x:v>
      </x:c>
      <x:c r="R150" s="17" t="str">
        <x:v>tt0629339</x:v>
      </x:c>
      <x:c r="S150" s="17" t="str">
        <x:v>52</x:v>
      </x:c>
      <x:c r="T150" s="1"/>
      <x:c r="U150" s="1"/>
      <x:c r="V150" s="1"/>
      <x:c r="W150" s="1"/>
      <x:c r="X150" s="1"/>
      <x:c r="Y150" s="1"/>
      <x:c r="Z150" s="1"/>
    </x:row>
    <x:row r="151">
      <x:c r="A151" s="43" t="n">
        <x:v>147</x:v>
      </x:c>
      <x:c r="B151" s="44" t="str">
        <x:v>Not Started</x:v>
      </x:c>
      <x:c r="C151" s="45" t="n">
        <x:v>34423</x:v>
      </x:c>
      <x:c r="D151" s="33" t="str">
        <x:v>Law &amp; Order</x:v>
      </x:c>
      <x:c r="E151" s="33" t="str">
        <x:v>Law &amp; Order</x:v>
      </x:c>
      <x:c r="F151" s="33" t="str">
        <x:v>core</x:v>
      </x:c>
      <x:c r="G151" s="50" t="n">
        <x:v>4</x:v>
      </x:c>
      <x:c r="H151" s="50" t="n">
        <x:v>18</x:v>
      </x:c>
      <x:c r="I151" s="44" t="str">
        <x:v>04.18</x:v>
      </x:c>
      <x:c r="J151" s="33" t="str">
        <x:v>Wager</x:v>
      </x:c>
      <x:c r="K151" s="33" t="str"/>
      <x:c r="L151" s="33" t="str"/>
      <x:c r="M151" s="44" t="str"/>
      <x:c r="N151" s="50" t="n">
        <x:v>46</x:v>
      </x:c>
      <x:c r="O151" s="53" t="str">
        <x:v>Briscoe and Logan bet that the killing of a star athlete's father is linked to gambling debts and threats to the baseball player's family.</x:v>
      </x:c>
      <x:c r="P151" s="53" t="str">
        <x:v>Core Law &amp; Order franchise</x:v>
      </x:c>
      <x:c r="Q151" s="17" t="str">
        <x:v>34138</x:v>
      </x:c>
      <x:c r="R151" s="17" t="str">
        <x:v>tt0629492</x:v>
      </x:c>
      <x:c r="S151" s="17" t="str">
        <x:v>53</x:v>
      </x:c>
      <x:c r="T151" s="1"/>
      <x:c r="U151" s="1"/>
      <x:c r="V151" s="1"/>
      <x:c r="W151" s="1"/>
      <x:c r="X151" s="1"/>
      <x:c r="Y151" s="1"/>
      <x:c r="Z151" s="1"/>
    </x:row>
    <x:row r="152">
      <x:c r="A152" s="43" t="n">
        <x:v>148</x:v>
      </x:c>
      <x:c r="B152" s="44" t="str">
        <x:v>Not Started</x:v>
      </x:c>
      <x:c r="C152" s="45" t="n">
        <x:v>34437</x:v>
      </x:c>
      <x:c r="D152" s="33" t="str">
        <x:v>Law &amp; Order</x:v>
      </x:c>
      <x:c r="E152" s="33" t="str">
        <x:v>Law &amp; Order</x:v>
      </x:c>
      <x:c r="F152" s="33" t="str">
        <x:v>core</x:v>
      </x:c>
      <x:c r="G152" s="50" t="n">
        <x:v>4</x:v>
      </x:c>
      <x:c r="H152" s="50" t="n">
        <x:v>19</x:v>
      </x:c>
      <x:c r="I152" s="44" t="str">
        <x:v>04.19</x:v>
      </x:c>
      <x:c r="J152" s="33" t="str">
        <x:v>Sanctuary</x:v>
      </x:c>
      <x:c r="K152" s="33" t="str"/>
      <x:c r="L152" s="33" t="str"/>
      <x:c r="M152" s="44" t="str"/>
      <x:c r="N152" s="50" t="n">
        <x:v>47</x:v>
      </x:c>
      <x:c r="O152" s="53" t="str">
        <x:v>A black minister fans the flames of racial intolerance after a hit-and-run in Harlem claims the life of a 12-year-old and the Jewish driver isn't indicted.</x:v>
      </x:c>
      <x:c r="P152" s="53" t="str">
        <x:v>Core Law &amp; Order franchise</x:v>
      </x:c>
      <x:c r="Q152" s="17" t="str">
        <x:v>34139</x:v>
      </x:c>
      <x:c r="R152" s="17" t="str">
        <x:v>tt0629404</x:v>
      </x:c>
      <x:c r="S152" s="17" t="str">
        <x:v>54</x:v>
      </x:c>
      <x:c r="T152" s="1"/>
      <x:c r="U152" s="1"/>
      <x:c r="V152" s="1"/>
      <x:c r="W152" s="1"/>
      <x:c r="X152" s="1"/>
      <x:c r="Y152" s="1"/>
      <x:c r="Z152" s="1"/>
    </x:row>
    <x:row r="153">
      <x:c r="A153" s="43" t="n">
        <x:v>149</x:v>
      </x:c>
      <x:c r="B153" s="44" t="str">
        <x:v>Not Started</x:v>
      </x:c>
      <x:c r="C153" s="45" t="n">
        <x:v>34458</x:v>
      </x:c>
      <x:c r="D153" s="33" t="str">
        <x:v>Law &amp; Order</x:v>
      </x:c>
      <x:c r="E153" s="33" t="str">
        <x:v>Law &amp; Order</x:v>
      </x:c>
      <x:c r="F153" s="33" t="str">
        <x:v>core</x:v>
      </x:c>
      <x:c r="G153" s="50" t="n">
        <x:v>4</x:v>
      </x:c>
      <x:c r="H153" s="50" t="n">
        <x:v>20</x:v>
      </x:c>
      <x:c r="I153" s="44" t="str">
        <x:v>04.20</x:v>
      </x:c>
      <x:c r="J153" s="33" t="str">
        <x:v>Nurture</x:v>
      </x:c>
      <x:c r="K153" s="33" t="str"/>
      <x:c r="L153" s="33" t="str"/>
      <x:c r="M153" s="44" t="str"/>
      <x:c r="N153" s="50" t="n">
        <x:v>46</x:v>
      </x:c>
      <x:c r="O153" s="53" t="str">
        <x:v>Briscoe and Logan investigate the disappearance of a child from her abusive foster home and find her being held by a loving but disturbed woman who insists she has acted only for the child's own good.</x:v>
      </x:c>
      <x:c r="P153" s="53" t="str">
        <x:v>Core Law &amp; Order franchise</x:v>
      </x:c>
      <x:c r="Q153" s="17" t="str">
        <x:v>34140</x:v>
      </x:c>
      <x:c r="R153" s="17" t="str">
        <x:v>tt0629357</x:v>
      </x:c>
      <x:c r="S153" s="17" t="str">
        <x:v>55</x:v>
      </x:c>
      <x:c r="T153" s="1"/>
      <x:c r="U153" s="1"/>
      <x:c r="V153" s="1"/>
      <x:c r="W153" s="1"/>
      <x:c r="X153" s="1"/>
      <x:c r="Y153" s="1"/>
      <x:c r="Z153" s="1"/>
    </x:row>
    <x:row r="154">
      <x:c r="A154" s="43" t="n">
        <x:v>150</x:v>
      </x:c>
      <x:c r="B154" s="44" t="str">
        <x:v>Not Started</x:v>
      </x:c>
      <x:c r="C154" s="45" t="n">
        <x:v>34472</x:v>
      </x:c>
      <x:c r="D154" s="33" t="str">
        <x:v>Law &amp; Order</x:v>
      </x:c>
      <x:c r="E154" s="33" t="str">
        <x:v>Law &amp; Order</x:v>
      </x:c>
      <x:c r="F154" s="33" t="str">
        <x:v>core</x:v>
      </x:c>
      <x:c r="G154" s="50" t="n">
        <x:v>4</x:v>
      </x:c>
      <x:c r="H154" s="50" t="n">
        <x:v>21</x:v>
      </x:c>
      <x:c r="I154" s="44" t="str">
        <x:v>04.21</x:v>
      </x:c>
      <x:c r="J154" s="33" t="str">
        <x:v>Doubles</x:v>
      </x:c>
      <x:c r="K154" s="33" t="str"/>
      <x:c r="L154" s="33" t="str"/>
      <x:c r="M154" s="44" t="str"/>
      <x:c r="N154" s="50" t="n">
        <x:v>46</x:v>
      </x:c>
      <x:c r="O154" s="53" t="str">
        <x:v>An assailant breaks the wrist of a tennis player prior to a tournament, and a competitor is among the suspects.</x:v>
      </x:c>
      <x:c r="P154" s="53" t="str">
        <x:v>Core Law &amp; Order franchise</x:v>
      </x:c>
      <x:c r="Q154" s="17" t="str">
        <x:v>34141</x:v>
      </x:c>
      <x:c r="R154" s="17" t="str">
        <x:v>tt0629245</x:v>
      </x:c>
      <x:c r="S154" s="17" t="str">
        <x:v>56</x:v>
      </x:c>
      <x:c r="T154" s="1"/>
      <x:c r="U154" s="1"/>
      <x:c r="V154" s="1"/>
      <x:c r="W154" s="1"/>
      <x:c r="X154" s="1"/>
      <x:c r="Y154" s="1"/>
      <x:c r="Z154" s="1"/>
    </x:row>
    <x:row r="155">
      <x:c r="A155" s="43" t="n">
        <x:v>151</x:v>
      </x:c>
      <x:c r="B155" s="44" t="str">
        <x:v>Not Started</x:v>
      </x:c>
      <x:c r="C155" s="45" t="n">
        <x:v>34479</x:v>
      </x:c>
      <x:c r="D155" s="33" t="str">
        <x:v>Law &amp; Order</x:v>
      </x:c>
      <x:c r="E155" s="33" t="str">
        <x:v>Law &amp; Order</x:v>
      </x:c>
      <x:c r="F155" s="33" t="str">
        <x:v>core</x:v>
      </x:c>
      <x:c r="G155" s="50" t="n">
        <x:v>4</x:v>
      </x:c>
      <x:c r="H155" s="50" t="n">
        <x:v>22</x:v>
      </x:c>
      <x:c r="I155" s="44" t="str">
        <x:v>04.22</x:v>
      </x:c>
      <x:c r="J155" s="33" t="str">
        <x:v>Old Friends</x:v>
      </x:c>
      <x:c r="K155" s="33" t="str"/>
      <x:c r="L155" s="33" t="str"/>
      <x:c r="M155" s="44" t="str"/>
      <x:c r="N155" s="50" t="n">
        <x:v>46</x:v>
      </x:c>
      <x:c r="O155" s="53" t="str">
        <x:v>A truck hits a pedestrian and the investigation reveals the victim's link to a baby-food company in which a new partner has connections to the Russian mob.</x:v>
      </x:c>
      <x:c r="P155" s="53" t="str">
        <x:v>Core Law &amp; Order franchise</x:v>
      </x:c>
      <x:c r="Q155" s="17" t="str">
        <x:v>34142</x:v>
      </x:c>
      <x:c r="R155" s="17" t="str">
        <x:v>tt0629359</x:v>
      </x:c>
      <x:c r="S155" s="17" t="str">
        <x:v>57</x:v>
      </x:c>
      <x:c r="T155" s="1"/>
      <x:c r="U155" s="1"/>
      <x:c r="V155" s="1"/>
      <x:c r="W155" s="1"/>
      <x:c r="X155" s="1"/>
      <x:c r="Y155" s="1"/>
      <x:c r="Z155" s="1"/>
    </x:row>
    <x:row r="156">
      <x:c r="A156" s="43" t="n">
        <x:v>152</x:v>
      </x:c>
      <x:c r="B156" s="44" t="str">
        <x:v>Not Started</x:v>
      </x:c>
      <x:c r="C156" s="45" t="n">
        <x:v>34585</x:v>
      </x:c>
      <x:c r="D156" s="33" t="str">
        <x:v>New York Undercover</x:v>
      </x:c>
      <x:c r="E156" s="33" t="str">
        <x:v>Law &amp; Order</x:v>
      </x:c>
      <x:c r="F156" s="33" t="str">
        <x:v>connected</x:v>
      </x:c>
      <x:c r="G156" s="50" t="n">
        <x:v>1</x:v>
      </x:c>
      <x:c r="H156" s="50" t="n">
        <x:v>1</x:v>
      </x:c>
      <x:c r="I156" s="44" t="str">
        <x:v>01.01</x:v>
      </x:c>
      <x:c r="J156" s="33" t="str">
        <x:v>School Ties</x:v>
      </x:c>
      <x:c r="K156" s="33" t="str"/>
      <x:c r="L156" s="33" t="str"/>
      <x:c r="M156" s="44" t="str"/>
      <x:c r="N156" s="50" t="n">
        <x:v>44</x:v>
      </x:c>
      <x:c r="O156" s="53" t="str">
        <x:v>Manhattan police detectives J.C. Williams and Eddie Torres are assigned a case dealing with a 17 year old girl who accuses a high school football player of rape. Eddie has problems going to see his mother, who is in the hospital, after six years of non-communication with each other.</x:v>
      </x:c>
      <x:c r="P156" s="53" t="str">
        <x:v>Wolf-produced New York police drama; crossover-adjacent to the Law &amp; Order era</x:v>
      </x:c>
      <x:c r="Q156" s="17" t="str">
        <x:v>290987</x:v>
      </x:c>
      <x:c r="R156" s="17" t="str"/>
      <x:c r="S156" s="17" t="str">
        <x:v>58</x:v>
      </x:c>
      <x:c r="T156" s="1"/>
      <x:c r="U156" s="1"/>
      <x:c r="V156" s="1"/>
      <x:c r="W156" s="1"/>
      <x:c r="X156" s="1"/>
      <x:c r="Y156" s="1"/>
      <x:c r="Z156" s="1"/>
    </x:row>
    <x:row r="157">
      <x:c r="A157" s="43" t="n">
        <x:v>153</x:v>
      </x:c>
      <x:c r="B157" s="44" t="str">
        <x:v>Not Started</x:v>
      </x:c>
      <x:c r="C157" s="45" t="n">
        <x:v>34592</x:v>
      </x:c>
      <x:c r="D157" s="33" t="str">
        <x:v>New York Undercover</x:v>
      </x:c>
      <x:c r="E157" s="33" t="str">
        <x:v>Law &amp; Order</x:v>
      </x:c>
      <x:c r="F157" s="33" t="str">
        <x:v>connected</x:v>
      </x:c>
      <x:c r="G157" s="50" t="n">
        <x:v>1</x:v>
      </x:c>
      <x:c r="H157" s="50" t="n">
        <x:v>2</x:v>
      </x:c>
      <x:c r="I157" s="44" t="str">
        <x:v>01.02</x:v>
      </x:c>
      <x:c r="J157" s="33" t="str">
        <x:v>Pilot</x:v>
      </x:c>
      <x:c r="K157" s="33" t="str"/>
      <x:c r="L157" s="33" t="str"/>
      <x:c r="M157" s="44" t="str"/>
      <x:c r="N157" s="50" t="n">
        <x:v>44</x:v>
      </x:c>
      <x:c r="O157" s="53" t="str">
        <x:v>Williams and Torres try to prevent two people from becoming part of luxury car theft ring. Williams gets a letter from his ex-wife stating that she wants him to pay more in his maintenance payments.</x:v>
      </x:c>
      <x:c r="P157" s="53" t="str">
        <x:v>Wolf-produced New York police drama; crossover-adjacent to the Law &amp; Order era</x:v>
      </x:c>
      <x:c r="Q157" s="17" t="str">
        <x:v>290988</x:v>
      </x:c>
      <x:c r="R157" s="17" t="str">
        <x:v>tt0659835</x:v>
      </x:c>
      <x:c r="S157" s="17" t="str">
        <x:v>59</x:v>
      </x:c>
      <x:c r="T157" s="1"/>
      <x:c r="U157" s="1"/>
      <x:c r="V157" s="1"/>
      <x:c r="W157" s="1"/>
      <x:c r="X157" s="1"/>
      <x:c r="Y157" s="1"/>
      <x:c r="Z157" s="1"/>
    </x:row>
    <x:row r="158">
      <x:c r="A158" s="43" t="n">
        <x:v>154</x:v>
      </x:c>
      <x:c r="B158" s="44" t="str">
        <x:v>Not Started</x:v>
      </x:c>
      <x:c r="C158" s="45" t="n">
        <x:v>34598</x:v>
      </x:c>
      <x:c r="D158" s="33" t="str">
        <x:v>Law &amp; Order</x:v>
      </x:c>
      <x:c r="E158" s="33" t="str">
        <x:v>Law &amp; Order</x:v>
      </x:c>
      <x:c r="F158" s="33" t="str">
        <x:v>core</x:v>
      </x:c>
      <x:c r="G158" s="50" t="n">
        <x:v>5</x:v>
      </x:c>
      <x:c r="H158" s="50" t="n">
        <x:v>1</x:v>
      </x:c>
      <x:c r="I158" s="44" t="str">
        <x:v>05.01</x:v>
      </x:c>
      <x:c r="J158" s="33" t="str">
        <x:v>Second Opinion</x:v>
      </x:c>
      <x:c r="K158" s="33" t="str"/>
      <x:c r="L158" s="33" t="str"/>
      <x:c r="M158" s="44" t="str"/>
      <x:c r="N158" s="50" t="n">
        <x:v>47</x:v>
      </x:c>
      <x:c r="O158" s="53" t="str">
        <x:v>A woman's death exposes an unorthodox method of treating cancer that Executive Assistant DA McCoy intends to prove is negligent homicide.</x:v>
      </x:c>
      <x:c r="P158" s="53" t="str">
        <x:v>Core Law &amp; Order franchise</x:v>
      </x:c>
      <x:c r="Q158" s="17" t="str">
        <x:v>34143</x:v>
      </x:c>
      <x:c r="R158" s="17" t="str">
        <x:v>tt0629410</x:v>
      </x:c>
      <x:c r="S158" s="17" t="str">
        <x:v>60</x:v>
      </x:c>
      <x:c r="T158" s="1"/>
      <x:c r="U158" s="1"/>
      <x:c r="V158" s="1"/>
      <x:c r="W158" s="1"/>
      <x:c r="X158" s="1"/>
      <x:c r="Y158" s="1"/>
      <x:c r="Z158" s="1"/>
    </x:row>
    <x:row r="159">
      <x:c r="A159" s="43" t="n">
        <x:v>155</x:v>
      </x:c>
      <x:c r="B159" s="44" t="str">
        <x:v>Not Started</x:v>
      </x:c>
      <x:c r="C159" s="45" t="n">
        <x:v>34599</x:v>
      </x:c>
      <x:c r="D159" s="33" t="str">
        <x:v>New York Undercover</x:v>
      </x:c>
      <x:c r="E159" s="33" t="str">
        <x:v>Law &amp; Order</x:v>
      </x:c>
      <x:c r="F159" s="33" t="str">
        <x:v>connected</x:v>
      </x:c>
      <x:c r="G159" s="50" t="n">
        <x:v>1</x:v>
      </x:c>
      <x:c r="H159" s="50" t="n">
        <x:v>3</x:v>
      </x:c>
      <x:c r="I159" s="44" t="str">
        <x:v>01.03</x:v>
      </x:c>
      <x:c r="J159" s="33" t="str">
        <x:v>Sins of the Father</x:v>
      </x:c>
      <x:c r="K159" s="33" t="str"/>
      <x:c r="L159" s="33" t="str"/>
      <x:c r="M159" s="44" t="str"/>
      <x:c r="N159" s="50" t="n">
        <x:v>43</x:v>
      </x:c>
      <x:c r="O159" s="53" t="str">
        <x:v>Torres and Williams investigate an ice-cream vendor's murder whose drug dealings ends up in G's school.</x:v>
      </x:c>
      <x:c r="P159" s="53" t="str">
        <x:v>Wolf-produced New York police drama; crossover-adjacent to the Law &amp; Order era</x:v>
      </x:c>
      <x:c r="Q159" s="17" t="str">
        <x:v>290989</x:v>
      </x:c>
      <x:c r="R159" s="17" t="str"/>
      <x:c r="S159" s="17" t="str">
        <x:v>61</x:v>
      </x:c>
      <x:c r="T159" s="1"/>
      <x:c r="U159" s="1"/>
      <x:c r="V159" s="1"/>
      <x:c r="W159" s="1"/>
      <x:c r="X159" s="1"/>
      <x:c r="Y159" s="1"/>
      <x:c r="Z159" s="1"/>
    </x:row>
    <x:row r="160">
      <x:c r="A160" s="43" t="n">
        <x:v>156</x:v>
      </x:c>
      <x:c r="B160" s="44" t="str">
        <x:v>Not Started</x:v>
      </x:c>
      <x:c r="C160" s="45" t="n">
        <x:v>34605</x:v>
      </x:c>
      <x:c r="D160" s="33" t="str">
        <x:v>Law &amp; Order</x:v>
      </x:c>
      <x:c r="E160" s="33" t="str">
        <x:v>Law &amp; Order</x:v>
      </x:c>
      <x:c r="F160" s="33" t="str">
        <x:v>core</x:v>
      </x:c>
      <x:c r="G160" s="50" t="n">
        <x:v>5</x:v>
      </x:c>
      <x:c r="H160" s="50" t="n">
        <x:v>2</x:v>
      </x:c>
      <x:c r="I160" s="44" t="str">
        <x:v>05.02</x:v>
      </x:c>
      <x:c r="J160" s="33" t="str">
        <x:v>Coma</x:v>
      </x:c>
      <x:c r="K160" s="33" t="str"/>
      <x:c r="L160" s="33" t="str"/>
      <x:c r="M160" s="44" t="str"/>
      <x:c r="N160" s="50" t="n">
        <x:v>47</x:v>
      </x:c>
      <x:c r="O160" s="53" t="str">
        <x:v>A comedy-club owner comes under suspicion for having shot his wife, now comatose with a bullet in her head, after it's discovered he was abusive and she was about to divorce him.</x:v>
      </x:c>
      <x:c r="P160" s="53" t="str">
        <x:v>Core Law &amp; Order franchise</x:v>
      </x:c>
      <x:c r="Q160" s="17" t="str">
        <x:v>34144</x:v>
      </x:c>
      <x:c r="R160" s="17" t="str">
        <x:v>tt0629208</x:v>
      </x:c>
      <x:c r="S160" s="17" t="str">
        <x:v>62</x:v>
      </x:c>
      <x:c r="T160" s="1"/>
      <x:c r="U160" s="1"/>
      <x:c r="V160" s="1"/>
      <x:c r="W160" s="1"/>
      <x:c r="X160" s="1"/>
      <x:c r="Y160" s="1"/>
      <x:c r="Z160" s="1"/>
    </x:row>
    <x:row r="161">
      <x:c r="A161" s="43" t="n">
        <x:v>157</x:v>
      </x:c>
      <x:c r="B161" s="44" t="str">
        <x:v>Not Started</x:v>
      </x:c>
      <x:c r="C161" s="45" t="n">
        <x:v>34606</x:v>
      </x:c>
      <x:c r="D161" s="33" t="str">
        <x:v>New York Undercover</x:v>
      </x:c>
      <x:c r="E161" s="33" t="str">
        <x:v>Law &amp; Order</x:v>
      </x:c>
      <x:c r="F161" s="33" t="str">
        <x:v>connected</x:v>
      </x:c>
      <x:c r="G161" s="50" t="n">
        <x:v>1</x:v>
      </x:c>
      <x:c r="H161" s="50" t="n">
        <x:v>4</x:v>
      </x:c>
      <x:c r="I161" s="44" t="str">
        <x:v>01.04</x:v>
      </x:c>
      <x:c r="J161" s="33" t="str">
        <x:v>To Protect and Serve</x:v>
      </x:c>
      <x:c r="K161" s="33" t="str"/>
      <x:c r="L161" s="33" t="str"/>
      <x:c r="M161" s="44" t="str"/>
      <x:c r="N161" s="50" t="n">
        <x:v>45</x:v>
      </x:c>
      <x:c r="O161" s="53" t="str">
        <x:v>Torres and Williams are assigned to investigate the death of a student who doesn't seem to be "picture perfect."  Williams deals with child support problems.</x:v>
      </x:c>
      <x:c r="P161" s="53" t="str">
        <x:v>Wolf-produced New York police drama; crossover-adjacent to the Law &amp; Order era</x:v>
      </x:c>
      <x:c r="Q161" s="17" t="str">
        <x:v>290990</x:v>
      </x:c>
      <x:c r="R161" s="17" t="str">
        <x:v>tt0659858</x:v>
      </x:c>
      <x:c r="S161" s="17" t="str">
        <x:v>63</x:v>
      </x:c>
      <x:c r="T161" s="1"/>
      <x:c r="U161" s="1"/>
      <x:c r="V161" s="1"/>
      <x:c r="W161" s="1"/>
      <x:c r="X161" s="1"/>
      <x:c r="Y161" s="1"/>
      <x:c r="Z161" s="1"/>
    </x:row>
    <x:row r="162">
      <x:c r="A162" s="43" t="n">
        <x:v>158</x:v>
      </x:c>
      <x:c r="B162" s="44" t="str">
        <x:v>Not Started</x:v>
      </x:c>
      <x:c r="C162" s="45" t="n">
        <x:v>34612</x:v>
      </x:c>
      <x:c r="D162" s="33" t="str">
        <x:v>Law &amp; Order</x:v>
      </x:c>
      <x:c r="E162" s="33" t="str">
        <x:v>Law &amp; Order</x:v>
      </x:c>
      <x:c r="F162" s="33" t="str">
        <x:v>core</x:v>
      </x:c>
      <x:c r="G162" s="50" t="n">
        <x:v>5</x:v>
      </x:c>
      <x:c r="H162" s="50" t="n">
        <x:v>3</x:v>
      </x:c>
      <x:c r="I162" s="44" t="str">
        <x:v>05.03</x:v>
      </x:c>
      <x:c r="J162" s="33" t="str">
        <x:v>Blue Bamboo</x:v>
      </x:c>
      <x:c r="K162" s="33" t="str"/>
      <x:c r="L162" s="33" t="str"/>
      <x:c r="M162" s="44" t="str"/>
      <x:c r="N162" s="50" t="n">
        <x:v>47</x:v>
      </x:c>
      <x:c r="O162" s="53" t="str">
        <x:v>The killing of a Japanese nightclub owner who was visiting New York leads to the arrest of a singer who once worked for the deceased, and whose lawyer uses the ""battered-woman syndrome"" as a defense.</x:v>
      </x:c>
      <x:c r="P162" s="53" t="str">
        <x:v>Core Law &amp; Order franchise</x:v>
      </x:c>
      <x:c r="Q162" s="17" t="str">
        <x:v>34145</x:v>
      </x:c>
      <x:c r="R162" s="17" t="str">
        <x:v>tt0629184</x:v>
      </x:c>
      <x:c r="S162" s="17" t="str">
        <x:v>64</x:v>
      </x:c>
      <x:c r="T162" s="1"/>
      <x:c r="U162" s="1"/>
      <x:c r="V162" s="1"/>
      <x:c r="W162" s="1"/>
      <x:c r="X162" s="1"/>
      <x:c r="Y162" s="1"/>
      <x:c r="Z162" s="1"/>
    </x:row>
    <x:row r="163">
      <x:c r="A163" s="43" t="n">
        <x:v>159</x:v>
      </x:c>
      <x:c r="B163" s="44" t="str">
        <x:v>Not Started</x:v>
      </x:c>
      <x:c r="C163" s="45" t="n">
        <x:v>34613</x:v>
      </x:c>
      <x:c r="D163" s="33" t="str">
        <x:v>New York Undercover</x:v>
      </x:c>
      <x:c r="E163" s="33" t="str">
        <x:v>Law &amp; Order</x:v>
      </x:c>
      <x:c r="F163" s="33" t="str">
        <x:v>connected</x:v>
      </x:c>
      <x:c r="G163" s="50" t="n">
        <x:v>1</x:v>
      </x:c>
      <x:c r="H163" s="50" t="n">
        <x:v>5</x:v>
      </x:c>
      <x:c r="I163" s="44" t="str">
        <x:v>01.05</x:v>
      </x:c>
      <x:c r="J163" s="33" t="str">
        <x:v>Garbage</x:v>
      </x:c>
      <x:c r="K163" s="33" t="str"/>
      <x:c r="L163" s="33" t="str"/>
      <x:c r="M163" s="44" t="str"/>
      <x:c r="N163" s="50" t="n">
        <x:v>44</x:v>
      </x:c>
      <x:c r="O163" s="53" t="str">
        <x:v>Torres and Williams go undercover to investigate a sanitation worker's murder. Sandra is embarrassed J.C. is a police officer.</x:v>
      </x:c>
      <x:c r="P163" s="53" t="str">
        <x:v>Wolf-produced New York police drama; crossover-adjacent to the Law &amp; Order era</x:v>
      </x:c>
      <x:c r="Q163" s="17" t="str">
        <x:v>290991</x:v>
      </x:c>
      <x:c r="R163" s="17" t="str"/>
      <x:c r="S163" s="17" t="str">
        <x:v>65</x:v>
      </x:c>
      <x:c r="T163" s="1"/>
      <x:c r="U163" s="1"/>
      <x:c r="V163" s="1"/>
      <x:c r="W163" s="1"/>
      <x:c r="X163" s="1"/>
      <x:c r="Y163" s="1"/>
      <x:c r="Z163" s="1"/>
    </x:row>
    <x:row r="164">
      <x:c r="A164" s="43" t="n">
        <x:v>160</x:v>
      </x:c>
      <x:c r="B164" s="44" t="str">
        <x:v>Not Started</x:v>
      </x:c>
      <x:c r="C164" s="45" t="n">
        <x:v>34619</x:v>
      </x:c>
      <x:c r="D164" s="33" t="str">
        <x:v>Law &amp; Order</x:v>
      </x:c>
      <x:c r="E164" s="33" t="str">
        <x:v>Law &amp; Order</x:v>
      </x:c>
      <x:c r="F164" s="33" t="str">
        <x:v>core</x:v>
      </x:c>
      <x:c r="G164" s="50" t="n">
        <x:v>5</x:v>
      </x:c>
      <x:c r="H164" s="50" t="n">
        <x:v>4</x:v>
      </x:c>
      <x:c r="I164" s="44" t="str">
        <x:v>05.04</x:v>
      </x:c>
      <x:c r="J164" s="33" t="str">
        <x:v>Family Values</x:v>
      </x:c>
      <x:c r="K164" s="33" t="str"/>
      <x:c r="L164" s="33" t="str"/>
      <x:c r="M164" s="44" t="str"/>
      <x:c r="N164" s="50" t="n">
        <x:v>47</x:v>
      </x:c>
      <x:c r="O164" s="53" t="str">
        <x:v>After it's determined that a wealthy woman did not commit suicide but was murdered, the detectives question both her first and second husbands and her teenage daughter.</x:v>
      </x:c>
      <x:c r="P164" s="53" t="str">
        <x:v>Core Law &amp; Order franchise</x:v>
      </x:c>
      <x:c r="Q164" s="17" t="str">
        <x:v>34146</x:v>
      </x:c>
      <x:c r="R164" s="17" t="str">
        <x:v>tt0629263</x:v>
      </x:c>
      <x:c r="S164" s="17" t="str">
        <x:v>66</x:v>
      </x:c>
      <x:c r="T164" s="1"/>
      <x:c r="U164" s="1"/>
      <x:c r="V164" s="1"/>
      <x:c r="W164" s="1"/>
      <x:c r="X164" s="1"/>
      <x:c r="Y164" s="1"/>
      <x:c r="Z164" s="1"/>
    </x:row>
    <x:row r="165">
      <x:c r="A165" s="43" t="n">
        <x:v>161</x:v>
      </x:c>
      <x:c r="B165" s="44" t="str">
        <x:v>Not Started</x:v>
      </x:c>
      <x:c r="C165" s="45" t="n">
        <x:v>34620</x:v>
      </x:c>
      <x:c r="D165" s="33" t="str">
        <x:v>New York Undercover</x:v>
      </x:c>
      <x:c r="E165" s="33" t="str">
        <x:v>Law &amp; Order</x:v>
      </x:c>
      <x:c r="F165" s="33" t="str">
        <x:v>connected</x:v>
      </x:c>
      <x:c r="G165" s="50" t="n">
        <x:v>1</x:v>
      </x:c>
      <x:c r="H165" s="50" t="n">
        <x:v>6</x:v>
      </x:c>
      <x:c r="I165" s="44" t="str">
        <x:v>01.06</x:v>
      </x:c>
      <x:c r="J165" s="33" t="str">
        <x:v>After Shakespeare</x:v>
      </x:c>
      <x:c r="K165" s="33" t="str"/>
      <x:c r="L165" s="33" t="str"/>
      <x:c r="M165" s="44" t="str"/>
      <x:c r="N165" s="50" t="n">
        <x:v>44</x:v>
      </x:c>
      <x:c r="O165" s="53" t="str">
        <x:v>Torres and Williams deals with a murder and restoring a neighborhood.  Eddie's father moves in with him.  G lies to his teacher.</x:v>
      </x:c>
      <x:c r="P165" s="53" t="str">
        <x:v>Wolf-produced New York police drama; crossover-adjacent to the Law &amp; Order era</x:v>
      </x:c>
      <x:c r="Q165" s="17" t="str">
        <x:v>290992</x:v>
      </x:c>
      <x:c r="R165" s="17" t="str"/>
      <x:c r="S165" s="17" t="str">
        <x:v>67</x:v>
      </x:c>
      <x:c r="T165" s="1"/>
      <x:c r="U165" s="1"/>
      <x:c r="V165" s="1"/>
      <x:c r="W165" s="1"/>
      <x:c r="X165" s="1"/>
      <x:c r="Y165" s="1"/>
      <x:c r="Z165" s="1"/>
    </x:row>
    <x:row r="166">
      <x:c r="A166" s="43" t="n">
        <x:v>162</x:v>
      </x:c>
      <x:c r="B166" s="44" t="str">
        <x:v>Not Started</x:v>
      </x:c>
      <x:c r="C166" s="45" t="n">
        <x:v>34621</x:v>
      </x:c>
      <x:c r="D166" s="33" t="str">
        <x:v>Homicide: Life on the Street</x:v>
      </x:c>
      <x:c r="E166" s="33" t="str">
        <x:v>Law &amp; Order</x:v>
      </x:c>
      <x:c r="F166" s="33" t="str">
        <x:v>connected</x:v>
      </x:c>
      <x:c r="G166" s="50" t="n">
        <x:v>3</x:v>
      </x:c>
      <x:c r="H166" s="50" t="n">
        <x:v>1</x:v>
      </x:c>
      <x:c r="I166" s="44" t="str">
        <x:v>03.01</x:v>
      </x:c>
      <x:c r="J166" s="33" t="str">
        <x:v>Nearer My God to Thee</x:v>
      </x:c>
      <x:c r="K166" s="33" t="str"/>
      <x:c r="L166" s="33" t="str"/>
      <x:c r="M166" s="44" t="str"/>
      <x:c r="N166" s="50" t="n">
        <x:v>49</x:v>
      </x:c>
      <x:c r="O166" s="53" t="str">
        <x:v>When the winner of the city's Good Samaritan Award is murdered, Gee and his staff are called to help the new female night shift commander. Pembleton is at odds with the detective he shares a desk with. Beau and his wife separate and Kay gets caught in the middle. Meldrick and Munch have plans to buy a bar and try to persuade Bolander to also become a partner. Bayliss agrees to become a ""silent"" partner. In passing, Crosetti is said to be in Atlantic City on a ""shots, slots and sluts"" dream vacation.</x:v>
      </x:c>
      <x:c r="P166" s="53" t="str">
        <x:v>Direct crossover with Law &amp; Order; Munch bridge to SVU</x:v>
      </x:c>
      <x:c r="Q166" s="17" t="str">
        <x:v>319991</x:v>
      </x:c>
      <x:c r="R166" s="17" t="str">
        <x:v>tt0604399</x:v>
      </x:c>
      <x:c r="S166" s="17" t="str">
        <x:v>68</x:v>
      </x:c>
      <x:c r="T166" s="1"/>
      <x:c r="U166" s="1"/>
      <x:c r="V166" s="1"/>
      <x:c r="W166" s="1"/>
      <x:c r="X166" s="1"/>
      <x:c r="Y166" s="1"/>
      <x:c r="Z166" s="1"/>
    </x:row>
    <x:row r="167">
      <x:c r="A167" s="43" t="n">
        <x:v>163</x:v>
      </x:c>
      <x:c r="B167" s="44" t="str">
        <x:v>Not Started</x:v>
      </x:c>
      <x:c r="C167" s="45" t="n">
        <x:v>34626</x:v>
      </x:c>
      <x:c r="D167" s="33" t="str">
        <x:v>Law &amp; Order</x:v>
      </x:c>
      <x:c r="E167" s="33" t="str">
        <x:v>Law &amp; Order</x:v>
      </x:c>
      <x:c r="F167" s="33" t="str">
        <x:v>core</x:v>
      </x:c>
      <x:c r="G167" s="50" t="n">
        <x:v>5</x:v>
      </x:c>
      <x:c r="H167" s="50" t="n">
        <x:v>5</x:v>
      </x:c>
      <x:c r="I167" s="44" t="str">
        <x:v>05.05</x:v>
      </x:c>
      <x:c r="J167" s="33" t="str">
        <x:v>White Rabbit</x:v>
      </x:c>
      <x:c r="K167" s="33" t="str"/>
      <x:c r="L167" s="33" t="str"/>
      <x:c r="M167" s="44" t="str"/>
      <x:c r="N167" s="50" t="n">
        <x:v>47</x:v>
      </x:c>
      <x:c r="O167" s="53" t="str">
        <x:v>A routine investigation uncovers evidence that leads Briscoe and Logan to a long-time fugitive, a radical Vietnam War opponent on the run since a 1971 burglary that left a policeman dead.</x:v>
      </x:c>
      <x:c r="P167" s="53" t="str">
        <x:v>Core Law &amp; Order franchise</x:v>
      </x:c>
      <x:c r="Q167" s="17" t="str">
        <x:v>34147</x:v>
      </x:c>
      <x:c r="R167" s="17" t="str">
        <x:v>tt0629498</x:v>
      </x:c>
      <x:c r="S167" s="17" t="str">
        <x:v>69</x:v>
      </x:c>
      <x:c r="T167" s="1"/>
      <x:c r="U167" s="1"/>
      <x:c r="V167" s="1"/>
      <x:c r="W167" s="1"/>
      <x:c r="X167" s="1"/>
      <x:c r="Y167" s="1"/>
      <x:c r="Z167" s="1"/>
    </x:row>
    <x:row r="168">
      <x:c r="A168" s="43" t="n">
        <x:v>164</x:v>
      </x:c>
      <x:c r="B168" s="44" t="str">
        <x:v>Not Started</x:v>
      </x:c>
      <x:c r="C168" s="45" t="n">
        <x:v>34628</x:v>
      </x:c>
      <x:c r="D168" s="33" t="str">
        <x:v>Homicide: Life on the Street</x:v>
      </x:c>
      <x:c r="E168" s="33" t="str">
        <x:v>Law &amp; Order</x:v>
      </x:c>
      <x:c r="F168" s="33" t="str">
        <x:v>connected</x:v>
      </x:c>
      <x:c r="G168" s="50" t="n">
        <x:v>3</x:v>
      </x:c>
      <x:c r="H168" s="50" t="n">
        <x:v>2</x:v>
      </x:c>
      <x:c r="I168" s="44" t="str">
        <x:v>03.02</x:v>
      </x:c>
      <x:c r="J168" s="33" t="str">
        <x:v>Fits Like a Glove</x:v>
      </x:c>
      <x:c r="K168" s="33" t="str"/>
      <x:c r="L168" s="33" t="str"/>
      <x:c r="M168" s="44" t="str"/>
      <x:c r="N168" s="50" t="n">
        <x:v>48</x:v>
      </x:c>
      <x:c r="O168" s="53" t="str">
        <x:v>Gaffney allows a possible murder site to be washed down which causes Pembleton to go off on him. Russert takes Gaffney off the case and Pembleton is made the primary. Things get more complicated as a second victim is found. Beau tries to decide between his family and his relationship with Megan and he confides in Kay; his wife tries to reconcile with him. Russert wrestles with the media demands about the case. Something from Bayliss' past comes out when they try to get the liquor license for their bar. Bayliss goes to the liquor commissioner to work things out. A collector of the macabre comes in search of the victim's white gloves. A third victim is discovered.</x:v>
      </x:c>
      <x:c r="P168" s="53" t="str">
        <x:v>Direct crossover with Law &amp; Order; Munch bridge to SVU</x:v>
      </x:c>
      <x:c r="Q168" s="17" t="str">
        <x:v>319992</x:v>
      </x:c>
      <x:c r="R168" s="17" t="str">
        <x:v>tt0604369</x:v>
      </x:c>
      <x:c r="S168" s="17" t="str">
        <x:v>70</x:v>
      </x:c>
      <x:c r="T168" s="1"/>
      <x:c r="U168" s="1"/>
      <x:c r="V168" s="1"/>
      <x:c r="W168" s="1"/>
      <x:c r="X168" s="1"/>
      <x:c r="Y168" s="1"/>
      <x:c r="Z168" s="1"/>
    </x:row>
    <x:row r="169">
      <x:c r="A169" s="43" t="n">
        <x:v>165</x:v>
      </x:c>
      <x:c r="B169" s="44" t="str">
        <x:v>Not Started</x:v>
      </x:c>
      <x:c r="C169" s="45" t="n">
        <x:v>34634</x:v>
      </x:c>
      <x:c r="D169" s="33" t="str">
        <x:v>New York Undercover</x:v>
      </x:c>
      <x:c r="E169" s="33" t="str">
        <x:v>Law &amp; Order</x:v>
      </x:c>
      <x:c r="F169" s="33" t="str">
        <x:v>connected</x:v>
      </x:c>
      <x:c r="G169" s="50" t="n">
        <x:v>1</x:v>
      </x:c>
      <x:c r="H169" s="50" t="n">
        <x:v>7</x:v>
      </x:c>
      <x:c r="I169" s="44" t="str">
        <x:v>01.07</x:v>
      </x:c>
      <x:c r="J169" s="33" t="str">
        <x:v>Tasha</x:v>
      </x:c>
      <x:c r="K169" s="33" t="str"/>
      <x:c r="L169" s="33" t="str"/>
      <x:c r="M169" s="44" t="str"/>
      <x:c r="N169" s="50" t="n">
        <x:v>44</x:v>
      </x:c>
      <x:c r="O169" s="53" t="str">
        <x:v>When a baby dies, Torres and Williams discover there's more to the story then people say.  Torres's sister askes him to investigate their friends missing son.</x:v>
      </x:c>
      <x:c r="P169" s="53" t="str">
        <x:v>Wolf-produced New York police drama; crossover-adjacent to the Law &amp; Order era</x:v>
      </x:c>
      <x:c r="Q169" s="17" t="str">
        <x:v>290993</x:v>
      </x:c>
      <x:c r="R169" s="17" t="str">
        <x:v>tt0659844</x:v>
      </x:c>
      <x:c r="S169" s="17" t="str">
        <x:v>71</x:v>
      </x:c>
      <x:c r="T169" s="1"/>
      <x:c r="U169" s="1"/>
      <x:c r="V169" s="1"/>
      <x:c r="W169" s="1"/>
      <x:c r="X169" s="1"/>
      <x:c r="Y169" s="1"/>
      <x:c r="Z169" s="1"/>
    </x:row>
    <x:row r="170">
      <x:c r="A170" s="43" t="n">
        <x:v>166</x:v>
      </x:c>
      <x:c r="B170" s="44" t="str">
        <x:v>Not Started</x:v>
      </x:c>
      <x:c r="C170" s="45" t="n">
        <x:v>34635</x:v>
      </x:c>
      <x:c r="D170" s="33" t="str">
        <x:v>Homicide: Life on the Street</x:v>
      </x:c>
      <x:c r="E170" s="33" t="str">
        <x:v>Law &amp; Order</x:v>
      </x:c>
      <x:c r="F170" s="33" t="str">
        <x:v>connected</x:v>
      </x:c>
      <x:c r="G170" s="50" t="n">
        <x:v>3</x:v>
      </x:c>
      <x:c r="H170" s="50" t="n">
        <x:v>3</x:v>
      </x:c>
      <x:c r="I170" s="44" t="str">
        <x:v>03.03</x:v>
      </x:c>
      <x:c r="J170" s="33" t="str">
        <x:v>Extreme Unction</x:v>
      </x:c>
      <x:c r="K170" s="33" t="str"/>
      <x:c r="L170" s="33" t="str"/>
      <x:c r="M170" s="44" t="str"/>
      <x:c r="N170" s="50" t="n">
        <x:v>48</x:v>
      </x:c>
      <x:c r="O170" s="53" t="str">
        <x:v>The church asks that the public know the details of the murders. Pembleton has an interesting time in the box with a witness who has multiple personalities and is shown to be the killer, but before he can get a confession, her lawyer arrives and later she confesses on television. Pembleton begins to question his faith. Bayliss becomes a not-so-silent partner. Beau spends some time with his family and decides to end his relationship with Megan.</x:v>
      </x:c>
      <x:c r="P170" s="53" t="str">
        <x:v>Direct crossover with Law &amp; Order; Munch bridge to SVU</x:v>
      </x:c>
      <x:c r="Q170" s="17" t="str">
        <x:v>319993</x:v>
      </x:c>
      <x:c r="R170" s="17" t="str">
        <x:v>tt0604363</x:v>
      </x:c>
      <x:c r="S170" s="17" t="str">
        <x:v>72</x:v>
      </x:c>
      <x:c r="T170" s="1"/>
      <x:c r="U170" s="1"/>
      <x:c r="V170" s="1"/>
      <x:c r="W170" s="1"/>
      <x:c r="X170" s="1"/>
      <x:c r="Y170" s="1"/>
      <x:c r="Z170" s="1"/>
    </x:row>
    <x:row r="171">
      <x:c r="A171" s="43" t="n">
        <x:v>167</x:v>
      </x:c>
      <x:c r="B171" s="44" t="str">
        <x:v>Not Started</x:v>
      </x:c>
      <x:c r="C171" s="45" t="n">
        <x:v>34640</x:v>
      </x:c>
      <x:c r="D171" s="33" t="str">
        <x:v>Law &amp; Order</x:v>
      </x:c>
      <x:c r="E171" s="33" t="str">
        <x:v>Law &amp; Order</x:v>
      </x:c>
      <x:c r="F171" s="33" t="str">
        <x:v>core</x:v>
      </x:c>
      <x:c r="G171" s="50" t="n">
        <x:v>5</x:v>
      </x:c>
      <x:c r="H171" s="50" t="n">
        <x:v>6</x:v>
      </x:c>
      <x:c r="I171" s="44" t="str">
        <x:v>05.06</x:v>
      </x:c>
      <x:c r="J171" s="33" t="str">
        <x:v>Competence</x:v>
      </x:c>
      <x:c r="K171" s="33" t="str"/>
      <x:c r="L171" s="33" t="str"/>
      <x:c r="M171" s="44" t="str"/>
      <x:c r="N171" s="50" t="n">
        <x:v>47</x:v>
      </x:c>
      <x:c r="O171" s="53" t="str">
        <x:v>When Lt. Van Buren is the victim of an attempted holdup by two teens, she fires her gun and kills one of them, and the detectives are faced with the fact that she shot an unarmed child in the back.</x:v>
      </x:c>
      <x:c r="P171" s="53" t="str">
        <x:v>Core Law &amp; Order franchise</x:v>
      </x:c>
      <x:c r="Q171" s="17" t="str">
        <x:v>34148</x:v>
      </x:c>
      <x:c r="R171" s="17" t="str">
        <x:v>tt0629211</x:v>
      </x:c>
      <x:c r="S171" s="17" t="str">
        <x:v>73</x:v>
      </x:c>
      <x:c r="T171" s="1"/>
      <x:c r="U171" s="1"/>
      <x:c r="V171" s="1"/>
      <x:c r="W171" s="1"/>
      <x:c r="X171" s="1"/>
      <x:c r="Y171" s="1"/>
      <x:c r="Z171" s="1"/>
    </x:row>
    <x:row r="172">
      <x:c r="A172" s="43" t="n">
        <x:v>168</x:v>
      </x:c>
      <x:c r="B172" s="44" t="str">
        <x:v>Not Started</x:v>
      </x:c>
      <x:c r="C172" s="45" t="n">
        <x:v>34641</x:v>
      </x:c>
      <x:c r="D172" s="33" t="str">
        <x:v>New York Undercover</x:v>
      </x:c>
      <x:c r="E172" s="33" t="str">
        <x:v>Law &amp; Order</x:v>
      </x:c>
      <x:c r="F172" s="33" t="str">
        <x:v>connected</x:v>
      </x:c>
      <x:c r="G172" s="50" t="n">
        <x:v>1</x:v>
      </x:c>
      <x:c r="H172" s="50" t="n">
        <x:v>8</x:v>
      </x:c>
      <x:c r="I172" s="44" t="str">
        <x:v>01.08</x:v>
      </x:c>
      <x:c r="J172" s="33" t="str">
        <x:v>Missing</x:v>
      </x:c>
      <x:c r="K172" s="33" t="str"/>
      <x:c r="L172" s="33" t="str"/>
      <x:c r="M172" s="44" t="str"/>
      <x:c r="N172" s="50" t="n">
        <x:v>45</x:v>
      </x:c>
      <x:c r="O172" s="53" t="str">
        <x:v>Torres and Williams investigate a missing boy whose mother may know more than she claims.</x:v>
      </x:c>
      <x:c r="P172" s="53" t="str">
        <x:v>Wolf-produced New York police drama; crossover-adjacent to the Law &amp; Order era</x:v>
      </x:c>
      <x:c r="Q172" s="17" t="str">
        <x:v>290994</x:v>
      </x:c>
      <x:c r="R172" s="17" t="str">
        <x:v>tt0659823</x:v>
      </x:c>
      <x:c r="S172" s="17" t="str">
        <x:v>74</x:v>
      </x:c>
      <x:c r="T172" s="1"/>
      <x:c r="U172" s="1"/>
      <x:c r="V172" s="1"/>
      <x:c r="W172" s="1"/>
      <x:c r="X172" s="1"/>
      <x:c r="Y172" s="1"/>
      <x:c r="Z172" s="1"/>
    </x:row>
    <x:row r="173">
      <x:c r="A173" s="43" t="n">
        <x:v>169</x:v>
      </x:c>
      <x:c r="B173" s="44" t="str">
        <x:v>Not Started</x:v>
      </x:c>
      <x:c r="C173" s="45" t="n">
        <x:v>34647</x:v>
      </x:c>
      <x:c r="D173" s="33" t="str">
        <x:v>Law &amp; Order</x:v>
      </x:c>
      <x:c r="E173" s="33" t="str">
        <x:v>Law &amp; Order</x:v>
      </x:c>
      <x:c r="F173" s="33" t="str">
        <x:v>core</x:v>
      </x:c>
      <x:c r="G173" s="50" t="n">
        <x:v>5</x:v>
      </x:c>
      <x:c r="H173" s="50" t="n">
        <x:v>7</x:v>
      </x:c>
      <x:c r="I173" s="44" t="str">
        <x:v>05.07</x:v>
      </x:c>
      <x:c r="J173" s="33" t="str">
        <x:v>Precious</x:v>
      </x:c>
      <x:c r="K173" s="33" t="str"/>
      <x:c r="L173" s="33" t="str"/>
      <x:c r="M173" s="44" t="str"/>
      <x:c r="N173" s="50" t="n">
        <x:v>47</x:v>
      </x:c>
      <x:c r="O173" s="53" t="str">
        <x:v>When Briscoe and Logan suspect that a missing infant may have been murdered by her parents rather than kidnapped, they uncover a terrible family secret which hides a mentally ill serial killer.</x:v>
      </x:c>
      <x:c r="P173" s="53" t="str">
        <x:v>Core Law &amp; Order franchise</x:v>
      </x:c>
      <x:c r="Q173" s="17" t="str">
        <x:v>34149</x:v>
      </x:c>
      <x:c r="R173" s="17" t="str">
        <x:v>tt0629378</x:v>
      </x:c>
      <x:c r="S173" s="17" t="str">
        <x:v>75</x:v>
      </x:c>
      <x:c r="T173" s="1"/>
      <x:c r="U173" s="1"/>
      <x:c r="V173" s="1"/>
      <x:c r="W173" s="1"/>
      <x:c r="X173" s="1"/>
      <x:c r="Y173" s="1"/>
      <x:c r="Z173" s="1"/>
    </x:row>
    <x:row r="174">
      <x:c r="A174" s="43" t="n">
        <x:v>170</x:v>
      </x:c>
      <x:c r="B174" s="44" t="str">
        <x:v>Not Started</x:v>
      </x:c>
      <x:c r="C174" s="45" t="n">
        <x:v>34648</x:v>
      </x:c>
      <x:c r="D174" s="33" t="str">
        <x:v>New York Undercover</x:v>
      </x:c>
      <x:c r="E174" s="33" t="str">
        <x:v>Law &amp; Order</x:v>
      </x:c>
      <x:c r="F174" s="33" t="str">
        <x:v>connected</x:v>
      </x:c>
      <x:c r="G174" s="50" t="n">
        <x:v>1</x:v>
      </x:c>
      <x:c r="H174" s="50" t="n">
        <x:v>9</x:v>
      </x:c>
      <x:c r="I174" s="44" t="str">
        <x:v>01.09</x:v>
      </x:c>
      <x:c r="J174" s="33" t="str">
        <x:v>The Friendly Neighborhood Dealer</x:v>
      </x:c>
      <x:c r="K174" s="33" t="str"/>
      <x:c r="L174" s="33" t="str"/>
      <x:c r="M174" s="44" t="str"/>
      <x:c r="N174" s="50" t="n">
        <x:v>44</x:v>
      </x:c>
      <x:c r="O174" s="53" t="str">
        <x:v>Torres and Williams investigate a drug crime involving a former professional athlete.</x:v>
      </x:c>
      <x:c r="P174" s="53" t="str">
        <x:v>Wolf-produced New York police drama; crossover-adjacent to the Law &amp; Order era</x:v>
      </x:c>
      <x:c r="Q174" s="17" t="str">
        <x:v>290995</x:v>
      </x:c>
      <x:c r="R174" s="17" t="str">
        <x:v>tt0659847</x:v>
      </x:c>
      <x:c r="S174" s="17" t="str">
        <x:v>76</x:v>
      </x:c>
      <x:c r="T174" s="1"/>
      <x:c r="U174" s="1"/>
      <x:c r="V174" s="1"/>
      <x:c r="W174" s="1"/>
      <x:c r="X174" s="1"/>
      <x:c r="Y174" s="1"/>
      <x:c r="Z174" s="1"/>
    </x:row>
    <x:row r="175">
      <x:c r="A175" s="43" t="n">
        <x:v>171</x:v>
      </x:c>
      <x:c r="B175" s="44" t="str">
        <x:v>Not Started</x:v>
      </x:c>
      <x:c r="C175" s="45" t="n">
        <x:v>34650</x:v>
      </x:c>
      <x:c r="D175" s="33" t="str">
        <x:v>Homicide: Life on the Street</x:v>
      </x:c>
      <x:c r="E175" s="33" t="str">
        <x:v>Law &amp; Order</x:v>
      </x:c>
      <x:c r="F175" s="33" t="str">
        <x:v>connected</x:v>
      </x:c>
      <x:c r="G175" s="50" t="n">
        <x:v>3</x:v>
      </x:c>
      <x:c r="H175" s="50" t="n">
        <x:v>4</x:v>
      </x:c>
      <x:c r="I175" s="44" t="str">
        <x:v>03.04</x:v>
      </x:c>
      <x:c r="J175" s="33" t="str">
        <x:v>A Model Citizen</x:v>
      </x:c>
      <x:c r="K175" s="33" t="str"/>
      <x:c r="L175" s="33" t="str"/>
      <x:c r="M175" s="44" t="str"/>
      <x:c r="N175" s="50" t="n">
        <x:v>48</x:v>
      </x:c>
      <x:c r="O175" s="53" t="str">
        <x:v>A young man comes into the squad room and after getting their attention, tells the detectives that his brother has been shot. Pembleton is sued by the multiple personality serial killer, who states he violated her civil rights during interrogation; he is discouraged when the city agrees to settle out of court. Munch must attend an alcohol awareness seminar to meet a requirement for the bar. Lewis has ""love at first sight"" with a woman who makes models of crime scenes, but she has ""love at first sight"" when she sees Bayliss and he sees her. Later, they attend an art exhibition and have an unusual sexual encounter in her ""bed."" All is not well at the Felton household, when he returns home to a cleaned out house.</x:v>
      </x:c>
      <x:c r="P175" s="53" t="str">
        <x:v>Direct crossover with Law &amp; Order; Munch bridge to SVU</x:v>
      </x:c>
      <x:c r="Q175" s="17" t="str">
        <x:v>319994</x:v>
      </x:c>
      <x:c r="R175" s="17" t="str">
        <x:v>tt0604332</x:v>
      </x:c>
      <x:c r="S175" s="17" t="str">
        <x:v>81</x:v>
      </x:c>
      <x:c r="T175" s="1"/>
      <x:c r="U175" s="1"/>
      <x:c r="V175" s="1"/>
      <x:c r="W175" s="1"/>
      <x:c r="X175" s="1"/>
      <x:c r="Y175" s="1"/>
      <x:c r="Z175" s="1"/>
    </x:row>
    <x:row r="176">
      <x:c r="A176" s="43" t="n">
        <x:v>172</x:v>
      </x:c>
      <x:c r="B176" s="44" t="str">
        <x:v>Not Started</x:v>
      </x:c>
      <x:c r="C176" s="45" t="n">
        <x:v>34655</x:v>
      </x:c>
      <x:c r="D176" s="33" t="str">
        <x:v>New York Undercover</x:v>
      </x:c>
      <x:c r="E176" s="33" t="str">
        <x:v>Law &amp; Order</x:v>
      </x:c>
      <x:c r="F176" s="33" t="str">
        <x:v>connected</x:v>
      </x:c>
      <x:c r="G176" s="50" t="n">
        <x:v>1</x:v>
      </x:c>
      <x:c r="H176" s="50" t="n">
        <x:v>10</x:v>
      </x:c>
      <x:c r="I176" s="44" t="str">
        <x:v>01.10</x:v>
      </x:c>
      <x:c r="J176" s="33" t="str">
        <x:v>Mate</x:v>
      </x:c>
      <x:c r="K176" s="33" t="str"/>
      <x:c r="L176" s="33" t="str"/>
      <x:c r="M176" s="44" t="str"/>
      <x:c r="N176" s="50" t="n">
        <x:v>45</x:v>
      </x:c>
      <x:c r="O176" s="53" t="str">
        <x:v>After a young girl disappears, Torres and Williams go undercover to find her.</x:v>
      </x:c>
      <x:c r="P176" s="53" t="str">
        <x:v>Wolf-produced New York police drama; crossover-adjacent to the Law &amp; Order era</x:v>
      </x:c>
      <x:c r="Q176" s="17" t="str">
        <x:v>290996</x:v>
      </x:c>
      <x:c r="R176" s="17" t="str"/>
      <x:c r="S176" s="17" t="str">
        <x:v>77</x:v>
      </x:c>
      <x:c r="T176" s="1"/>
      <x:c r="U176" s="1"/>
      <x:c r="V176" s="1"/>
      <x:c r="W176" s="1"/>
      <x:c r="X176" s="1"/>
      <x:c r="Y176" s="1"/>
      <x:c r="Z176" s="1"/>
    </x:row>
    <x:row r="177">
      <x:c r="A177" s="43" t="n">
        <x:v>173</x:v>
      </x:c>
      <x:c r="B177" s="44" t="str">
        <x:v>Not Started</x:v>
      </x:c>
      <x:c r="C177" s="45" t="n">
        <x:v>34657</x:v>
      </x:c>
      <x:c r="D177" s="33" t="str">
        <x:v>Homicide: Life on the Street</x:v>
      </x:c>
      <x:c r="E177" s="33" t="str">
        <x:v>Law &amp; Order</x:v>
      </x:c>
      <x:c r="F177" s="33" t="str">
        <x:v>connected</x:v>
      </x:c>
      <x:c r="G177" s="50" t="n">
        <x:v>3</x:v>
      </x:c>
      <x:c r="H177" s="50" t="n">
        <x:v>5</x:v>
      </x:c>
      <x:c r="I177" s="44" t="str">
        <x:v>03.05</x:v>
      </x:c>
      <x:c r="J177" s="33" t="str">
        <x:v>Happy to Be Here</x:v>
      </x:c>
      <x:c r="K177" s="33" t="str"/>
      <x:c r="L177" s="33" t="str"/>
      <x:c r="M177" s="44" t="str"/>
      <x:c r="N177" s="50" t="n">
        <x:v>48</x:v>
      </x:c>
      <x:c r="O177" s="53" t="str">
        <x:v>Bayliss continues his relationship with the artist, but she's told her boyfriend. When she tells Bayliss that her boyfriend hit her upon hearing the news, it makes Bayliss so mad he confronts him. Pembleton and Bayliss investigate the death of a woman who's received a delivery of fresh flowers, although she's been dead over two weeks. Bolander and Munch investigate the shooting of Thorne's source, who's linked to a cocaine cartel, then Thorne is shot. Gee tries to get the department to get him a replacement for Crosetti. Thorne's daughter decides to keep his newspaper going. Beau tries to find out where his wife has moved the family. With Meldrick and Bayliss' disagreement over the artist, Munch is left without partners for the bar. Bayliss goes over the edge when the artist dumps him, so he holds up a liquor store for 11 cents; Pembleton gets him out of it.</x:v>
      </x:c>
      <x:c r="P177" s="53" t="str">
        <x:v>Direct crossover with Law &amp; Order; Munch bridge to SVU</x:v>
      </x:c>
      <x:c r="Q177" s="17" t="str">
        <x:v>319995</x:v>
      </x:c>
      <x:c r="R177" s="17" t="str">
        <x:v>tt0604375</x:v>
      </x:c>
      <x:c r="S177" s="17" t="str">
        <x:v>83</x:v>
      </x:c>
      <x:c r="T177" s="1"/>
      <x:c r="U177" s="1"/>
      <x:c r="V177" s="1"/>
      <x:c r="W177" s="1"/>
      <x:c r="X177" s="1"/>
      <x:c r="Y177" s="1"/>
      <x:c r="Z177" s="1"/>
    </x:row>
    <x:row r="178">
      <x:c r="A178" s="43" t="n">
        <x:v>174</x:v>
      </x:c>
      <x:c r="B178" s="44" t="str">
        <x:v>Not Started</x:v>
      </x:c>
      <x:c r="C178" s="45" t="n">
        <x:v>34661</x:v>
      </x:c>
      <x:c r="D178" s="33" t="str">
        <x:v>Law &amp; Order</x:v>
      </x:c>
      <x:c r="E178" s="33" t="str">
        <x:v>Law &amp; Order</x:v>
      </x:c>
      <x:c r="F178" s="33" t="str">
        <x:v>core</x:v>
      </x:c>
      <x:c r="G178" s="50" t="n">
        <x:v>5</x:v>
      </x:c>
      <x:c r="H178" s="50" t="n">
        <x:v>8</x:v>
      </x:c>
      <x:c r="I178" s="44" t="str">
        <x:v>05.08</x:v>
      </x:c>
      <x:c r="J178" s="33" t="str">
        <x:v>Virtue</x:v>
      </x:c>
      <x:c r="K178" s="33" t="str"/>
      <x:c r="L178" s="33" t="str"/>
      <x:c r="M178" s="44" t="str"/>
      <x:c r="N178" s="50" t="n">
        <x:v>47</x:v>
      </x:c>
      <x:c r="O178" s="53" t="str">
        <x:v>McCoy uses a charge of ""larceny by extortion"" against a councilman, whose former colleague claims he demanded sex in exchange for a law-firm partnership.</x:v>
      </x:c>
      <x:c r="P178" s="53" t="str">
        <x:v>Core Law &amp; Order franchise</x:v>
      </x:c>
      <x:c r="Q178" s="17" t="str">
        <x:v>34150</x:v>
      </x:c>
      <x:c r="R178" s="17" t="str">
        <x:v>tt0629489</x:v>
      </x:c>
      <x:c r="S178" s="17" t="str">
        <x:v>78</x:v>
      </x:c>
      <x:c r="T178" s="1"/>
      <x:c r="U178" s="1"/>
      <x:c r="V178" s="1"/>
      <x:c r="W178" s="1"/>
      <x:c r="X178" s="1"/>
      <x:c r="Y178" s="1"/>
      <x:c r="Z178" s="1"/>
    </x:row>
    <x:row r="179">
      <x:c r="A179" s="43" t="n">
        <x:v>175</x:v>
      </x:c>
      <x:c r="B179" s="44" t="str">
        <x:v>Not Started</x:v>
      </x:c>
      <x:c r="C179" s="45" t="n">
        <x:v>34662</x:v>
      </x:c>
      <x:c r="D179" s="33" t="str">
        <x:v>New York Undercover</x:v>
      </x:c>
      <x:c r="E179" s="33" t="str">
        <x:v>Law &amp; Order</x:v>
      </x:c>
      <x:c r="F179" s="33" t="str">
        <x:v>connected</x:v>
      </x:c>
      <x:c r="G179" s="50" t="n">
        <x:v>1</x:v>
      </x:c>
      <x:c r="H179" s="50" t="n">
        <x:v>11</x:v>
      </x:c>
      <x:c r="I179" s="44" t="str">
        <x:v>01.11</x:v>
      </x:c>
      <x:c r="J179" s="33" t="str">
        <x:v>The Eyewitness Blues</x:v>
      </x:c>
      <x:c r="K179" s="33" t="str"/>
      <x:c r="L179" s="33" t="str"/>
      <x:c r="M179" s="44" t="str"/>
      <x:c r="N179" s="50" t="n">
        <x:v>45</x:v>
      </x:c>
      <x:c r="O179" s="53" t="str">
        <x:v>Williams protects an eyewitness, while Torres looks for the people who wants to kill her.</x:v>
      </x:c>
      <x:c r="P179" s="53" t="str">
        <x:v>Wolf-produced New York police drama; crossover-adjacent to the Law &amp; Order era</x:v>
      </x:c>
      <x:c r="Q179" s="17" t="str">
        <x:v>290997</x:v>
      </x:c>
      <x:c r="R179" s="17" t="str"/>
      <x:c r="S179" s="17" t="str">
        <x:v>79</x:v>
      </x:c>
      <x:c r="T179" s="1"/>
      <x:c r="U179" s="1"/>
      <x:c r="V179" s="1"/>
      <x:c r="W179" s="1"/>
      <x:c r="X179" s="1"/>
      <x:c r="Y179" s="1"/>
      <x:c r="Z179" s="1"/>
    </x:row>
    <x:row r="180">
      <x:c r="A180" s="43" t="n">
        <x:v>176</x:v>
      </x:c>
      <x:c r="B180" s="44" t="str">
        <x:v>Not Started</x:v>
      </x:c>
      <x:c r="C180" s="45" t="n">
        <x:v>34668</x:v>
      </x:c>
      <x:c r="D180" s="33" t="str">
        <x:v>Law &amp; Order</x:v>
      </x:c>
      <x:c r="E180" s="33" t="str">
        <x:v>Law &amp; Order</x:v>
      </x:c>
      <x:c r="F180" s="33" t="str">
        <x:v>core</x:v>
      </x:c>
      <x:c r="G180" s="50" t="n">
        <x:v>5</x:v>
      </x:c>
      <x:c r="H180" s="50" t="n">
        <x:v>9</x:v>
      </x:c>
      <x:c r="I180" s="44" t="str">
        <x:v>05.09</x:v>
      </x:c>
      <x:c r="J180" s="33" t="str">
        <x:v>Scoundrels</x:v>
      </x:c>
      <x:c r="K180" s="33" t="str"/>
      <x:c r="L180" s="33" t="str"/>
      <x:c r="M180" s="44" t="str"/>
      <x:c r="N180" s="50" t="n">
        <x:v>47</x:v>
      </x:c>
      <x:c r="O180" s="53" t="str">
        <x:v>Among the suspects in a lawyer's murder are a swindler, who conned a woman out of her family fortune, and the woman's once-wealthy son.</x:v>
      </x:c>
      <x:c r="P180" s="53" t="str">
        <x:v>Core Law &amp; Order franchise</x:v>
      </x:c>
      <x:c r="Q180" s="17" t="str">
        <x:v>34151</x:v>
      </x:c>
      <x:c r="R180" s="17" t="str">
        <x:v>tt0629408</x:v>
      </x:c>
      <x:c r="S180" s="17" t="str">
        <x:v>80</x:v>
      </x:c>
      <x:c r="T180" s="1"/>
      <x:c r="U180" s="1"/>
      <x:c r="V180" s="1"/>
      <x:c r="W180" s="1"/>
      <x:c r="X180" s="1"/>
      <x:c r="Y180" s="1"/>
      <x:c r="Z180" s="1"/>
    </x:row>
    <x:row r="181">
      <x:c r="A181" s="43" t="n">
        <x:v>177</x:v>
      </x:c>
      <x:c r="B181" s="44" t="str">
        <x:v>Not Started</x:v>
      </x:c>
      <x:c r="C181" s="45" t="n">
        <x:v>34671</x:v>
      </x:c>
      <x:c r="D181" s="33" t="str">
        <x:v>Homicide: Life on the Street</x:v>
      </x:c>
      <x:c r="E181" s="33" t="str">
        <x:v>Law &amp; Order</x:v>
      </x:c>
      <x:c r="F181" s="33" t="str">
        <x:v>connected</x:v>
      </x:c>
      <x:c r="G181" s="50" t="n">
        <x:v>3</x:v>
      </x:c>
      <x:c r="H181" s="50" t="n">
        <x:v>6</x:v>
      </x:c>
      <x:c r="I181" s="44" t="str">
        <x:v>03.06</x:v>
      </x:c>
      <x:c r="J181" s="33" t="str">
        <x:v>Crosetti</x:v>
      </x:c>
      <x:c r="K181" s="33" t="str"/>
      <x:c r="L181" s="33" t="str"/>
      <x:c r="M181" s="44" t="str"/>
      <x:c r="N181" s="50" t="n">
        <x:v>49</x:v>
      </x:c>
      <x:c r="O181" s="53" t="str">
        <x:v>Crosetti's body is found and Bolander is the primary and he thinks the evidence points to suicide. If it is a suicide, there will be no honor guard for the funeral. Refusing to accept the death as a suicide, Meldrick launches his own investigation and tries to thwart Bolander's investigation. Bayliss and Pembleton make arrangements for the funeral reception. Pembleton has reservations about going into the church for the services. Munch works with his brother, an undertaker, to arrange for a coffin. The preliminary ME report shows Crosetti had a blood alcohol level of .25 and wide variety of anti-depressants, The verdict: suicide.</x:v>
      </x:c>
      <x:c r="P181" s="53" t="str">
        <x:v>Direct crossover with Law &amp; Order; Munch bridge to SVU</x:v>
      </x:c>
      <x:c r="Q181" s="17" t="str">
        <x:v>319996</x:v>
      </x:c>
      <x:c r="R181" s="17" t="str">
        <x:v>tt0604355</x:v>
      </x:c>
      <x:c r="S181" s="17" t="str"/>
      <x:c r="T181" s="1"/>
      <x:c r="U181" s="1"/>
      <x:c r="V181" s="1"/>
      <x:c r="W181" s="1"/>
      <x:c r="X181" s="1"/>
      <x:c r="Y181" s="1"/>
      <x:c r="Z181" s="1"/>
    </x:row>
    <x:row r="182">
      <x:c r="A182" s="43" t="n">
        <x:v>178</x:v>
      </x:c>
      <x:c r="B182" s="44" t="str">
        <x:v>Not Started</x:v>
      </x:c>
      <x:c r="C182" s="45" t="n">
        <x:v>34676</x:v>
      </x:c>
      <x:c r="D182" s="33" t="str">
        <x:v>New York Undercover</x:v>
      </x:c>
      <x:c r="E182" s="33" t="str">
        <x:v>Law &amp; Order</x:v>
      </x:c>
      <x:c r="F182" s="33" t="str">
        <x:v>connected</x:v>
      </x:c>
      <x:c r="G182" s="50" t="n">
        <x:v>1</x:v>
      </x:c>
      <x:c r="H182" s="50" t="n">
        <x:v>12</x:v>
      </x:c>
      <x:c r="I182" s="44" t="str">
        <x:v>01.12</x:v>
      </x:c>
      <x:c r="J182" s="33" t="str">
        <x:v>Blondes Have More Fun</x:v>
      </x:c>
      <x:c r="K182" s="33" t="str"/>
      <x:c r="L182" s="33" t="str"/>
      <x:c r="M182" s="44" t="str"/>
      <x:c r="N182" s="50" t="n">
        <x:v>45</x:v>
      </x:c>
      <x:c r="O182" s="53" t="str">
        <x:v>Torres and Williams go undercover as drag queens to solve a serial killer case.</x:v>
      </x:c>
      <x:c r="P182" s="53" t="str">
        <x:v>Wolf-produced New York police drama; crossover-adjacent to the Law &amp; Order era</x:v>
      </x:c>
      <x:c r="Q182" s="17" t="str">
        <x:v>290998</x:v>
      </x:c>
      <x:c r="R182" s="17" t="str"/>
      <x:c r="S182" s="17" t="str">
        <x:v>82</x:v>
      </x:c>
      <x:c r="T182" s="1"/>
      <x:c r="U182" s="1"/>
      <x:c r="V182" s="1"/>
      <x:c r="W182" s="1"/>
      <x:c r="X182" s="1"/>
      <x:c r="Y182" s="1"/>
      <x:c r="Z182" s="1"/>
    </x:row>
    <x:row r="183">
      <x:c r="A183" s="43" t="n">
        <x:v>179</x:v>
      </x:c>
      <x:c r="B183" s="44" t="str">
        <x:v>Not Started</x:v>
      </x:c>
      <x:c r="C183" s="45" t="n">
        <x:v>34678</x:v>
      </x:c>
      <x:c r="D183" s="33" t="str">
        <x:v>Homicide: Life on the Street</x:v>
      </x:c>
      <x:c r="E183" s="33" t="str">
        <x:v>Law &amp; Order</x:v>
      </x:c>
      <x:c r="F183" s="33" t="str">
        <x:v>connected</x:v>
      </x:c>
      <x:c r="G183" s="50" t="n">
        <x:v>3</x:v>
      </x:c>
      <x:c r="H183" s="50" t="n">
        <x:v>7</x:v>
      </x:c>
      <x:c r="I183" s="44" t="str">
        <x:v>03.07</x:v>
      </x:c>
      <x:c r="J183" s="33" t="str">
        <x:v>The Last of the Watermen</x:v>
      </x:c>
      <x:c r="K183" s="33" t="str"/>
      <x:c r="L183" s="33" t="str"/>
      <x:c r="M183" s="44" t="str"/>
      <x:c r="N183" s="50" t="n">
        <x:v>49</x:v>
      </x:c>
      <x:c r="O183" s="53" t="str">
        <x:v>After uncovering the fact that an elderly woman's tongue was cut out, Kay decides it is time to take a vacation. She returns home and while she is there she looks into the murder of an environmentalist. The suspects include her brother, an ex-beau and their co-worker. Pembleton reluctantly becomes Felton's partner and they finish investigating the murder of the elderly woman. Munch is against having a television put in their bar.</x:v>
      </x:c>
      <x:c r="P183" s="53" t="str">
        <x:v>Direct crossover with Law &amp; Order; Munch bridge to SVU</x:v>
      </x:c>
      <x:c r="Q183" s="17" t="str">
        <x:v>319997</x:v>
      </x:c>
      <x:c r="R183" s="17" t="str">
        <x:v>tt0604431</x:v>
      </x:c>
      <x:c r="S183" s="17" t="str"/>
      <x:c r="T183" s="1"/>
      <x:c r="U183" s="1"/>
      <x:c r="V183" s="1"/>
      <x:c r="W183" s="1"/>
      <x:c r="X183" s="1"/>
      <x:c r="Y183" s="1"/>
      <x:c r="Z183" s="1"/>
    </x:row>
    <x:row r="184">
      <x:c r="A184" s="43" t="n">
        <x:v>180</x:v>
      </x:c>
      <x:c r="B184" s="44" t="str">
        <x:v>Not Started</x:v>
      </x:c>
      <x:c r="C184" s="45" t="n">
        <x:v>34683</x:v>
      </x:c>
      <x:c r="D184" s="33" t="str">
        <x:v>New York Undercover</x:v>
      </x:c>
      <x:c r="E184" s="33" t="str">
        <x:v>Law &amp; Order</x:v>
      </x:c>
      <x:c r="F184" s="33" t="str">
        <x:v>connected</x:v>
      </x:c>
      <x:c r="G184" s="50" t="n">
        <x:v>1</x:v>
      </x:c>
      <x:c r="H184" s="50" t="n">
        <x:v>13</x:v>
      </x:c>
      <x:c r="I184" s="44" t="str">
        <x:v>01.13</x:v>
      </x:c>
      <x:c r="J184" s="33" t="str">
        <x:v>Los Macheteros</x:v>
      </x:c>
      <x:c r="K184" s="33" t="str"/>
      <x:c r="L184" s="33" t="str"/>
      <x:c r="M184" s="44" t="str"/>
      <x:c r="N184" s="50" t="n">
        <x:v>44</x:v>
      </x:c>
      <x:c r="O184" s="53" t="str">
        <x:v>Torres is assigned to a case where he has to question his heritage.</x:v>
      </x:c>
      <x:c r="P184" s="53" t="str">
        <x:v>Wolf-produced New York police drama; crossover-adjacent to the Law &amp; Order era</x:v>
      </x:c>
      <x:c r="Q184" s="17" t="str">
        <x:v>290999</x:v>
      </x:c>
      <x:c r="R184" s="17" t="str"/>
      <x:c r="S184" s="17" t="str">
        <x:v>84</x:v>
      </x:c>
      <x:c r="T184" s="1"/>
      <x:c r="U184" s="1"/>
      <x:c r="V184" s="1"/>
      <x:c r="W184" s="1"/>
      <x:c r="X184" s="1"/>
      <x:c r="Y184" s="1"/>
      <x:c r="Z184" s="1"/>
    </x:row>
    <x:row r="185">
      <x:c r="A185" s="43" t="n">
        <x:v>181</x:v>
      </x:c>
      <x:c r="B185" s="44" t="str">
        <x:v>Not Started</x:v>
      </x:c>
      <x:c r="C185" s="45" t="n">
        <x:v>34684</x:v>
      </x:c>
      <x:c r="D185" s="33" t="str">
        <x:v>Homicide: Life on the Street</x:v>
      </x:c>
      <x:c r="E185" s="33" t="str">
        <x:v>Law &amp; Order</x:v>
      </x:c>
      <x:c r="F185" s="33" t="str">
        <x:v>connected</x:v>
      </x:c>
      <x:c r="G185" s="50" t="n">
        <x:v>3</x:v>
      </x:c>
      <x:c r="H185" s="50" t="n">
        <x:v>8</x:v>
      </x:c>
      <x:c r="I185" s="44" t="str">
        <x:v>03.08</x:v>
      </x:c>
      <x:c r="J185" s="33" t="str">
        <x:v>All Through the House</x:v>
      </x:c>
      <x:c r="K185" s="33" t="str"/>
      <x:c r="L185" s="33" t="str"/>
      <x:c r="M185" s="44" t="str"/>
      <x:c r="N185" s="50" t="n">
        <x:v>48</x:v>
      </x:c>
      <x:c r="O185" s="53" t="str">
        <x:v>Munch spreads his usual Christmas cheer. Russert, who misses detective work, joins Meldrick on an investigation into the murder of a material witness, when she discovers she knows something about the victim's case. Munch and Bolander investigate the death of a man in a Santa Claus suit and Munch spends the evening with whom they believe is the victim's son. Beau buys Christmas presents for the kids, although he still doesn't know where Beth and the kids are. Bayliss searches the station in search of a game of hearts.</x:v>
      </x:c>
      <x:c r="P185" s="53" t="str">
        <x:v>Direct crossover with Law &amp; Order; Munch bridge to SVU</x:v>
      </x:c>
      <x:c r="Q185" s="17" t="str">
        <x:v>319998</x:v>
      </x:c>
      <x:c r="R185" s="17" t="str">
        <x:v>tt0604336</x:v>
      </x:c>
      <x:c r="S185" s="17" t="str">
        <x:v>87</x:v>
      </x:c>
      <x:c r="T185" s="1"/>
      <x:c r="U185" s="1"/>
      <x:c r="V185" s="1"/>
      <x:c r="W185" s="1"/>
      <x:c r="X185" s="1"/>
      <x:c r="Y185" s="1"/>
      <x:c r="Z185" s="1"/>
    </x:row>
    <x:row r="186">
      <x:c r="A186" s="43" t="n">
        <x:v>182</x:v>
      </x:c>
      <x:c r="B186" s="44" t="str">
        <x:v>Not Started</x:v>
      </x:c>
      <x:c r="C186" s="45" t="n">
        <x:v>34703</x:v>
      </x:c>
      <x:c r="D186" s="33" t="str">
        <x:v>Law &amp; Order</x:v>
      </x:c>
      <x:c r="E186" s="33" t="str">
        <x:v>Law &amp; Order</x:v>
      </x:c>
      <x:c r="F186" s="33" t="str">
        <x:v>core</x:v>
      </x:c>
      <x:c r="G186" s="50" t="n">
        <x:v>5</x:v>
      </x:c>
      <x:c r="H186" s="50" t="n">
        <x:v>10</x:v>
      </x:c>
      <x:c r="I186" s="44" t="str">
        <x:v>05.10</x:v>
      </x:c>
      <x:c r="J186" s="33" t="str">
        <x:v>House Counsel</x:v>
      </x:c>
      <x:c r="K186" s="33" t="str"/>
      <x:c r="L186" s="33" t="str"/>
      <x:c r="M186" s="44" t="str"/>
      <x:c r="N186" s="50" t="n">
        <x:v>47</x:v>
      </x:c>
      <x:c r="O186" s="53" t="str">
        <x:v>The killing of a man who had served as a juror in a mob trial leads to a battle of wills between McCoy and his long-time friend, the suspect's attorney.</x:v>
      </x:c>
      <x:c r="P186" s="53" t="str">
        <x:v>Core Law &amp; Order franchise</x:v>
      </x:c>
      <x:c r="Q186" s="17" t="str">
        <x:v>34152</x:v>
      </x:c>
      <x:c r="R186" s="17" t="str">
        <x:v>tt0629302</x:v>
      </x:c>
      <x:c r="S186" s="17" t="str">
        <x:v>88</x:v>
      </x:c>
      <x:c r="T186" s="1"/>
      <x:c r="U186" s="1"/>
      <x:c r="V186" s="1"/>
      <x:c r="W186" s="1"/>
      <x:c r="X186" s="1"/>
      <x:c r="Y186" s="1"/>
      <x:c r="Z186" s="1"/>
    </x:row>
    <x:row r="187">
      <x:c r="A187" s="43" t="n">
        <x:v>183</x:v>
      </x:c>
      <x:c r="B187" s="44" t="str">
        <x:v>Not Started</x:v>
      </x:c>
      <x:c r="C187" s="45" t="n">
        <x:v>34704</x:v>
      </x:c>
      <x:c r="D187" s="33" t="str">
        <x:v>New York Undercover</x:v>
      </x:c>
      <x:c r="E187" s="33" t="str">
        <x:v>Law &amp; Order</x:v>
      </x:c>
      <x:c r="F187" s="33" t="str">
        <x:v>connected</x:v>
      </x:c>
      <x:c r="G187" s="50" t="n">
        <x:v>1</x:v>
      </x:c>
      <x:c r="H187" s="50" t="n">
        <x:v>14</x:v>
      </x:c>
      <x:c r="I187" s="44" t="str">
        <x:v>01.14</x:v>
      </x:c>
      <x:c r="J187" s="33" t="str">
        <x:v>Private Enemy No. 1</x:v>
      </x:c>
      <x:c r="K187" s="33" t="str"/>
      <x:c r="L187" s="33" t="str"/>
      <x:c r="M187" s="44" t="str"/>
      <x:c r="N187" s="50" t="n">
        <x:v>44</x:v>
      </x:c>
      <x:c r="O187" s="53" t="str">
        <x:v>Williams is involed in a case where he ends up facing his past. Eddie's sister becomes involved in the case.</x:v>
      </x:c>
      <x:c r="P187" s="53" t="str">
        <x:v>Wolf-produced New York police drama; crossover-adjacent to the Law &amp; Order era</x:v>
      </x:c>
      <x:c r="Q187" s="17" t="str">
        <x:v>291000</x:v>
      </x:c>
      <x:c r="R187" s="17" t="str"/>
      <x:c r="S187" s="17" t="str">
        <x:v>89</x:v>
      </x:c>
      <x:c r="T187" s="1"/>
      <x:c r="U187" s="1"/>
      <x:c r="V187" s="1"/>
      <x:c r="W187" s="1"/>
      <x:c r="X187" s="1"/>
      <x:c r="Y187" s="1"/>
      <x:c r="Z187" s="1"/>
    </x:row>
    <x:row r="188">
      <x:c r="A188" s="43" t="n">
        <x:v>184</x:v>
      </x:c>
      <x:c r="B188" s="44" t="str">
        <x:v>Not Started</x:v>
      </x:c>
      <x:c r="C188" s="45" t="n">
        <x:v>34706</x:v>
      </x:c>
      <x:c r="D188" s="33" t="str">
        <x:v>Homicide: Life on the Street</x:v>
      </x:c>
      <x:c r="E188" s="33" t="str">
        <x:v>Law &amp; Order</x:v>
      </x:c>
      <x:c r="F188" s="33" t="str">
        <x:v>connected</x:v>
      </x:c>
      <x:c r="G188" s="50" t="n">
        <x:v>3</x:v>
      </x:c>
      <x:c r="H188" s="50" t="n">
        <x:v>9</x:v>
      </x:c>
      <x:c r="I188" s="44" t="str">
        <x:v>03.09</x:v>
      </x:c>
      <x:c r="J188" s="33" t="str">
        <x:v>Every Mother's Son</x:v>
      </x:c>
      <x:c r="K188" s="33" t="str"/>
      <x:c r="L188" s="33" t="str"/>
      <x:c r="M188" s="44" t="str"/>
      <x:c r="N188" s="50" t="n">
        <x:v>48</x:v>
      </x:c>
      <x:c r="O188" s="53" t="str">
        <x:v>Pembleton and Bayliss investigate the shooting of a young boy. During the investigation, the mother of the victim meets the mother of the shooter in the aquarium. The shooter shows no remorse for the killing, although he shot the wrong kid. Munch, Bayliss and Lewis can't remodel the bar when they discover it's been classified a historical landmark. Then when they find out back taxes are due on the building, which shuts them down before they open. Beau finds out his kids are in Upper Darby, Pennsylvania, so he goes to find them.</x:v>
      </x:c>
      <x:c r="P188" s="53" t="str">
        <x:v>Direct crossover with Law &amp; Order; Munch bridge to SVU</x:v>
      </x:c>
      <x:c r="Q188" s="17" t="str">
        <x:v>319999</x:v>
      </x:c>
      <x:c r="R188" s="17" t="str">
        <x:v>tt0604362</x:v>
      </x:c>
      <x:c r="S188" s="17" t="str"/>
      <x:c r="T188" s="1"/>
      <x:c r="U188" s="1"/>
      <x:c r="V188" s="1"/>
      <x:c r="W188" s="1"/>
      <x:c r="X188" s="1"/>
      <x:c r="Y188" s="1"/>
      <x:c r="Z188" s="1"/>
    </x:row>
    <x:row r="189">
      <x:c r="A189" s="43" t="n">
        <x:v>185</x:v>
      </x:c>
      <x:c r="B189" s="44" t="str">
        <x:v>Not Started</x:v>
      </x:c>
      <x:c r="C189" s="45" t="n">
        <x:v>34710</x:v>
      </x:c>
      <x:c r="D189" s="33" t="str">
        <x:v>Law &amp; Order</x:v>
      </x:c>
      <x:c r="E189" s="33" t="str">
        <x:v>Law &amp; Order</x:v>
      </x:c>
      <x:c r="F189" s="33" t="str">
        <x:v>core</x:v>
      </x:c>
      <x:c r="G189" s="50" t="n">
        <x:v>5</x:v>
      </x:c>
      <x:c r="H189" s="50" t="n">
        <x:v>11</x:v>
      </x:c>
      <x:c r="I189" s="44" t="str">
        <x:v>05.11</x:v>
      </x:c>
      <x:c r="J189" s="33" t="str">
        <x:v>Guardian</x:v>
      </x:c>
      <x:c r="K189" s="33" t="str"/>
      <x:c r="L189" s="33" t="str"/>
      <x:c r="M189" s="44" t="str"/>
      <x:c r="N189" s="50" t="n">
        <x:v>47</x:v>
      </x:c>
      <x:c r="O189" s="53" t="str">
        <x:v>After the body of a young female junkie is identified as the daughter of a wealthy family, Briscoe and Logan try to find out who left her to die in the yard of a day-care center.</x:v>
      </x:c>
      <x:c r="P189" s="53" t="str">
        <x:v>Core Law &amp; Order franchise</x:v>
      </x:c>
      <x:c r="Q189" s="17" t="str">
        <x:v>34153</x:v>
      </x:c>
      <x:c r="R189" s="17" t="str">
        <x:v>tt0629284</x:v>
      </x:c>
      <x:c r="S189" s="17" t="str">
        <x:v>91</x:v>
      </x:c>
      <x:c r="T189" s="1"/>
      <x:c r="U189" s="1"/>
      <x:c r="V189" s="1"/>
      <x:c r="W189" s="1"/>
      <x:c r="X189" s="1"/>
      <x:c r="Y189" s="1"/>
      <x:c r="Z189" s="1"/>
    </x:row>
    <x:row r="190">
      <x:c r="A190" s="43" t="n">
        <x:v>186</x:v>
      </x:c>
      <x:c r="B190" s="44" t="str">
        <x:v>Not Started</x:v>
      </x:c>
      <x:c r="C190" s="45" t="n">
        <x:v>34713</x:v>
      </x:c>
      <x:c r="D190" s="33" t="str">
        <x:v>Homicide: Life on the Street</x:v>
      </x:c>
      <x:c r="E190" s="33" t="str">
        <x:v>Law &amp; Order</x:v>
      </x:c>
      <x:c r="F190" s="33" t="str">
        <x:v>connected</x:v>
      </x:c>
      <x:c r="G190" s="50" t="n">
        <x:v>3</x:v>
      </x:c>
      <x:c r="H190" s="50" t="n">
        <x:v>10</x:v>
      </x:c>
      <x:c r="I190" s="44" t="str">
        <x:v>03.10</x:v>
      </x:c>
      <x:c r="J190" s="33" t="str">
        <x:v>Cradle to Grave</x:v>
      </x:c>
      <x:c r="K190" s="33" t="str"/>
      <x:c r="L190" s="33" t="str"/>
      <x:c r="M190" s="44" t="str"/>
      <x:c r="N190" s="50" t="n">
        <x:v>48</x:v>
      </x:c>
      <x:c r="O190" s="53" t="str">
        <x:v>The deputy commissioner invites Pembleton to lunch and gets him to investigate a case involving a congressman. Beau hires a private detective to find Beth and the kids when his clue that they are in Wilmington falls through. Howard and Felton investigate a case of a dead homeless man. Their job is made more difficult when they can't find the body. Lewis and Munch investigate the death of a motorcycle gang member. Pembleton finds out the truth, participates in the cover-up and then resigns when the media gets hold of the real story and the deputy commissioner doesn't back him up.</x:v>
      </x:c>
      <x:c r="P190" s="53" t="str">
        <x:v>Direct crossover with Law &amp; Order; Munch bridge to SVU</x:v>
      </x:c>
      <x:c r="Q190" s="17" t="str">
        <x:v>320000</x:v>
      </x:c>
      <x:c r="R190" s="17" t="str">
        <x:v>tt0604354</x:v>
      </x:c>
      <x:c r="S190" s="17" t="str">
        <x:v>92</x:v>
      </x:c>
      <x:c r="T190" s="1"/>
      <x:c r="U190" s="1"/>
      <x:c r="V190" s="1"/>
      <x:c r="W190" s="1"/>
      <x:c r="X190" s="1"/>
      <x:c r="Y190" s="1"/>
      <x:c r="Z190" s="1"/>
    </x:row>
    <x:row r="191">
      <x:c r="A191" s="43" t="n">
        <x:v>187</x:v>
      </x:c>
      <x:c r="B191" s="44" t="str">
        <x:v>Not Started</x:v>
      </x:c>
      <x:c r="C191" s="45" t="n">
        <x:v>34718</x:v>
      </x:c>
      <x:c r="D191" s="33" t="str">
        <x:v>New York Undercover</x:v>
      </x:c>
      <x:c r="E191" s="33" t="str">
        <x:v>Law &amp; Order</x:v>
      </x:c>
      <x:c r="F191" s="33" t="str">
        <x:v>connected</x:v>
      </x:c>
      <x:c r="G191" s="50" t="n">
        <x:v>1</x:v>
      </x:c>
      <x:c r="H191" s="50" t="n">
        <x:v>15</x:v>
      </x:c>
      <x:c r="I191" s="44" t="str">
        <x:v>01.15</x:v>
      </x:c>
      <x:c r="J191" s="33" t="str">
        <x:v>The Smoking Section</x:v>
      </x:c>
      <x:c r="K191" s="33" t="str"/>
      <x:c r="L191" s="33" t="str"/>
      <x:c r="M191" s="44" t="str"/>
      <x:c r="N191" s="50" t="n">
        <x:v>45</x:v>
      </x:c>
      <x:c r="O191" s="53" t="str">
        <x:v>A cigarette company tries to destroy a reverend.  Eddie's old girlfriend is being abused.</x:v>
      </x:c>
      <x:c r="P191" s="53" t="str">
        <x:v>Wolf-produced New York police drama; crossover-adjacent to the Law &amp; Order era</x:v>
      </x:c>
      <x:c r="Q191" s="17" t="str">
        <x:v>291001</x:v>
      </x:c>
      <x:c r="R191" s="17" t="str">
        <x:v>tt0659853</x:v>
      </x:c>
      <x:c r="S191" s="17" t="str">
        <x:v>94</x:v>
      </x:c>
      <x:c r="T191" s="1"/>
      <x:c r="U191" s="1"/>
      <x:c r="V191" s="1"/>
      <x:c r="W191" s="1"/>
      <x:c r="X191" s="1"/>
      <x:c r="Y191" s="1"/>
      <x:c r="Z191" s="1"/>
    </x:row>
    <x:row r="192">
      <x:c r="A192" s="43" t="n">
        <x:v>188</x:v>
      </x:c>
      <x:c r="B192" s="44" t="str">
        <x:v>Not Started</x:v>
      </x:c>
      <x:c r="C192" s="45" t="n">
        <x:v>34720</x:v>
      </x:c>
      <x:c r="D192" s="33" t="str">
        <x:v>Homicide: Life on the Street</x:v>
      </x:c>
      <x:c r="E192" s="33" t="str">
        <x:v>Law &amp; Order</x:v>
      </x:c>
      <x:c r="F192" s="33" t="str">
        <x:v>connected</x:v>
      </x:c>
      <x:c r="G192" s="50" t="n">
        <x:v>3</x:v>
      </x:c>
      <x:c r="H192" s="50" t="n">
        <x:v>11</x:v>
      </x:c>
      <x:c r="I192" s="44" t="str">
        <x:v>03.11</x:v>
      </x:c>
      <x:c r="J192" s="33" t="str">
        <x:v>Partners</x:v>
      </x:c>
      <x:c r="K192" s="33" t="str"/>
      <x:c r="L192" s="33" t="str"/>
      <x:c r="M192" s="44" t="str"/>
      <x:c r="N192" s="50" t="n">
        <x:v>48</x:v>
      </x:c>
      <x:c r="O192" s="53" t="str">
        <x:v>Russert's old partner joins the homicide unit, but she suspects that he is taking his work frustrations out on his wife. Pembleton struggles with his pride and domestic life as Gee and Bayliss try to convince him to return. Bayliss is partnered with Lewis and on the way to the crime scene gets the ride of his life. Bayliss tangles with a reporter. Beau is in Philadelphia with his kids. The bar has its grand opening.</x:v>
      </x:c>
      <x:c r="P192" s="53" t="str">
        <x:v>Direct crossover with Law &amp; Order; Munch bridge to SVU</x:v>
      </x:c>
      <x:c r="Q192" s="17" t="str">
        <x:v>320001</x:v>
      </x:c>
      <x:c r="R192" s="17" t="str">
        <x:v>tt0604401</x:v>
      </x:c>
      <x:c r="S192" s="17" t="str">
        <x:v>93</x:v>
      </x:c>
      <x:c r="T192" s="1"/>
      <x:c r="U192" s="1"/>
      <x:c r="V192" s="1"/>
      <x:c r="W192" s="1"/>
      <x:c r="X192" s="1"/>
      <x:c r="Y192" s="1"/>
      <x:c r="Z192" s="1"/>
    </x:row>
    <x:row r="193">
      <x:c r="A193" s="43" t="n">
        <x:v>189</x:v>
      </x:c>
      <x:c r="B193" s="44" t="str">
        <x:v>Not Started</x:v>
      </x:c>
      <x:c r="C193" s="45" t="n">
        <x:v>34724</x:v>
      </x:c>
      <x:c r="D193" s="33" t="str">
        <x:v>Law &amp; Order</x:v>
      </x:c>
      <x:c r="E193" s="33" t="str">
        <x:v>Law &amp; Order</x:v>
      </x:c>
      <x:c r="F193" s="33" t="str">
        <x:v>core</x:v>
      </x:c>
      <x:c r="G193" s="50" t="n">
        <x:v>5</x:v>
      </x:c>
      <x:c r="H193" s="50" t="n">
        <x:v>12</x:v>
      </x:c>
      <x:c r="I193" s="44" t="str">
        <x:v>05.12</x:v>
      </x:c>
      <x:c r="J193" s="33" t="str">
        <x:v>Progeny</x:v>
      </x:c>
      <x:c r="K193" s="33" t="str"/>
      <x:c r="L193" s="33" t="str"/>
      <x:c r="M193" s="44" t="str"/>
      <x:c r="N193" s="50" t="n">
        <x:v>47</x:v>
      </x:c>
      <x:c r="O193" s="53" t="str">
        <x:v>The investigation into the killing of an abortion clinic doctor leads to an activist group led by a former priest.</x:v>
      </x:c>
      <x:c r="P193" s="53" t="str">
        <x:v>Core Law &amp; Order franchise</x:v>
      </x:c>
      <x:c r="Q193" s="17" t="str">
        <x:v>34154</x:v>
      </x:c>
      <x:c r="R193" s="17" t="str">
        <x:v>tt0629388</x:v>
      </x:c>
      <x:c r="S193" s="17" t="str">
        <x:v>96</x:v>
      </x:c>
      <x:c r="T193" s="1"/>
      <x:c r="U193" s="1"/>
      <x:c r="V193" s="1"/>
      <x:c r="W193" s="1"/>
      <x:c r="X193" s="1"/>
      <x:c r="Y193" s="1"/>
      <x:c r="Z193" s="1"/>
    </x:row>
    <x:row r="194">
      <x:c r="A194" s="43" t="n">
        <x:v>190</x:v>
      </x:c>
      <x:c r="B194" s="44" t="str">
        <x:v>Not Started</x:v>
      </x:c>
      <x:c r="C194" s="45" t="n">
        <x:v>34727</x:v>
      </x:c>
      <x:c r="D194" s="33" t="str">
        <x:v>Homicide: Life on the Street</x:v>
      </x:c>
      <x:c r="E194" s="33" t="str">
        <x:v>Law &amp; Order</x:v>
      </x:c>
      <x:c r="F194" s="33" t="str">
        <x:v>connected</x:v>
      </x:c>
      <x:c r="G194" s="50" t="n">
        <x:v>3</x:v>
      </x:c>
      <x:c r="H194" s="50" t="n">
        <x:v>12</x:v>
      </x:c>
      <x:c r="I194" s="44" t="str">
        <x:v>03.12</x:v>
      </x:c>
      <x:c r="J194" s="33" t="str">
        <x:v>The City That Bleeds (1)</x:v>
      </x:c>
      <x:c r="K194" s="33" t="str"/>
      <x:c r="L194" s="33" t="str"/>
      <x:c r="M194" s="44" t="str"/>
      <x:c r="N194" s="50" t="n">
        <x:v>46</x:v>
      </x:c>
      <x:c r="O194" s="53" t="str">
        <x:v>Bolander, Munch, Howard and Felton all meet to serve a warrant, but Bolander, Howard and Felton are shot in an ambush. Pembleton becomes the primary in the investigation and is partnered with a detective who specializes in the psychology of their prime suspect: a pedophile. Stan's ex-partner Mitch Drummond offers his help. Kay's father and Beau's wife and the kids come to the hospital. A clerical error is discovered to be the cause of why the detectives went to the door marked 201, instead of 210.</x:v>
      </x:c>
      <x:c r="P194" s="53" t="str">
        <x:v>Direct crossover with Law &amp; Order; Munch bridge to SVU</x:v>
      </x:c>
      <x:c r="Q194" s="17" t="str">
        <x:v>320002</x:v>
      </x:c>
      <x:c r="R194" s="17" t="str">
        <x:v>tt0604425</x:v>
      </x:c>
      <x:c r="S194" s="17" t="str">
        <x:v>95</x:v>
      </x:c>
      <x:c r="T194" s="1"/>
      <x:c r="U194" s="1"/>
      <x:c r="V194" s="1"/>
      <x:c r="W194" s="1"/>
      <x:c r="X194" s="1"/>
      <x:c r="Y194" s="1"/>
      <x:c r="Z194" s="1"/>
    </x:row>
    <x:row r="195">
      <x:c r="A195" s="43" t="n">
        <x:v>191</x:v>
      </x:c>
      <x:c r="B195" s="44" t="str">
        <x:v>Not Started</x:v>
      </x:c>
      <x:c r="C195" s="45" t="n">
        <x:v>34731</x:v>
      </x:c>
      <x:c r="D195" s="33" t="str">
        <x:v>Law &amp; Order</x:v>
      </x:c>
      <x:c r="E195" s="33" t="str">
        <x:v>Law &amp; Order</x:v>
      </x:c>
      <x:c r="F195" s="33" t="str">
        <x:v>core</x:v>
      </x:c>
      <x:c r="G195" s="50" t="n">
        <x:v>5</x:v>
      </x:c>
      <x:c r="H195" s="50" t="n">
        <x:v>13</x:v>
      </x:c>
      <x:c r="I195" s="44" t="str">
        <x:v>05.13</x:v>
      </x:c>
      <x:c r="J195" s="33" t="str">
        <x:v>Rage</x:v>
      </x:c>
      <x:c r="K195" s="33" t="str"/>
      <x:c r="L195" s="33" t="str"/>
      <x:c r="M195" s="44" t="str"/>
      <x:c r="N195" s="50" t="n">
        <x:v>48</x:v>
      </x:c>
      <x:c r="O195" s="53" t="str">
        <x:v>A Wall Street broker accused of murdering his mentor uses the defense of ""black rage"" in court.</x:v>
      </x:c>
      <x:c r="P195" s="53" t="str">
        <x:v>Core Law &amp; Order franchise</x:v>
      </x:c>
      <x:c r="Q195" s="17" t="str">
        <x:v>34155</x:v>
      </x:c>
      <x:c r="R195" s="17" t="str">
        <x:v>tt0629393</x:v>
      </x:c>
      <x:c r="S195" s="17" t="str">
        <x:v>98</x:v>
      </x:c>
      <x:c r="T195" s="1"/>
      <x:c r="U195" s="1"/>
      <x:c r="V195" s="1"/>
      <x:c r="W195" s="1"/>
      <x:c r="X195" s="1"/>
      <x:c r="Y195" s="1"/>
      <x:c r="Z195" s="1"/>
    </x:row>
    <x:row r="196">
      <x:c r="A196" s="43" t="n">
        <x:v>192</x:v>
      </x:c>
      <x:c r="B196" s="44" t="str">
        <x:v>Not Started</x:v>
      </x:c>
      <x:c r="C196" s="45" t="n">
        <x:v>34732</x:v>
      </x:c>
      <x:c r="D196" s="33" t="str">
        <x:v>New York Undercover</x:v>
      </x:c>
      <x:c r="E196" s="33" t="str">
        <x:v>Law &amp; Order</x:v>
      </x:c>
      <x:c r="F196" s="33" t="str">
        <x:v>connected</x:v>
      </x:c>
      <x:c r="G196" s="50" t="n">
        <x:v>1</x:v>
      </x:c>
      <x:c r="H196" s="50" t="n">
        <x:v>16</x:v>
      </x:c>
      <x:c r="I196" s="44" t="str">
        <x:v>01.16</x:v>
      </x:c>
      <x:c r="J196" s="33" t="str">
        <x:v>Mama Said Knock You Out</x:v>
      </x:c>
      <x:c r="K196" s="33" t="str"/>
      <x:c r="L196" s="33" t="str"/>
      <x:c r="M196" s="44" t="str"/>
      <x:c r="N196" s="50" t="n">
        <x:v>44</x:v>
      </x:c>
      <x:c r="O196" s="53" t="str">
        <x:v>Williams and Torres go undercover to try and solve a case where a lethal drug is killing young boxers.  G has to decide betwwen two girls.</x:v>
      </x:c>
      <x:c r="P196" s="53" t="str">
        <x:v>Wolf-produced New York police drama; crossover-adjacent to the Law &amp; Order era</x:v>
      </x:c>
      <x:c r="Q196" s="17" t="str">
        <x:v>291002</x:v>
      </x:c>
      <x:c r="R196" s="17" t="str"/>
      <x:c r="S196" s="17" t="str">
        <x:v>99</x:v>
      </x:c>
      <x:c r="T196" s="1"/>
      <x:c r="U196" s="1"/>
      <x:c r="V196" s="1"/>
      <x:c r="W196" s="1"/>
      <x:c r="X196" s="1"/>
      <x:c r="Y196" s="1"/>
      <x:c r="Z196" s="1"/>
    </x:row>
    <x:row r="197">
      <x:c r="A197" s="43" t="n">
        <x:v>193</x:v>
      </x:c>
      <x:c r="B197" s="44" t="str">
        <x:v>Not Started</x:v>
      </x:c>
      <x:c r="C197" s="45" t="n">
        <x:v>34734</x:v>
      </x:c>
      <x:c r="D197" s="33" t="str">
        <x:v>Homicide: Life on the Street</x:v>
      </x:c>
      <x:c r="E197" s="33" t="str">
        <x:v>Law &amp; Order</x:v>
      </x:c>
      <x:c r="F197" s="33" t="str">
        <x:v>connected</x:v>
      </x:c>
      <x:c r="G197" s="50" t="n">
        <x:v>3</x:v>
      </x:c>
      <x:c r="H197" s="50" t="n">
        <x:v>13</x:v>
      </x:c>
      <x:c r="I197" s="44" t="str">
        <x:v>03.13</x:v>
      </x:c>
      <x:c r="J197" s="33" t="str">
        <x:v>Dead End (2)</x:v>
      </x:c>
      <x:c r="K197" s="33" t="str"/>
      <x:c r="L197" s="33" t="str"/>
      <x:c r="M197" s="44" t="str"/>
      <x:c r="N197" s="50" t="n">
        <x:v>47</x:v>
      </x:c>
      <x:c r="O197" s="53" t="str">
        <x:v>The detectives continue chasing their only lead, the child molester. Munch is teamed with Stan's old partner. Beau has no feeling in his foot, but feels guilt about Kay's condition. Stan's ex-wife arrives in town, but has a hard time going to see him at the hospital. Barnfather and Granger want Russert to review Gee and see if he was negligent in his duties regarding the paperwork that led to the shooting. The pedophile is located and it is discovered he was responsible for the strangulation of a young boy, but not the shooting of the three detectives.</x:v>
      </x:c>
      <x:c r="P197" s="53" t="str">
        <x:v>Direct crossover with Law &amp; Order; Munch bridge to SVU</x:v>
      </x:c>
      <x:c r="Q197" s="17" t="str">
        <x:v>320003</x:v>
      </x:c>
      <x:c r="R197" s="17" t="str">
        <x:v>tt0604356</x:v>
      </x:c>
      <x:c r="S197" s="17" t="str">
        <x:v>97</x:v>
      </x:c>
      <x:c r="T197" s="1"/>
      <x:c r="U197" s="1"/>
      <x:c r="V197" s="1"/>
      <x:c r="W197" s="1"/>
      <x:c r="X197" s="1"/>
      <x:c r="Y197" s="1"/>
      <x:c r="Z197" s="1"/>
    </x:row>
    <x:row r="198">
      <x:c r="A198" s="43" t="n">
        <x:v>194</x:v>
      </x:c>
      <x:c r="B198" s="44" t="str">
        <x:v>Not Started</x:v>
      </x:c>
      <x:c r="C198" s="45" t="n">
        <x:v>34738</x:v>
      </x:c>
      <x:c r="D198" s="33" t="str">
        <x:v>Law &amp; Order</x:v>
      </x:c>
      <x:c r="E198" s="33" t="str">
        <x:v>Law &amp; Order</x:v>
      </x:c>
      <x:c r="F198" s="33" t="str">
        <x:v>core</x:v>
      </x:c>
      <x:c r="G198" s="50" t="n">
        <x:v>5</x:v>
      </x:c>
      <x:c r="H198" s="50" t="n">
        <x:v>14</x:v>
      </x:c>
      <x:c r="I198" s="44" t="str">
        <x:v>05.14</x:v>
      </x:c>
      <x:c r="J198" s="33" t="str">
        <x:v>Performance</x:v>
      </x:c>
      <x:c r="K198" s="33" t="str"/>
      <x:c r="L198" s="33" t="str"/>
      <x:c r="M198" s="44" t="str"/>
      <x:c r="N198" s="50" t="n">
        <x:v>47</x:v>
      </x:c>
      <x:c r="O198" s="53" t="str">
        <x:v>Briscoe and Logan set out to identify the apparent victim in a snuff film, but find her alive and really the victim of a points-for-sex club at her prestigious high school.</x:v>
      </x:c>
      <x:c r="P198" s="53" t="str">
        <x:v>Core Law &amp; Order franchise</x:v>
      </x:c>
      <x:c r="Q198" s="17" t="str">
        <x:v>34156</x:v>
      </x:c>
      <x:c r="R198" s="17" t="str">
        <x:v>tt0629373</x:v>
      </x:c>
      <x:c r="S198" s="17" t="str">
        <x:v>101</x:v>
      </x:c>
      <x:c r="T198" s="1"/>
      <x:c r="U198" s="1"/>
      <x:c r="V198" s="1"/>
      <x:c r="W198" s="1"/>
      <x:c r="X198" s="1"/>
      <x:c r="Y198" s="1"/>
      <x:c r="Z198" s="1"/>
    </x:row>
    <x:row r="199">
      <x:c r="A199" s="43" t="n">
        <x:v>195</x:v>
      </x:c>
      <x:c r="B199" s="44" t="str">
        <x:v>Not Started</x:v>
      </x:c>
      <x:c r="C199" s="45" t="n">
        <x:v>34739</x:v>
      </x:c>
      <x:c r="D199" s="33" t="str">
        <x:v>New York Undercover</x:v>
      </x:c>
      <x:c r="E199" s="33" t="str">
        <x:v>Law &amp; Order</x:v>
      </x:c>
      <x:c r="F199" s="33" t="str">
        <x:v>connected</x:v>
      </x:c>
      <x:c r="G199" s="50" t="n">
        <x:v>1</x:v>
      </x:c>
      <x:c r="H199" s="50" t="n">
        <x:v>17</x:v>
      </x:c>
      <x:c r="I199" s="44" t="str">
        <x:v>01.17</x:v>
      </x:c>
      <x:c r="J199" s="33" t="str">
        <x:v>You Get No Respect</x:v>
      </x:c>
      <x:c r="K199" s="33" t="str"/>
      <x:c r="L199" s="33" t="str"/>
      <x:c r="M199" s="44" t="str"/>
      <x:c r="N199" s="50" t="n">
        <x:v>44</x:v>
      </x:c>
      <x:c r="O199" s="53" t="str">
        <x:v>A rapper is killed and his partner might be behind it all.</x:v>
      </x:c>
      <x:c r="P199" s="53" t="str">
        <x:v>Wolf-produced New York police drama; crossover-adjacent to the Law &amp; Order era</x:v>
      </x:c>
      <x:c r="Q199" s="17" t="str">
        <x:v>291003</x:v>
      </x:c>
      <x:c r="R199" s="17" t="str"/>
      <x:c r="S199" s="17" t="str">
        <x:v>102</x:v>
      </x:c>
      <x:c r="T199" s="1"/>
      <x:c r="U199" s="1"/>
      <x:c r="V199" s="1"/>
      <x:c r="W199" s="1"/>
      <x:c r="X199" s="1"/>
      <x:c r="Y199" s="1"/>
      <x:c r="Z199" s="1"/>
    </x:row>
    <x:row r="200">
      <x:c r="A200" s="43" t="n">
        <x:v>196</x:v>
      </x:c>
      <x:c r="B200" s="44" t="str">
        <x:v>Not Started</x:v>
      </x:c>
      <x:c r="C200" s="45" t="n">
        <x:v>34741</x:v>
      </x:c>
      <x:c r="D200" s="33" t="str">
        <x:v>Homicide: Life on the Street</x:v>
      </x:c>
      <x:c r="E200" s="33" t="str">
        <x:v>Law &amp; Order</x:v>
      </x:c>
      <x:c r="F200" s="33" t="str">
        <x:v>connected</x:v>
      </x:c>
      <x:c r="G200" s="50" t="n">
        <x:v>3</x:v>
      </x:c>
      <x:c r="H200" s="50" t="n">
        <x:v>14</x:v>
      </x:c>
      <x:c r="I200" s="44" t="str">
        <x:v>03.14</x:v>
      </x:c>
      <x:c r="J200" s="33" t="str">
        <x:v>End Game (3)</x:v>
      </x:c>
      <x:c r="K200" s="33" t="str"/>
      <x:c r="L200" s="33" t="str"/>
      <x:c r="M200" s="44" t="str"/>
      <x:c r="N200" s="50" t="n">
        <x:v>47</x:v>
      </x:c>
      <x:c r="O200" s="53" t="str">
        <x:v>Bolander has a relapse. The detectives sound off to the local news about the shooting. Apartment 201 is opened up and the occupant, Gordon Pratt, is a gun freak who once tried to be a cop. Russert and Howard declare a truce. They find the shooter, but lack of a weapon gets him released; later he is found with a bullet in his head.</x:v>
      </x:c>
      <x:c r="P200" s="53" t="str">
        <x:v>Direct crossover with Law &amp; Order; Munch bridge to SVU</x:v>
      </x:c>
      <x:c r="Q200" s="17" t="str">
        <x:v>320004</x:v>
      </x:c>
      <x:c r="R200" s="17" t="str">
        <x:v>tt0604361</x:v>
      </x:c>
      <x:c r="S200" s="17" t="str">
        <x:v>100</x:v>
      </x:c>
      <x:c r="T200" s="1"/>
      <x:c r="U200" s="1"/>
      <x:c r="V200" s="1"/>
      <x:c r="W200" s="1"/>
      <x:c r="X200" s="1"/>
      <x:c r="Y200" s="1"/>
      <x:c r="Z200" s="1"/>
    </x:row>
    <x:row r="201">
      <x:c r="A201" s="43" t="n">
        <x:v>197</x:v>
      </x:c>
      <x:c r="B201" s="44" t="str">
        <x:v>Not Started</x:v>
      </x:c>
      <x:c r="C201" s="45" t="n">
        <x:v>34745</x:v>
      </x:c>
      <x:c r="D201" s="33" t="str">
        <x:v>Law &amp; Order</x:v>
      </x:c>
      <x:c r="E201" s="33" t="str">
        <x:v>Law &amp; Order</x:v>
      </x:c>
      <x:c r="F201" s="33" t="str">
        <x:v>core</x:v>
      </x:c>
      <x:c r="G201" s="50" t="n">
        <x:v>5</x:v>
      </x:c>
      <x:c r="H201" s="50" t="n">
        <x:v>15</x:v>
      </x:c>
      <x:c r="I201" s="44" t="str">
        <x:v>05.15</x:v>
      </x:c>
      <x:c r="J201" s="33" t="str">
        <x:v>Seed</x:v>
      </x:c>
      <x:c r="K201" s="33" t="str"/>
      <x:c r="L201" s="33" t="str"/>
      <x:c r="M201" s="44" t="str"/>
      <x:c r="N201" s="50" t="n">
        <x:v>47</x:v>
      </x:c>
      <x:c r="O201" s="53" t="str">
        <x:v>A routine investigation into a woman's death leads Briscoe and Logan to a fertility doctor guilty of unethical practices, but who cannot apparently be touched because of confidentiality rules, and patient reluctance to talk.</x:v>
      </x:c>
      <x:c r="P201" s="53" t="str">
        <x:v>Core Law &amp; Order franchise</x:v>
      </x:c>
      <x:c r="Q201" s="17" t="str">
        <x:v>34157</x:v>
      </x:c>
      <x:c r="R201" s="17" t="str">
        <x:v>tt0629413</x:v>
      </x:c>
      <x:c r="S201" s="17" t="str">
        <x:v>104</x:v>
      </x:c>
    </x:row>
    <x:row r="202">
      <x:c r="A202" s="43" t="n">
        <x:v>198</x:v>
      </x:c>
      <x:c r="B202" s="44" t="str">
        <x:v>Not Started</x:v>
      </x:c>
      <x:c r="C202" s="45" t="n">
        <x:v>34746</x:v>
      </x:c>
      <x:c r="D202" s="33" t="str">
        <x:v>New York Undercover</x:v>
      </x:c>
      <x:c r="E202" s="33" t="str">
        <x:v>Law &amp; Order</x:v>
      </x:c>
      <x:c r="F202" s="33" t="str">
        <x:v>connected</x:v>
      </x:c>
      <x:c r="G202" s="50" t="n">
        <x:v>1</x:v>
      </x:c>
      <x:c r="H202" s="50" t="n">
        <x:v>18</x:v>
      </x:c>
      <x:c r="I202" s="44" t="str">
        <x:v>01.18</x:v>
      </x:c>
      <x:c r="J202" s="33" t="str">
        <x:v>Innocent Bystander</x:v>
      </x:c>
      <x:c r="K202" s="33" t="str"/>
      <x:c r="L202" s="33" t="str"/>
      <x:c r="M202" s="44" t="str"/>
      <x:c r="N202" s="50" t="n">
        <x:v>44</x:v>
      </x:c>
      <x:c r="O202" s="53" t="str">
        <x:v>G eyewitnesses his friends murder.</x:v>
      </x:c>
      <x:c r="P202" s="53" t="str">
        <x:v>Wolf-produced New York police drama; crossover-adjacent to the Law &amp; Order era</x:v>
      </x:c>
      <x:c r="Q202" s="17" t="str">
        <x:v>291004</x:v>
      </x:c>
      <x:c r="R202" s="17" t="str">
        <x:v>tt0659814</x:v>
      </x:c>
      <x:c r="S202" s="17" t="str">
        <x:v>105</x:v>
      </x:c>
    </x:row>
    <x:row r="203">
      <x:c r="A203" s="43" t="n">
        <x:v>199</x:v>
      </x:c>
      <x:c r="B203" s="44" t="str">
        <x:v>Not Started</x:v>
      </x:c>
      <x:c r="C203" s="45" t="n">
        <x:v>34753</x:v>
      </x:c>
      <x:c r="D203" s="33" t="str">
        <x:v>New York Undercover</x:v>
      </x:c>
      <x:c r="E203" s="33" t="str">
        <x:v>Law &amp; Order</x:v>
      </x:c>
      <x:c r="F203" s="33" t="str">
        <x:v>connected</x:v>
      </x:c>
      <x:c r="G203" s="50" t="n">
        <x:v>1</x:v>
      </x:c>
      <x:c r="H203" s="50" t="n">
        <x:v>19</x:v>
      </x:c>
      <x:c r="I203" s="44" t="str">
        <x:v>01.19</x:v>
      </x:c>
      <x:c r="J203" s="33" t="str">
        <x:v>CAT</x:v>
      </x:c>
      <x:c r="K203" s="33" t="str"/>
      <x:c r="L203" s="33" t="str"/>
      <x:c r="M203" s="44" t="str"/>
      <x:c r="N203" s="50" t="n">
        <x:v>43</x:v>
      </x:c>
      <x:c r="O203" s="53" t="str">
        <x:v>Torres and Williams  go undercover to try and find out what kind of drug crime two dead students were apart of.</x:v>
      </x:c>
      <x:c r="P203" s="53" t="str">
        <x:v>Wolf-produced New York police drama; crossover-adjacent to the Law &amp; Order era</x:v>
      </x:c>
      <x:c r="Q203" s="17" t="str">
        <x:v>291005</x:v>
      </x:c>
      <x:c r="R203" s="17" t="str">
        <x:v>tt0659790</x:v>
      </x:c>
      <x:c r="S203" s="17" t="str">
        <x:v>106</x:v>
      </x:c>
    </x:row>
    <x:row r="204">
      <x:c r="A204" s="43" t="n">
        <x:v>200</x:v>
      </x:c>
      <x:c r="B204" s="44" t="str">
        <x:v>Not Started</x:v>
      </x:c>
      <x:c r="C204" s="45" t="n">
        <x:v>34755</x:v>
      </x:c>
      <x:c r="D204" s="33" t="str">
        <x:v>Homicide: Life on the Street</x:v>
      </x:c>
      <x:c r="E204" s="33" t="str">
        <x:v>Law &amp; Order</x:v>
      </x:c>
      <x:c r="F204" s="33" t="str">
        <x:v>connected</x:v>
      </x:c>
      <x:c r="G204" s="50" t="n">
        <x:v>3</x:v>
      </x:c>
      <x:c r="H204" s="50" t="n">
        <x:v>15</x:v>
      </x:c>
      <x:c r="I204" s="44" t="str">
        <x:v>03.15</x:v>
      </x:c>
      <x:c r="J204" s="33" t="str">
        <x:v>Law &amp; Disorder</x:v>
      </x:c>
      <x:c r="K204" s="33" t="str"/>
      <x:c r="L204" s="33" t="str"/>
      <x:c r="M204" s="44" t="str"/>
      <x:c r="N204" s="50" t="n">
        <x:v>48</x:v>
      </x:c>
      <x:c r="O204" s="53" t="str">
        <x:v>Pembleton receives an extradited prisoner from New York City Detective Logan. Bayliss is put in charge of investigating the death of Gordon Pratt, but gets no cooperation from anyone on the force. Beau wants to return to active duty. A woman recognizes Munch from an old picture that is hanging in an art gallery across from the precinct. To Munch's embarassment he discovers that an old girlfriend, who's a photographer, is displaying an old picture of him in the buff at her gallery showing. Pembleton and Meldrick investigate a random shooting of a woman, and they clash over where the weapon may have been fired. They also find a woman who's shot her boyfriend and stuffed him in the freezer. Beau accompanies Gee on an investigation and must come to grips with his inability to look at a dead body the same way.</x:v>
      </x:c>
      <x:c r="P204" s="53" t="str">
        <x:v>Direct crossover with Law &amp; Order; Munch bridge to SVU</x:v>
      </x:c>
      <x:c r="Q204" s="17" t="str">
        <x:v>320005</x:v>
      </x:c>
      <x:c r="R204" s="17" t="str">
        <x:v>tt0604392</x:v>
      </x:c>
      <x:c r="S204" s="17" t="str">
        <x:v>103</x:v>
      </x:c>
    </x:row>
    <x:row r="205">
      <x:c r="A205" s="43" t="n">
        <x:v>201</x:v>
      </x:c>
      <x:c r="B205" s="44" t="str">
        <x:v>Not Started</x:v>
      </x:c>
      <x:c r="C205" s="45" t="n">
        <x:v>34762</x:v>
      </x:c>
      <x:c r="D205" s="33" t="str">
        <x:v>Homicide: Life on the Street</x:v>
      </x:c>
      <x:c r="E205" s="33" t="str">
        <x:v>Law &amp; Order</x:v>
      </x:c>
      <x:c r="F205" s="33" t="str">
        <x:v>connected</x:v>
      </x:c>
      <x:c r="G205" s="50" t="n">
        <x:v>3</x:v>
      </x:c>
      <x:c r="H205" s="50" t="n">
        <x:v>16</x:v>
      </x:c>
      <x:c r="I205" s="44" t="str">
        <x:v>03.16</x:v>
      </x:c>
      <x:c r="J205" s="33" t="str">
        <x:v>The Old and the Dead</x:v>
      </x:c>
      <x:c r="K205" s="33" t="str"/>
      <x:c r="L205" s="33" t="str"/>
      <x:c r="M205" s="44" t="str"/>
      <x:c r="N205" s="50" t="n">
        <x:v>48</x:v>
      </x:c>
      <x:c r="O205" s="53" t="str">
        <x:v>Beau meets Megan's cousin, NBC's Tim Russert. Kay and Stan return to duty, after Stan undergoes a final test, and Kay finds her desk has been moved. They, like Beau, must both get used to the job again. Tim and Beau investigate the discovery of a skeleton found buried in a backyard. Bolander and Munch discover an unlikely suspect in the murder of a quiet elderly couple: their grandson. Gee exposes Granger, who used his relatives in some department plumbing contracts; the information is leaked to the papers, Granger is forced to retire. Barnfather is made colonel and a new captain is named, Megan Russert. The higher ranks of the Baltimore police department are now more politically correct, but Gee doesn't like it.</x:v>
      </x:c>
      <x:c r="P205" s="53" t="str">
        <x:v>Direct crossover with Law &amp; Order; Munch bridge to SVU</x:v>
      </x:c>
      <x:c r="Q205" s="17" t="str">
        <x:v>320006</x:v>
      </x:c>
      <x:c r="R205" s="17" t="str">
        <x:v>tt0604433</x:v>
      </x:c>
      <x:c r="S205" s="17" t="str">
        <x:v>107</x:v>
      </x:c>
    </x:row>
    <x:row r="206">
      <x:c r="A206" s="43" t="n">
        <x:v>202</x:v>
      </x:c>
      <x:c r="B206" s="44" t="str">
        <x:v>Not Started</x:v>
      </x:c>
      <x:c r="C206" s="45" t="n">
        <x:v>34773</x:v>
      </x:c>
      <x:c r="D206" s="33" t="str">
        <x:v>Law &amp; Order</x:v>
      </x:c>
      <x:c r="E206" s="33" t="str">
        <x:v>Law &amp; Order</x:v>
      </x:c>
      <x:c r="F206" s="33" t="str">
        <x:v>core</x:v>
      </x:c>
      <x:c r="G206" s="50" t="n">
        <x:v>5</x:v>
      </x:c>
      <x:c r="H206" s="50" t="n">
        <x:v>16</x:v>
      </x:c>
      <x:c r="I206" s="44" t="str">
        <x:v>05.16</x:v>
      </x:c>
      <x:c r="J206" s="33" t="str">
        <x:v>Wannabe</x:v>
      </x:c>
      <x:c r="K206" s="33" t="str"/>
      <x:c r="L206" s="33" t="str"/>
      <x:c r="M206" s="44" t="str"/>
      <x:c r="N206" s="50" t="n">
        <x:v>47</x:v>
      </x:c>
      <x:c r="O206" s="53" t="str">
        <x:v>The shooting of a board member of an exclusive private school leads to a blue-collar family and a classist system.</x:v>
      </x:c>
      <x:c r="P206" s="53" t="str">
        <x:v>Core Law &amp; Order franchise</x:v>
      </x:c>
      <x:c r="Q206" s="17" t="str">
        <x:v>34158</x:v>
      </x:c>
      <x:c r="R206" s="17" t="str">
        <x:v>tt0629493</x:v>
      </x:c>
      <x:c r="S206" s="17" t="str">
        <x:v>109</x:v>
      </x:c>
    </x:row>
    <x:row r="207">
      <x:c r="A207" s="43" t="n">
        <x:v>203</x:v>
      </x:c>
      <x:c r="B207" s="44" t="str">
        <x:v>Not Started</x:v>
      </x:c>
      <x:c r="C207" s="45" t="n">
        <x:v>34774</x:v>
      </x:c>
      <x:c r="D207" s="33" t="str">
        <x:v>New York Undercover</x:v>
      </x:c>
      <x:c r="E207" s="33" t="str">
        <x:v>Law &amp; Order</x:v>
      </x:c>
      <x:c r="F207" s="33" t="str">
        <x:v>connected</x:v>
      </x:c>
      <x:c r="G207" s="50" t="n">
        <x:v>1</x:v>
      </x:c>
      <x:c r="H207" s="50" t="n">
        <x:v>20</x:v>
      </x:c>
      <x:c r="I207" s="44" t="str">
        <x:v>01.20</x:v>
      </x:c>
      <x:c r="J207" s="33" t="str">
        <x:v>All in the Family</x:v>
      </x:c>
      <x:c r="K207" s="33" t="str"/>
      <x:c r="L207" s="33" t="str"/>
      <x:c r="M207" s="44" t="str"/>
      <x:c r="N207" s="50" t="n">
        <x:v>45</x:v>
      </x:c>
      <x:c r="O207" s="53" t="str">
        <x:v>A rich family are part of an illegal gun-selling ring.</x:v>
      </x:c>
      <x:c r="P207" s="53" t="str">
        <x:v>Wolf-produced New York police drama; crossover-adjacent to the Law &amp; Order era</x:v>
      </x:c>
      <x:c r="Q207" s="17" t="str">
        <x:v>291006</x:v>
      </x:c>
      <x:c r="R207" s="17" t="str">
        <x:v>tt0659781</x:v>
      </x:c>
      <x:c r="S207" s="17" t="str">
        <x:v>110</x:v>
      </x:c>
    </x:row>
    <x:row r="208">
      <x:c r="A208" s="43" t="n">
        <x:v>204</x:v>
      </x:c>
      <x:c r="B208" s="44" t="str">
        <x:v>Not Started</x:v>
      </x:c>
      <x:c r="C208" s="45" t="n">
        <x:v>34780</x:v>
      </x:c>
      <x:c r="D208" s="33" t="str">
        <x:v>Law &amp; Order</x:v>
      </x:c>
      <x:c r="E208" s="33" t="str">
        <x:v>Law &amp; Order</x:v>
      </x:c>
      <x:c r="F208" s="33" t="str">
        <x:v>core</x:v>
      </x:c>
      <x:c r="G208" s="50" t="n">
        <x:v>5</x:v>
      </x:c>
      <x:c r="H208" s="50" t="n">
        <x:v>17</x:v>
      </x:c>
      <x:c r="I208" s="44" t="str">
        <x:v>05.17</x:v>
      </x:c>
      <x:c r="J208" s="33" t="str">
        <x:v>Act of God</x:v>
      </x:c>
      <x:c r="K208" s="33" t="str"/>
      <x:c r="L208" s="33" t="str"/>
      <x:c r="M208" s="44" t="str"/>
      <x:c r="N208" s="50" t="n">
        <x:v>47</x:v>
      </x:c>
      <x:c r="O208" s="53" t="str">
        <x:v>A bomb at a construction site kills a 12-year-old boy, and the suspects include the bankrupt contractor and a jealous husband.</x:v>
      </x:c>
      <x:c r="P208" s="53" t="str">
        <x:v>Core Law &amp; Order franchise</x:v>
      </x:c>
      <x:c r="Q208" s="17" t="str">
        <x:v>34159</x:v>
      </x:c>
      <x:c r="R208" s="17" t="str">
        <x:v>tt0629145</x:v>
      </x:c>
      <x:c r="S208" s="17" t="str">
        <x:v>111</x:v>
      </x:c>
    </x:row>
    <x:row r="209">
      <x:c r="A209" s="43" t="n">
        <x:v>205</x:v>
      </x:c>
      <x:c r="B209" s="44" t="str">
        <x:v>Not Started</x:v>
      </x:c>
      <x:c r="C209" s="45" t="n">
        <x:v>34788</x:v>
      </x:c>
      <x:c r="D209" s="33" t="str">
        <x:v>New York Undercover</x:v>
      </x:c>
      <x:c r="E209" s="33" t="str">
        <x:v>Law &amp; Order</x:v>
      </x:c>
      <x:c r="F209" s="33" t="str">
        <x:v>connected</x:v>
      </x:c>
      <x:c r="G209" s="50" t="n">
        <x:v>1</x:v>
      </x:c>
      <x:c r="H209" s="50" t="n">
        <x:v>21</x:v>
      </x:c>
      <x:c r="I209" s="44" t="str">
        <x:v>01.21</x:v>
      </x:c>
      <x:c r="J209" s="33" t="str">
        <x:v>Eliminate the Middleman</x:v>
      </x:c>
      <x:c r="K209" s="33" t="str"/>
      <x:c r="L209" s="33" t="str"/>
      <x:c r="M209" s="44" t="str"/>
      <x:c r="N209" s="50" t="n">
        <x:v>44</x:v>
      </x:c>
      <x:c r="O209" s="53" t="str">
        <x:v>Torres &amp; Williams go unercover on a drug case where Torres's father's best friend is part of it.</x:v>
      </x:c>
      <x:c r="P209" s="53" t="str">
        <x:v>Wolf-produced New York police drama; crossover-adjacent to the Law &amp; Order era</x:v>
      </x:c>
      <x:c r="Q209" s="17" t="str">
        <x:v>291007</x:v>
      </x:c>
      <x:c r="R209" s="17" t="str">
        <x:v>tt0659803</x:v>
      </x:c>
      <x:c r="S209" s="17" t="str">
        <x:v>112</x:v>
      </x:c>
    </x:row>
    <x:row r="210">
      <x:c r="A210" s="43" t="n">
        <x:v>206</x:v>
      </x:c>
      <x:c r="B210" s="44" t="str">
        <x:v>Not Started</x:v>
      </x:c>
      <x:c r="C210" s="45" t="n">
        <x:v>34789</x:v>
      </x:c>
      <x:c r="D210" s="33" t="str">
        <x:v>The Wright Verdicts</x:v>
      </x:c>
      <x:c r="E210" s="33" t="str">
        <x:v>Crossover Adjacent</x:v>
      </x:c>
      <x:c r="F210" s="33" t="str">
        <x:v>complete</x:v>
      </x:c>
      <x:c r="G210" s="50" t="n">
        <x:v>1</x:v>
      </x:c>
      <x:c r="H210" s="50" t="n">
        <x:v>1</x:v>
      </x:c>
      <x:c r="I210" s="44" t="str">
        <x:v>01.01</x:v>
      </x:c>
      <x:c r="J210" s="33" t="str">
        <x:v>pilot</x:v>
      </x:c>
      <x:c r="K210" s="33" t="str"/>
      <x:c r="L210" s="33" t="str"/>
      <x:c r="M210" s="44" t="str"/>
      <x:c r="N210" s="50" t="n">
        <x:v>60</x:v>
      </x:c>
      <x:c r="O210" s="53" t="str"/>
      <x:c r="P210" s="53" t="str">
        <x:v>Dick Wolf-created legal drama</x:v>
      </x:c>
      <x:c r="Q210" s="17" t="str">
        <x:v>651616</x:v>
      </x:c>
      <x:c r="R210" s="17" t="str"/>
      <x:c r="S210" s="17" t="str"/>
    </x:row>
    <x:row r="211">
      <x:c r="A211" s="43" t="n">
        <x:v>207</x:v>
      </x:c>
      <x:c r="B211" s="44" t="str">
        <x:v>Not Started</x:v>
      </x:c>
      <x:c r="C211" s="45" t="n">
        <x:v>34794</x:v>
      </x:c>
      <x:c r="D211" s="33" t="str">
        <x:v>Law &amp; Order</x:v>
      </x:c>
      <x:c r="E211" s="33" t="str">
        <x:v>Law &amp; Order</x:v>
      </x:c>
      <x:c r="F211" s="33" t="str">
        <x:v>core</x:v>
      </x:c>
      <x:c r="G211" s="50" t="n">
        <x:v>5</x:v>
      </x:c>
      <x:c r="H211" s="50" t="n">
        <x:v>18</x:v>
      </x:c>
      <x:c r="I211" s="44" t="str">
        <x:v>05.18</x:v>
      </x:c>
      <x:c r="J211" s="33" t="str">
        <x:v>Privileged</x:v>
      </x:c>
      <x:c r="K211" s="33" t="str"/>
      <x:c r="L211" s="33" t="str"/>
      <x:c r="M211" s="44" t="str"/>
      <x:c r="N211" s="50" t="n">
        <x:v>47</x:v>
      </x:c>
      <x:c r="O211" s="53" t="str">
        <x:v>The investigation into a double murder leads to a young alcoholic whose family once lived in the victims' house and who had admitted to his AA group that he's had nightmares about killings.</x:v>
      </x:c>
      <x:c r="P211" s="53" t="str">
        <x:v>Core Law &amp; Order franchise</x:v>
      </x:c>
      <x:c r="Q211" s="17" t="str">
        <x:v>34160</x:v>
      </x:c>
      <x:c r="R211" s="17" t="str">
        <x:v>tt0629385</x:v>
      </x:c>
      <x:c r="S211" s="17" t="str">
        <x:v>113</x:v>
      </x:c>
    </x:row>
    <x:row r="212">
      <x:c r="A212" s="43" t="n">
        <x:v>208</x:v>
      </x:c>
      <x:c r="B212" s="44" t="str">
        <x:v>Not Started</x:v>
      </x:c>
      <x:c r="C212" s="45" t="n">
        <x:v>34795</x:v>
      </x:c>
      <x:c r="D212" s="33" t="str">
        <x:v>New York Undercover</x:v>
      </x:c>
      <x:c r="E212" s="33" t="str">
        <x:v>Law &amp; Order</x:v>
      </x:c>
      <x:c r="F212" s="33" t="str">
        <x:v>connected</x:v>
      </x:c>
      <x:c r="G212" s="50" t="n">
        <x:v>1</x:v>
      </x:c>
      <x:c r="H212" s="50" t="n">
        <x:v>22</x:v>
      </x:c>
      <x:c r="I212" s="44" t="str">
        <x:v>01.22</x:v>
      </x:c>
      <x:c r="J212" s="33" t="str">
        <x:v>Olde Thyme Religion</x:v>
      </x:c>
      <x:c r="K212" s="33" t="str"/>
      <x:c r="L212" s="33" t="str"/>
      <x:c r="M212" s="44" t="str"/>
      <x:c r="N212" s="50" t="n">
        <x:v>44</x:v>
      </x:c>
      <x:c r="O212" s="53" t="str">
        <x:v>An occult group is under investigation after one of their followers is murdered.</x:v>
      </x:c>
      <x:c r="P212" s="53" t="str">
        <x:v>Wolf-produced New York police drama; crossover-adjacent to the Law &amp; Order era</x:v>
      </x:c>
      <x:c r="Q212" s="17" t="str">
        <x:v>291008</x:v>
      </x:c>
      <x:c r="R212" s="17" t="str"/>
      <x:c r="S212" s="17" t="str">
        <x:v>114</x:v>
      </x:c>
    </x:row>
    <x:row r="213">
      <x:c r="A213" s="43" t="n">
        <x:v>209</x:v>
      </x:c>
      <x:c r="B213" s="44" t="str">
        <x:v>Not Started</x:v>
      </x:c>
      <x:c r="C213" s="45" t="n">
        <x:v>34796</x:v>
      </x:c>
      <x:c r="D213" s="33" t="str">
        <x:v>The Wright Verdicts</x:v>
      </x:c>
      <x:c r="E213" s="33" t="str">
        <x:v>Crossover Adjacent</x:v>
      </x:c>
      <x:c r="F213" s="33" t="str">
        <x:v>complete</x:v>
      </x:c>
      <x:c r="G213" s="50" t="n">
        <x:v>1</x:v>
      </x:c>
      <x:c r="H213" s="50" t="n">
        <x:v>2</x:v>
      </x:c>
      <x:c r="I213" s="44" t="str">
        <x:v>01.02</x:v>
      </x:c>
      <x:c r="J213" s="33" t="str">
        <x:v>Ex-Corpus Delicti</x:v>
      </x:c>
      <x:c r="K213" s="33" t="str"/>
      <x:c r="L213" s="33" t="str"/>
      <x:c r="M213" s="44" t="str"/>
      <x:c r="N213" s="50" t="n">
        <x:v>60</x:v>
      </x:c>
      <x:c r="O213" s="53" t="str"/>
      <x:c r="P213" s="53" t="str">
        <x:v>Dick Wolf-created legal drama</x:v>
      </x:c>
      <x:c r="Q213" s="17" t="str">
        <x:v>651617</x:v>
      </x:c>
      <x:c r="R213" s="17" t="str"/>
      <x:c r="S213" s="17" t="str"/>
    </x:row>
    <x:row r="214">
      <x:c r="A214" s="43" t="n">
        <x:v>210</x:v>
      </x:c>
      <x:c r="B214" s="44" t="str">
        <x:v>Not Started</x:v>
      </x:c>
      <x:c r="C214" s="45" t="n">
        <x:v>34802</x:v>
      </x:c>
      <x:c r="D214" s="33" t="str">
        <x:v>New York Undercover</x:v>
      </x:c>
      <x:c r="E214" s="33" t="str">
        <x:v>Law &amp; Order</x:v>
      </x:c>
      <x:c r="F214" s="33" t="str">
        <x:v>connected</x:v>
      </x:c>
      <x:c r="G214" s="50" t="n">
        <x:v>1</x:v>
      </x:c>
      <x:c r="H214" s="50" t="n">
        <x:v>23</x:v>
      </x:c>
      <x:c r="I214" s="44" t="str">
        <x:v>01.23</x:v>
      </x:c>
      <x:c r="J214" s="33" t="str">
        <x:v>The Shooter</x:v>
      </x:c>
      <x:c r="K214" s="33" t="str"/>
      <x:c r="L214" s="33" t="str"/>
      <x:c r="M214" s="44" t="str"/>
      <x:c r="N214" s="50" t="n">
        <x:v>44</x:v>
      </x:c>
      <x:c r="O214" s="53" t="str">
        <x:v>Torres and Williams discover that a two time shooter had a personal plot against five people who supposedly ""set him up.""</x:v>
      </x:c>
      <x:c r="P214" s="53" t="str">
        <x:v>Wolf-produced New York police drama; crossover-adjacent to the Law &amp; Order era</x:v>
      </x:c>
      <x:c r="Q214" s="17" t="str">
        <x:v>291009</x:v>
      </x:c>
      <x:c r="R214" s="17" t="str">
        <x:v>tt0659852</x:v>
      </x:c>
      <x:c r="S214" s="17" t="str">
        <x:v>115</x:v>
      </x:c>
    </x:row>
    <x:row r="215">
      <x:c r="A215" s="43" t="n">
        <x:v>211</x:v>
      </x:c>
      <x:c r="B215" s="44" t="str">
        <x:v>Not Started</x:v>
      </x:c>
      <x:c r="C215" s="45" t="n">
        <x:v>34803</x:v>
      </x:c>
      <x:c r="D215" s="33" t="str">
        <x:v>The Wright Verdicts</x:v>
      </x:c>
      <x:c r="E215" s="33" t="str">
        <x:v>Crossover Adjacent</x:v>
      </x:c>
      <x:c r="F215" s="33" t="str">
        <x:v>complete</x:v>
      </x:c>
      <x:c r="G215" s="50" t="n">
        <x:v>1</x:v>
      </x:c>
      <x:c r="H215" s="50" t="n">
        <x:v>3</x:v>
      </x:c>
      <x:c r="I215" s="44" t="str">
        <x:v>01.03</x:v>
      </x:c>
      <x:c r="J215" s="33" t="str">
        <x:v>Special Prosecutor</x:v>
      </x:c>
      <x:c r="K215" s="33" t="str"/>
      <x:c r="L215" s="33" t="str"/>
      <x:c r="M215" s="44" t="str"/>
      <x:c r="N215" s="50" t="n">
        <x:v>60</x:v>
      </x:c>
      <x:c r="O215" s="53" t="str"/>
      <x:c r="P215" s="53" t="str">
        <x:v>Dick Wolf-created legal drama</x:v>
      </x:c>
      <x:c r="Q215" s="17" t="str">
        <x:v>651618</x:v>
      </x:c>
      <x:c r="R215" s="17" t="str"/>
      <x:c r="S215" s="17" t="str"/>
    </x:row>
    <x:row r="216">
      <x:c r="A216" s="43" t="n">
        <x:v>212</x:v>
      </x:c>
      <x:c r="B216" s="44" t="str">
        <x:v>Not Started</x:v>
      </x:c>
      <x:c r="C216" s="45" t="n">
        <x:v>34804</x:v>
      </x:c>
      <x:c r="D216" s="33" t="str">
        <x:v>Homicide: Life on the Street</x:v>
      </x:c>
      <x:c r="E216" s="33" t="str">
        <x:v>Law &amp; Order</x:v>
      </x:c>
      <x:c r="F216" s="33" t="str">
        <x:v>connected</x:v>
      </x:c>
      <x:c r="G216" s="50" t="n">
        <x:v>3</x:v>
      </x:c>
      <x:c r="H216" s="50" t="n">
        <x:v>17</x:v>
      </x:c>
      <x:c r="I216" s="44" t="str">
        <x:v>03.17</x:v>
      </x:c>
      <x:c r="J216" s="33" t="str">
        <x:v>In Search of Crimes Past</x:v>
      </x:c>
      <x:c r="K216" s="33" t="str"/>
      <x:c r="L216" s="33" t="str"/>
      <x:c r="M216" s="44" t="str"/>
      <x:c r="N216" s="50" t="n">
        <x:v>48</x:v>
      </x:c>
      <x:c r="O216" s="53" t="str">
        <x:v>A 16-year-old murder case must be reopened when the daughter of the convicted killer holds Col. Barnfather hostage. Pembleton and Bayliss investigate an elderly man whose wife died of drowning in the bathtub. Gee and the newly appointed Capt. Russert clash over the handling of the hostage situation. Bolander, Munch, Howard and Felton must go to the archives to find the records of the case. Lewis meets a strange homeless man who's witnessed the suicide of a man who committed the original murder and the detectives race to overturn the previous conviction. A new ""old"" bartender tries to convince Munch to go with the latest rage, microbreweries. Bolander and Lewis try to connect the suicide victim to the man on death row.</x:v>
      </x:c>
      <x:c r="P216" s="53" t="str">
        <x:v>Direct crossover with Law &amp; Order; Munch bridge to SVU</x:v>
      </x:c>
      <x:c r="Q216" s="17" t="str">
        <x:v>320007</x:v>
      </x:c>
      <x:c r="R216" s="17" t="str">
        <x:v>tt0604384</x:v>
      </x:c>
      <x:c r="S216" s="17" t="str">
        <x:v>108</x:v>
      </x:c>
    </x:row>
    <x:row r="217">
      <x:c r="A217" s="43" t="n">
        <x:v>213</x:v>
      </x:c>
      <x:c r="B217" s="44" t="str">
        <x:v>Not Started</x:v>
      </x:c>
      <x:c r="C217" s="45" t="n">
        <x:v>34808</x:v>
      </x:c>
      <x:c r="D217" s="33" t="str">
        <x:v>Law &amp; Order</x:v>
      </x:c>
      <x:c r="E217" s="33" t="str">
        <x:v>Law &amp; Order</x:v>
      </x:c>
      <x:c r="F217" s="33" t="str">
        <x:v>core</x:v>
      </x:c>
      <x:c r="G217" s="50" t="n">
        <x:v>5</x:v>
      </x:c>
      <x:c r="H217" s="50" t="n">
        <x:v>19</x:v>
      </x:c>
      <x:c r="I217" s="44" t="str">
        <x:v>05.19</x:v>
      </x:c>
      <x:c r="J217" s="33" t="str">
        <x:v>Cruel and Unusual</x:v>
      </x:c>
      <x:c r="K217" s="33" t="str"/>
      <x:c r="L217" s="33" t="str"/>
      <x:c r="M217" s="44" t="str"/>
      <x:c r="N217" s="50" t="n">
        <x:v>48</x:v>
      </x:c>
      <x:c r="O217" s="53" t="str">
        <x:v>The death of an autistic youth in custody reveals a multitude of unusual and possibly illegal therapies being used, but also parents reluctant to pursue a prosecution.</x:v>
      </x:c>
      <x:c r="P217" s="53" t="str">
        <x:v>Core Law &amp; Order franchise</x:v>
      </x:c>
      <x:c r="Q217" s="17" t="str">
        <x:v>34161</x:v>
      </x:c>
      <x:c r="R217" s="17" t="str">
        <x:v>tt0629222</x:v>
      </x:c>
      <x:c r="S217" s="17" t="str">
        <x:v>117</x:v>
      </x:c>
    </x:row>
    <x:row r="218">
      <x:c r="A218" s="43" t="n">
        <x:v>214</x:v>
      </x:c>
      <x:c r="B218" s="44" t="str">
        <x:v>Not Started</x:v>
      </x:c>
      <x:c r="C218" s="45" t="n">
        <x:v>34810</x:v>
      </x:c>
      <x:c r="D218" s="33" t="str">
        <x:v>The Wright Verdicts</x:v>
      </x:c>
      <x:c r="E218" s="33" t="str">
        <x:v>Crossover Adjacent</x:v>
      </x:c>
      <x:c r="F218" s="33" t="str">
        <x:v>complete</x:v>
      </x:c>
      <x:c r="G218" s="50" t="n">
        <x:v>1</x:v>
      </x:c>
      <x:c r="H218" s="50" t="n">
        <x:v>4</x:v>
      </x:c>
      <x:c r="I218" s="44" t="str">
        <x:v>01.04</x:v>
      </x:c>
      <x:c r="J218" s="33" t="str">
        <x:v>Sins of the Father</x:v>
      </x:c>
      <x:c r="K218" s="33" t="str"/>
      <x:c r="L218" s="33" t="str"/>
      <x:c r="M218" s="44" t="str"/>
      <x:c r="N218" s="50" t="n">
        <x:v>60</x:v>
      </x:c>
      <x:c r="O218" s="53" t="str"/>
      <x:c r="P218" s="53" t="str">
        <x:v>Dick Wolf-created legal drama</x:v>
      </x:c>
      <x:c r="Q218" s="17" t="str">
        <x:v>651619</x:v>
      </x:c>
      <x:c r="R218" s="17" t="str"/>
      <x:c r="S218" s="17" t="str"/>
    </x:row>
    <x:row r="219">
      <x:c r="A219" s="43" t="n">
        <x:v>215</x:v>
      </x:c>
      <x:c r="B219" s="44" t="str">
        <x:v>Not Started</x:v>
      </x:c>
      <x:c r="C219" s="45" t="n">
        <x:v>34811</x:v>
      </x:c>
      <x:c r="D219" s="33" t="str">
        <x:v>Homicide: Life on the Street</x:v>
      </x:c>
      <x:c r="E219" s="33" t="str">
        <x:v>Law &amp; Order</x:v>
      </x:c>
      <x:c r="F219" s="33" t="str">
        <x:v>connected</x:v>
      </x:c>
      <x:c r="G219" s="50" t="n">
        <x:v>3</x:v>
      </x:c>
      <x:c r="H219" s="50" t="n">
        <x:v>18</x:v>
      </x:c>
      <x:c r="I219" s="44" t="str">
        <x:v>03.18</x:v>
      </x:c>
      <x:c r="J219" s="33" t="str">
        <x:v>Nothing Personal</x:v>
      </x:c>
      <x:c r="K219" s="33" t="str"/>
      <x:c r="L219" s="33" t="str"/>
      <x:c r="M219" s="44" t="str"/>
      <x:c r="N219" s="50" t="n">
        <x:v>48</x:v>
      </x:c>
      <x:c r="O219" s="53" t="str">
        <x:v>Crosetti's caseload is distributed among the detectives and Howard's 100% clearance rate may be in jeopardy when she gets his most difficult unsolved case; this is further complicated when Beau misplaces some new evidence. Gee meets one of Megan's friends at lunch and is convinced she isn't interested in him because he is too black. The guys close on the bar but wind up penniless when they must pay extra fees that they weren't aware of. Beau looks to Megan for comfort when he can't recover the evidence and it looks as though Beth and kids are never coming back.</x:v>
      </x:c>
      <x:c r="P219" s="53" t="str">
        <x:v>Direct crossover with Law &amp; Order; Munch bridge to SVU</x:v>
      </x:c>
      <x:c r="Q219" s="17" t="str">
        <x:v>320008</x:v>
      </x:c>
      <x:c r="R219" s="17" t="str">
        <x:v>tt0604400</x:v>
      </x:c>
      <x:c r="S219" s="17" t="str">
        <x:v>116</x:v>
      </x:c>
    </x:row>
    <x:row r="220">
      <x:c r="A220" s="43" t="n">
        <x:v>216</x:v>
      </x:c>
      <x:c r="B220" s="44" t="str">
        <x:v>Not Started</x:v>
      </x:c>
      <x:c r="C220" s="45" t="n">
        <x:v>34815</x:v>
      </x:c>
      <x:c r="D220" s="33" t="str">
        <x:v>Law &amp; Order</x:v>
      </x:c>
      <x:c r="E220" s="33" t="str">
        <x:v>Law &amp; Order</x:v>
      </x:c>
      <x:c r="F220" s="33" t="str">
        <x:v>core</x:v>
      </x:c>
      <x:c r="G220" s="50" t="n">
        <x:v>5</x:v>
      </x:c>
      <x:c r="H220" s="50" t="n">
        <x:v>20</x:v>
      </x:c>
      <x:c r="I220" s="44" t="str">
        <x:v>05.20</x:v>
      </x:c>
      <x:c r="J220" s="33" t="str">
        <x:v>Bad Faith</x:v>
      </x:c>
      <x:c r="K220" s="33" t="str"/>
      <x:c r="L220" s="33" t="str"/>
      <x:c r="M220" s="44" t="str"/>
      <x:c r="N220" s="50" t="n">
        <x:v>47</x:v>
      </x:c>
      <x:c r="O220" s="53" t="str">
        <x:v>Logan relives unhappy childhood memories when a friend is found dead, a presumed suicide, until the investigation reveals recent contact with a former priest, with a history of pedophilia.</x:v>
      </x:c>
      <x:c r="P220" s="53" t="str">
        <x:v>Core Law &amp; Order franchise</x:v>
      </x:c>
      <x:c r="Q220" s="17" t="str">
        <x:v>34162</x:v>
      </x:c>
      <x:c r="R220" s="17" t="str">
        <x:v>tt0629168</x:v>
      </x:c>
      <x:c r="S220" s="17" t="str">
        <x:v>118</x:v>
      </x:c>
    </x:row>
    <x:row r="221">
      <x:c r="A221" s="43" t="n">
        <x:v>217</x:v>
      </x:c>
      <x:c r="B221" s="44" t="str">
        <x:v>Not Started</x:v>
      </x:c>
      <x:c r="C221" s="45" t="n">
        <x:v>34816</x:v>
      </x:c>
      <x:c r="D221" s="33" t="str">
        <x:v>New York Undercover</x:v>
      </x:c>
      <x:c r="E221" s="33" t="str">
        <x:v>Law &amp; Order</x:v>
      </x:c>
      <x:c r="F221" s="33" t="str">
        <x:v>connected</x:v>
      </x:c>
      <x:c r="G221" s="50" t="n">
        <x:v>1</x:v>
      </x:c>
      <x:c r="H221" s="50" t="n">
        <x:v>24</x:v>
      </x:c>
      <x:c r="I221" s="44" t="str">
        <x:v>01.24</x:v>
      </x:c>
      <x:c r="J221" s="33" t="str">
        <x:v>Manchild</x:v>
      </x:c>
      <x:c r="K221" s="33" t="str"/>
      <x:c r="L221" s="33" t="str"/>
      <x:c r="M221" s="44" t="str"/>
      <x:c r="N221" s="50" t="n">
        <x:v>44</x:v>
      </x:c>
      <x:c r="O221" s="53" t="str">
        <x:v>G is caught between saving his friend's life or telling his father, a cop.</x:v>
      </x:c>
      <x:c r="P221" s="53" t="str">
        <x:v>Wolf-produced New York police drama; crossover-adjacent to the Law &amp; Order era</x:v>
      </x:c>
      <x:c r="Q221" s="17" t="str">
        <x:v>291010</x:v>
      </x:c>
      <x:c r="R221" s="17" t="str">
        <x:v>tt0659821</x:v>
      </x:c>
      <x:c r="S221" s="17" t="str">
        <x:v>119</x:v>
      </x:c>
    </x:row>
    <x:row r="222">
      <x:c r="A222" s="43" t="n">
        <x:v>218</x:v>
      </x:c>
      <x:c r="B222" s="44" t="str">
        <x:v>Not Started</x:v>
      </x:c>
      <x:c r="C222" s="45" t="n">
        <x:v>34817</x:v>
      </x:c>
      <x:c r="D222" s="33" t="str">
        <x:v>Homicide: Life on the Street</x:v>
      </x:c>
      <x:c r="E222" s="33" t="str">
        <x:v>Law &amp; Order</x:v>
      </x:c>
      <x:c r="F222" s="33" t="str">
        <x:v>connected</x:v>
      </x:c>
      <x:c r="G222" s="50" t="n">
        <x:v>3</x:v>
      </x:c>
      <x:c r="H222" s="50" t="n">
        <x:v>19</x:v>
      </x:c>
      <x:c r="I222" s="44" t="str">
        <x:v>03.19</x:v>
      </x:c>
      <x:c r="J222" s="33" t="str">
        <x:v>Colors</x:v>
      </x:c>
      <x:c r="K222" s="33" t="str"/>
      <x:c r="L222" s="33" t="str"/>
      <x:c r="M222" s="44" t="str"/>
      <x:c r="N222" s="50" t="n">
        <x:v>48</x:v>
      </x:c>
      <x:c r="O222" s="53" t="str">
        <x:v>Tim's cousin shoots a Turkish exchange student and his partnership with Pembleton may be in jeopardy when they both stand on opposite sides of the case. Lewis hires his grandmother to cook at the bar.</x:v>
      </x:c>
      <x:c r="P222" s="53" t="str">
        <x:v>Direct crossover with Law &amp; Order; Munch bridge to SVU</x:v>
      </x:c>
      <x:c r="Q222" s="17" t="str">
        <x:v>320009</x:v>
      </x:c>
      <x:c r="R222" s="17" t="str">
        <x:v>tt0604352</x:v>
      </x:c>
      <x:c r="S222" s="17" t="str">
        <x:v>120</x:v>
      </x:c>
    </x:row>
    <x:row r="223">
      <x:c r="A223" s="43" t="n">
        <x:v>219</x:v>
      </x:c>
      <x:c r="B223" s="44" t="str">
        <x:v>Not Started</x:v>
      </x:c>
      <x:c r="C223" s="45" t="n">
        <x:v>34822</x:v>
      </x:c>
      <x:c r="D223" s="33" t="str">
        <x:v>Law &amp; Order</x:v>
      </x:c>
      <x:c r="E223" s="33" t="str">
        <x:v>Law &amp; Order</x:v>
      </x:c>
      <x:c r="F223" s="33" t="str">
        <x:v>core</x:v>
      </x:c>
      <x:c r="G223" s="50" t="n">
        <x:v>5</x:v>
      </x:c>
      <x:c r="H223" s="50" t="n">
        <x:v>21</x:v>
      </x:c>
      <x:c r="I223" s="44" t="str">
        <x:v>05.21</x:v>
      </x:c>
      <x:c r="J223" s="33" t="str">
        <x:v>Purple Heart</x:v>
      </x:c>
      <x:c r="K223" s="33" t="str"/>
      <x:c r="L223" s="33" t="str"/>
      <x:c r="M223" s="44" t="str"/>
      <x:c r="N223" s="50" t="n">
        <x:v>48</x:v>
      </x:c>
      <x:c r="O223" s="53" t="str">
        <x:v>The investigation into a taxi driver's murder involves a loan shark, a forged check, a missing plumber and the victim's wife.</x:v>
      </x:c>
      <x:c r="P223" s="53" t="str">
        <x:v>Core Law &amp; Order franchise</x:v>
      </x:c>
      <x:c r="Q223" s="17" t="str">
        <x:v>34163</x:v>
      </x:c>
      <x:c r="R223" s="17" t="str">
        <x:v>tt0629392</x:v>
      </x:c>
      <x:c r="S223" s="17" t="str">
        <x:v>121</x:v>
      </x:c>
    </x:row>
    <x:row r="224">
      <x:c r="A224" s="43" t="n">
        <x:v>220</x:v>
      </x:c>
      <x:c r="B224" s="44" t="str">
        <x:v>Not Started</x:v>
      </x:c>
      <x:c r="C224" s="45" t="n">
        <x:v>34823</x:v>
      </x:c>
      <x:c r="D224" s="33" t="str">
        <x:v>New York Undercover</x:v>
      </x:c>
      <x:c r="E224" s="33" t="str">
        <x:v>Law &amp; Order</x:v>
      </x:c>
      <x:c r="F224" s="33" t="str">
        <x:v>connected</x:v>
      </x:c>
      <x:c r="G224" s="50" t="n">
        <x:v>1</x:v>
      </x:c>
      <x:c r="H224" s="50" t="n">
        <x:v>25</x:v>
      </x:c>
      <x:c r="I224" s="44" t="str">
        <x:v>01.25</x:v>
      </x:c>
      <x:c r="J224" s="33" t="str">
        <x:v>Downtown Girl</x:v>
      </x:c>
      <x:c r="K224" s="33" t="str"/>
      <x:c r="L224" s="33" t="str"/>
      <x:c r="M224" s="44" t="str"/>
      <x:c r="N224" s="50" t="n">
        <x:v>44</x:v>
      </x:c>
      <x:c r="O224" s="53" t="str">
        <x:v>The death of an attorney turns out to be part of a mafia deal. Williams purposes to Sandy.</x:v>
      </x:c>
      <x:c r="P224" s="53" t="str">
        <x:v>Wolf-produced New York police drama; crossover-adjacent to the Law &amp; Order era</x:v>
      </x:c>
      <x:c r="Q224" s="17" t="str">
        <x:v>291011</x:v>
      </x:c>
      <x:c r="R224" s="17" t="str">
        <x:v>tt0659801</x:v>
      </x:c>
      <x:c r="S224" s="17" t="str">
        <x:v>122</x:v>
      </x:c>
    </x:row>
    <x:row r="225">
      <x:c r="A225" s="43" t="n">
        <x:v>221</x:v>
      </x:c>
      <x:c r="B225" s="44" t="str">
        <x:v>Not Started</x:v>
      </x:c>
      <x:c r="C225" s="45" t="n">
        <x:v>34824</x:v>
      </x:c>
      <x:c r="D225" s="33" t="str">
        <x:v>Homicide: Life on the Street</x:v>
      </x:c>
      <x:c r="E225" s="33" t="str">
        <x:v>Law &amp; Order</x:v>
      </x:c>
      <x:c r="F225" s="33" t="str">
        <x:v>connected</x:v>
      </x:c>
      <x:c r="G225" s="50" t="n">
        <x:v>3</x:v>
      </x:c>
      <x:c r="H225" s="50" t="n">
        <x:v>20</x:v>
      </x:c>
      <x:c r="I225" s="44" t="str">
        <x:v>03.20</x:v>
      </x:c>
      <x:c r="J225" s="33" t="str">
        <x:v>The Gas Man</x:v>
      </x:c>
      <x:c r="K225" s="33" t="str"/>
      <x:c r="L225" s="33" t="str"/>
      <x:c r="M225" s="44" t="str"/>
      <x:c r="N225" s="50" t="n">
        <x:v>48</x:v>
      </x:c>
      <x:c r="O225" s="53" t="str">
        <x:v>A convict is released from prison and begins to get his revenge on Frank by frustrating the investigation he is currently working on and also by terrorizing his wife.</x:v>
      </x:c>
      <x:c r="P225" s="53" t="str">
        <x:v>Direct crossover with Law &amp; Order; Munch bridge to SVU</x:v>
      </x:c>
      <x:c r="Q225" s="17" t="str">
        <x:v>320010</x:v>
      </x:c>
      <x:c r="R225" s="17" t="str">
        <x:v>tt0604428</x:v>
      </x:c>
      <x:c r="S225" s="17" t="str">
        <x:v>123</x:v>
      </x:c>
    </x:row>
    <x:row r="226">
      <x:c r="A226" s="43" t="n">
        <x:v>222</x:v>
      </x:c>
      <x:c r="B226" s="44" t="str">
        <x:v>Not Started</x:v>
      </x:c>
      <x:c r="C226" s="45" t="n">
        <x:v>34830</x:v>
      </x:c>
      <x:c r="D226" s="33" t="str">
        <x:v>New York Undercover</x:v>
      </x:c>
      <x:c r="E226" s="33" t="str">
        <x:v>Law &amp; Order</x:v>
      </x:c>
      <x:c r="F226" s="33" t="str">
        <x:v>connected</x:v>
      </x:c>
      <x:c r="G226" s="50" t="n">
        <x:v>1</x:v>
      </x:c>
      <x:c r="H226" s="50" t="n">
        <x:v>26</x:v>
      </x:c>
      <x:c r="I226" s="44" t="str">
        <x:v>01.26</x:v>
      </x:c>
      <x:c r="J226" s="33" t="str">
        <x:v>Catman Comes Back</x:v>
      </x:c>
      <x:c r="K226" s="33" t="str"/>
      <x:c r="L226" s="33" t="str"/>
      <x:c r="M226" s="44" t="str"/>
      <x:c r="N226" s="50" t="n">
        <x:v>44</x:v>
      </x:c>
      <x:c r="O226" s="53" t="str">
        <x:v>With his conviction overturned, Danny Cort is back on the streets.</x:v>
      </x:c>
      <x:c r="P226" s="53" t="str">
        <x:v>Wolf-produced New York police drama; crossover-adjacent to the Law &amp; Order era</x:v>
      </x:c>
      <x:c r="Q226" s="17" t="str">
        <x:v>291012</x:v>
      </x:c>
      <x:c r="R226" s="17" t="str">
        <x:v>tt0659793</x:v>
      </x:c>
      <x:c r="S226" s="17" t="str">
        <x:v>124</x:v>
      </x:c>
    </x:row>
    <x:row r="227">
      <x:c r="A227" s="43" t="n">
        <x:v>223</x:v>
      </x:c>
      <x:c r="B227" s="44" t="str">
        <x:v>Not Started</x:v>
      </x:c>
      <x:c r="C227" s="45" t="n">
        <x:v>34836</x:v>
      </x:c>
      <x:c r="D227" s="33" t="str">
        <x:v>Law &amp; Order</x:v>
      </x:c>
      <x:c r="E227" s="33" t="str">
        <x:v>Law &amp; Order</x:v>
      </x:c>
      <x:c r="F227" s="33" t="str">
        <x:v>core</x:v>
      </x:c>
      <x:c r="G227" s="50" t="n">
        <x:v>5</x:v>
      </x:c>
      <x:c r="H227" s="50" t="n">
        <x:v>22</x:v>
      </x:c>
      <x:c r="I227" s="44" t="str">
        <x:v>05.22</x:v>
      </x:c>
      <x:c r="J227" s="33" t="str">
        <x:v>Switch</x:v>
      </x:c>
      <x:c r="K227" s="33" t="str"/>
      <x:c r="L227" s="33" t="str"/>
      <x:c r="M227" s="44" t="str"/>
      <x:c r="N227" s="50" t="n">
        <x:v>48</x:v>
      </x:c>
      <x:c r="O227" s="53" t="str">
        <x:v>Suspects in a psychiatrist's murder include the victim's ex-husband, a patient suffering from multiple-personality disorder and her obstructive father.</x:v>
      </x:c>
      <x:c r="P227" s="53" t="str">
        <x:v>Core Law &amp; Order franchise</x:v>
      </x:c>
      <x:c r="Q227" s="17" t="str">
        <x:v>34164</x:v>
      </x:c>
      <x:c r="R227" s="17" t="str">
        <x:v>tt0629446</x:v>
      </x:c>
      <x:c r="S227" s="17" t="str">
        <x:v>125</x:v>
      </x:c>
    </x:row>
    <x:row r="228">
      <x:c r="A228" s="43" t="n">
        <x:v>224</x:v>
      </x:c>
      <x:c r="B228" s="44" t="str">
        <x:v>Not Started</x:v>
      </x:c>
      <x:c r="C228" s="45" t="n">
        <x:v>34843</x:v>
      </x:c>
      <x:c r="D228" s="33" t="str">
        <x:v>Law &amp; Order</x:v>
      </x:c>
      <x:c r="E228" s="33" t="str">
        <x:v>Law &amp; Order</x:v>
      </x:c>
      <x:c r="F228" s="33" t="str">
        <x:v>core</x:v>
      </x:c>
      <x:c r="G228" s="50" t="n">
        <x:v>5</x:v>
      </x:c>
      <x:c r="H228" s="50" t="n">
        <x:v>23</x:v>
      </x:c>
      <x:c r="I228" s="44" t="str">
        <x:v>05.23</x:v>
      </x:c>
      <x:c r="J228" s="33" t="str">
        <x:v>Pride</x:v>
      </x:c>
      <x:c r="K228" s="33" t="str"/>
      <x:c r="L228" s="33" t="str"/>
      <x:c r="M228" s="44" t="str"/>
      <x:c r="N228" s="50" t="n">
        <x:v>47</x:v>
      </x:c>
      <x:c r="O228" s="53" t="str">
        <x:v>A gay city councilman is murdered and the trail leads to a bigoted rival politician and a male prostitute.</x:v>
      </x:c>
      <x:c r="P228" s="53" t="str">
        <x:v>Core Law &amp; Order franchise</x:v>
      </x:c>
      <x:c r="Q228" s="17" t="str">
        <x:v>34165</x:v>
      </x:c>
      <x:c r="R228" s="17" t="str">
        <x:v>tt0629381</x:v>
      </x:c>
      <x:c r="S228" s="17" t="str">
        <x:v>126</x:v>
      </x:c>
    </x:row>
    <x:row r="229">
      <x:c r="A229" s="43" t="n">
        <x:v>225</x:v>
      </x:c>
      <x:c r="B229" s="44" t="str">
        <x:v>Not Started</x:v>
      </x:c>
      <x:c r="C229" s="45" t="n">
        <x:v>34854</x:v>
      </x:c>
      <x:c r="D229" s="33" t="str">
        <x:v>The Wright Verdicts</x:v>
      </x:c>
      <x:c r="E229" s="33" t="str">
        <x:v>Crossover Adjacent</x:v>
      </x:c>
      <x:c r="F229" s="33" t="str">
        <x:v>complete</x:v>
      </x:c>
      <x:c r="G229" s="50" t="n">
        <x:v>1</x:v>
      </x:c>
      <x:c r="H229" s="50" t="n">
        <x:v>5</x:v>
      </x:c>
      <x:c r="I229" s="44" t="str">
        <x:v>01.05</x:v>
      </x:c>
      <x:c r="J229" s="33" t="str">
        <x:v>The Eyes of God</x:v>
      </x:c>
      <x:c r="K229" s="33" t="str"/>
      <x:c r="L229" s="33" t="str"/>
      <x:c r="M229" s="44" t="str"/>
      <x:c r="N229" s="50" t="n">
        <x:v>60</x:v>
      </x:c>
      <x:c r="O229" s="53" t="str"/>
      <x:c r="P229" s="53" t="str">
        <x:v>Dick Wolf-created legal drama</x:v>
      </x:c>
      <x:c r="Q229" s="17" t="str">
        <x:v>651620</x:v>
      </x:c>
      <x:c r="R229" s="17" t="str"/>
      <x:c r="S229" s="17" t="str"/>
    </x:row>
    <x:row r="230">
      <x:c r="A230" s="43" t="n">
        <x:v>226</x:v>
      </x:c>
      <x:c r="B230" s="44" t="str">
        <x:v>Not Started</x:v>
      </x:c>
      <x:c r="C230" s="45" t="n">
        <x:v>34861</x:v>
      </x:c>
      <x:c r="D230" s="33" t="str">
        <x:v>The Wright Verdicts</x:v>
      </x:c>
      <x:c r="E230" s="33" t="str">
        <x:v>Crossover Adjacent</x:v>
      </x:c>
      <x:c r="F230" s="33" t="str">
        <x:v>complete</x:v>
      </x:c>
      <x:c r="G230" s="50" t="n">
        <x:v>1</x:v>
      </x:c>
      <x:c r="H230" s="50" t="n">
        <x:v>6</x:v>
      </x:c>
      <x:c r="I230" s="44" t="str">
        <x:v>01.06</x:v>
      </x:c>
      <x:c r="J230" s="33" t="str">
        <x:v>Family Matters</x:v>
      </x:c>
      <x:c r="K230" s="33" t="str"/>
      <x:c r="L230" s="33" t="str"/>
      <x:c r="M230" s="44" t="str"/>
      <x:c r="N230" s="50" t="n">
        <x:v>60</x:v>
      </x:c>
      <x:c r="O230" s="53" t="str"/>
      <x:c r="P230" s="53" t="str">
        <x:v>Dick Wolf-created legal drama</x:v>
      </x:c>
      <x:c r="Q230" s="17" t="str">
        <x:v>651621</x:v>
      </x:c>
      <x:c r="R230" s="17" t="str"/>
      <x:c r="S230" s="17" t="str"/>
    </x:row>
    <x:row r="231">
      <x:c r="A231" s="43" t="n">
        <x:v>227</x:v>
      </x:c>
      <x:c r="B231" s="44" t="str">
        <x:v>Not Started</x:v>
      </x:c>
      <x:c r="C231" s="45" t="n">
        <x:v>34942</x:v>
      </x:c>
      <x:c r="D231" s="33" t="str">
        <x:v>New York Undercover</x:v>
      </x:c>
      <x:c r="E231" s="33" t="str">
        <x:v>Law &amp; Order</x:v>
      </x:c>
      <x:c r="F231" s="33" t="str">
        <x:v>connected</x:v>
      </x:c>
      <x:c r="G231" s="50" t="n">
        <x:v>2</x:v>
      </x:c>
      <x:c r="H231" s="50" t="n">
        <x:v>1</x:v>
      </x:c>
      <x:c r="I231" s="44" t="str">
        <x:v>02.01</x:v>
      </x:c>
      <x:c r="J231" s="33" t="str">
        <x:v>High on the Hog</x:v>
      </x:c>
      <x:c r="K231" s="33" t="str"/>
      <x:c r="L231" s="33" t="str"/>
      <x:c r="M231" s="44" t="str"/>
      <x:c r="N231" s="50" t="n">
        <x:v>44</x:v>
      </x:c>
      <x:c r="O231" s="53" t="str">
        <x:v>Now physically recovered, Williams is awaiting approval to return to active duty. Torres and his new partner pose as bikers to solve the double homicide of an informant and her little girl.</x:v>
      </x:c>
      <x:c r="P231" s="53" t="str">
        <x:v>Wolf-produced New York police drama; crossover-adjacent to the Law &amp; Order era</x:v>
      </x:c>
      <x:c r="Q231" s="17" t="str">
        <x:v>291013</x:v>
      </x:c>
      <x:c r="R231" s="17" t="str"/>
      <x:c r="S231" s="17" t="str">
        <x:v>127</x:v>
      </x:c>
    </x:row>
    <x:row r="232">
      <x:c r="A232" s="43" t="n">
        <x:v>228</x:v>
      </x:c>
      <x:c r="B232" s="44" t="str">
        <x:v>Not Started</x:v>
      </x:c>
      <x:c r="C232" s="45" t="n">
        <x:v>34949</x:v>
      </x:c>
      <x:c r="D232" s="33" t="str">
        <x:v>New York Undercover</x:v>
      </x:c>
      <x:c r="E232" s="33" t="str">
        <x:v>Law &amp; Order</x:v>
      </x:c>
      <x:c r="F232" s="33" t="str">
        <x:v>connected</x:v>
      </x:c>
      <x:c r="G232" s="50" t="n">
        <x:v>2</x:v>
      </x:c>
      <x:c r="H232" s="50" t="n">
        <x:v>2</x:v>
      </x:c>
      <x:c r="I232" s="44" t="str">
        <x:v>02.02</x:v>
      </x:c>
      <x:c r="J232" s="33" t="str">
        <x:v>Tag, You're Dead</x:v>
      </x:c>
      <x:c r="K232" s="33" t="str"/>
      <x:c r="L232" s="33" t="str"/>
      <x:c r="M232" s="44" t="str"/>
      <x:c r="N232" s="50" t="n">
        <x:v>44</x:v>
      </x:c>
      <x:c r="O232" s="53" t="str">
        <x:v>Williams and Torres investigate the case of a Wall Street bond salesman who claims to have shot two graffiti artists in self-defense.</x:v>
      </x:c>
      <x:c r="P232" s="53" t="str">
        <x:v>Wolf-produced New York police drama; crossover-adjacent to the Law &amp; Order era</x:v>
      </x:c>
      <x:c r="Q232" s="17" t="str">
        <x:v>291014</x:v>
      </x:c>
      <x:c r="R232" s="17" t="str"/>
      <x:c r="S232" s="17" t="str">
        <x:v>128</x:v>
      </x:c>
    </x:row>
    <x:row r="233">
      <x:c r="A233" s="43" t="n">
        <x:v>229</x:v>
      </x:c>
      <x:c r="B233" s="44" t="str">
        <x:v>Not Started</x:v>
      </x:c>
      <x:c r="C233" s="45" t="n">
        <x:v>34956</x:v>
      </x:c>
      <x:c r="D233" s="33" t="str">
        <x:v>New York Undercover</x:v>
      </x:c>
      <x:c r="E233" s="33" t="str">
        <x:v>Law &amp; Order</x:v>
      </x:c>
      <x:c r="F233" s="33" t="str">
        <x:v>connected</x:v>
      </x:c>
      <x:c r="G233" s="50" t="n">
        <x:v>2</x:v>
      </x:c>
      <x:c r="H233" s="50" t="n">
        <x:v>3</x:v>
      </x:c>
      <x:c r="I233" s="44" t="str">
        <x:v>02.03</x:v>
      </x:c>
      <x:c r="J233" s="33" t="str">
        <x:v>Man's Best Friend</x:v>
      </x:c>
      <x:c r="K233" s="33" t="str"/>
      <x:c r="L233" s="33" t="str"/>
      <x:c r="M233" s="44" t="str"/>
      <x:c r="N233" s="50" t="n">
        <x:v>44</x:v>
      </x:c>
      <x:c r="O233" s="53" t="str">
        <x:v>A man gets killed by a pit bull which causes Williams and Torres to go into the world of dog betting.</x:v>
      </x:c>
      <x:c r="P233" s="53" t="str">
        <x:v>Wolf-produced New York police drama; crossover-adjacent to the Law &amp; Order era</x:v>
      </x:c>
      <x:c r="Q233" s="17" t="str">
        <x:v>291015</x:v>
      </x:c>
      <x:c r="R233" s="17" t="str"/>
      <x:c r="S233" s="17" t="str">
        <x:v>129</x:v>
      </x:c>
    </x:row>
    <x:row r="234">
      <x:c r="A234" s="43" t="n">
        <x:v>230</x:v>
      </x:c>
      <x:c r="B234" s="44" t="str">
        <x:v>Not Started</x:v>
      </x:c>
      <x:c r="C234" s="45" t="n">
        <x:v>34962</x:v>
      </x:c>
      <x:c r="D234" s="33" t="str">
        <x:v>Law &amp; Order</x:v>
      </x:c>
      <x:c r="E234" s="33" t="str">
        <x:v>Law &amp; Order</x:v>
      </x:c>
      <x:c r="F234" s="33" t="str">
        <x:v>core</x:v>
      </x:c>
      <x:c r="G234" s="50" t="n">
        <x:v>6</x:v>
      </x:c>
      <x:c r="H234" s="50" t="n">
        <x:v>1</x:v>
      </x:c>
      <x:c r="I234" s="44" t="str">
        <x:v>06.01</x:v>
      </x:c>
      <x:c r="J234" s="33" t="str">
        <x:v>Bitter Fruit</x:v>
      </x:c>
      <x:c r="K234" s="33" t="str"/>
      <x:c r="L234" s="33" t="str"/>
      <x:c r="M234" s="44" t="str"/>
      <x:c r="N234" s="50" t="n">
        <x:v>48</x:v>
      </x:c>
      <x:c r="O234" s="53" t="str">
        <x:v>Briscoe and his new partner, Det. Reynaldo Curtis, investigate the murder of a young girl who disappeared between school and her music lesson, with a blurry film from an ATM machine as their clue.</x:v>
      </x:c>
      <x:c r="P234" s="53" t="str">
        <x:v>Core Law &amp; Order franchise</x:v>
      </x:c>
      <x:c r="Q234" s="17" t="str">
        <x:v>34166</x:v>
      </x:c>
      <x:c r="R234" s="17" t="str">
        <x:v>tt0629176</x:v>
      </x:c>
      <x:c r="S234" s="17" t="str">
        <x:v>130</x:v>
      </x:c>
    </x:row>
    <x:row r="235">
      <x:c r="A235" s="43" t="n">
        <x:v>231</x:v>
      </x:c>
      <x:c r="B235" s="44" t="str">
        <x:v>Not Started</x:v>
      </x:c>
      <x:c r="C235" s="45" t="n">
        <x:v>34963</x:v>
      </x:c>
      <x:c r="D235" s="33" t="str">
        <x:v>New York Undercover</x:v>
      </x:c>
      <x:c r="E235" s="33" t="str">
        <x:v>Law &amp; Order</x:v>
      </x:c>
      <x:c r="F235" s="33" t="str">
        <x:v>connected</x:v>
      </x:c>
      <x:c r="G235" s="50" t="n">
        <x:v>2</x:v>
      </x:c>
      <x:c r="H235" s="50" t="n">
        <x:v>4</x:v>
      </x:c>
      <x:c r="I235" s="44" t="str">
        <x:v>02.04</x:v>
      </x:c>
      <x:c r="J235" s="33" t="str">
        <x:v>Brotherhood</x:v>
      </x:c>
      <x:c r="K235" s="33" t="str"/>
      <x:c r="L235" s="33" t="str"/>
      <x:c r="M235" s="44" t="str"/>
      <x:c r="N235" s="50" t="n">
        <x:v>45</x:v>
      </x:c>
      <x:c r="O235" s="53" t="str">
        <x:v>Williams poses as a freshman to investigate a racially motivated killing on a college campus.</x:v>
      </x:c>
      <x:c r="P235" s="53" t="str">
        <x:v>Wolf-produced New York police drama; crossover-adjacent to the Law &amp; Order era</x:v>
      </x:c>
      <x:c r="Q235" s="17" t="str">
        <x:v>291016</x:v>
      </x:c>
      <x:c r="R235" s="17" t="str"/>
      <x:c r="S235" s="17" t="str">
        <x:v>131</x:v>
      </x:c>
    </x:row>
    <x:row r="236">
      <x:c r="A236" s="43" t="n">
        <x:v>232</x:v>
      </x:c>
      <x:c r="B236" s="44" t="str">
        <x:v>Not Started</x:v>
      </x:c>
      <x:c r="C236" s="45" t="n">
        <x:v>34969</x:v>
      </x:c>
      <x:c r="D236" s="33" t="str">
        <x:v>Law &amp; Order</x:v>
      </x:c>
      <x:c r="E236" s="33" t="str">
        <x:v>Law &amp; Order</x:v>
      </x:c>
      <x:c r="F236" s="33" t="str">
        <x:v>core</x:v>
      </x:c>
      <x:c r="G236" s="50" t="n">
        <x:v>6</x:v>
      </x:c>
      <x:c r="H236" s="50" t="n">
        <x:v>2</x:v>
      </x:c>
      <x:c r="I236" s="44" t="str">
        <x:v>06.02</x:v>
      </x:c>
      <x:c r="J236" s="33" t="str">
        <x:v>Rebels</x:v>
      </x:c>
      <x:c r="K236" s="33" t="str"/>
      <x:c r="L236" s="33" t="str"/>
      <x:c r="M236" s="44" t="str"/>
      <x:c r="N236" s="50" t="n">
        <x:v>48</x:v>
      </x:c>
      <x:c r="O236" s="53" t="str">
        <x:v>Briscoe and Curtis have a hard time finding cooperative witnesses when investigating the murder of a college student at a rough biker bar.</x:v>
      </x:c>
      <x:c r="P236" s="53" t="str">
        <x:v>Core Law &amp; Order franchise</x:v>
      </x:c>
      <x:c r="Q236" s="17" t="str">
        <x:v>34167</x:v>
      </x:c>
      <x:c r="R236" s="17" t="str">
        <x:v>tt0629395</x:v>
      </x:c>
      <x:c r="S236" s="17" t="str">
        <x:v>132</x:v>
      </x:c>
    </x:row>
    <x:row r="237">
      <x:c r="A237" s="43" t="n">
        <x:v>233</x:v>
      </x:c>
      <x:c r="B237" s="44" t="str">
        <x:v>Not Started</x:v>
      </x:c>
      <x:c r="C237" s="45" t="n">
        <x:v>34970</x:v>
      </x:c>
      <x:c r="D237" s="33" t="str">
        <x:v>New York News</x:v>
      </x:c>
      <x:c r="E237" s="33" t="str">
        <x:v>Crossover Adjacent</x:v>
      </x:c>
      <x:c r="F237" s="33" t="str">
        <x:v>complete</x:v>
      </x:c>
      <x:c r="G237" s="50" t="n">
        <x:v>1</x:v>
      </x:c>
      <x:c r="H237" s="50" t="n">
        <x:v>1</x:v>
      </x:c>
      <x:c r="I237" s="44" t="str">
        <x:v>01.01</x:v>
      </x:c>
      <x:c r="J237" s="33" t="str">
        <x:v>Pilot</x:v>
      </x:c>
      <x:c r="K237" s="33" t="str"/>
      <x:c r="L237" s="33" t="str"/>
      <x:c r="M237" s="44" t="str"/>
      <x:c r="N237" s="50" t="n">
        <x:v>60</x:v>
      </x:c>
      <x:c r="O237" s="53" t="str">
        <x:v>Jack smokes out an insurance scam involving the fire department. Angela's story on cops and hookers get sidetracked when she helps a young girl whose mother works full-time and father, a Broadway director, is a dead-beat dad. Ellie wants to work on Jack's story but Louise assigns her to cover the taxi driver who accidentally gave Nan a black eye. The taxi driver becomes suicidal and Ellie has a chance for an exclusive interview. Benny thinks his photo of the taxi driver will make the front page. Nan is afraid to go to the Barbara Streisand concert at Carnegie Hall because of the black eye. Tony wonders why Victor treats everyone to coffee and personalized mugs.</x:v>
      </x:c>
      <x:c r="P237" s="53" t="str">
        <x:v>Dick Wolf-produced New York drama</x:v>
      </x:c>
      <x:c r="Q237" s="17" t="str">
        <x:v>463411</x:v>
      </x:c>
      <x:c r="R237" s="17" t="str"/>
      <x:c r="S237" s="17" t="str"/>
    </x:row>
    <x:row r="238">
      <x:c r="A238" s="43" t="n">
        <x:v>234</x:v>
      </x:c>
      <x:c r="B238" s="44" t="str">
        <x:v>Not Started</x:v>
      </x:c>
      <x:c r="C238" s="45" t="n">
        <x:v>34970</x:v>
      </x:c>
      <x:c r="D238" s="33" t="str">
        <x:v>New York Undercover</x:v>
      </x:c>
      <x:c r="E238" s="33" t="str">
        <x:v>Law &amp; Order</x:v>
      </x:c>
      <x:c r="F238" s="33" t="str">
        <x:v>connected</x:v>
      </x:c>
      <x:c r="G238" s="50" t="n">
        <x:v>2</x:v>
      </x:c>
      <x:c r="H238" s="50" t="n">
        <x:v>5</x:v>
      </x:c>
      <x:c r="I238" s="44" t="str">
        <x:v>02.05</x:v>
      </x:c>
      <x:c r="J238" s="33" t="str">
        <x:v>Digital Underground</x:v>
      </x:c>
      <x:c r="K238" s="33" t="str"/>
      <x:c r="L238" s="33" t="str"/>
      <x:c r="M238" s="44" t="str"/>
      <x:c r="N238" s="50" t="n">
        <x:v>45</x:v>
      </x:c>
      <x:c r="O238" s="53" t="str">
        <x:v>Lt. Cooper's daughter ends up missing because of a pedophile she met through email.</x:v>
      </x:c>
      <x:c r="P238" s="53" t="str">
        <x:v>Wolf-produced New York police drama; crossover-adjacent to the Law &amp; Order era</x:v>
      </x:c>
      <x:c r="Q238" s="17" t="str">
        <x:v>291017</x:v>
      </x:c>
      <x:c r="R238" s="17" t="str"/>
      <x:c r="S238" s="17" t="str">
        <x:v>133</x:v>
      </x:c>
    </x:row>
    <x:row r="239">
      <x:c r="A239" s="43" t="n">
        <x:v>235</x:v>
      </x:c>
      <x:c r="B239" s="44" t="str">
        <x:v>Not Started</x:v>
      </x:c>
      <x:c r="C239" s="45" t="n">
        <x:v>34977</x:v>
      </x:c>
      <x:c r="D239" s="33" t="str">
        <x:v>New York News</x:v>
      </x:c>
      <x:c r="E239" s="33" t="str">
        <x:v>Crossover Adjacent</x:v>
      </x:c>
      <x:c r="F239" s="33" t="str">
        <x:v>complete</x:v>
      </x:c>
      <x:c r="G239" s="50" t="n">
        <x:v>1</x:v>
      </x:c>
      <x:c r="H239" s="50" t="n">
        <x:v>2</x:v>
      </x:c>
      <x:c r="I239" s="44" t="str">
        <x:v>01.02</x:v>
      </x:c>
      <x:c r="J239" s="33" t="str">
        <x:v>Fun City</x:v>
      </x:c>
      <x:c r="K239" s="33" t="str"/>
      <x:c r="L239" s="33" t="str"/>
      <x:c r="M239" s="44" t="str"/>
      <x:c r="N239" s="50" t="n">
        <x:v>60</x:v>
      </x:c>
      <x:c r="O239" s="53" t="str">
        <x:v>Louise has lunch with Frank Elliot, the owner of the New York Reporter, who informs her that he's considering selling the paper because it's losing money. Until that time, Elliot assigns an efficiency expert to recommend cutbacks. Jack's article on Chinatown sweatshops earns him praise at work but jeopardizes the livelihood of his source and gets him an ominous meeting with the godfather of Chinatown. Angela follows Adam Simms, a child killer released on parole, who returns to his neighborhood where he is unwanted. She changes her opinion of him when she meets his mother. Nan's nasty column on Fabio brings him to her office and he turns the table on her. Ellie is assigned to cover the Miss Big Apple pageant where she sees the deputy police commissioner in drag. After tracking him down and speaking to him, she has second thoughts about doing the story. Benny becomes a friend of Ellie. Mitch suffers chest pains and collapses.</x:v>
      </x:c>
      <x:c r="P239" s="53" t="str">
        <x:v>Dick Wolf-produced New York drama</x:v>
      </x:c>
      <x:c r="Q239" s="17" t="str">
        <x:v>463412</x:v>
      </x:c>
      <x:c r="R239" s="17" t="str"/>
      <x:c r="S239" s="17" t="str"/>
    </x:row>
    <x:row r="240">
      <x:c r="A240" s="43" t="n">
        <x:v>236</x:v>
      </x:c>
      <x:c r="B240" s="44" t="str">
        <x:v>Not Started</x:v>
      </x:c>
      <x:c r="C240" s="45" t="n">
        <x:v>34977</x:v>
      </x:c>
      <x:c r="D240" s="33" t="str">
        <x:v>New York Undercover</x:v>
      </x:c>
      <x:c r="E240" s="33" t="str">
        <x:v>Law &amp; Order</x:v>
      </x:c>
      <x:c r="F240" s="33" t="str">
        <x:v>connected</x:v>
      </x:c>
      <x:c r="G240" s="50" t="n">
        <x:v>2</x:v>
      </x:c>
      <x:c r="H240" s="50" t="n">
        <x:v>6</x:v>
      </x:c>
      <x:c r="I240" s="44" t="str">
        <x:v>02.06</x:v>
      </x:c>
      <x:c r="J240" s="33" t="str">
        <x:v>Buster and Claudia</x:v>
      </x:c>
      <x:c r="K240" s="33" t="str"/>
      <x:c r="L240" s="33" t="str"/>
      <x:c r="M240" s="44" t="str"/>
      <x:c r="N240" s="50" t="n">
        <x:v>45</x:v>
      </x:c>
      <x:c r="O240" s="53" t="str">
        <x:v>A string of robberies leads to an ex-con and his girlfriend. Torres tries to settle a dispute between his father and a mobster.</x:v>
      </x:c>
      <x:c r="P240" s="53" t="str">
        <x:v>Wolf-produced New York police drama; crossover-adjacent to the Law &amp; Order era</x:v>
      </x:c>
      <x:c r="Q240" s="17" t="str">
        <x:v>291018</x:v>
      </x:c>
      <x:c r="R240" s="17" t="str"/>
      <x:c r="S240" s="17" t="str">
        <x:v>134</x:v>
      </x:c>
    </x:row>
    <x:row r="241">
      <x:c r="A241" s="43" t="n">
        <x:v>237</x:v>
      </x:c>
      <x:c r="B241" s="44" t="str">
        <x:v>Not Started</x:v>
      </x:c>
      <x:c r="C241" s="45" t="n">
        <x:v>34980</x:v>
      </x:c>
      <x:c r="D241" s="33" t="str">
        <x:v>New York News</x:v>
      </x:c>
      <x:c r="E241" s="33" t="str">
        <x:v>Crossover Adjacent</x:v>
      </x:c>
      <x:c r="F241" s="33" t="str">
        <x:v>complete</x:v>
      </x:c>
      <x:c r="G241" s="50" t="n">
        <x:v>1</x:v>
      </x:c>
      <x:c r="H241" s="50" t="n">
        <x:v>3</x:v>
      </x:c>
      <x:c r="I241" s="44" t="str">
        <x:v>01.03</x:v>
      </x:c>
      <x:c r="J241" s="33" t="str">
        <x:v>Thin Line</x:v>
      </x:c>
      <x:c r="K241" s="33" t="str"/>
      <x:c r="L241" s="33" t="str"/>
      <x:c r="M241" s="44" t="str"/>
      <x:c r="N241" s="50" t="n">
        <x:v>60</x:v>
      </x:c>
      <x:c r="O241" s="53" t="str">
        <x:v>Angela covers the Central Park shooting of a mother and her two young daughters. Her investigation makes her uncomfortable when things point to the mother. In his haste to meet an insider of a car theft ring, Jack jumps a turnstile and gets arrested. He gets teased at work and the courthouse. A champion boxer selects Tony to write his biography. After witnessing the boxer's dark side Tony tries to back out but the boxer threatens to reveal Tony's affair with a married woman. Louise asks the staff to take an intelligence evaluation in a maneuver to save Victor's job. Cash-poor Ellie fails at a second job as Animaniac Yakko at a children's party. Benny offers Ellie the opportunity to be his roommate.</x:v>
      </x:c>
      <x:c r="P241" s="53" t="str">
        <x:v>Dick Wolf-produced New York drama</x:v>
      </x:c>
      <x:c r="Q241" s="17" t="str">
        <x:v>463413</x:v>
      </x:c>
      <x:c r="R241" s="17" t="str"/>
      <x:c r="S241" s="17" t="str"/>
    </x:row>
    <x:row r="242">
      <x:c r="A242" s="43" t="n">
        <x:v>238</x:v>
      </x:c>
      <x:c r="B242" s="44" t="str">
        <x:v>Not Started</x:v>
      </x:c>
      <x:c r="C242" s="45" t="n">
        <x:v>34984</x:v>
      </x:c>
      <x:c r="D242" s="33" t="str">
        <x:v>New York News</x:v>
      </x:c>
      <x:c r="E242" s="33" t="str">
        <x:v>Crossover Adjacent</x:v>
      </x:c>
      <x:c r="F242" s="33" t="str">
        <x:v>complete</x:v>
      </x:c>
      <x:c r="G242" s="50" t="n">
        <x:v>1</x:v>
      </x:c>
      <x:c r="H242" s="50" t="n">
        <x:v>4</x:v>
      </x:c>
      <x:c r="I242" s="44" t="str">
        <x:v>01.04</x:v>
      </x:c>
      <x:c r="J242" s="33" t="str">
        <x:v>Broadway Joe</x:v>
      </x:c>
      <x:c r="K242" s="33" t="str"/>
      <x:c r="L242" s="33" t="str"/>
      <x:c r="M242" s="44" t="str"/>
      <x:c r="N242" s="50" t="n">
        <x:v>60</x:v>
      </x:c>
      <x:c r="O242" s="53" t="str">
        <x:v>Martin Lapetto tips Jack about cops in his plainclothes anti-crime unit that's ripping off drug dealers. Jack's story creates complications for Lapetto, the newspaper and his life. Angela goes undercover as a 911 operator after she catches someone trying to break into her apartment and her calls to 911 get busy signals. Ellie and Benny do on-the-street research with a homeless scam artist who reveals why he desperately needs the money. Ellie has problems with Benny's other roommate, a punk rocker. It's the 20th anniversary of football star Joe Namath's appearance in pantyhose and Tony wants Namath to pose again. Nan, who once lived with Namath, refuses to help Tony until he offers an enticing trade. Mitch, who is on a health diet, gets married during lunch hour. Later, he suffers another attack.</x:v>
      </x:c>
      <x:c r="P242" s="53" t="str">
        <x:v>Dick Wolf-produced New York drama</x:v>
      </x:c>
      <x:c r="Q242" s="17" t="str">
        <x:v>463414</x:v>
      </x:c>
      <x:c r="R242" s="17" t="str"/>
      <x:c r="S242" s="17" t="str"/>
    </x:row>
    <x:row r="243">
      <x:c r="A243" s="43" t="n">
        <x:v>239</x:v>
      </x:c>
      <x:c r="B243" s="44" t="str">
        <x:v>Not Started</x:v>
      </x:c>
      <x:c r="C243" s="45" t="n">
        <x:v>34984</x:v>
      </x:c>
      <x:c r="D243" s="33" t="str">
        <x:v>New York Undercover</x:v>
      </x:c>
      <x:c r="E243" s="33" t="str">
        <x:v>Law &amp; Order</x:v>
      </x:c>
      <x:c r="F243" s="33" t="str">
        <x:v>connected</x:v>
      </x:c>
      <x:c r="G243" s="50" t="n">
        <x:v>2</x:v>
      </x:c>
      <x:c r="H243" s="50" t="n">
        <x:v>7</x:v>
      </x:c>
      <x:c r="I243" s="44" t="str">
        <x:v>02.07</x:v>
      </x:c>
      <x:c r="J243" s="33" t="str">
        <x:v>Student Affairs</x:v>
      </x:c>
      <x:c r="K243" s="33" t="str"/>
      <x:c r="L243" s="33" t="str"/>
      <x:c r="M243" s="44" t="str"/>
      <x:c r="N243" s="50" t="n">
        <x:v>44</x:v>
      </x:c>
      <x:c r="O243" s="53" t="str">
        <x:v>Williams and Torres pose as a substitute history teacher and a janitor at the high school where a crime was committed.</x:v>
      </x:c>
      <x:c r="P243" s="53" t="str">
        <x:v>Wolf-produced New York police drama; crossover-adjacent to the Law &amp; Order era</x:v>
      </x:c>
      <x:c r="Q243" s="17" t="str">
        <x:v>291019</x:v>
      </x:c>
      <x:c r="R243" s="17" t="str"/>
      <x:c r="S243" s="17" t="str">
        <x:v>135</x:v>
      </x:c>
    </x:row>
    <x:row r="244">
      <x:c r="A244" s="43" t="n">
        <x:v>240</x:v>
      </x:c>
      <x:c r="B244" s="44" t="str">
        <x:v>Not Started</x:v>
      </x:c>
      <x:c r="C244" s="45" t="n">
        <x:v>34990</x:v>
      </x:c>
      <x:c r="D244" s="33" t="str">
        <x:v>Law &amp; Order</x:v>
      </x:c>
      <x:c r="E244" s="33" t="str">
        <x:v>Law &amp; Order</x:v>
      </x:c>
      <x:c r="F244" s="33" t="str">
        <x:v>core</x:v>
      </x:c>
      <x:c r="G244" s="50" t="n">
        <x:v>6</x:v>
      </x:c>
      <x:c r="H244" s="50" t="n">
        <x:v>3</x:v>
      </x:c>
      <x:c r="I244" s="44" t="str">
        <x:v>06.03</x:v>
      </x:c>
      <x:c r="J244" s="33" t="str">
        <x:v>Savages</x:v>
      </x:c>
      <x:c r="K244" s="33" t="str"/>
      <x:c r="L244" s="33" t="str"/>
      <x:c r="M244" s="44" t="str"/>
      <x:c r="N244" s="50" t="n">
        <x:v>47</x:v>
      </x:c>
      <x:c r="O244" s="53" t="str">
        <x:v>McCoy and Kincaid clash over the death penalty as McCoy prosecutes a man who murdered an undercover cop during a drug bust.</x:v>
      </x:c>
      <x:c r="P244" s="53" t="str">
        <x:v>Core Law &amp; Order franchise</x:v>
      </x:c>
      <x:c r="Q244" s="17" t="str">
        <x:v>34168</x:v>
      </x:c>
      <x:c r="R244" s="17" t="str">
        <x:v>tt0629405</x:v>
      </x:c>
      <x:c r="S244" s="17" t="str">
        <x:v>136</x:v>
      </x:c>
    </x:row>
    <x:row r="245">
      <x:c r="A245" s="43" t="n">
        <x:v>241</x:v>
      </x:c>
      <x:c r="B245" s="44" t="str">
        <x:v>Not Started</x:v>
      </x:c>
      <x:c r="C245" s="45" t="n">
        <x:v>34991</x:v>
      </x:c>
      <x:c r="D245" s="33" t="str">
        <x:v>New York News</x:v>
      </x:c>
      <x:c r="E245" s="33" t="str">
        <x:v>Crossover Adjacent</x:v>
      </x:c>
      <x:c r="F245" s="33" t="str">
        <x:v>complete</x:v>
      </x:c>
      <x:c r="G245" s="50" t="n">
        <x:v>1</x:v>
      </x:c>
      <x:c r="H245" s="50" t="n">
        <x:v>5</x:v>
      </x:c>
      <x:c r="I245" s="44" t="str">
        <x:v>01.05</x:v>
      </x:c>
      <x:c r="J245" s="33" t="str">
        <x:v>Good-Bye Gator</x:v>
      </x:c>
      <x:c r="K245" s="33" t="str"/>
      <x:c r="L245" s="33" t="str"/>
      <x:c r="M245" s="44" t="str"/>
      <x:c r="N245" s="50" t="n">
        <x:v>60</x:v>
      </x:c>
      <x:c r="O245" s="53" t="str">
        <x:v>At the hospital Louise and Jack try to visit a recuperating Mitch but his wife Asia has banned everyone at the newspaper from seeing him. Jack investigates a possible outbreak of the deadly Ebola virus at the hospital where Mitch is staying. Louise hires an interim editor, Jim Kowalski. Kowalski guides and encourages Ellie as she pursues her investigation of the city's building inspectors, the unsafe buildings and the families who have been affected. Angela meets with Philip a racist who wants to apologize for his past. Benny uses Angela in order to find and confront Philip who was responsible for the death of the man whom Benny was named after. Tony grapples with ""The Gator"" a professional wrestler who wants to be more than just ""friends."" Nan's expense account has been slashed and the quality of her of subjects drops from Gloria Steinem to Tiny Tim.</x:v>
      </x:c>
      <x:c r="P245" s="53" t="str">
        <x:v>Dick Wolf-produced New York drama</x:v>
      </x:c>
      <x:c r="Q245" s="17" t="str">
        <x:v>463415</x:v>
      </x:c>
      <x:c r="R245" s="17" t="str"/>
      <x:c r="S245" s="17" t="str"/>
    </x:row>
    <x:row r="246">
      <x:c r="A246" s="43" t="n">
        <x:v>242</x:v>
      </x:c>
      <x:c r="B246" s="44" t="str">
        <x:v>Not Started</x:v>
      </x:c>
      <x:c r="C246" s="45" t="n">
        <x:v>34991</x:v>
      </x:c>
      <x:c r="D246" s="33" t="str">
        <x:v>New York Undercover</x:v>
      </x:c>
      <x:c r="E246" s="33" t="str">
        <x:v>Law &amp; Order</x:v>
      </x:c>
      <x:c r="F246" s="33" t="str">
        <x:v>connected</x:v>
      </x:c>
      <x:c r="G246" s="50" t="n">
        <x:v>2</x:v>
      </x:c>
      <x:c r="H246" s="50" t="n">
        <x:v>8</x:v>
      </x:c>
      <x:c r="I246" s="44" t="str">
        <x:v>02.08</x:v>
      </x:c>
      <x:c r="J246" s="33" t="str">
        <x:v>The Highest Bidder</x:v>
      </x:c>
      <x:c r="K246" s="33" t="str"/>
      <x:c r="L246" s="33" t="str"/>
      <x:c r="M246" s="44" t="str"/>
      <x:c r="N246" s="50" t="n">
        <x:v>45</x:v>
      </x:c>
      <x:c r="O246" s="53" t="str">
        <x:v>Moreno poses as a nurse. to solve a newborn's abduction.</x:v>
      </x:c>
      <x:c r="P246" s="53" t="str">
        <x:v>Wolf-produced New York police drama; crossover-adjacent to the Law &amp; Order era</x:v>
      </x:c>
      <x:c r="Q246" s="17" t="str">
        <x:v>291020</x:v>
      </x:c>
      <x:c r="R246" s="17" t="str">
        <x:v>tt0659848</x:v>
      </x:c>
      <x:c r="S246" s="17" t="str">
        <x:v>137</x:v>
      </x:c>
    </x:row>
    <x:row r="247">
      <x:c r="A247" s="43" t="n">
        <x:v>243</x:v>
      </x:c>
      <x:c r="B247" s="44" t="str">
        <x:v>Not Started</x:v>
      </x:c>
      <x:c r="C247" s="45" t="n">
        <x:v>34992</x:v>
      </x:c>
      <x:c r="D247" s="33" t="str">
        <x:v>Homicide: Life on the Street</x:v>
      </x:c>
      <x:c r="E247" s="33" t="str">
        <x:v>Law &amp; Order</x:v>
      </x:c>
      <x:c r="F247" s="33" t="str">
        <x:v>connected</x:v>
      </x:c>
      <x:c r="G247" s="50" t="n">
        <x:v>4</x:v>
      </x:c>
      <x:c r="H247" s="50" t="n">
        <x:v>1</x:v>
      </x:c>
      <x:c r="I247" s="44" t="str">
        <x:v>04.01</x:v>
      </x:c>
      <x:c r="J247" s="33" t="str">
        <x:v>Fire (1)</x:v>
      </x:c>
      <x:c r="K247" s="33" t="str"/>
      <x:c r="L247" s="33" t="str"/>
      <x:c r="M247" s="44" t="str"/>
      <x:c r="N247" s="50" t="n">
        <x:v>47</x:v>
      </x:c>
      <x:c r="O247" s="53" t="str">
        <x:v>Bolander and Felton are suspended for 22 weeks without pay for incidents related to activities at a police convention in Washington, DC. Howard plans to take the sergeant's exam. Pembleton and Bayliss are assigned to investigate the death of a body found at an arson. At the scene they meet an arson detective that clashes with Frank's working style. Frank hesitates chasing a suspect, and later we learn that his wife is pregnant. Munch also decides to take the exam, and when the wagering begins on who is going to pass, everyone favors Howard. While the detectives are debating whether the fire was set to cover the murder, another fire is started.</x:v>
      </x:c>
      <x:c r="P247" s="53" t="str">
        <x:v>Direct crossover with Law &amp; Order; Munch bridge to SVU</x:v>
      </x:c>
      <x:c r="Q247" s="17" t="str">
        <x:v>320011</x:v>
      </x:c>
      <x:c r="R247" s="17" t="str">
        <x:v>tt0604367</x:v>
      </x:c>
      <x:c r="S247" s="17" t="str">
        <x:v>138</x:v>
      </x:c>
    </x:row>
    <x:row r="248">
      <x:c r="A248" s="43" t="n">
        <x:v>244</x:v>
      </x:c>
      <x:c r="B248" s="44" t="str">
        <x:v>Not Started</x:v>
      </x:c>
      <x:c r="C248" s="45" t="n">
        <x:v>34999</x:v>
      </x:c>
      <x:c r="D248" s="33" t="str">
        <x:v>Homicide: Life on the Street</x:v>
      </x:c>
      <x:c r="E248" s="33" t="str">
        <x:v>Law &amp; Order</x:v>
      </x:c>
      <x:c r="F248" s="33" t="str">
        <x:v>connected</x:v>
      </x:c>
      <x:c r="G248" s="50" t="n">
        <x:v>4</x:v>
      </x:c>
      <x:c r="H248" s="50" t="n">
        <x:v>2</x:v>
      </x:c>
      <x:c r="I248" s="44" t="str">
        <x:v>04.02</x:v>
      </x:c>
      <x:c r="J248" s="33" t="str">
        <x:v>Fire (2)</x:v>
      </x:c>
      <x:c r="K248" s="33" t="str"/>
      <x:c r="L248" s="33" t="str"/>
      <x:c r="M248" s="44" t="str"/>
      <x:c r="N248" s="50" t="n">
        <x:v>46</x:v>
      </x:c>
      <x:c r="O248" s="53" t="str">
        <x:v>The fire investigation continues. Bayliss' back is acting up and Kellerman is paired with Pembleton. Kellerman shows Gee something, so he is offered a transfer into the department that he first rejects. Kay takes the sergeant's exam, Munch misses it due a ""comedy of errors.""</x:v>
      </x:c>
      <x:c r="P248" s="53" t="str">
        <x:v>Direct crossover with Law &amp; Order; Munch bridge to SVU</x:v>
      </x:c>
      <x:c r="Q248" s="17" t="str">
        <x:v>320012</x:v>
      </x:c>
      <x:c r="R248" s="17" t="str">
        <x:v>tt0604368</x:v>
      </x:c>
      <x:c r="S248" s="17" t="str">
        <x:v>139</x:v>
      </x:c>
    </x:row>
    <x:row r="249">
      <x:c r="A249" s="43" t="n">
        <x:v>245</x:v>
      </x:c>
      <x:c r="B249" s="44" t="str">
        <x:v>Not Started</x:v>
      </x:c>
      <x:c r="C249" s="45" t="n">
        <x:v>35004</x:v>
      </x:c>
      <x:c r="D249" s="33" t="str">
        <x:v>Law &amp; Order</x:v>
      </x:c>
      <x:c r="E249" s="33" t="str">
        <x:v>Law &amp; Order</x:v>
      </x:c>
      <x:c r="F249" s="33" t="str">
        <x:v>core</x:v>
      </x:c>
      <x:c r="G249" s="50" t="n">
        <x:v>6</x:v>
      </x:c>
      <x:c r="H249" s="50" t="n">
        <x:v>4</x:v>
      </x:c>
      <x:c r="I249" s="44" t="str">
        <x:v>06.04</x:v>
      </x:c>
      <x:c r="J249" s="33" t="str">
        <x:v>Jeopardy</x:v>
      </x:c>
      <x:c r="K249" s="33" t="str"/>
      <x:c r="L249" s="33" t="str"/>
      <x:c r="M249" s="44" t="str"/>
      <x:c r="N249" s="50" t="n">
        <x:v>48</x:v>
      </x:c>
      <x:c r="O249" s="53" t="str">
        <x:v>A triple murder at a magazine publishing company leads to a case of sibling rivalry, a protective matriarch and a corrupt judge.</x:v>
      </x:c>
      <x:c r="P249" s="53" t="str">
        <x:v>Core Law &amp; Order franchise</x:v>
      </x:c>
      <x:c r="Q249" s="17" t="str">
        <x:v>34169</x:v>
      </x:c>
      <x:c r="R249" s="17" t="str">
        <x:v>tt0629314</x:v>
      </x:c>
      <x:c r="S249" s="17" t="str">
        <x:v>140</x:v>
      </x:c>
    </x:row>
    <x:row r="250">
      <x:c r="A250" s="43" t="n">
        <x:v>246</x:v>
      </x:c>
      <x:c r="B250" s="44" t="str">
        <x:v>Not Started</x:v>
      </x:c>
      <x:c r="C250" s="45" t="n">
        <x:v>35005</x:v>
      </x:c>
      <x:c r="D250" s="33" t="str">
        <x:v>New York News</x:v>
      </x:c>
      <x:c r="E250" s="33" t="str">
        <x:v>Crossover Adjacent</x:v>
      </x:c>
      <x:c r="F250" s="33" t="str">
        <x:v>complete</x:v>
      </x:c>
      <x:c r="G250" s="50" t="n">
        <x:v>1</x:v>
      </x:c>
      <x:c r="H250" s="50" t="n">
        <x:v>6</x:v>
      </x:c>
      <x:c r="I250" s="44" t="str">
        <x:v>01.06</x:v>
      </x:c>
      <x:c r="J250" s="33" t="str">
        <x:v>A Question of Truth</x:v>
      </x:c>
      <x:c r="K250" s="33" t="str"/>
      <x:c r="L250" s="33" t="str"/>
      <x:c r="M250" s="44" t="str"/>
      <x:c r="N250" s="50" t="n">
        <x:v>60</x:v>
      </x:c>
      <x:c r="O250" s="53" t="str">
        <x:v>Angela goes to her old neighborhood in Little Italy looking for leads on one of the mob families but ends up doing a story on domestic abuse that involves a former boyfriend. Jack's story on Joe Kessler, a second-string bomb squad expert, and his role in diffusing a bomb makes him a hero but the follow-up story makes Joe suicidal. Nan moves into a co-op and is invited to be on the board. When a famous fashion designer, who revealed she is a lesbian during the interview, is turned down for an apartment, Nan is at odds with the other board members. Tony, who has been secretly working on a novel, is upset with Victor because a copy of the manuscript was left on the copier. Ellie's series on city building-code violations turns up more dirt than she expected. She confronts temporary editor-in-chief Jim Kowalski with the new information but he tells her it doesn't matter. Ellie talks to Louise who confronts Jim. He calls Ellie a liar and dares Louise to verify Ellie's information. Louise goe</x:v>
      </x:c>
      <x:c r="P250" s="53" t="str">
        <x:v>Dick Wolf-produced New York drama</x:v>
      </x:c>
      <x:c r="Q250" s="17" t="str">
        <x:v>463416</x:v>
      </x:c>
      <x:c r="R250" s="17" t="str"/>
      <x:c r="S250" s="17" t="str"/>
    </x:row>
    <x:row r="251">
      <x:c r="A251" s="43" t="n">
        <x:v>247</x:v>
      </x:c>
      <x:c r="B251" s="44" t="str">
        <x:v>Not Started</x:v>
      </x:c>
      <x:c r="C251" s="45" t="n">
        <x:v>35005</x:v>
      </x:c>
      <x:c r="D251" s="33" t="str">
        <x:v>New York Undercover</x:v>
      </x:c>
      <x:c r="E251" s="33" t="str">
        <x:v>Law &amp; Order</x:v>
      </x:c>
      <x:c r="F251" s="33" t="str">
        <x:v>connected</x:v>
      </x:c>
      <x:c r="G251" s="50" t="n">
        <x:v>2</x:v>
      </x:c>
      <x:c r="H251" s="50" t="n">
        <x:v>9</x:v>
      </x:c>
      <x:c r="I251" s="44" t="str">
        <x:v>02.09</x:v>
      </x:c>
      <x:c r="J251" s="33" t="str">
        <x:v>Young, Beautiful and Dead</x:v>
      </x:c>
      <x:c r="K251" s="33" t="str"/>
      <x:c r="L251" s="33" t="str"/>
      <x:c r="M251" s="44" t="str"/>
      <x:c r="N251" s="50" t="n">
        <x:v>45</x:v>
      </x:c>
      <x:c r="O251" s="53" t="str">
        <x:v>Williams poses as a model to investigate the face-slashing of a teen cover girl.</x:v>
      </x:c>
      <x:c r="P251" s="53" t="str">
        <x:v>Wolf-produced New York police drama; crossover-adjacent to the Law &amp; Order era</x:v>
      </x:c>
      <x:c r="Q251" s="17" t="str">
        <x:v>291021</x:v>
      </x:c>
      <x:c r="R251" s="17" t="str"/>
      <x:c r="S251" s="17" t="str">
        <x:v>141</x:v>
      </x:c>
    </x:row>
    <x:row r="252">
      <x:c r="A252" s="43" t="n">
        <x:v>248</x:v>
      </x:c>
      <x:c r="B252" s="44" t="str">
        <x:v>Not Started</x:v>
      </x:c>
      <x:c r="C252" s="45" t="n">
        <x:v>35006</x:v>
      </x:c>
      <x:c r="D252" s="33" t="str">
        <x:v>Homicide: Life on the Street</x:v>
      </x:c>
      <x:c r="E252" s="33" t="str">
        <x:v>Law &amp; Order</x:v>
      </x:c>
      <x:c r="F252" s="33" t="str">
        <x:v>connected</x:v>
      </x:c>
      <x:c r="G252" s="50" t="n">
        <x:v>4</x:v>
      </x:c>
      <x:c r="H252" s="50" t="n">
        <x:v>3</x:v>
      </x:c>
      <x:c r="I252" s="44" t="str">
        <x:v>04.03</x:v>
      </x:c>
      <x:c r="J252" s="33" t="str">
        <x:v>Autofocus</x:v>
      </x:c>
      <x:c r="K252" s="33" t="str"/>
      <x:c r="L252" s="33" t="str"/>
      <x:c r="M252" s="44" t="str"/>
      <x:c r="N252" s="50" t="n">
        <x:v>46</x:v>
      </x:c>
      <x:c r="O252" s="53" t="str">
        <x:v>A gas leak causes the detectives to evacuate the building, so they relocate to an old bank building. Lewis is paired up with Kellerman on the murder of a woman. Sergeant Howard tries to carve out a place for herself with the other detectives, but her efforts prove unpopular. Pembleton has trouble adjusting to the new surroundings and his wife's pregnancy. A cameraman who was at the scene of the murder has who he thinks is the perpetrator on tape; however, when he brings the tape to Gee, he is thrown out before he can say why he's there. The cameraman eventually strikes a deal with Lewis and Kellerman.</x:v>
      </x:c>
      <x:c r="P252" s="53" t="str">
        <x:v>Direct crossover with Law &amp; Order; Munch bridge to SVU</x:v>
      </x:c>
      <x:c r="Q252" s="17" t="str">
        <x:v>320013</x:v>
      </x:c>
      <x:c r="R252" s="17" t="str">
        <x:v>tt0604338</x:v>
      </x:c>
      <x:c r="S252" s="17" t="str">
        <x:v>142</x:v>
      </x:c>
    </x:row>
    <x:row r="253">
      <x:c r="A253" s="43" t="n">
        <x:v>249</x:v>
      </x:c>
      <x:c r="B253" s="44" t="str">
        <x:v>Not Started</x:v>
      </x:c>
      <x:c r="C253" s="45" t="n">
        <x:v>35011</x:v>
      </x:c>
      <x:c r="D253" s="33" t="str">
        <x:v>Law &amp; Order</x:v>
      </x:c>
      <x:c r="E253" s="33" t="str">
        <x:v>Law &amp; Order</x:v>
      </x:c>
      <x:c r="F253" s="33" t="str">
        <x:v>core</x:v>
      </x:c>
      <x:c r="G253" s="50" t="n">
        <x:v>6</x:v>
      </x:c>
      <x:c r="H253" s="50" t="n">
        <x:v>5</x:v>
      </x:c>
      <x:c r="I253" s="44" t="str">
        <x:v>06.05</x:v>
      </x:c>
      <x:c r="J253" s="33" t="str">
        <x:v>Hot Pursuit</x:v>
      </x:c>
      <x:c r="K253" s="33" t="str"/>
      <x:c r="L253" s="33" t="str"/>
      <x:c r="M253" s="44" t="str"/>
      <x:c r="N253" s="50" t="n">
        <x:v>47</x:v>
      </x:c>
      <x:c r="O253" s="53" t="str">
        <x:v>When the detectives solve a series of murders committed by a holdup team in ski masks, McCoy must determine whether a young woman found with them is an unwilling hostage, or an active participant in the crimes.</x:v>
      </x:c>
      <x:c r="P253" s="53" t="str">
        <x:v>Core Law &amp; Order franchise</x:v>
      </x:c>
      <x:c r="Q253" s="17" t="str">
        <x:v>34170</x:v>
      </x:c>
      <x:c r="R253" s="17" t="str">
        <x:v>tt0629300</x:v>
      </x:c>
      <x:c r="S253" s="17" t="str">
        <x:v>143</x:v>
      </x:c>
    </x:row>
    <x:row r="254">
      <x:c r="A254" s="43" t="n">
        <x:v>250</x:v>
      </x:c>
      <x:c r="B254" s="44" t="str">
        <x:v>Not Started</x:v>
      </x:c>
      <x:c r="C254" s="45" t="n">
        <x:v>35012</x:v>
      </x:c>
      <x:c r="D254" s="33" t="str">
        <x:v>New York News</x:v>
      </x:c>
      <x:c r="E254" s="33" t="str">
        <x:v>Crossover Adjacent</x:v>
      </x:c>
      <x:c r="F254" s="33" t="str">
        <x:v>complete</x:v>
      </x:c>
      <x:c r="G254" s="50" t="n">
        <x:v>1</x:v>
      </x:c>
      <x:c r="H254" s="50" t="n">
        <x:v>7</x:v>
      </x:c>
      <x:c r="I254" s="44" t="str">
        <x:v>01.07</x:v>
      </x:c>
      <x:c r="J254" s="33" t="str">
        <x:v>Welcome Back Cotter</x:v>
      </x:c>
      <x:c r="K254" s="33" t="str"/>
      <x:c r="L254" s="33" t="str"/>
      <x:c r="M254" s="44" t="str"/>
      <x:c r="N254" s="50" t="n">
        <x:v>60</x:v>
      </x:c>
      <x:c r="O254" s="53" t="str"/>
      <x:c r="P254" s="53" t="str">
        <x:v>Dick Wolf-produced New York drama</x:v>
      </x:c>
      <x:c r="Q254" s="17" t="str">
        <x:v>463417</x:v>
      </x:c>
      <x:c r="R254" s="17" t="str"/>
      <x:c r="S254" s="17" t="str"/>
    </x:row>
    <x:row r="255">
      <x:c r="A255" s="43" t="n">
        <x:v>251</x:v>
      </x:c>
      <x:c r="B255" s="44" t="str">
        <x:v>Not Started</x:v>
      </x:c>
      <x:c r="C255" s="45" t="n">
        <x:v>35012</x:v>
      </x:c>
      <x:c r="D255" s="33" t="str">
        <x:v>New York Undercover</x:v>
      </x:c>
      <x:c r="E255" s="33" t="str">
        <x:v>Law &amp; Order</x:v>
      </x:c>
      <x:c r="F255" s="33" t="str">
        <x:v>connected</x:v>
      </x:c>
      <x:c r="G255" s="50" t="n">
        <x:v>2</x:v>
      </x:c>
      <x:c r="H255" s="50" t="n">
        <x:v>10</x:v>
      </x:c>
      <x:c r="I255" s="44" t="str">
        <x:v>02.10</x:v>
      </x:c>
      <x:c r="J255" s="33" t="str">
        <x:v>Color Lines</x:v>
      </x:c>
      <x:c r="K255" s="33" t="str"/>
      <x:c r="L255" s="33" t="str"/>
      <x:c r="M255" s="44" t="str"/>
      <x:c r="N255" s="50" t="n">
        <x:v>44</x:v>
      </x:c>
      <x:c r="O255" s="53" t="str">
        <x:v>A serial bomber threatens Williams and Torres.</x:v>
      </x:c>
      <x:c r="P255" s="53" t="str">
        <x:v>Wolf-produced New York police drama; crossover-adjacent to the Law &amp; Order era</x:v>
      </x:c>
      <x:c r="Q255" s="17" t="str">
        <x:v>291022</x:v>
      </x:c>
      <x:c r="R255" s="17" t="str"/>
      <x:c r="S255" s="17" t="str">
        <x:v>144</x:v>
      </x:c>
    </x:row>
    <x:row r="256">
      <x:c r="A256" s="43" t="n">
        <x:v>252</x:v>
      </x:c>
      <x:c r="B256" s="44" t="str">
        <x:v>Not Started</x:v>
      </x:c>
      <x:c r="C256" s="45" t="n">
        <x:v>35014</x:v>
      </x:c>
      <x:c r="D256" s="33" t="str">
        <x:v>Homicide: Life on the Street</x:v>
      </x:c>
      <x:c r="E256" s="33" t="str">
        <x:v>Law &amp; Order</x:v>
      </x:c>
      <x:c r="F256" s="33" t="str">
        <x:v>connected</x:v>
      </x:c>
      <x:c r="G256" s="50" t="n">
        <x:v>4</x:v>
      </x:c>
      <x:c r="H256" s="50" t="n">
        <x:v>4</x:v>
      </x:c>
      <x:c r="I256" s="44" t="str">
        <x:v>04.04</x:v>
      </x:c>
      <x:c r="J256" s="33" t="str">
        <x:v>Thrill of the Kill</x:v>
      </x:c>
      <x:c r="K256" s="33" t="str"/>
      <x:c r="L256" s="33" t="str"/>
      <x:c r="M256" s="44" t="str"/>
      <x:c r="N256" s="50" t="n">
        <x:v>47</x:v>
      </x:c>
      <x:c r="O256" s="53" t="str">
        <x:v>The squad returns to the station. The FBI joins with the detectives to stop a ""thrill killer"" who's working his way north on I-95. Gee tries to reconcile with his daughter. The killer smells a rat at a roadblock so he bails out of his pickup. Everyone mobilizes to find him and when they do, the suspect in custody, while identical to the killer, claims he is innocent.</x:v>
      </x:c>
      <x:c r="P256" s="53" t="str">
        <x:v>Direct crossover with Law &amp; Order; Munch bridge to SVU</x:v>
      </x:c>
      <x:c r="Q256" s="17" t="str">
        <x:v>320014</x:v>
      </x:c>
      <x:c r="R256" s="17" t="str">
        <x:v>tt0604441</x:v>
      </x:c>
      <x:c r="S256" s="17" t="str"/>
    </x:row>
    <x:row r="257">
      <x:c r="A257" s="43" t="n">
        <x:v>253</x:v>
      </x:c>
      <x:c r="B257" s="44" t="str">
        <x:v>Not Started</x:v>
      </x:c>
      <x:c r="C257" s="45" t="n">
        <x:v>35018</x:v>
      </x:c>
      <x:c r="D257" s="33" t="str">
        <x:v>Law &amp; Order</x:v>
      </x:c>
      <x:c r="E257" s="33" t="str">
        <x:v>Law &amp; Order</x:v>
      </x:c>
      <x:c r="F257" s="33" t="str">
        <x:v>core</x:v>
      </x:c>
      <x:c r="G257" s="50" t="n">
        <x:v>6</x:v>
      </x:c>
      <x:c r="H257" s="50" t="n">
        <x:v>6</x:v>
      </x:c>
      <x:c r="I257" s="44" t="str">
        <x:v>06.06</x:v>
      </x:c>
      <x:c r="J257" s="33" t="str">
        <x:v>Paranoia</x:v>
      </x:c>
      <x:c r="K257" s="33" t="str"/>
      <x:c r="L257" s="33" t="str"/>
      <x:c r="M257" s="44" t="str"/>
      <x:c r="N257" s="50" t="n">
        <x:v>47</x:v>
      </x:c>
      <x:c r="O257" s="53" t="str">
        <x:v>Briscoe and Curtis try to solve a co-ed's murder after a graphic description appears online, while McCoy finds himself up against a lawyer who is reluctant to reveal elements of her client's past.</x:v>
      </x:c>
      <x:c r="P257" s="53" t="str">
        <x:v>Core Law &amp; Order franchise</x:v>
      </x:c>
      <x:c r="Q257" s="17" t="str">
        <x:v>34171</x:v>
      </x:c>
      <x:c r="R257" s="17" t="str">
        <x:v>tt0629366</x:v>
      </x:c>
      <x:c r="S257" s="17" t="str">
        <x:v>145</x:v>
      </x:c>
    </x:row>
    <x:row r="258">
      <x:c r="A258" s="43" t="n">
        <x:v>254</x:v>
      </x:c>
      <x:c r="B258" s="44" t="str">
        <x:v>Not Started</x:v>
      </x:c>
      <x:c r="C258" s="45" t="n">
        <x:v>35019</x:v>
      </x:c>
      <x:c r="D258" s="33" t="str">
        <x:v>New York Undercover</x:v>
      </x:c>
      <x:c r="E258" s="33" t="str">
        <x:v>Law &amp; Order</x:v>
      </x:c>
      <x:c r="F258" s="33" t="str">
        <x:v>connected</x:v>
      </x:c>
      <x:c r="G258" s="50" t="n">
        <x:v>2</x:v>
      </x:c>
      <x:c r="H258" s="50" t="n">
        <x:v>11</x:v>
      </x:c>
      <x:c r="I258" s="44" t="str">
        <x:v>02.11</x:v>
      </x:c>
      <x:c r="J258" s="33" t="str">
        <x:v>The Finals</x:v>
      </x:c>
      <x:c r="K258" s="33" t="str"/>
      <x:c r="L258" s="33" t="str"/>
      <x:c r="M258" s="44" t="str"/>
      <x:c r="N258" s="50" t="n">
        <x:v>45</x:v>
      </x:c>
      <x:c r="O258" s="53" t="str">
        <x:v>Danny Cort returns with an agenda for Williams to lose his job and his best friend--and to ""smoke [the officer's] little kid.""</x:v>
      </x:c>
      <x:c r="P258" s="53" t="str">
        <x:v>Wolf-produced New York police drama; crossover-adjacent to the Law &amp; Order era</x:v>
      </x:c>
      <x:c r="Q258" s="17" t="str">
        <x:v>291023</x:v>
      </x:c>
      <x:c r="R258" s="17" t="str"/>
      <x:c r="S258" s="17" t="str">
        <x:v>146</x:v>
      </x:c>
    </x:row>
    <x:row r="259">
      <x:c r="A259" s="43" t="n">
        <x:v>255</x:v>
      </x:c>
      <x:c r="B259" s="44" t="str">
        <x:v>Not Started</x:v>
      </x:c>
      <x:c r="C259" s="45" t="n">
        <x:v>35021</x:v>
      </x:c>
      <x:c r="D259" s="33" t="str">
        <x:v>Homicide: Life on the Street</x:v>
      </x:c>
      <x:c r="E259" s="33" t="str">
        <x:v>Law &amp; Order</x:v>
      </x:c>
      <x:c r="F259" s="33" t="str">
        <x:v>connected</x:v>
      </x:c>
      <x:c r="G259" s="50" t="n">
        <x:v>4</x:v>
      </x:c>
      <x:c r="H259" s="50" t="n">
        <x:v>5</x:v>
      </x:c>
      <x:c r="I259" s="44" t="str">
        <x:v>04.05</x:v>
      </x:c>
      <x:c r="J259" s="33" t="str">
        <x:v>Hate Crimes</x:v>
      </x:c>
      <x:c r="K259" s="33" t="str"/>
      <x:c r="L259" s="33" t="str"/>
      <x:c r="M259" s="44" t="str"/>
      <x:c r="N259" s="50" t="n">
        <x:v>46</x:v>
      </x:c>
      <x:c r="O259" s="53" t="str">
        <x:v>Pembleton and Bayliss investigate a murder that was committed in a gay neighborhood by skinheads and the victim's sexual preference is questioned. Brodie is hired by the department to videotape the detectives' crime scenes. A voice stress analyzer is brought in for a demonstration. Meldrick gets a lead and closes an old Crosetti case that even Howard couldn't crack; it causes a little tension between them.</x:v>
      </x:c>
      <x:c r="P259" s="53" t="str">
        <x:v>Direct crossover with Law &amp; Order; Munch bridge to SVU</x:v>
      </x:c>
      <x:c r="Q259" s="17" t="str">
        <x:v>320015</x:v>
      </x:c>
      <x:c r="R259" s="17" t="str">
        <x:v>tt0604376</x:v>
      </x:c>
      <x:c r="S259" s="17" t="str"/>
    </x:row>
    <x:row r="260">
      <x:c r="A260" s="43" t="n">
        <x:v>256</x:v>
      </x:c>
      <x:c r="B260" s="44" t="str">
        <x:v>Not Started</x:v>
      </x:c>
      <x:c r="C260" s="45" t="n">
        <x:v>35025</x:v>
      </x:c>
      <x:c r="D260" s="33" t="str">
        <x:v>Law &amp; Order</x:v>
      </x:c>
      <x:c r="E260" s="33" t="str">
        <x:v>Law &amp; Order</x:v>
      </x:c>
      <x:c r="F260" s="33" t="str">
        <x:v>core</x:v>
      </x:c>
      <x:c r="G260" s="50" t="n">
        <x:v>6</x:v>
      </x:c>
      <x:c r="H260" s="50" t="n">
        <x:v>7</x:v>
      </x:c>
      <x:c r="I260" s="44" t="str">
        <x:v>06.07</x:v>
      </x:c>
      <x:c r="J260" s="33" t="str">
        <x:v>Humiliation</x:v>
      </x:c>
      <x:c r="K260" s="33" t="str"/>
      <x:c r="L260" s="33" t="str"/>
      <x:c r="M260" s="44" t="str"/>
      <x:c r="N260" s="50" t="n">
        <x:v>47</x:v>
      </x:c>
      <x:c r="O260" s="53" t="str">
        <x:v>The investigation into a prostitute's murder leads to a married plastic surgeon as the obvious suspect, but Kincaid has a hunch that an elaborate frame-up is in play.</x:v>
      </x:c>
      <x:c r="P260" s="53" t="str">
        <x:v>Core Law &amp; Order franchise</x:v>
      </x:c>
      <x:c r="Q260" s="17" t="str">
        <x:v>34172</x:v>
      </x:c>
      <x:c r="R260" s="17" t="str">
        <x:v>tt0629305</x:v>
      </x:c>
      <x:c r="S260" s="17" t="str">
        <x:v>149</x:v>
      </x:c>
    </x:row>
    <x:row r="261">
      <x:c r="A261" s="43" t="n">
        <x:v>257</x:v>
      </x:c>
      <x:c r="B261" s="44" t="str">
        <x:v>Not Started</x:v>
      </x:c>
      <x:c r="C261" s="45" t="n">
        <x:v>35032</x:v>
      </x:c>
      <x:c r="D261" s="33" t="str">
        <x:v>Law &amp; Order</x:v>
      </x:c>
      <x:c r="E261" s="33" t="str">
        <x:v>Law &amp; Order</x:v>
      </x:c>
      <x:c r="F261" s="33" t="str">
        <x:v>core</x:v>
      </x:c>
      <x:c r="G261" s="50" t="n">
        <x:v>6</x:v>
      </x:c>
      <x:c r="H261" s="50" t="n">
        <x:v>8</x:v>
      </x:c>
      <x:c r="I261" s="44" t="str">
        <x:v>06.08</x:v>
      </x:c>
      <x:c r="J261" s="33" t="str">
        <x:v>Angel</x:v>
      </x:c>
      <x:c r="K261" s="33" t="str"/>
      <x:c r="L261" s="33" t="str"/>
      <x:c r="M261" s="44" t="str"/>
      <x:c r="N261" s="50" t="n">
        <x:v>48</x:v>
      </x:c>
      <x:c r="O261" s="53" t="str">
        <x:v>A mother claiming that her baby was kidnapped while she was at confession retraces her steps and actions with Curtis, which raises legal questions later when her attorney introduces a unique defense.</x:v>
      </x:c>
      <x:c r="P261" s="53" t="str">
        <x:v>Core Law &amp; Order franchise</x:v>
      </x:c>
      <x:c r="Q261" s="17" t="str">
        <x:v>34173</x:v>
      </x:c>
      <x:c r="R261" s="17" t="str">
        <x:v>tt0629157</x:v>
      </x:c>
      <x:c r="S261" s="17" t="str">
        <x:v>150</x:v>
      </x:c>
    </x:row>
    <x:row r="262">
      <x:c r="A262" s="43" t="n">
        <x:v>258</x:v>
      </x:c>
      <x:c r="B262" s="44" t="str">
        <x:v>Not Started</x:v>
      </x:c>
      <x:c r="C262" s="45" t="n">
        <x:v>35033</x:v>
      </x:c>
      <x:c r="D262" s="33" t="str">
        <x:v>New York News</x:v>
      </x:c>
      <x:c r="E262" s="33" t="str">
        <x:v>Crossover Adjacent</x:v>
      </x:c>
      <x:c r="F262" s="33" t="str">
        <x:v>complete</x:v>
      </x:c>
      <x:c r="G262" s="50" t="n">
        <x:v>1</x:v>
      </x:c>
      <x:c r="H262" s="50" t="n">
        <x:v>8</x:v>
      </x:c>
      <x:c r="I262" s="44" t="str">
        <x:v>01.08</x:v>
      </x:c>
      <x:c r="J262" s="33" t="str">
        <x:v>You Thought the Pope was Something</x:v>
      </x:c>
      <x:c r="K262" s="33" t="str"/>
      <x:c r="L262" s="33" t="str"/>
      <x:c r="M262" s="44" t="str"/>
      <x:c r="N262" s="50" t="n">
        <x:v>60</x:v>
      </x:c>
      <x:c r="O262" s="53" t="str"/>
      <x:c r="P262" s="53" t="str">
        <x:v>Dick Wolf-produced New York drama</x:v>
      </x:c>
      <x:c r="Q262" s="17" t="str">
        <x:v>463418</x:v>
      </x:c>
      <x:c r="R262" s="17" t="str"/>
      <x:c r="S262" s="17" t="str"/>
    </x:row>
    <x:row r="263">
      <x:c r="A263" s="43" t="n">
        <x:v>259</x:v>
      </x:c>
      <x:c r="B263" s="44" t="str">
        <x:v>Not Started</x:v>
      </x:c>
      <x:c r="C263" s="45" t="n">
        <x:v>35033</x:v>
      </x:c>
      <x:c r="D263" s="33" t="str">
        <x:v>New York Undercover</x:v>
      </x:c>
      <x:c r="E263" s="33" t="str">
        <x:v>Law &amp; Order</x:v>
      </x:c>
      <x:c r="F263" s="33" t="str">
        <x:v>connected</x:v>
      </x:c>
      <x:c r="G263" s="50" t="n">
        <x:v>2</x:v>
      </x:c>
      <x:c r="H263" s="50" t="n">
        <x:v>12</x:v>
      </x:c>
      <x:c r="I263" s="44" t="str">
        <x:v>02.12</x:v>
      </x:c>
      <x:c r="J263" s="33" t="str">
        <x:v>Internal Affairs</x:v>
      </x:c>
      <x:c r="K263" s="33" t="str"/>
      <x:c r="L263" s="33" t="str"/>
      <x:c r="M263" s="44" t="str"/>
      <x:c r="N263" s="50" t="n">
        <x:v>45</x:v>
      </x:c>
      <x:c r="O263" s="53" t="str">
        <x:v>Williams is investigated by the internal affairs division for Danny Cort's death (or murder?).</x:v>
      </x:c>
      <x:c r="P263" s="53" t="str">
        <x:v>Wolf-produced New York police drama; crossover-adjacent to the Law &amp; Order era</x:v>
      </x:c>
      <x:c r="Q263" s="17" t="str">
        <x:v>291024</x:v>
      </x:c>
      <x:c r="R263" s="17" t="str">
        <x:v>tt0659815</x:v>
      </x:c>
      <x:c r="S263" s="17" t="str">
        <x:v>151</x:v>
      </x:c>
    </x:row>
    <x:row r="264">
      <x:c r="A264" s="43" t="n">
        <x:v>260</x:v>
      </x:c>
      <x:c r="B264" s="44" t="str">
        <x:v>Not Started</x:v>
      </x:c>
      <x:c r="C264" s="45" t="n">
        <x:v>35035</x:v>
      </x:c>
      <x:c r="D264" s="33" t="str">
        <x:v>Homicide: Life on the Street</x:v>
      </x:c>
      <x:c r="E264" s="33" t="str">
        <x:v>Law &amp; Order</x:v>
      </x:c>
      <x:c r="F264" s="33" t="str">
        <x:v>connected</x:v>
      </x:c>
      <x:c r="G264" s="50" t="n">
        <x:v>4</x:v>
      </x:c>
      <x:c r="H264" s="50" t="n">
        <x:v>6</x:v>
      </x:c>
      <x:c r="I264" s="44" t="str">
        <x:v>04.06</x:v>
      </x:c>
      <x:c r="J264" s="33" t="str">
        <x:v>A Doll's Eyes</x:v>
      </x:c>
      <x:c r="K264" s="33" t="str"/>
      <x:c r="L264" s="33" t="str"/>
      <x:c r="M264" s="44" t="str"/>
      <x:c r="N264" s="50" t="n">
        <x:v>46</x:v>
      </x:c>
      <x:c r="O264" s="53" t="str">
        <x:v>Technically it's not a homicide; however, Pembleton and Bayliss investigate the ""murder"" of a small boy who's the victim of a stray bullet, which makes him brain dead. The parents must choose what to do with their son. The Pope is in town.</x:v>
      </x:c>
      <x:c r="P264" s="53" t="str">
        <x:v>Direct crossover with Law &amp; Order; Munch bridge to SVU</x:v>
      </x:c>
      <x:c r="Q264" s="17" t="str">
        <x:v>320016</x:v>
      </x:c>
      <x:c r="R264" s="17" t="str">
        <x:v>tt0604329</x:v>
      </x:c>
      <x:c r="S264" s="17" t="str"/>
    </x:row>
    <x:row r="265">
      <x:c r="A265" s="43" t="n">
        <x:v>261</x:v>
      </x:c>
      <x:c r="B265" s="44" t="str">
        <x:v>Not Started</x:v>
      </x:c>
      <x:c r="C265" s="45" t="n">
        <x:v>35042</x:v>
      </x:c>
      <x:c r="D265" s="33" t="str">
        <x:v>Homicide: Life on the Street</x:v>
      </x:c>
      <x:c r="E265" s="33" t="str">
        <x:v>Law &amp; Order</x:v>
      </x:c>
      <x:c r="F265" s="33" t="str">
        <x:v>connected</x:v>
      </x:c>
      <x:c r="G265" s="50" t="n">
        <x:v>4</x:v>
      </x:c>
      <x:c r="H265" s="50" t="n">
        <x:v>7</x:v>
      </x:c>
      <x:c r="I265" s="44" t="str">
        <x:v>04.07</x:v>
      </x:c>
      <x:c r="J265" s="33" t="str">
        <x:v>Heartbeat</x:v>
      </x:c>
      <x:c r="K265" s="33" t="str"/>
      <x:c r="L265" s="33" t="str"/>
      <x:c r="M265" s="44" t="str"/>
      <x:c r="N265" s="50" t="n">
        <x:v>47</x:v>
      </x:c>
      <x:c r="O265" s="53" t="str">
        <x:v>Lewis and Kellerman interview a suspect and uncover a 10-year-old crime, which is assigned to Howard and Munch. Tim lets Frank's secret about Mary's pregnancy slip out. Howard and Munch find the body from the 10-year-old murder bricked up in a wall. John has a date with Alyssa, the ME, but finds himself in bed with her new roommate before their date, so he begins avoiding her. Howard and Munch's murder suspect has a fascination for former Baltimore resident Edgar Allan Poe. Munch plays up that angle while trying to break their suspect.</x:v>
      </x:c>
      <x:c r="P265" s="53" t="str">
        <x:v>Direct crossover with Law &amp; Order; Munch bridge to SVU</x:v>
      </x:c>
      <x:c r="Q265" s="17" t="str">
        <x:v>320017</x:v>
      </x:c>
      <x:c r="R265" s="17" t="str">
        <x:v>tt0604378</x:v>
      </x:c>
      <x:c r="S265" s="17" t="str"/>
    </x:row>
    <x:row r="266">
      <x:c r="A266" s="43" t="n">
        <x:v>262</x:v>
      </x:c>
      <x:c r="B266" s="44" t="str">
        <x:v>Not Started</x:v>
      </x:c>
      <x:c r="C266" s="45" t="n">
        <x:v>35047</x:v>
      </x:c>
      <x:c r="D266" s="33" t="str">
        <x:v>New York Undercover</x:v>
      </x:c>
      <x:c r="E266" s="33" t="str">
        <x:v>Law &amp; Order</x:v>
      </x:c>
      <x:c r="F266" s="33" t="str">
        <x:v>connected</x:v>
      </x:c>
      <x:c r="G266" s="50" t="n">
        <x:v>2</x:v>
      </x:c>
      <x:c r="H266" s="50" t="n">
        <x:v>13</x:v>
      </x:c>
      <x:c r="I266" s="44" t="str">
        <x:v>02.13</x:v>
      </x:c>
      <x:c r="J266" s="33" t="str">
        <x:v>Bad Girls</x:v>
      </x:c>
      <x:c r="K266" s="33" t="str"/>
      <x:c r="L266" s="33" t="str"/>
      <x:c r="M266" s="44" t="str"/>
      <x:c r="N266" s="50" t="n">
        <x:v>44</x:v>
      </x:c>
      <x:c r="O266" s="53" t="str">
        <x:v>Moreno poses as a prostitute to try to catch a serial killer who Williams wants G to live with him.</x:v>
      </x:c>
      <x:c r="P266" s="53" t="str">
        <x:v>Wolf-produced New York police drama; crossover-adjacent to the Law &amp; Order era</x:v>
      </x:c>
      <x:c r="Q266" s="17" t="str">
        <x:v>291025</x:v>
      </x:c>
      <x:c r="R266" s="17" t="str"/>
      <x:c r="S266" s="17" t="str">
        <x:v>154</x:v>
      </x:c>
    </x:row>
    <x:row r="267">
      <x:c r="A267" s="43" t="n">
        <x:v>263</x:v>
      </x:c>
      <x:c r="B267" s="44" t="str">
        <x:v>Not Started</x:v>
      </x:c>
      <x:c r="C267" s="45" t="n">
        <x:v>35067</x:v>
      </x:c>
      <x:c r="D267" s="33" t="str">
        <x:v>Law &amp; Order</x:v>
      </x:c>
      <x:c r="E267" s="33" t="str">
        <x:v>Law &amp; Order</x:v>
      </x:c>
      <x:c r="F267" s="33" t="str">
        <x:v>core</x:v>
      </x:c>
      <x:c r="G267" s="50" t="n">
        <x:v>6</x:v>
      </x:c>
      <x:c r="H267" s="50" t="n">
        <x:v>9</x:v>
      </x:c>
      <x:c r="I267" s="44" t="str">
        <x:v>06.09</x:v>
      </x:c>
      <x:c r="J267" s="33" t="str">
        <x:v>Blood Libel</x:v>
      </x:c>
      <x:c r="K267" s="33" t="str"/>
      <x:c r="L267" s="33" t="str"/>
      <x:c r="M267" s="44" t="str"/>
      <x:c r="N267" s="50" t="n">
        <x:v>48</x:v>
      </x:c>
      <x:c r="O267" s="53" t="str">
        <x:v>A hidden anti-Semitic message in a high school yearbook offers a clue to an art teacher's murder and leads to a case that matches McCoy against "Klan lawyer" Roy Payne.</x:v>
      </x:c>
      <x:c r="P267" s="53" t="str">
        <x:v>Core Law &amp; Order franchise</x:v>
      </x:c>
      <x:c r="Q267" s="17" t="str">
        <x:v>34174</x:v>
      </x:c>
      <x:c r="R267" s="17" t="str">
        <x:v>tt0629182</x:v>
      </x:c>
      <x:c r="S267" s="17" t="str">
        <x:v>155</x:v>
      </x:c>
    </x:row>
    <x:row r="268">
      <x:c r="A268" s="43" t="n">
        <x:v>264</x:v>
      </x:c>
      <x:c r="B268" s="44" t="str">
        <x:v>Not Started</x:v>
      </x:c>
      <x:c r="C268" s="45" t="n">
        <x:v>35068</x:v>
      </x:c>
      <x:c r="D268" s="33" t="str">
        <x:v>New York Undercover</x:v>
      </x:c>
      <x:c r="E268" s="33" t="str">
        <x:v>Law &amp; Order</x:v>
      </x:c>
      <x:c r="F268" s="33" t="str">
        <x:v>connected</x:v>
      </x:c>
      <x:c r="G268" s="50" t="n">
        <x:v>2</x:v>
      </x:c>
      <x:c r="H268" s="50" t="n">
        <x:v>14</x:v>
      </x:c>
      <x:c r="I268" s="44" t="str">
        <x:v>02.14</x:v>
      </x:c>
      <x:c r="J268" s="33" t="str">
        <x:v>A Time to Kill</x:v>
      </x:c>
      <x:c r="K268" s="33" t="str"/>
      <x:c r="L268" s="33" t="str"/>
      <x:c r="M268" s="44" t="str"/>
      <x:c r="N268" s="50" t="n">
        <x:v>44</x:v>
      </x:c>
      <x:c r="O268" s="53" t="str">
        <x:v>After being freed, a policeman's murderer is killed--and the cop's partner is under investigation. Meanwhile, the murderer's girlfriend plots revenge on the gang leader who ordered the officer's death.</x:v>
      </x:c>
      <x:c r="P268" s="53" t="str">
        <x:v>Wolf-produced New York police drama; crossover-adjacent to the Law &amp; Order era</x:v>
      </x:c>
      <x:c r="Q268" s="17" t="str">
        <x:v>291026</x:v>
      </x:c>
      <x:c r="R268" s="17" t="str"/>
      <x:c r="S268" s="17" t="str">
        <x:v>156</x:v>
      </x:c>
    </x:row>
    <x:row r="269">
      <x:c r="A269" s="43" t="n">
        <x:v>265</x:v>
      </x:c>
      <x:c r="B269" s="44" t="str">
        <x:v>Not Started</x:v>
      </x:c>
      <x:c r="C269" s="45" t="n">
        <x:v>35069</x:v>
      </x:c>
      <x:c r="D269" s="33" t="str">
        <x:v>Homicide: Life on the Street</x:v>
      </x:c>
      <x:c r="E269" s="33" t="str">
        <x:v>Law &amp; Order</x:v>
      </x:c>
      <x:c r="F269" s="33" t="str">
        <x:v>connected</x:v>
      </x:c>
      <x:c r="G269" s="50" t="n">
        <x:v>4</x:v>
      </x:c>
      <x:c r="H269" s="50" t="n">
        <x:v>8</x:v>
      </x:c>
      <x:c r="I269" s="44" t="str">
        <x:v>04.08</x:v>
      </x:c>
      <x:c r="J269" s="33" t="str">
        <x:v>Sniper (1)</x:v>
      </x:c>
      <x:c r="K269" s="33" t="str"/>
      <x:c r="L269" s="33" t="str"/>
      <x:c r="M269" s="44" t="str"/>
      <x:c r="N269" s="50" t="n">
        <x:v>46</x:v>
      </x:c>
      <x:c r="O269" s="53" t="str">
        <x:v>Jay Leno stops by the Waterfront Bar while in town visiting his cousin Mary; Munch and Bayliss don't want to bother him. A new year starts out with a clean board and Brodie begins his work taping with the detectives. A sniper takes the city hostage, threatening to and executing people every 8 hours. The sniper uses Hangman as a way to leave clues for the detectives. Bayliss is the primary and his back is giving him trouble as he worries about surgery his doctor wants him to have. To combat the pain, he keeps taking muscle relaxants. A suspect is found and cornered and he shoots himself before they can take him into custody. Russert gets demoted when Barnfather doesn't like the way she handled the investigation.</x:v>
      </x:c>
      <x:c r="P269" s="53" t="str">
        <x:v>Direct crossover with Law &amp; Order; Munch bridge to SVU</x:v>
      </x:c>
      <x:c r="Q269" s="17" t="str">
        <x:v>320018</x:v>
      </x:c>
      <x:c r="R269" s="17" t="str">
        <x:v>tt0604417</x:v>
      </x:c>
      <x:c r="S269" s="17" t="str">
        <x:v>157</x:v>
      </x:c>
    </x:row>
    <x:row r="270">
      <x:c r="A270" s="43" t="n">
        <x:v>266</x:v>
      </x:c>
      <x:c r="B270" s="44" t="str">
        <x:v>Not Started</x:v>
      </x:c>
      <x:c r="C270" s="45" t="n">
        <x:v>35074</x:v>
      </x:c>
      <x:c r="D270" s="33" t="str">
        <x:v>Law &amp; Order</x:v>
      </x:c>
      <x:c r="E270" s="33" t="str">
        <x:v>Law &amp; Order</x:v>
      </x:c>
      <x:c r="F270" s="33" t="str">
        <x:v>core</x:v>
      </x:c>
      <x:c r="G270" s="50" t="n">
        <x:v>6</x:v>
      </x:c>
      <x:c r="H270" s="50" t="n">
        <x:v>10</x:v>
      </x:c>
      <x:c r="I270" s="44" t="str">
        <x:v>06.10</x:v>
      </x:c>
      <x:c r="J270" s="33" t="str">
        <x:v>Remand</x:v>
      </x:c>
      <x:c r="K270" s="33" t="str"/>
      <x:c r="L270" s="33" t="str"/>
      <x:c r="M270" s="44" t="str"/>
      <x:c r="N270" s="50" t="n">
        <x:v>47</x:v>
      </x:c>
      <x:c r="O270" s="53" t="str">
        <x:v>The victim in a 30-year-old rape and stabbing case is fearful when information received by Briscoe and Curtis creates the possibility of a new trial for the perpetrator.</x:v>
      </x:c>
      <x:c r="P270" s="53" t="str">
        <x:v>Core Law &amp; Order franchise</x:v>
      </x:c>
      <x:c r="Q270" s="17" t="str">
        <x:v>34175</x:v>
      </x:c>
      <x:c r="R270" s="17" t="str">
        <x:v>tt0629399</x:v>
      </x:c>
      <x:c r="S270" s="17" t="str">
        <x:v>158</x:v>
      </x:c>
    </x:row>
    <x:row r="271">
      <x:c r="A271" s="43" t="n">
        <x:v>267</x:v>
      </x:c>
      <x:c r="B271" s="44" t="str">
        <x:v>Not Started</x:v>
      </x:c>
      <x:c r="C271" s="45" t="n">
        <x:v>35076</x:v>
      </x:c>
      <x:c r="D271" s="33" t="str">
        <x:v>Homicide: Life on the Street</x:v>
      </x:c>
      <x:c r="E271" s="33" t="str">
        <x:v>Law &amp; Order</x:v>
      </x:c>
      <x:c r="F271" s="33" t="str">
        <x:v>connected</x:v>
      </x:c>
      <x:c r="G271" s="50" t="n">
        <x:v>4</x:v>
      </x:c>
      <x:c r="H271" s="50" t="n">
        <x:v>9</x:v>
      </x:c>
      <x:c r="I271" s="44" t="str">
        <x:v>04.09</x:v>
      </x:c>
      <x:c r="J271" s="33" t="str">
        <x:v>Sniper (2)</x:v>
      </x:c>
      <x:c r="K271" s="33" t="str"/>
      <x:c r="L271" s="33" t="str"/>
      <x:c r="M271" s="44" t="str"/>
      <x:c r="N271" s="50" t="n">
        <x:v>46</x:v>
      </x:c>
      <x:c r="O271" s="53" t="str">
        <x:v>The sniper continues the shootings and everyone returns to duty lacking sleep. The media starts to make their presence felt. Munch begins to worry about Howard's safety, fearing she'll be wounded again. Frank makes his wife wear a bulletproof vest. Gee asks for Russert's help even though Barnfather had ordered her to stand down during the rest of this investigation. A man at the scene of both of the day's shootings is put into the box for questioning. Russert has a talk with the suspect with the subject being keeping people's attention and respect.</x:v>
      </x:c>
      <x:c r="P271" s="53" t="str">
        <x:v>Direct crossover with Law &amp; Order; Munch bridge to SVU</x:v>
      </x:c>
      <x:c r="Q271" s="17" t="str">
        <x:v>320019</x:v>
      </x:c>
      <x:c r="R271" s="17" t="str">
        <x:v>tt0604418</x:v>
      </x:c>
      <x:c r="S271" s="17" t="str">
        <x:v>159</x:v>
      </x:c>
    </x:row>
    <x:row r="272">
      <x:c r="A272" s="43" t="n">
        <x:v>268</x:v>
      </x:c>
      <x:c r="B272" s="44" t="str">
        <x:v>Not Started</x:v>
      </x:c>
      <x:c r="C272" s="45" t="n">
        <x:v>35081</x:v>
      </x:c>
      <x:c r="D272" s="33" t="str">
        <x:v>Law &amp; Order</x:v>
      </x:c>
      <x:c r="E272" s="33" t="str">
        <x:v>Law &amp; Order</x:v>
      </x:c>
      <x:c r="F272" s="33" t="str">
        <x:v>core</x:v>
      </x:c>
      <x:c r="G272" s="50" t="n">
        <x:v>6</x:v>
      </x:c>
      <x:c r="H272" s="50" t="n">
        <x:v>11</x:v>
      </x:c>
      <x:c r="I272" s="44" t="str">
        <x:v>06.11</x:v>
      </x:c>
      <x:c r="J272" s="33" t="str">
        <x:v>Corpus Delicti</x:v>
      </x:c>
      <x:c r="K272" s="33" t="str"/>
      <x:c r="L272" s="33" t="str"/>
      <x:c r="M272" s="44" t="str"/>
      <x:c r="N272" s="50" t="n">
        <x:v>48</x:v>
      </x:c>
      <x:c r="O272" s="53" t="str">
        <x:v>The death of a show horse leads to a trial involving insurance fraud, a sting operation and a wealthy woman's disappearance.</x:v>
      </x:c>
      <x:c r="P272" s="53" t="str">
        <x:v>Core Law &amp; Order franchise</x:v>
      </x:c>
      <x:c r="Q272" s="17" t="str">
        <x:v>34176</x:v>
      </x:c>
      <x:c r="R272" s="17" t="str">
        <x:v>tt0629216</x:v>
      </x:c>
      <x:c r="S272" s="17" t="str">
        <x:v>160</x:v>
      </x:c>
    </x:row>
    <x:row r="273">
      <x:c r="A273" s="43" t="n">
        <x:v>269</x:v>
      </x:c>
      <x:c r="B273" s="44" t="str">
        <x:v>Not Started</x:v>
      </x:c>
      <x:c r="C273" s="45" t="n">
        <x:v>35082</x:v>
      </x:c>
      <x:c r="D273" s="33" t="str">
        <x:v>New York Undercover</x:v>
      </x:c>
      <x:c r="E273" s="33" t="str">
        <x:v>Law &amp; Order</x:v>
      </x:c>
      <x:c r="F273" s="33" t="str">
        <x:v>connected</x:v>
      </x:c>
      <x:c r="G273" s="50" t="n">
        <x:v>2</x:v>
      </x:c>
      <x:c r="H273" s="50" t="n">
        <x:v>15</x:v>
      </x:c>
      <x:c r="I273" s="44" t="str">
        <x:v>02.15</x:v>
      </x:c>
      <x:c r="J273" s="33" t="str">
        <x:v>Bad Blood</x:v>
      </x:c>
      <x:c r="K273" s="33" t="str"/>
      <x:c r="L273" s="33" t="str"/>
      <x:c r="M273" s="44" t="str"/>
      <x:c r="N273" s="50" t="n">
        <x:v>44</x:v>
      </x:c>
      <x:c r="O273" s="53" t="str">
        <x:v>Williams and Torres investigate the murder of a free-lance writer. Moreno gets a visit by her missing husband.</x:v>
      </x:c>
      <x:c r="P273" s="53" t="str">
        <x:v>Wolf-produced New York police drama; crossover-adjacent to the Law &amp; Order era</x:v>
      </x:c>
      <x:c r="Q273" s="17" t="str">
        <x:v>291027</x:v>
      </x:c>
      <x:c r="R273" s="17" t="str"/>
      <x:c r="S273" s="17" t="str">
        <x:v>161</x:v>
      </x:c>
    </x:row>
    <x:row r="274">
      <x:c r="A274" s="43" t="n">
        <x:v>270</x:v>
      </x:c>
      <x:c r="B274" s="44" t="str">
        <x:v>Not Started</x:v>
      </x:c>
      <x:c r="C274" s="45" t="n">
        <x:v>35084</x:v>
      </x:c>
      <x:c r="D274" s="33" t="str">
        <x:v>Homicide: Life on the Street</x:v>
      </x:c>
      <x:c r="E274" s="33" t="str">
        <x:v>Law &amp; Order</x:v>
      </x:c>
      <x:c r="F274" s="33" t="str">
        <x:v>connected</x:v>
      </x:c>
      <x:c r="G274" s="50" t="n">
        <x:v>4</x:v>
      </x:c>
      <x:c r="H274" s="50" t="n">
        <x:v>10</x:v>
      </x:c>
      <x:c r="I274" s="44" t="str">
        <x:v>04.10</x:v>
      </x:c>
      <x:c r="J274" s="33" t="str">
        <x:v>The Hat</x:v>
      </x:c>
      <x:c r="K274" s="33" t="str"/>
      <x:c r="L274" s="33" t="str"/>
      <x:c r="M274" s="44" t="str"/>
      <x:c r="N274" s="50" t="n">
        <x:v>46</x:v>
      </x:c>
      <x:c r="O274" s="53" t="str">
        <x:v>Gee is sent upstairs to see Barnfather and everyone speculates about the vacant Captain's position. Lewis and Kellerman are sent to Pennsylvania to extradite a woman back to Baltimore where she is a suspect in the murder of her husband. Munch tries to find a videotape in Brodie's pile. Later after reviewing the tape, they discover a key piece of evidence isn't contained on the tape. Munch wants the tape erased, but Brodie delivers the tape to court and that results in the outcome Munch feared. On the trip back from Harrisburg, Kellerman convinces Lewis that they have time to stop at Neptune's Castle and they lose the suspect, for a moment. Later they lose her again but find her at the house of her dead husband's mistress, delivering a hat. Much to everyone's surprise but not the viewers Gaffney is promoted to Captain over Gee. Captain Gaffney lays down the law.</x:v>
      </x:c>
      <x:c r="P274" s="53" t="str">
        <x:v>Direct crossover with Law &amp; Order; Munch bridge to SVU</x:v>
      </x:c>
      <x:c r="Q274" s="17" t="str">
        <x:v>320020</x:v>
      </x:c>
      <x:c r="R274" s="17" t="str">
        <x:v>tt0604429</x:v>
      </x:c>
      <x:c r="S274" s="17" t="str"/>
    </x:row>
    <x:row r="275">
      <x:c r="A275" s="43" t="n">
        <x:v>271</x:v>
      </x:c>
      <x:c r="B275" s="44" t="str">
        <x:v>Not Started</x:v>
      </x:c>
      <x:c r="C275" s="45" t="n">
        <x:v>35095</x:v>
      </x:c>
      <x:c r="D275" s="33" t="str">
        <x:v>Law &amp; Order</x:v>
      </x:c>
      <x:c r="E275" s="33" t="str">
        <x:v>Law &amp; Order</x:v>
      </x:c>
      <x:c r="F275" s="33" t="str">
        <x:v>core</x:v>
      </x:c>
      <x:c r="G275" s="50" t="n">
        <x:v>6</x:v>
      </x:c>
      <x:c r="H275" s="50" t="n">
        <x:v>12</x:v>
      </x:c>
      <x:c r="I275" s="44" t="str">
        <x:v>06.12</x:v>
      </x:c>
      <x:c r="J275" s="33" t="str">
        <x:v>Trophy</x:v>
      </x:c>
      <x:c r="K275" s="33" t="str"/>
      <x:c r="L275" s="33" t="str"/>
      <x:c r="M275" s="44" t="str"/>
      <x:c r="N275" s="50" t="n">
        <x:v>47</x:v>
      </x:c>
      <x:c r="O275" s="53" t="str">
        <x:v>McCoy finds that his career is on the line when his former female assistant and ex lover accuses him of forging evidence that helped put an innocent man in prison.</x:v>
      </x:c>
      <x:c r="P275" s="53" t="str">
        <x:v>Core Law &amp; Order franchise</x:v>
      </x:c>
      <x:c r="Q275" s="17" t="str">
        <x:v>34177</x:v>
      </x:c>
      <x:c r="R275" s="17" t="str">
        <x:v>tt0629475</x:v>
      </x:c>
      <x:c r="S275" s="17" t="str">
        <x:v>163</x:v>
      </x:c>
    </x:row>
    <x:row r="276">
      <x:c r="A276" s="43" t="n">
        <x:v>272</x:v>
      </x:c>
      <x:c r="B276" s="44" t="str">
        <x:v>Not Started</x:v>
      </x:c>
      <x:c r="C276" s="45" t="n">
        <x:v>35096</x:v>
      </x:c>
      <x:c r="D276" s="33" t="str">
        <x:v>New York Undercover</x:v>
      </x:c>
      <x:c r="E276" s="33" t="str">
        <x:v>Law &amp; Order</x:v>
      </x:c>
      <x:c r="F276" s="33" t="str">
        <x:v>connected</x:v>
      </x:c>
      <x:c r="G276" s="50" t="n">
        <x:v>2</x:v>
      </x:c>
      <x:c r="H276" s="50" t="n">
        <x:v>16</x:v>
      </x:c>
      <x:c r="I276" s="44" t="str">
        <x:v>02.16</x:v>
      </x:c>
      <x:c r="J276" s="33" t="str">
        <x:v>Fire Show</x:v>
      </x:c>
      <x:c r="K276" s="33" t="str"/>
      <x:c r="L276" s="33" t="str"/>
      <x:c r="M276" s="44" t="str"/>
      <x:c r="N276" s="50" t="n">
        <x:v>44</x:v>
      </x:c>
      <x:c r="O276" s="53" t="str">
        <x:v>Moreno poses as a firefighter in order to find out who's responsible for a female firefighter's death.</x:v>
      </x:c>
      <x:c r="P276" s="53" t="str">
        <x:v>Wolf-produced New York police drama; crossover-adjacent to the Law &amp; Order era</x:v>
      </x:c>
      <x:c r="Q276" s="17" t="str">
        <x:v>291028</x:v>
      </x:c>
      <x:c r="R276" s="17" t="str"/>
      <x:c r="S276" s="17" t="str">
        <x:v>164</x:v>
      </x:c>
    </x:row>
    <x:row r="277">
      <x:c r="A277" s="43" t="n">
        <x:v>273</x:v>
      </x:c>
      <x:c r="B277" s="44" t="str">
        <x:v>Not Started</x:v>
      </x:c>
      <x:c r="C277" s="45" t="n">
        <x:v>35098</x:v>
      </x:c>
      <x:c r="D277" s="33" t="str">
        <x:v>Homicide: Life on the Street</x:v>
      </x:c>
      <x:c r="E277" s="33" t="str">
        <x:v>Law &amp; Order</x:v>
      </x:c>
      <x:c r="F277" s="33" t="str">
        <x:v>connected</x:v>
      </x:c>
      <x:c r="G277" s="50" t="n">
        <x:v>4</x:v>
      </x:c>
      <x:c r="H277" s="50" t="n">
        <x:v>11</x:v>
      </x:c>
      <x:c r="I277" s="44" t="str">
        <x:v>04.11</x:v>
      </x:c>
      <x:c r="J277" s="33" t="str">
        <x:v>I've Got a Secret</x:v>
      </x:c>
      <x:c r="K277" s="33" t="str"/>
      <x:c r="L277" s="33" t="str"/>
      <x:c r="M277" s="44" t="str"/>
      <x:c r="N277" s="50" t="n">
        <x:v>47</x:v>
      </x:c>
      <x:c r="O277" s="53" t="str">
        <x:v>Lewis and Kellerman try to subdue a large man who's gone on a rampage. The large man is finally subdued and they find him digging up his mother. This case brings out some information about Meldrick's family, and he tries to see his brother, who doesn't want to see him. Kay tries to keep the identity of her new boyfriend a secret, mainly from John, which drives him crazy. Pembleton and Bayliss investigate the death of a man whose body is found in a car. Scheiner says he died from internal bleeding, not the gunshot wound to the groin he was treated for at an emergency room earlier that day. They discover that the doctor may have had a motive for doing a less than adequate job treating her patient.</x:v>
      </x:c>
      <x:c r="P277" s="53" t="str">
        <x:v>Direct crossover with Law &amp; Order; Munch bridge to SVU</x:v>
      </x:c>
      <x:c r="Q277" s="17" t="str">
        <x:v>320021</x:v>
      </x:c>
      <x:c r="R277" s="17" t="str">
        <x:v>tt0604382</x:v>
      </x:c>
      <x:c r="S277" s="17" t="str"/>
    </x:row>
    <x:row r="278">
      <x:c r="A278" s="43" t="n">
        <x:v>274</x:v>
      </x:c>
      <x:c r="B278" s="44" t="str">
        <x:v>Not Started</x:v>
      </x:c>
      <x:c r="C278" s="45" t="n">
        <x:v>35102</x:v>
      </x:c>
      <x:c r="D278" s="33" t="str">
        <x:v>Law &amp; Order</x:v>
      </x:c>
      <x:c r="E278" s="33" t="str">
        <x:v>Law &amp; Order</x:v>
      </x:c>
      <x:c r="F278" s="33" t="str">
        <x:v>core</x:v>
      </x:c>
      <x:c r="G278" s="50" t="n">
        <x:v>6</x:v>
      </x:c>
      <x:c r="H278" s="50" t="n">
        <x:v>13</x:v>
      </x:c>
      <x:c r="I278" s="44" t="str">
        <x:v>06.13</x:v>
      </x:c>
      <x:c r="J278" s="33" t="str">
        <x:v>Charm City (I)</x:v>
      </x:c>
      <x:c r="K278" s="33" t="str">
        <x:v>Crossover</x:v>
      </x:c>
      <x:c r="L278" s="33" t="str">
        <x:v>Charm City / For God and Country</x:v>
      </x:c>
      <x:c r="M278" s="44" t="str">
        <x:v>1/2</x:v>
      </x:c>
      <x:c r="N278" s="50" t="n">
        <x:v>48</x:v>
      </x:c>
      <x:c r="O278" s="53" t="str">
        <x:v>A subway station gas attack, similar to one that took place in a Baltimore church five years earlier, brings Baltimore detectives Tim Bayliss and Frank Pembleton to New York to assist Briscoe and Curtis.
This crossover continues on Homicide: Life on the Street S04E12 For God and Country (II).</x:v>
      </x:c>
      <x:c r="P278" s="53" t="str">
        <x:v>Core Law &amp; Order franchise</x:v>
      </x:c>
      <x:c r="Q278" s="17" t="str">
        <x:v>34178</x:v>
      </x:c>
      <x:c r="R278" s="17" t="str">
        <x:v>tt0629203</x:v>
      </x:c>
      <x:c r="S278" s="17" t="str">
        <x:v>https://one-chicago-fbi.fandom.com/wiki/Crossovers_and_Milestones</x:v>
      </x:c>
    </x:row>
    <x:row r="279">
      <x:c r="A279" s="43" t="n">
        <x:v>275</x:v>
      </x:c>
      <x:c r="B279" s="44" t="str">
        <x:v>Not Started</x:v>
      </x:c>
      <x:c r="C279" s="45" t="n">
        <x:v>35103</x:v>
      </x:c>
      <x:c r="D279" s="33" t="str">
        <x:v>New York Undercover</x:v>
      </x:c>
      <x:c r="E279" s="33" t="str">
        <x:v>Law &amp; Order</x:v>
      </x:c>
      <x:c r="F279" s="33" t="str">
        <x:v>connected</x:v>
      </x:c>
      <x:c r="G279" s="50" t="n">
        <x:v>2</x:v>
      </x:c>
      <x:c r="H279" s="50" t="n">
        <x:v>17</x:v>
      </x:c>
      <x:c r="I279" s="44" t="str">
        <x:v>02.17</x:v>
      </x:c>
      <x:c r="J279" s="33" t="str">
        <x:v>Toy Soldiers</x:v>
      </x:c>
      <x:c r="K279" s="33" t="str"/>
      <x:c r="L279" s="33" t="str"/>
      <x:c r="M279" s="44" t="str"/>
      <x:c r="N279" s="50" t="n">
        <x:v>44</x:v>
      </x:c>
      <x:c r="O279" s="53" t="str">
        <x:v>Three youths, who were brought from Rwanda to act as mob hit men, are befriended by Father Torres. Moreno gets an inheritance; Williams disagrees with the methods of his son's hockey coach.</x:v>
      </x:c>
      <x:c r="P279" s="53" t="str">
        <x:v>Wolf-produced New York police drama; crossover-adjacent to the Law &amp; Order era</x:v>
      </x:c>
      <x:c r="Q279" s="17" t="str">
        <x:v>291029</x:v>
      </x:c>
      <x:c r="R279" s="17" t="str"/>
      <x:c r="S279" s="17" t="str">
        <x:v>169</x:v>
      </x:c>
    </x:row>
    <x:row r="280">
      <x:c r="A280" s="43" t="n">
        <x:v>276</x:v>
      </x:c>
      <x:c r="B280" s="44" t="str">
        <x:v>Not Started</x:v>
      </x:c>
      <x:c r="C280" s="45" t="n">
        <x:v>35105</x:v>
      </x:c>
      <x:c r="D280" s="33" t="str">
        <x:v>Homicide: Life on the Street</x:v>
      </x:c>
      <x:c r="E280" s="33" t="str">
        <x:v>Law &amp; Order</x:v>
      </x:c>
      <x:c r="F280" s="33" t="str">
        <x:v>connected</x:v>
      </x:c>
      <x:c r="G280" s="50" t="n">
        <x:v>4</x:v>
      </x:c>
      <x:c r="H280" s="50" t="n">
        <x:v>12</x:v>
      </x:c>
      <x:c r="I280" s="44" t="str">
        <x:v>04.12</x:v>
      </x:c>
      <x:c r="J280" s="33" t="str">
        <x:v>For God and Country (II)</x:v>
      </x:c>
      <x:c r="K280" s="33" t="str">
        <x:v>Crossover</x:v>
      </x:c>
      <x:c r="L280" s="33" t="str">
        <x:v>Charm City / For God and Country</x:v>
      </x:c>
      <x:c r="M280" s="44" t="str">
        <x:v>2/2</x:v>
      </x:c>
      <x:c r="N280" s="50" t="n">
        <x:v>46</x:v>
      </x:c>
      <x:c r="O280" s="53" t="str">
        <x:v>Continuing the investigation in New York City, Egan's wife is questioned by Frank and Tim. Just a few hours later, Egan's wife is killed and Egan's son is seen running.  Kendall is taken into protective custody until he gives up the suspect's name.  Lennie Briscoe and Rey Curtis come to Baltimore.
This crossover starts on Law and Order S06E13 Charm City (I).</x:v>
      </x:c>
      <x:c r="P280" s="53" t="str">
        <x:v>Direct crossover with Law &amp; Order; Munch bridge to SVU</x:v>
      </x:c>
      <x:c r="Q280" s="17" t="str">
        <x:v>320022</x:v>
      </x:c>
      <x:c r="R280" s="17" t="str">
        <x:v>tt0604370</x:v>
      </x:c>
      <x:c r="S280" s="17" t="str">
        <x:v>https://one-chicago-fbi.fandom.com/wiki/Crossovers_and_Milestones</x:v>
      </x:c>
    </x:row>
    <x:row r="281">
      <x:c r="A281" s="43" t="n">
        <x:v>277</x:v>
      </x:c>
      <x:c r="B281" s="44" t="str">
        <x:v>Not Started</x:v>
      </x:c>
      <x:c r="C281" s="45" t="n">
        <x:v>35110</x:v>
      </x:c>
      <x:c r="D281" s="33" t="str">
        <x:v>New York Undercover</x:v>
      </x:c>
      <x:c r="E281" s="33" t="str">
        <x:v>Law &amp; Order</x:v>
      </x:c>
      <x:c r="F281" s="33" t="str">
        <x:v>connected</x:v>
      </x:c>
      <x:c r="G281" s="50" t="n">
        <x:v>2</x:v>
      </x:c>
      <x:c r="H281" s="50" t="n">
        <x:v>18</x:v>
      </x:c>
      <x:c r="I281" s="44" t="str">
        <x:v>02.18</x:v>
      </x:c>
      <x:c r="J281" s="33" t="str">
        <x:v>Sympathy for the Devil</x:v>
      </x:c>
      <x:c r="K281" s="33" t="str"/>
      <x:c r="L281" s="33" t="str"/>
      <x:c r="M281" s="44" t="str"/>
      <x:c r="N281" s="50" t="n">
        <x:v>44</x:v>
      </x:c>
      <x:c r="O281" s="53" t="str">
        <x:v>When three youths are charged with shooting a couple, one of them insists that, while they robbed the couple, someone else fired the gun.</x:v>
      </x:c>
      <x:c r="P281" s="53" t="str">
        <x:v>Wolf-produced New York police drama; crossover-adjacent to the Law &amp; Order era</x:v>
      </x:c>
      <x:c r="Q281" s="17" t="str">
        <x:v>291030</x:v>
      </x:c>
      <x:c r="R281" s="17" t="str"/>
      <x:c r="S281" s="17" t="str">
        <x:v>170</x:v>
      </x:c>
    </x:row>
    <x:row r="282">
      <x:c r="A282" s="43" t="n">
        <x:v>278</x:v>
      </x:c>
      <x:c r="B282" s="44" t="str">
        <x:v>Not Started</x:v>
      </x:c>
      <x:c r="C282" s="45" t="n">
        <x:v>35112</x:v>
      </x:c>
      <x:c r="D282" s="33" t="str">
        <x:v>Homicide: Life on the Street</x:v>
      </x:c>
      <x:c r="E282" s="33" t="str">
        <x:v>Law &amp; Order</x:v>
      </x:c>
      <x:c r="F282" s="33" t="str">
        <x:v>connected</x:v>
      </x:c>
      <x:c r="G282" s="50" t="n">
        <x:v>4</x:v>
      </x:c>
      <x:c r="H282" s="50" t="n">
        <x:v>13</x:v>
      </x:c>
      <x:c r="I282" s="44" t="str">
        <x:v>04.13</x:v>
      </x:c>
      <x:c r="J282" s="33" t="str">
        <x:v>Justice (1)</x:v>
      </x:c>
      <x:c r="K282" s="33" t="str"/>
      <x:c r="L282" s="33" t="str"/>
      <x:c r="M282" s="44" t="str"/>
      <x:c r="N282" s="50" t="n">
        <x:v>47</x:v>
      </x:c>
      <x:c r="O282" s="53" t="str">
        <x:v>Russert and Munch are assigned to work a case together; they find a retired cop who was murdered near his wife's tombstone. The dead cop's son asks Lewis, whom he went to the academy with, to get involved with case. He also makes his own inquiries, which get him into a bit of trouble. A suspect is arrested; however, despite the overwhelming evidence against the accused, the jury acquits him. The son contemplates delivering his own justice.</x:v>
      </x:c>
      <x:c r="P282" s="53" t="str">
        <x:v>Direct crossover with Law &amp; Order; Munch bridge to SVU</x:v>
      </x:c>
      <x:c r="Q282" s="17" t="str">
        <x:v>320023</x:v>
      </x:c>
      <x:c r="R282" s="17" t="str">
        <x:v>tt0604386</x:v>
      </x:c>
      <x:c r="S282" s="17" t="str"/>
    </x:row>
    <x:row r="283">
      <x:c r="A283" s="43" t="n">
        <x:v>279</x:v>
      </x:c>
      <x:c r="B283" s="44" t="str">
        <x:v>Not Started</x:v>
      </x:c>
      <x:c r="C283" s="45" t="n">
        <x:v>35116</x:v>
      </x:c>
      <x:c r="D283" s="33" t="str">
        <x:v>Law &amp; Order</x:v>
      </x:c>
      <x:c r="E283" s="33" t="str">
        <x:v>Law &amp; Order</x:v>
      </x:c>
      <x:c r="F283" s="33" t="str">
        <x:v>core</x:v>
      </x:c>
      <x:c r="G283" s="50" t="n">
        <x:v>6</x:v>
      </x:c>
      <x:c r="H283" s="50" t="n">
        <x:v>14</x:v>
      </x:c>
      <x:c r="I283" s="44" t="str">
        <x:v>06.14</x:v>
      </x:c>
      <x:c r="J283" s="33" t="str">
        <x:v>Custody</x:v>
      </x:c>
      <x:c r="K283" s="33" t="str"/>
      <x:c r="L283" s="33" t="str"/>
      <x:c r="M283" s="44" t="str"/>
      <x:c r="N283" s="50" t="n">
        <x:v>47</x:v>
      </x:c>
      <x:c r="O283" s="53" t="str">
        <x:v>Paul Robinette places the system on trial when he defends a young black woman accused of kidnapping her biological baby from his white, adoptive parents.</x:v>
      </x:c>
      <x:c r="P283" s="53" t="str">
        <x:v>Core Law &amp; Order franchise</x:v>
      </x:c>
      <x:c r="Q283" s="17" t="str">
        <x:v>34179</x:v>
      </x:c>
      <x:c r="R283" s="17" t="str">
        <x:v>tt0629224</x:v>
      </x:c>
      <x:c r="S283" s="17" t="str">
        <x:v>172</x:v>
      </x:c>
    </x:row>
    <x:row r="284">
      <x:c r="A284" s="43" t="n">
        <x:v>280</x:v>
      </x:c>
      <x:c r="B284" s="44" t="str">
        <x:v>Not Started</x:v>
      </x:c>
      <x:c r="C284" s="45" t="n">
        <x:v>35117</x:v>
      </x:c>
      <x:c r="D284" s="33" t="str">
        <x:v>New York Undercover</x:v>
      </x:c>
      <x:c r="E284" s="33" t="str">
        <x:v>Law &amp; Order</x:v>
      </x:c>
      <x:c r="F284" s="33" t="str">
        <x:v>connected</x:v>
      </x:c>
      <x:c r="G284" s="50" t="n">
        <x:v>2</x:v>
      </x:c>
      <x:c r="H284" s="50" t="n">
        <x:v>19</x:v>
      </x:c>
      <x:c r="I284" s="44" t="str">
        <x:v>02.19</x:v>
      </x:c>
      <x:c r="J284" s="33" t="str">
        <x:v>Checkmate</x:v>
      </x:c>
      <x:c r="K284" s="33" t="str"/>
      <x:c r="L284" s="33" t="str"/>
      <x:c r="M284" s="44" t="str"/>
      <x:c r="N284" s="50" t="n">
        <x:v>44</x:v>
      </x:c>
      <x:c r="O284" s="53" t="str">
        <x:v>A hit man's widow wants to become a soldier in the mob and poses as a police officer to kill a fellow crook in Williams's and Torres's precinct.</x:v>
      </x:c>
      <x:c r="P284" s="53" t="str">
        <x:v>Wolf-produced New York police drama; crossover-adjacent to the Law &amp; Order era</x:v>
      </x:c>
      <x:c r="Q284" s="17" t="str">
        <x:v>291031</x:v>
      </x:c>
      <x:c r="R284" s="17" t="str"/>
      <x:c r="S284" s="17" t="str">
        <x:v>173</x:v>
      </x:c>
    </x:row>
    <x:row r="285">
      <x:c r="A285" s="43" t="n">
        <x:v>281</x:v>
      </x:c>
      <x:c r="B285" s="44" t="str">
        <x:v>Not Started</x:v>
      </x:c>
      <x:c r="C285" s="45" t="n">
        <x:v>35119</x:v>
      </x:c>
      <x:c r="D285" s="33" t="str">
        <x:v>Homicide: Life on the Street</x:v>
      </x:c>
      <x:c r="E285" s="33" t="str">
        <x:v>Law &amp; Order</x:v>
      </x:c>
      <x:c r="F285" s="33" t="str">
        <x:v>connected</x:v>
      </x:c>
      <x:c r="G285" s="50" t="n">
        <x:v>4</x:v>
      </x:c>
      <x:c r="H285" s="50" t="n">
        <x:v>14</x:v>
      </x:c>
      <x:c r="I285" s="44" t="str">
        <x:v>04.14</x:v>
      </x:c>
      <x:c r="J285" s="33" t="str">
        <x:v>Justice (2)</x:v>
      </x:c>
      <x:c r="K285" s="33" t="str"/>
      <x:c r="L285" s="33" t="str"/>
      <x:c r="M285" s="44" t="str"/>
      <x:c r="N285" s="50" t="n">
        <x:v>45</x:v>
      </x:c>
      <x:c r="O285" s="53" t="str">
        <x:v>Jake Rodzinski has trouble dealing with the verdict of the trial and takes justice into his own hands. Kellerman is back from a family wedding in Wisconsin picks up the case of the murder of Kenny Damon. Lewis is not allowed to know all the details of Kellerman's investigation, because of his past relationship with Rodzinski, their chief suspect. Bayliss is at odds with Pembleton over the disposition of a grilled cheese sandwich.</x:v>
      </x:c>
      <x:c r="P285" s="53" t="str">
        <x:v>Direct crossover with Law &amp; Order; Munch bridge to SVU</x:v>
      </x:c>
      <x:c r="Q285" s="17" t="str">
        <x:v>320024</x:v>
      </x:c>
      <x:c r="R285" s="17" t="str">
        <x:v>tt0604387</x:v>
      </x:c>
      <x:c r="S285" s="17" t="str">
        <x:v>171</x:v>
      </x:c>
    </x:row>
    <x:row r="286">
      <x:c r="A286" s="43" t="n">
        <x:v>282</x:v>
      </x:c>
      <x:c r="B286" s="44" t="str">
        <x:v>Not Started</x:v>
      </x:c>
      <x:c r="C286" s="45" t="n">
        <x:v>35123</x:v>
      </x:c>
      <x:c r="D286" s="33" t="str">
        <x:v>Law &amp; Order</x:v>
      </x:c>
      <x:c r="E286" s="33" t="str">
        <x:v>Law &amp; Order</x:v>
      </x:c>
      <x:c r="F286" s="33" t="str">
        <x:v>core</x:v>
      </x:c>
      <x:c r="G286" s="50" t="n">
        <x:v>6</x:v>
      </x:c>
      <x:c r="H286" s="50" t="n">
        <x:v>15</x:v>
      </x:c>
      <x:c r="I286" s="44" t="str">
        <x:v>06.15</x:v>
      </x:c>
      <x:c r="J286" s="33" t="str">
        <x:v>Encore</x:v>
      </x:c>
      <x:c r="K286" s="33" t="str"/>
      <x:c r="L286" s="33" t="str"/>
      <x:c r="M286" s="44" t="str"/>
      <x:c r="N286" s="50" t="n">
        <x:v>47</x:v>
      </x:c>
      <x:c r="O286" s="53" t="str">
        <x:v>A jogger killed in Central Park turns out to be the second wife of a former comedy club owner, who was acquitted of killing his first wife. And convicting him this time may hinge on tracing the path of a Columbian coin used as a subway token slug.</x:v>
      </x:c>
      <x:c r="P286" s="53" t="str">
        <x:v>Core Law &amp; Order franchise</x:v>
      </x:c>
      <x:c r="Q286" s="17" t="str">
        <x:v>34180</x:v>
      </x:c>
      <x:c r="R286" s="17" t="str">
        <x:v>tt0629249</x:v>
      </x:c>
      <x:c r="S286" s="17" t="str">
        <x:v>175</x:v>
      </x:c>
    </x:row>
    <x:row r="287">
      <x:c r="A287" s="43" t="n">
        <x:v>283</x:v>
      </x:c>
      <x:c r="B287" s="44" t="str">
        <x:v>Not Started</x:v>
      </x:c>
      <x:c r="C287" s="45" t="n">
        <x:v>35131</x:v>
      </x:c>
      <x:c r="D287" s="33" t="str">
        <x:v>New York Undercover</x:v>
      </x:c>
      <x:c r="E287" s="33" t="str">
        <x:v>Law &amp; Order</x:v>
      </x:c>
      <x:c r="F287" s="33" t="str">
        <x:v>connected</x:v>
      </x:c>
      <x:c r="G287" s="50" t="n">
        <x:v>2</x:v>
      </x:c>
      <x:c r="H287" s="50" t="n">
        <x:v>20</x:v>
      </x:c>
      <x:c r="I287" s="44" t="str">
        <x:v>02.20</x:v>
      </x:c>
      <x:c r="J287" s="33" t="str">
        <x:v>Unis</x:v>
      </x:c>
      <x:c r="K287" s="33" t="str"/>
      <x:c r="L287" s="33" t="str"/>
      <x:c r="M287" s="44" t="str"/>
      <x:c r="N287" s="50" t="n">
        <x:v>44</x:v>
      </x:c>
      <x:c r="O287" s="53" t="str">
        <x:v>Lt. Cooper sends two patrol officers to infiltrate a group of corrupt cops When neighborhood dealers starts disappearing.</x:v>
      </x:c>
      <x:c r="P287" s="53" t="str">
        <x:v>Wolf-produced New York police drama; crossover-adjacent to the Law &amp; Order era</x:v>
      </x:c>
      <x:c r="Q287" s="17" t="str">
        <x:v>291032</x:v>
      </x:c>
      <x:c r="R287" s="17" t="str"/>
      <x:c r="S287" s="17" t="str">
        <x:v>176</x:v>
      </x:c>
    </x:row>
    <x:row r="288">
      <x:c r="A288" s="43" t="n">
        <x:v>284</x:v>
      </x:c>
      <x:c r="B288" s="44" t="str">
        <x:v>Not Started</x:v>
      </x:c>
      <x:c r="C288" s="45" t="n">
        <x:v>35137</x:v>
      </x:c>
      <x:c r="D288" s="33" t="str">
        <x:v>Swift Justice</x:v>
      </x:c>
      <x:c r="E288" s="33" t="str">
        <x:v>Crossover Adjacent</x:v>
      </x:c>
      <x:c r="F288" s="33" t="str">
        <x:v>complete</x:v>
      </x:c>
      <x:c r="G288" s="50" t="n">
        <x:v>1</x:v>
      </x:c>
      <x:c r="H288" s="50" t="n">
        <x:v>1</x:v>
      </x:c>
      <x:c r="I288" s="44" t="str">
        <x:v>01.01</x:v>
      </x:c>
      <x:c r="J288" s="33" t="str">
        <x:v>Out on a Limb</x:v>
      </x:c>
      <x:c r="K288" s="33" t="str"/>
      <x:c r="L288" s="33" t="str"/>
      <x:c r="M288" s="44" t="str"/>
      <x:c r="N288" s="50" t="n">
        <x:v>60</x:v>
      </x:c>
      <x:c r="O288" s="53" t="str">
        <x:v>Ex-cop turned PI Mac Swift works outside the normal law enforcement routine on cases too hot for the standard justice system. While still on the force, Swift falls for a call girl.</x:v>
      </x:c>
      <x:c r="P288" s="53" t="str">
        <x:v>Dick Wolf-created crime drama</x:v>
      </x:c>
      <x:c r="Q288" s="17" t="str">
        <x:v>566176</x:v>
      </x:c>
      <x:c r="R288" s="17" t="str"/>
      <x:c r="S288" s="17" t="str"/>
    </x:row>
    <x:row r="289">
      <x:c r="A289" s="43" t="n">
        <x:v>285</x:v>
      </x:c>
      <x:c r="B289" s="44" t="str">
        <x:v>Not Started</x:v>
      </x:c>
      <x:c r="C289" s="45" t="n">
        <x:v>35137</x:v>
      </x:c>
      <x:c r="D289" s="33" t="str">
        <x:v>Law &amp; Order</x:v>
      </x:c>
      <x:c r="E289" s="33" t="str">
        <x:v>Law &amp; Order</x:v>
      </x:c>
      <x:c r="F289" s="33" t="str">
        <x:v>core</x:v>
      </x:c>
      <x:c r="G289" s="50" t="n">
        <x:v>6</x:v>
      </x:c>
      <x:c r="H289" s="50" t="n">
        <x:v>16</x:v>
      </x:c>
      <x:c r="I289" s="44" t="str">
        <x:v>06.16</x:v>
      </x:c>
      <x:c r="J289" s="33" t="str">
        <x:v>Savior</x:v>
      </x:c>
      <x:c r="K289" s="33" t="str"/>
      <x:c r="L289" s="33" t="str"/>
      <x:c r="M289" s="44" t="str"/>
      <x:c r="N289" s="50" t="n">
        <x:v>47</x:v>
      </x:c>
      <x:c r="O289" s="53" t="str">
        <x:v>A down-on-his-luck ad executive becomes the prime suspect when his wife and son are killed, and his daughter wounded on a night that he claims was spent drinking.</x:v>
      </x:c>
      <x:c r="P289" s="53" t="str">
        <x:v>Core Law &amp; Order franchise</x:v>
      </x:c>
      <x:c r="Q289" s="17" t="str">
        <x:v>34181</x:v>
      </x:c>
      <x:c r="R289" s="17" t="str">
        <x:v>tt0629406</x:v>
      </x:c>
      <x:c r="S289" s="17" t="str">
        <x:v>177</x:v>
      </x:c>
    </x:row>
    <x:row r="290">
      <x:c r="A290" s="43" t="n">
        <x:v>286</x:v>
      </x:c>
      <x:c r="B290" s="44" t="str">
        <x:v>Not Started</x:v>
      </x:c>
      <x:c r="C290" s="45" t="n">
        <x:v>35138</x:v>
      </x:c>
      <x:c r="D290" s="33" t="str">
        <x:v>New York Undercover</x:v>
      </x:c>
      <x:c r="E290" s="33" t="str">
        <x:v>Law &amp; Order</x:v>
      </x:c>
      <x:c r="F290" s="33" t="str">
        <x:v>connected</x:v>
      </x:c>
      <x:c r="G290" s="50" t="n">
        <x:v>2</x:v>
      </x:c>
      <x:c r="H290" s="50" t="n">
        <x:v>21</x:v>
      </x:c>
      <x:c r="I290" s="44" t="str">
        <x:v>02.21</x:v>
      </x:c>
      <x:c r="J290" s="33" t="str">
        <x:v>The Reckoning</x:v>
      </x:c>
      <x:c r="K290" s="33" t="str"/>
      <x:c r="L290" s="33" t="str"/>
      <x:c r="M290" s="44" t="str"/>
      <x:c r="N290" s="50" t="n">
        <x:v>44</x:v>
      </x:c>
      <x:c r="O290" s="53" t="str">
        <x:v>Williams poses as a member of a militant religious group engaged in an ongoing conflict with a religious sect. Torres's father receives devastating news.</x:v>
      </x:c>
      <x:c r="P290" s="53" t="str">
        <x:v>Wolf-produced New York police drama; crossover-adjacent to the Law &amp; Order era</x:v>
      </x:c>
      <x:c r="Q290" s="17" t="str">
        <x:v>291033</x:v>
      </x:c>
      <x:c r="R290" s="17" t="str"/>
      <x:c r="S290" s="17" t="str">
        <x:v>178</x:v>
      </x:c>
    </x:row>
    <x:row r="291">
      <x:c r="A291" s="43" t="n">
        <x:v>287</x:v>
      </x:c>
      <x:c r="B291" s="44" t="str">
        <x:v>Not Started</x:v>
      </x:c>
      <x:c r="C291" s="45" t="n">
        <x:v>35140</x:v>
      </x:c>
      <x:c r="D291" s="33" t="str">
        <x:v>Homicide: Life on the Street</x:v>
      </x:c>
      <x:c r="E291" s="33" t="str">
        <x:v>Law &amp; Order</x:v>
      </x:c>
      <x:c r="F291" s="33" t="str">
        <x:v>connected</x:v>
      </x:c>
      <x:c r="G291" s="50" t="n">
        <x:v>4</x:v>
      </x:c>
      <x:c r="H291" s="50" t="n">
        <x:v>15</x:v>
      </x:c>
      <x:c r="I291" s="44" t="str">
        <x:v>04.15</x:v>
      </x:c>
      <x:c r="J291" s="33" t="str">
        <x:v>Stakeout</x:v>
      </x:c>
      <x:c r="K291" s="33" t="str"/>
      <x:c r="L291" s="33" t="str"/>
      <x:c r="M291" s="44" t="str"/>
      <x:c r="N291" s="50" t="n">
        <x:v>47</x:v>
      </x:c>
      <x:c r="O291" s="53" t="str">
        <x:v>The entire squad is put on 24-hour surveillance when a mass murderer has been identified, isn't at home and doesn't know that they know. Gee debates leaving the squad in the midst of the stakeout, so he can attend his daughter's wedding in California. As the detectives rotate through shifts on the stakeout, the main topics of discussion are the homeowners and Bayliss' plans to leave the unit.</x:v>
      </x:c>
      <x:c r="P291" s="53" t="str">
        <x:v>Direct crossover with Law &amp; Order; Munch bridge to SVU</x:v>
      </x:c>
      <x:c r="Q291" s="17" t="str">
        <x:v>320025</x:v>
      </x:c>
      <x:c r="R291" s="17" t="str">
        <x:v>tt0604422</x:v>
      </x:c>
      <x:c r="S291" s="17" t="str">
        <x:v>174</x:v>
      </x:c>
    </x:row>
    <x:row r="292">
      <x:c r="A292" s="43" t="n">
        <x:v>288</x:v>
      </x:c>
      <x:c r="B292" s="44" t="str">
        <x:v>Not Started</x:v>
      </x:c>
      <x:c r="C292" s="45" t="n">
        <x:v>35144</x:v>
      </x:c>
      <x:c r="D292" s="33" t="str">
        <x:v>Swift Justice</x:v>
      </x:c>
      <x:c r="E292" s="33" t="str">
        <x:v>Crossover Adjacent</x:v>
      </x:c>
      <x:c r="F292" s="33" t="str">
        <x:v>complete</x:v>
      </x:c>
      <x:c r="G292" s="50" t="n">
        <x:v>1</x:v>
      </x:c>
      <x:c r="H292" s="50" t="n">
        <x:v>2</x:v>
      </x:c>
      <x:c r="I292" s="44" t="str">
        <x:v>01.02</x:v>
      </x:c>
      <x:c r="J292" s="33" t="str">
        <x:v>Pilot</x:v>
      </x:c>
      <x:c r="K292" s="33" t="str"/>
      <x:c r="L292" s="33" t="str"/>
      <x:c r="M292" s="44" t="str"/>
      <x:c r="N292" s="50" t="n">
        <x:v>60</x:v>
      </x:c>
      <x:c r="O292" s="53" t="str">
        <x:v>Swift goes undercover to retrieve a young boy from his dangerous, white supremacist father, Stone Paxton, who has taken the child from his ex-wife who he has accused of polluting the boy with her liberal ideas and interracial dating habits. But when Swift's cover is blown, he is forced to do battle with the extremist, first using the information superhighway, then in hand-to-hand combat.</x:v>
      </x:c>
      <x:c r="P292" s="53" t="str">
        <x:v>Dick Wolf-created crime drama</x:v>
      </x:c>
      <x:c r="Q292" s="17" t="str">
        <x:v>566177</x:v>
      </x:c>
      <x:c r="R292" s="17" t="str"/>
      <x:c r="S292" s="17" t="str"/>
    </x:row>
    <x:row r="293">
      <x:c r="A293" s="43" t="n">
        <x:v>289</x:v>
      </x:c>
      <x:c r="B293" s="44" t="str">
        <x:v>Not Started</x:v>
      </x:c>
      <x:c r="C293" s="45" t="n">
        <x:v>35151</x:v>
      </x:c>
      <x:c r="D293" s="33" t="str">
        <x:v>Swift Justice</x:v>
      </x:c>
      <x:c r="E293" s="33" t="str">
        <x:v>Crossover Adjacent</x:v>
      </x:c>
      <x:c r="F293" s="33" t="str">
        <x:v>complete</x:v>
      </x:c>
      <x:c r="G293" s="50" t="n">
        <x:v>1</x:v>
      </x:c>
      <x:c r="H293" s="50" t="n">
        <x:v>3</x:v>
      </x:c>
      <x:c r="I293" s="44" t="str">
        <x:v>01.03</x:v>
      </x:c>
      <x:c r="J293" s="33" t="str">
        <x:v>Sex, Death and Rock 'n' Roll</x:v>
      </x:c>
      <x:c r="K293" s="33" t="str"/>
      <x:c r="L293" s="33" t="str"/>
      <x:c r="M293" s="44" t="str"/>
      <x:c r="N293" s="50" t="n">
        <x:v>60</x:v>
      </x:c>
      <x:c r="O293" s="53" t="str">
        <x:v>Mac helps a rockstar's wife escape his clutches</x:v>
      </x:c>
      <x:c r="P293" s="53" t="str">
        <x:v>Dick Wolf-created crime drama</x:v>
      </x:c>
      <x:c r="Q293" s="17" t="str">
        <x:v>566178</x:v>
      </x:c>
      <x:c r="R293" s="17" t="str"/>
      <x:c r="S293" s="17" t="str"/>
    </x:row>
    <x:row r="294">
      <x:c r="A294" s="43" t="n">
        <x:v>290</x:v>
      </x:c>
      <x:c r="B294" s="44" t="str">
        <x:v>Not Started</x:v>
      </x:c>
      <x:c r="C294" s="45" t="n">
        <x:v>35151</x:v>
      </x:c>
      <x:c r="D294" s="33" t="str">
        <x:v>Law &amp; Order</x:v>
      </x:c>
      <x:c r="E294" s="33" t="str">
        <x:v>Law &amp; Order</x:v>
      </x:c>
      <x:c r="F294" s="33" t="str">
        <x:v>core</x:v>
      </x:c>
      <x:c r="G294" s="50" t="n">
        <x:v>6</x:v>
      </x:c>
      <x:c r="H294" s="50" t="n">
        <x:v>17</x:v>
      </x:c>
      <x:c r="I294" s="44" t="str">
        <x:v>06.17</x:v>
      </x:c>
      <x:c r="J294" s="33" t="str">
        <x:v>Deceit</x:v>
      </x:c>
      <x:c r="K294" s="33" t="str"/>
      <x:c r="L294" s="33" t="str"/>
      <x:c r="M294" s="44" t="str"/>
      <x:c r="N294" s="50" t="n">
        <x:v>48</x:v>
      </x:c>
      <x:c r="O294" s="53" t="str">
        <x:v>When a young attorney is murdered shortly after he decides to file a sexual harassment claim against his employer, Briscoe and Curtis quickly discover that the alleged harasser and his wife each have an excellent motive for murder.</x:v>
      </x:c>
      <x:c r="P294" s="53" t="str">
        <x:v>Core Law &amp; Order franchise</x:v>
      </x:c>
      <x:c r="Q294" s="17" t="str">
        <x:v>34182</x:v>
      </x:c>
      <x:c r="R294" s="17" t="str">
        <x:v>tt0629234</x:v>
      </x:c>
      <x:c r="S294" s="17" t="str">
        <x:v>180</x:v>
      </x:c>
    </x:row>
    <x:row r="295">
      <x:c r="A295" s="43" t="n">
        <x:v>291</x:v>
      </x:c>
      <x:c r="B295" s="44" t="str">
        <x:v>Not Started</x:v>
      </x:c>
      <x:c r="C295" s="45" t="n">
        <x:v>35154</x:v>
      </x:c>
      <x:c r="D295" s="33" t="str">
        <x:v>Homicide: Life on the Street</x:v>
      </x:c>
      <x:c r="E295" s="33" t="str">
        <x:v>Law &amp; Order</x:v>
      </x:c>
      <x:c r="F295" s="33" t="str">
        <x:v>connected</x:v>
      </x:c>
      <x:c r="G295" s="50" t="n">
        <x:v>4</x:v>
      </x:c>
      <x:c r="H295" s="50" t="n">
        <x:v>16</x:v>
      </x:c>
      <x:c r="I295" s="44" t="str">
        <x:v>04.16</x:v>
      </x:c>
      <x:c r="J295" s="33" t="str">
        <x:v>Requiem for Adena</x:v>
      </x:c>
      <x:c r="K295" s="33" t="str"/>
      <x:c r="L295" s="33" t="str"/>
      <x:c r="M295" s="44" t="str"/>
      <x:c r="N295" s="50" t="n">
        <x:v>47</x:v>
      </x:c>
      <x:c r="O295" s="53" t="str">
        <x:v>A young girl is murdered, in a style similar to Adena Watson's murder. Frank demands to work the case alone as Bayliss begins to think that the two crimes might be related. Bayliss' obsession with trying to get this case solved and linked to Adena's murder causes the two of them to clash. Howard learns that Brodie has a crush on her and tells him she doesn't like the joke that's being pulled-- only problem there is that it's the truth.</x:v>
      </x:c>
      <x:c r="P295" s="53" t="str">
        <x:v>Direct crossover with Law &amp; Order; Munch bridge to SVU</x:v>
      </x:c>
      <x:c r="Q295" s="17" t="str">
        <x:v>320026</x:v>
      </x:c>
      <x:c r="R295" s="17" t="str">
        <x:v>tt0604406</x:v>
      </x:c>
      <x:c r="S295" s="17" t="str">
        <x:v>179</x:v>
      </x:c>
    </x:row>
    <x:row r="296">
      <x:c r="A296" s="43" t="n">
        <x:v>292</x:v>
      </x:c>
      <x:c r="B296" s="44" t="str">
        <x:v>Not Started</x:v>
      </x:c>
      <x:c r="C296" s="45" t="n">
        <x:v>35158</x:v>
      </x:c>
      <x:c r="D296" s="33" t="str">
        <x:v>Swift Justice</x:v>
      </x:c>
      <x:c r="E296" s="33" t="str">
        <x:v>Crossover Adjacent</x:v>
      </x:c>
      <x:c r="F296" s="33" t="str">
        <x:v>complete</x:v>
      </x:c>
      <x:c r="G296" s="50" t="n">
        <x:v>1</x:v>
      </x:c>
      <x:c r="H296" s="50" t="n">
        <x:v>4</x:v>
      </x:c>
      <x:c r="I296" s="44" t="str">
        <x:v>01.04</x:v>
      </x:c>
      <x:c r="J296" s="33" t="str">
        <x:v>Supernote</x:v>
      </x:c>
      <x:c r="K296" s="33" t="str"/>
      <x:c r="L296" s="33" t="str"/>
      <x:c r="M296" s="44" t="str"/>
      <x:c r="N296" s="50" t="n">
        <x:v>60</x:v>
      </x:c>
      <x:c r="O296" s="53" t="str">
        <x:v>Swift is approached by Rita Vicks, a beautiful treasury agent concerned over the disappearance of her partner, Bo Maxey, who has neared obsession in his quest to find the Supernote, an impeccable counterfeit C-note he believes is being used by the Iranian government.</x:v>
      </x:c>
      <x:c r="P296" s="53" t="str">
        <x:v>Dick Wolf-created crime drama</x:v>
      </x:c>
      <x:c r="Q296" s="17" t="str">
        <x:v>566179</x:v>
      </x:c>
      <x:c r="R296" s="17" t="str"/>
      <x:c r="S296" s="17" t="str"/>
    </x:row>
    <x:row r="297">
      <x:c r="A297" s="43" t="n">
        <x:v>293</x:v>
      </x:c>
      <x:c r="B297" s="44" t="str">
        <x:v>Not Started</x:v>
      </x:c>
      <x:c r="C297" s="45" t="n">
        <x:v>35159</x:v>
      </x:c>
      <x:c r="D297" s="33" t="str">
        <x:v>New York Undercover</x:v>
      </x:c>
      <x:c r="E297" s="33" t="str">
        <x:v>Law &amp; Order</x:v>
      </x:c>
      <x:c r="F297" s="33" t="str">
        <x:v>connected</x:v>
      </x:c>
      <x:c r="G297" s="50" t="n">
        <x:v>2</x:v>
      </x:c>
      <x:c r="H297" s="50" t="n">
        <x:v>22</x:v>
      </x:c>
      <x:c r="I297" s="44" t="str">
        <x:v>02.22</x:v>
      </x:c>
      <x:c r="J297" s="33" t="str">
        <x:v>The Enforcers</x:v>
      </x:c>
      <x:c r="K297" s="33" t="str"/>
      <x:c r="L297" s="33" t="str"/>
      <x:c r="M297" s="44" t="str"/>
      <x:c r="N297" s="50" t="n">
        <x:v>44</x:v>
      </x:c>
      <x:c r="O297" s="53" t="str">
        <x:v>Williams investigate the murder of his son's tutor.</x:v>
      </x:c>
      <x:c r="P297" s="53" t="str">
        <x:v>Wolf-produced New York police drama; crossover-adjacent to the Law &amp; Order era</x:v>
      </x:c>
      <x:c r="Q297" s="17" t="str">
        <x:v>291034</x:v>
      </x:c>
      <x:c r="R297" s="17" t="str"/>
      <x:c r="S297" s="17" t="str">
        <x:v>182</x:v>
      </x:c>
    </x:row>
    <x:row r="298">
      <x:c r="A298" s="43" t="n">
        <x:v>294</x:v>
      </x:c>
      <x:c r="B298" s="44" t="str">
        <x:v>Not Started</x:v>
      </x:c>
      <x:c r="C298" s="45" t="n">
        <x:v>35161</x:v>
      </x:c>
      <x:c r="D298" s="33" t="str">
        <x:v>Homicide: Life on the Street</x:v>
      </x:c>
      <x:c r="E298" s="33" t="str">
        <x:v>Law &amp; Order</x:v>
      </x:c>
      <x:c r="F298" s="33" t="str">
        <x:v>connected</x:v>
      </x:c>
      <x:c r="G298" s="50" t="n">
        <x:v>4</x:v>
      </x:c>
      <x:c r="H298" s="50" t="n">
        <x:v>17</x:v>
      </x:c>
      <x:c r="I298" s="44" t="str">
        <x:v>04.17</x:v>
      </x:c>
      <x:c r="J298" s="33" t="str">
        <x:v>Full Moon</x:v>
      </x:c>
      <x:c r="K298" s="33" t="str"/>
      <x:c r="L298" s="33" t="str"/>
      <x:c r="M298" s="44" t="str"/>
      <x:c r="N298" s="50" t="n">
        <x:v>47</x:v>
      </x:c>
      <x:c r="O298" s="53" t="str">
        <x:v>Kellerman and Lewis (with Brodie) investigate a shooting at the New Moon motel, where everyone there has a motive for the crime. They split up and canvass the denizens of the motel; Lewis also searches for the victim's missing boot. The murder is just one of the many crimes that has occurred or is occurring at this establishment.</x:v>
      </x:c>
      <x:c r="P298" s="53" t="str">
        <x:v>Direct crossover with Law &amp; Order; Munch bridge to SVU</x:v>
      </x:c>
      <x:c r="Q298" s="17" t="str">
        <x:v>320027</x:v>
      </x:c>
      <x:c r="R298" s="17" t="str">
        <x:v>tt0604373</x:v>
      </x:c>
      <x:c r="S298" s="17" t="str"/>
    </x:row>
    <x:row r="299">
      <x:c r="A299" s="43" t="n">
        <x:v>295</x:v>
      </x:c>
      <x:c r="B299" s="44" t="str">
        <x:v>Not Started</x:v>
      </x:c>
      <x:c r="C299" s="45" t="n">
        <x:v>35165</x:v>
      </x:c>
      <x:c r="D299" s="33" t="str">
        <x:v>Swift Justice</x:v>
      </x:c>
      <x:c r="E299" s="33" t="str">
        <x:v>Crossover Adjacent</x:v>
      </x:c>
      <x:c r="F299" s="33" t="str">
        <x:v>complete</x:v>
      </x:c>
      <x:c r="G299" s="50" t="n">
        <x:v>1</x:v>
      </x:c>
      <x:c r="H299" s="50" t="n">
        <x:v>5</x:v>
      </x:c>
      <x:c r="I299" s="44" t="str">
        <x:v>01.05</x:v>
      </x:c>
      <x:c r="J299" s="33" t="str">
        <x:v>Where Were You in '72?</x:v>
      </x:c>
      <x:c r="K299" s="33" t="str"/>
      <x:c r="L299" s="33" t="str"/>
      <x:c r="M299" s="44" t="str"/>
      <x:c r="N299" s="50" t="n">
        <x:v>60</x:v>
      </x:c>
      <x:c r="O299" s="53" t="str">
        <x:v>Swift learns the latest person under his protection was involved in a bank heist to support IRA activities</x:v>
      </x:c>
      <x:c r="P299" s="53" t="str">
        <x:v>Dick Wolf-created crime drama</x:v>
      </x:c>
      <x:c r="Q299" s="17" t="str">
        <x:v>566180</x:v>
      </x:c>
      <x:c r="R299" s="17" t="str"/>
      <x:c r="S299" s="17" t="str"/>
    </x:row>
    <x:row r="300">
      <x:c r="A300" s="43" t="n">
        <x:v>296</x:v>
      </x:c>
      <x:c r="B300" s="44" t="str">
        <x:v>Not Started</x:v>
      </x:c>
      <x:c r="C300" s="45" t="n">
        <x:v>35165</x:v>
      </x:c>
      <x:c r="D300" s="33" t="str">
        <x:v>Law &amp; Order</x:v>
      </x:c>
      <x:c r="E300" s="33" t="str">
        <x:v>Law &amp; Order</x:v>
      </x:c>
      <x:c r="F300" s="33" t="str">
        <x:v>core</x:v>
      </x:c>
      <x:c r="G300" s="50" t="n">
        <x:v>6</x:v>
      </x:c>
      <x:c r="H300" s="50" t="n">
        <x:v>18</x:v>
      </x:c>
      <x:c r="I300" s="44" t="str">
        <x:v>06.18</x:v>
      </x:c>
      <x:c r="J300" s="33" t="str">
        <x:v>Atonement</x:v>
      </x:c>
      <x:c r="K300" s="33" t="str"/>
      <x:c r="L300" s="33" t="str"/>
      <x:c r="M300" s="44" t="str"/>
      <x:c r="N300" s="50" t="n">
        <x:v>47</x:v>
      </x:c>
      <x:c r="O300" s="53" t="str">
        <x:v>The investigation into the murder of a model with a passion for cocaine and partying focuses on the men in her life -- a nightclub owner, a basketball player, a photographer and a limousine driver.</x:v>
      </x:c>
      <x:c r="P300" s="53" t="str">
        <x:v>Core Law &amp; Order franchise</x:v>
      </x:c>
      <x:c r="Q300" s="17" t="str">
        <x:v>34183</x:v>
      </x:c>
      <x:c r="R300" s="17" t="str">
        <x:v>tt0629164</x:v>
      </x:c>
      <x:c r="S300" s="17" t="str">
        <x:v>183</x:v>
      </x:c>
    </x:row>
    <x:row r="301">
      <x:c r="A301" s="43" t="n">
        <x:v>297</x:v>
      </x:c>
      <x:c r="B301" s="44" t="str">
        <x:v>Not Started</x:v>
      </x:c>
      <x:c r="C301" s="45" t="n">
        <x:v>35166</x:v>
      </x:c>
      <x:c r="D301" s="33" t="str">
        <x:v>New York Undercover</x:v>
      </x:c>
      <x:c r="E301" s="33" t="str">
        <x:v>Law &amp; Order</x:v>
      </x:c>
      <x:c r="F301" s="33" t="str">
        <x:v>connected</x:v>
      </x:c>
      <x:c r="G301" s="50" t="n">
        <x:v>2</x:v>
      </x:c>
      <x:c r="H301" s="50" t="n">
        <x:v>23</x:v>
      </x:c>
      <x:c r="I301" s="44" t="str">
        <x:v>02.23</x:v>
      </x:c>
      <x:c r="J301" s="33" t="str">
        <x:v>Andre's Choice</x:v>
      </x:c>
      <x:c r="K301" s="33" t="str"/>
      <x:c r="L301" s="33" t="str"/>
      <x:c r="M301" s="44" t="str"/>
      <x:c r="N301" s="50" t="n">
        <x:v>44</x:v>
      </x:c>
      <x:c r="O301" s="53" t="str">
        <x:v>A fight promoter's death leads to a case involving blackmail, murder, and an ex-con whom Williams has helped.</x:v>
      </x:c>
      <x:c r="P301" s="53" t="str">
        <x:v>Wolf-produced New York police drama; crossover-adjacent to the Law &amp; Order era</x:v>
      </x:c>
      <x:c r="Q301" s="17" t="str">
        <x:v>291035</x:v>
      </x:c>
      <x:c r="R301" s="17" t="str"/>
      <x:c r="S301" s="17" t="str">
        <x:v>184</x:v>
      </x:c>
    </x:row>
    <x:row r="302">
      <x:c r="A302" s="43" t="n">
        <x:v>298</x:v>
      </x:c>
      <x:c r="B302" s="44" t="str">
        <x:v>Not Started</x:v>
      </x:c>
      <x:c r="C302" s="45" t="n">
        <x:v>35168</x:v>
      </x:c>
      <x:c r="D302" s="33" t="str">
        <x:v>Homicide: Life on the Street</x:v>
      </x:c>
      <x:c r="E302" s="33" t="str">
        <x:v>Law &amp; Order</x:v>
      </x:c>
      <x:c r="F302" s="33" t="str">
        <x:v>connected</x:v>
      </x:c>
      <x:c r="G302" s="50" t="n">
        <x:v>4</x:v>
      </x:c>
      <x:c r="H302" s="50" t="n">
        <x:v>18</x:v>
      </x:c>
      <x:c r="I302" s="44" t="str">
        <x:v>04.18</x:v>
      </x:c>
      <x:c r="J302" s="33" t="str">
        <x:v>Scene of the Crime</x:v>
      </x:c>
      <x:c r="K302" s="33" t="str"/>
      <x:c r="L302" s="33" t="str"/>
      <x:c r="M302" s="44" t="str"/>
      <x:c r="N302" s="50" t="n">
        <x:v>47</x:v>
      </x:c>
      <x:c r="O302" s="53" t="str">
        <x:v>Lewis and Kellerman's investigation of a murder in a housing project puts them at odds with a civilian-patrol group, run by the Black Muslims. Munch is excited because Stan is scheduled to come back June 1st. Russert and Munch catch a case where both the victim and shooter are dead. She with Howard must decide whether to circumvent the so-called ""blue wall of silence"" among police officers when it is discovered that the officer on the scene didn't react in time. Barnfather stops Lewis and Kellerman's charging of a Muslim, until something is leaked to the newspapers. The ""big man"" is scheduled to come to the bar, but changes his mind, twice.</x:v>
      </x:c>
      <x:c r="P302" s="53" t="str">
        <x:v>Direct crossover with Law &amp; Order; Munch bridge to SVU</x:v>
      </x:c>
      <x:c r="Q302" s="17" t="str">
        <x:v>320028</x:v>
      </x:c>
      <x:c r="R302" s="17" t="str">
        <x:v>tt0604408</x:v>
      </x:c>
      <x:c r="S302" s="17" t="str"/>
    </x:row>
    <x:row r="303">
      <x:c r="A303" s="43" t="n">
        <x:v>299</x:v>
      </x:c>
      <x:c r="B303" s="44" t="str">
        <x:v>Not Started</x:v>
      </x:c>
      <x:c r="C303" s="45" t="n">
        <x:v>35176</x:v>
      </x:c>
      <x:c r="D303" s="33" t="str">
        <x:v>Law &amp; Order</x:v>
      </x:c>
      <x:c r="E303" s="33" t="str">
        <x:v>Law &amp; Order</x:v>
      </x:c>
      <x:c r="F303" s="33" t="str">
        <x:v>core</x:v>
      </x:c>
      <x:c r="G303" s="50" t="n">
        <x:v>6</x:v>
      </x:c>
      <x:c r="H303" s="50" t="n">
        <x:v>19</x:v>
      </x:c>
      <x:c r="I303" s="44" t="str">
        <x:v>06.19</x:v>
      </x:c>
      <x:c r="J303" s="33" t="str">
        <x:v>Slave</x:v>
      </x:c>
      <x:c r="K303" s="33" t="str"/>
      <x:c r="L303" s="33" t="str"/>
      <x:c r="M303" s="44" t="str"/>
      <x:c r="N303" s="50" t="n">
        <x:v>47</x:v>
      </x:c>
      <x:c r="O303" s="53" t="str">
        <x:v>A woman is shot while sleeping, and the investigation leads the police to a boy whose crack-addicted mother has entrusted him to a dealer's care.</x:v>
      </x:c>
      <x:c r="P303" s="53" t="str">
        <x:v>Core Law &amp; Order franchise</x:v>
      </x:c>
      <x:c r="Q303" s="17" t="str">
        <x:v>34184</x:v>
      </x:c>
      <x:c r="R303" s="17" t="str">
        <x:v>tt0629427</x:v>
      </x:c>
      <x:c r="S303" s="17" t="str">
        <x:v>186</x:v>
      </x:c>
    </x:row>
    <x:row r="304">
      <x:c r="A304" s="43" t="n">
        <x:v>300</x:v>
      </x:c>
      <x:c r="B304" s="44" t="str">
        <x:v>Not Started</x:v>
      </x:c>
      <x:c r="C304" s="45" t="n">
        <x:v>35179</x:v>
      </x:c>
      <x:c r="D304" s="33" t="str">
        <x:v>Swift Justice</x:v>
      </x:c>
      <x:c r="E304" s="33" t="str">
        <x:v>Crossover Adjacent</x:v>
      </x:c>
      <x:c r="F304" s="33" t="str">
        <x:v>complete</x:v>
      </x:c>
      <x:c r="G304" s="50" t="n">
        <x:v>1</x:v>
      </x:c>
      <x:c r="H304" s="50" t="n">
        <x:v>6</x:v>
      </x:c>
      <x:c r="I304" s="44" t="str">
        <x:v>01.06</x:v>
      </x:c>
      <x:c r="J304" s="33" t="str">
        <x:v>Takin' Back the Street</x:v>
      </x:c>
      <x:c r="K304" s="33" t="str"/>
      <x:c r="L304" s="33" t="str"/>
      <x:c r="M304" s="44" t="str"/>
      <x:c r="N304" s="50" t="n">
        <x:v>60</x:v>
      </x:c>
      <x:c r="O304" s="53" t="str">
        <x:v>When Mama Em, a neighborhood matriarch and old friend of Swift's father, is gunned down for trying to organize her community against a drug dealer, Swift sets out to help her daughter Sylvie bring the murderers to justice, with hope of saving Juwan, one of Sylvie's prize pupils, from a life of crime.</x:v>
      </x:c>
      <x:c r="P304" s="53" t="str">
        <x:v>Dick Wolf-created crime drama</x:v>
      </x:c>
      <x:c r="Q304" s="17" t="str">
        <x:v>566181</x:v>
      </x:c>
      <x:c r="R304" s="17" t="str"/>
      <x:c r="S304" s="17" t="str"/>
    </x:row>
    <x:row r="305">
      <x:c r="A305" s="43" t="n">
        <x:v>301</x:v>
      </x:c>
      <x:c r="B305" s="44" t="str">
        <x:v>Not Started</x:v>
      </x:c>
      <x:c r="C305" s="45" t="n">
        <x:v>35180</x:v>
      </x:c>
      <x:c r="D305" s="33" t="str">
        <x:v>New York Undercover</x:v>
      </x:c>
      <x:c r="E305" s="33" t="str">
        <x:v>Law &amp; Order</x:v>
      </x:c>
      <x:c r="F305" s="33" t="str">
        <x:v>connected</x:v>
      </x:c>
      <x:c r="G305" s="50" t="n">
        <x:v>2</x:v>
      </x:c>
      <x:c r="H305" s="50" t="n">
        <x:v>24</x:v>
      </x:c>
      <x:c r="I305" s="44" t="str">
        <x:v>02.24</x:v>
      </x:c>
      <x:c r="J305" s="33" t="str">
        <x:v>No Greater Love</x:v>
      </x:c>
      <x:c r="K305" s="33" t="str"/>
      <x:c r="L305" s="33" t="str"/>
      <x:c r="M305" s="44" t="str"/>
      <x:c r="N305" s="50" t="n">
        <x:v>44</x:v>
      </x:c>
      <x:c r="O305" s="53" t="str">
        <x:v>Torres believes the the man who confesses to a killing is taking the blame for his younger brother, who's just received a basketball scholarship to college.</x:v>
      </x:c>
      <x:c r="P305" s="53" t="str">
        <x:v>Wolf-produced New York police drama; crossover-adjacent to the Law &amp; Order era</x:v>
      </x:c>
      <x:c r="Q305" s="17" t="str">
        <x:v>291036</x:v>
      </x:c>
      <x:c r="R305" s="17" t="str">
        <x:v>tt0659825</x:v>
      </x:c>
      <x:c r="S305" s="17" t="str">
        <x:v>187</x:v>
      </x:c>
    </x:row>
    <x:row r="306">
      <x:c r="A306" s="43" t="n">
        <x:v>302</x:v>
      </x:c>
      <x:c r="B306" s="44" t="str">
        <x:v>Not Started</x:v>
      </x:c>
      <x:c r="C306" s="45" t="n">
        <x:v>35182</x:v>
      </x:c>
      <x:c r="D306" s="33" t="str">
        <x:v>Homicide: Life on the Street</x:v>
      </x:c>
      <x:c r="E306" s="33" t="str">
        <x:v>Law &amp; Order</x:v>
      </x:c>
      <x:c r="F306" s="33" t="str">
        <x:v>connected</x:v>
      </x:c>
      <x:c r="G306" s="50" t="n">
        <x:v>4</x:v>
      </x:c>
      <x:c r="H306" s="50" t="n">
        <x:v>19</x:v>
      </x:c>
      <x:c r="I306" s="44" t="str">
        <x:v>04.19</x:v>
      </x:c>
      <x:c r="J306" s="33" t="str">
        <x:v>Map of the Heart</x:v>
      </x:c>
      <x:c r="K306" s="33" t="str"/>
      <x:c r="L306" s="33" t="str"/>
      <x:c r="M306" s="44" t="str"/>
      <x:c r="N306" s="50" t="n">
        <x:v>47</x:v>
      </x:c>
      <x:c r="O306" s="53" t="str">
        <x:v>A prominent attorney is murdered and the murderer presents himself to Pembleton and Bayliss with a videotape that implicates him. Brodie works on increasing his self-image. Kellerman is determined to find out who's the ""lunch bandit."" The NSA steps in on Pembleton's murder investigation and provides him with a guilty party, even though they know he didn't do it. Bayliss' disgust with the interference doesn't sit well with Gaffney who wants to charge him with insubordination.</x:v>
      </x:c>
      <x:c r="P306" s="53" t="str">
        <x:v>Direct crossover with Law &amp; Order; Munch bridge to SVU</x:v>
      </x:c>
      <x:c r="Q306" s="17" t="str">
        <x:v>320029</x:v>
      </x:c>
      <x:c r="R306" s="17" t="str">
        <x:v>tt0604396</x:v>
      </x:c>
      <x:c r="S306" s="17" t="str"/>
    </x:row>
    <x:row r="307">
      <x:c r="A307" s="43" t="n">
        <x:v>303</x:v>
      </x:c>
      <x:c r="B307" s="44" t="str">
        <x:v>Not Started</x:v>
      </x:c>
      <x:c r="C307" s="45" t="n">
        <x:v>35186</x:v>
      </x:c>
      <x:c r="D307" s="33" t="str">
        <x:v>Swift Justice</x:v>
      </x:c>
      <x:c r="E307" s="33" t="str">
        <x:v>Crossover Adjacent</x:v>
      </x:c>
      <x:c r="F307" s="33" t="str">
        <x:v>complete</x:v>
      </x:c>
      <x:c r="G307" s="50" t="n">
        <x:v>1</x:v>
      </x:c>
      <x:c r="H307" s="50" t="n">
        <x:v>7</x:v>
      </x:c>
      <x:c r="I307" s="44" t="str">
        <x:v>01.07</x:v>
      </x:c>
      <x:c r="J307" s="33" t="str">
        <x:v>No Holds Barred</x:v>
      </x:c>
      <x:c r="K307" s="33" t="str"/>
      <x:c r="L307" s="33" t="str"/>
      <x:c r="M307" s="44" t="str"/>
      <x:c r="N307" s="50" t="n">
        <x:v>60</x:v>
      </x:c>
      <x:c r="O307" s="53" t="str">
        <x:v>Pregnant college girl Allison enlists Swift to find her missing boyfriend, college wrestler Palo Montega. Swift discovers that Palo's fanatical instructor, Dillon Brock, has other plans for Palo when he forces him to compete in a cage match that leaves only one contestant standing. Knowing that Swift is getting close to finding Palo, Brock sets a trap and Swift becomes Palo's next opponent.</x:v>
      </x:c>
      <x:c r="P307" s="53" t="str">
        <x:v>Dick Wolf-created crime drama</x:v>
      </x:c>
      <x:c r="Q307" s="17" t="str">
        <x:v>566182</x:v>
      </x:c>
      <x:c r="R307" s="17" t="str">
        <x:v>tt0714563</x:v>
      </x:c>
      <x:c r="S307" s="17" t="str"/>
    </x:row>
    <x:row r="308">
      <x:c r="A308" s="43" t="n">
        <x:v>304</x:v>
      </x:c>
      <x:c r="B308" s="44" t="str">
        <x:v>Not Started</x:v>
      </x:c>
      <x:c r="C308" s="45" t="n">
        <x:v>35186</x:v>
      </x:c>
      <x:c r="D308" s="33" t="str">
        <x:v>Law &amp; Order</x:v>
      </x:c>
      <x:c r="E308" s="33" t="str">
        <x:v>Law &amp; Order</x:v>
      </x:c>
      <x:c r="F308" s="33" t="str">
        <x:v>core</x:v>
      </x:c>
      <x:c r="G308" s="50" t="n">
        <x:v>6</x:v>
      </x:c>
      <x:c r="H308" s="50" t="n">
        <x:v>20</x:v>
      </x:c>
      <x:c r="I308" s="44" t="str">
        <x:v>06.20</x:v>
      </x:c>
      <x:c r="J308" s="33" t="str">
        <x:v>Girlfriends</x:v>
      </x:c>
      <x:c r="K308" s="33" t="str"/>
      <x:c r="L308" s="33" t="str"/>
      <x:c r="M308" s="44" t="str"/>
      <x:c r="N308" s="50" t="n">
        <x:v>47</x:v>
      </x:c>
      <x:c r="O308" s="53" t="str">
        <x:v>After a college co-ed's body is found, the detectives look for a campus rapist, but the medical examiner's report puts them on a different path, one involving prostitution.</x:v>
      </x:c>
      <x:c r="P308" s="53" t="str">
        <x:v>Core Law &amp; Order franchise</x:v>
      </x:c>
      <x:c r="Q308" s="17" t="str">
        <x:v>34185</x:v>
      </x:c>
      <x:c r="R308" s="17" t="str">
        <x:v>tt0629278</x:v>
      </x:c>
      <x:c r="S308" s="17" t="str">
        <x:v>189</x:v>
      </x:c>
    </x:row>
    <x:row r="309">
      <x:c r="A309" s="43" t="n">
        <x:v>305</x:v>
      </x:c>
      <x:c r="B309" s="44" t="str">
        <x:v>Not Started</x:v>
      </x:c>
      <x:c r="C309" s="45" t="n">
        <x:v>35187</x:v>
      </x:c>
      <x:c r="D309" s="33" t="str">
        <x:v>New York Undercover</x:v>
      </x:c>
      <x:c r="E309" s="33" t="str">
        <x:v>Law &amp; Order</x:v>
      </x:c>
      <x:c r="F309" s="33" t="str">
        <x:v>connected</x:v>
      </x:c>
      <x:c r="G309" s="50" t="n">
        <x:v>2</x:v>
      </x:c>
      <x:c r="H309" s="50" t="n">
        <x:v>25</x:v>
      </x:c>
      <x:c r="I309" s="44" t="str">
        <x:v>02.25</x:v>
      </x:c>
      <x:c r="J309" s="33" t="str">
        <x:v>Deep Cover (1)</x:v>
      </x:c>
      <x:c r="K309" s="33" t="str"/>
      <x:c r="L309" s="33" t="str"/>
      <x:c r="M309" s="44" t="str"/>
      <x:c r="N309" s="50" t="n">
        <x:v>43</x:v>
      </x:c>
      <x:c r="O309" s="53" t="str">
        <x:v>Torres tries to gain the confidence of a gun ring's leader. Williams pretends to be a Jamaican who's prepared to place a substantial firearms order.</x:v>
      </x:c>
      <x:c r="P309" s="53" t="str">
        <x:v>Wolf-produced New York police drama; crossover-adjacent to the Law &amp; Order era</x:v>
      </x:c>
      <x:c r="Q309" s="17" t="str">
        <x:v>291037</x:v>
      </x:c>
      <x:c r="R309" s="17" t="str"/>
      <x:c r="S309" s="17" t="str">
        <x:v>190</x:v>
      </x:c>
    </x:row>
    <x:row r="310">
      <x:c r="A310" s="43" t="n">
        <x:v>306</x:v>
      </x:c>
      <x:c r="B310" s="44" t="str">
        <x:v>Not Started</x:v>
      </x:c>
      <x:c r="C310" s="45" t="n">
        <x:v>35189</x:v>
      </x:c>
      <x:c r="D310" s="33" t="str">
        <x:v>Homicide: Life on the Street</x:v>
      </x:c>
      <x:c r="E310" s="33" t="str">
        <x:v>Law &amp; Order</x:v>
      </x:c>
      <x:c r="F310" s="33" t="str">
        <x:v>connected</x:v>
      </x:c>
      <x:c r="G310" s="50" t="n">
        <x:v>4</x:v>
      </x:c>
      <x:c r="H310" s="50" t="n">
        <x:v>20</x:v>
      </x:c>
      <x:c r="I310" s="44" t="str">
        <x:v>04.20</x:v>
      </x:c>
      <x:c r="J310" s="33" t="str">
        <x:v>The Damage Done</x:v>
      </x:c>
      <x:c r="K310" s="33" t="str"/>
      <x:c r="L310" s="33" t="str"/>
      <x:c r="M310" s="44" t="str"/>
      <x:c r="N310" s="50" t="n">
        <x:v>47</x:v>
      </x:c>
      <x:c r="O310" s="53" t="str">
        <x:v>Lewis and Kellerman investigate a series of homicides that put them into the middle of a drug war. Kellerman suspects that Lewis is seeing someone, but he doesn't ""kiss and tell."" As the red piles up on the board Gee gets edgy. Kellerman seeks comfort from the godmother of the daughter of the victim's family. Kellerman and ""Drak"" have a confrontation. At a ""Peace on our Street"" demonstration, the current drug war is ended.</x:v>
      </x:c>
      <x:c r="P310" s="53" t="str">
        <x:v>Direct crossover with Law &amp; Order; Munch bridge to SVU</x:v>
      </x:c>
      <x:c r="Q310" s="17" t="str">
        <x:v>320030</x:v>
      </x:c>
      <x:c r="R310" s="17" t="str">
        <x:v>tt0604426</x:v>
      </x:c>
      <x:c r="S310" s="17" t="str"/>
    </x:row>
    <x:row r="311">
      <x:c r="A311" s="43" t="n">
        <x:v>307</x:v>
      </x:c>
      <x:c r="B311" s="44" t="str">
        <x:v>Not Started</x:v>
      </x:c>
      <x:c r="C311" s="45" t="n">
        <x:v>35193</x:v>
      </x:c>
      <x:c r="D311" s="33" t="str">
        <x:v>Swift Justice</x:v>
      </x:c>
      <x:c r="E311" s="33" t="str">
        <x:v>Crossover Adjacent</x:v>
      </x:c>
      <x:c r="F311" s="33" t="str">
        <x:v>complete</x:v>
      </x:c>
      <x:c r="G311" s="50" t="n">
        <x:v>1</x:v>
      </x:c>
      <x:c r="H311" s="50" t="n">
        <x:v>8</x:v>
      </x:c>
      <x:c r="I311" s="44" t="str">
        <x:v>01.08</x:v>
      </x:c>
      <x:c r="J311" s="33" t="str">
        <x:v>Horses</x:v>
      </x:c>
      <x:c r="K311" s="33" t="str"/>
      <x:c r="L311" s="33" t="str"/>
      <x:c r="M311" s="44" t="str"/>
      <x:c r="N311" s="50" t="n">
        <x:v>60</x:v>
      </x:c>
      <x:c r="O311" s="53" t="str">
        <x:v>Swift helps a horse breeder avoid selling out to a business tycoon.</x:v>
      </x:c>
      <x:c r="P311" s="53" t="str">
        <x:v>Dick Wolf-created crime drama</x:v>
      </x:c>
      <x:c r="Q311" s="17" t="str">
        <x:v>566183</x:v>
      </x:c>
      <x:c r="R311" s="17" t="str"/>
      <x:c r="S311" s="17" t="str"/>
    </x:row>
    <x:row r="312">
      <x:c r="A312" s="43" t="n">
        <x:v>308</x:v>
      </x:c>
      <x:c r="B312" s="44" t="str">
        <x:v>Not Started</x:v>
      </x:c>
      <x:c r="C312" s="45" t="n">
        <x:v>35193</x:v>
      </x:c>
      <x:c r="D312" s="33" t="str">
        <x:v>Law &amp; Order</x:v>
      </x:c>
      <x:c r="E312" s="33" t="str">
        <x:v>Law &amp; Order</x:v>
      </x:c>
      <x:c r="F312" s="33" t="str">
        <x:v>core</x:v>
      </x:c>
      <x:c r="G312" s="50" t="n">
        <x:v>6</x:v>
      </x:c>
      <x:c r="H312" s="50" t="n">
        <x:v>21</x:v>
      </x:c>
      <x:c r="I312" s="44" t="str">
        <x:v>06.21</x:v>
      </x:c>
      <x:c r="J312" s="33" t="str">
        <x:v>Pro Se</x:v>
      </x:c>
      <x:c r="K312" s="33" t="str"/>
      <x:c r="L312" s="33" t="str"/>
      <x:c r="M312" s="44" t="str"/>
      <x:c r="N312" s="50" t="n">
        <x:v>48</x:v>
      </x:c>
      <x:c r="O312" s="53" t="str">
        <x:v>The investigation into multiple homicides at a clothing store leads to the arrest of a schizophrenic who presents McCoy with a formidable opponent when he decides to represent himself.</x:v>
      </x:c>
      <x:c r="P312" s="53" t="str">
        <x:v>Core Law &amp; Order franchise</x:v>
      </x:c>
      <x:c r="Q312" s="17" t="str">
        <x:v>34186</x:v>
      </x:c>
      <x:c r="R312" s="17" t="str">
        <x:v>tt0629386</x:v>
      </x:c>
      <x:c r="S312" s="17" t="str">
        <x:v>192</x:v>
      </x:c>
    </x:row>
    <x:row r="313">
      <x:c r="A313" s="43" t="n">
        <x:v>309</x:v>
      </x:c>
      <x:c r="B313" s="44" t="str">
        <x:v>Not Started</x:v>
      </x:c>
      <x:c r="C313" s="45" t="n">
        <x:v>35194</x:v>
      </x:c>
      <x:c r="D313" s="33" t="str">
        <x:v>New York Undercover</x:v>
      </x:c>
      <x:c r="E313" s="33" t="str">
        <x:v>Law &amp; Order</x:v>
      </x:c>
      <x:c r="F313" s="33" t="str">
        <x:v>connected</x:v>
      </x:c>
      <x:c r="G313" s="50" t="n">
        <x:v>2</x:v>
      </x:c>
      <x:c r="H313" s="50" t="n">
        <x:v>26</x:v>
      </x:c>
      <x:c r="I313" s="44" t="str">
        <x:v>02.26</x:v>
      </x:c>
      <x:c r="J313" s="33" t="str">
        <x:v>If This World Were Mine (2)</x:v>
      </x:c>
      <x:c r="K313" s="33" t="str"/>
      <x:c r="L313" s="33" t="str"/>
      <x:c r="M313" s="44" t="str"/>
      <x:c r="N313" s="50" t="n">
        <x:v>43</x:v>
      </x:c>
      <x:c r="O313" s="53" t="str">
        <x:v>A gun-ring leader seeks revenge on Torres.</x:v>
      </x:c>
      <x:c r="P313" s="53" t="str">
        <x:v>Wolf-produced New York police drama; crossover-adjacent to the Law &amp; Order era</x:v>
      </x:c>
      <x:c r="Q313" s="17" t="str">
        <x:v>291038</x:v>
      </x:c>
      <x:c r="R313" s="17" t="str"/>
      <x:c r="S313" s="17" t="str">
        <x:v>193</x:v>
      </x:c>
    </x:row>
    <x:row r="314">
      <x:c r="A314" s="43" t="n">
        <x:v>310</x:v>
      </x:c>
      <x:c r="B314" s="44" t="str">
        <x:v>Not Started</x:v>
      </x:c>
      <x:c r="C314" s="45" t="n">
        <x:v>35196</x:v>
      </x:c>
      <x:c r="D314" s="33" t="str">
        <x:v>Homicide: Life on the Street</x:v>
      </x:c>
      <x:c r="E314" s="33" t="str">
        <x:v>Law &amp; Order</x:v>
      </x:c>
      <x:c r="F314" s="33" t="str">
        <x:v>connected</x:v>
      </x:c>
      <x:c r="G314" s="50" t="n">
        <x:v>4</x:v>
      </x:c>
      <x:c r="H314" s="50" t="n">
        <x:v>21</x:v>
      </x:c>
      <x:c r="I314" s="44" t="str">
        <x:v>04.21</x:v>
      </x:c>
      <x:c r="J314" s="33" t="str">
        <x:v>The Wedding</x:v>
      </x:c>
      <x:c r="K314" s="33" t="str"/>
      <x:c r="L314" s="33" t="str"/>
      <x:c r="M314" s="44" t="str"/>
      <x:c r="N314" s="50" t="n">
        <x:v>47</x:v>
      </x:c>
      <x:c r="O314" s="53" t="str">
        <x:v>A trash-talking radio talk-show host makes a proposal to his listening audience. Lewis announces to Kellerman that he is getting married today, then he throws up. He motivates the rest of the squad to help him with the final details as he is getting married ""tonight after the shift ends."" Kay brings her sister with her to the station. Since the whole squad is busy with Lewis' wedding, Gee takes Howard out to work the homicide of the radio talk-show host. One of his listeners took him up on his proposal. Munch is skeptical about the Lewis wedding; he thinks it's an elaborate practical joke. Bayliss and Kellerman vie for the attention of Kay's sister. Gee shoots and kills a potential suspect, but the suspect was in jail at the time of the talk show host's murder. The guy who fingered him admits that he did it as a joke. The wedding is no hoax. During the festivities Pembleton's wife goes into labor.</x:v>
      </x:c>
      <x:c r="P314" s="53" t="str">
        <x:v>Direct crossover with Law &amp; Order; Munch bridge to SVU</x:v>
      </x:c>
      <x:c r="Q314" s="17" t="str">
        <x:v>320031</x:v>
      </x:c>
      <x:c r="R314" s="17" t="str">
        <x:v>tt0604438</x:v>
      </x:c>
      <x:c r="S314" s="17" t="str"/>
    </x:row>
    <x:row r="315">
      <x:c r="A315" s="43" t="n">
        <x:v>311</x:v>
      </x:c>
      <x:c r="B315" s="44" t="str">
        <x:v>Not Started</x:v>
      </x:c>
      <x:c r="C315" s="45" t="n">
        <x:v>35200</x:v>
      </x:c>
      <x:c r="D315" s="33" t="str">
        <x:v>Swift Justice</x:v>
      </x:c>
      <x:c r="E315" s="33" t="str">
        <x:v>Crossover Adjacent</x:v>
      </x:c>
      <x:c r="F315" s="33" t="str">
        <x:v>complete</x:v>
      </x:c>
      <x:c r="G315" s="50" t="n">
        <x:v>1</x:v>
      </x:c>
      <x:c r="H315" s="50" t="n">
        <x:v>9</x:v>
      </x:c>
      <x:c r="I315" s="44" t="str">
        <x:v>01.09</x:v>
      </x:c>
      <x:c r="J315" s="33" t="str">
        <x:v>Bad Medicine</x:v>
      </x:c>
      <x:c r="K315" s="33" t="str"/>
      <x:c r="L315" s="33" t="str"/>
      <x:c r="M315" s="44" t="str"/>
      <x:c r="N315" s="50" t="n">
        <x:v>60</x:v>
      </x:c>
      <x:c r="O315" s="53" t="str">
        <x:v>When research scientist Bud Wertheim dies under suspicious—but apparently natural–circumstances, his friend and colleague Jessie McKenna enlists Swift to find out how—and why—he really died, uncovering research fraud at an up-and-coming pharmaceutical company poised to profit millions on a new cholesterol-lowering drug.</x:v>
      </x:c>
      <x:c r="P315" s="53" t="str">
        <x:v>Dick Wolf-created crime drama</x:v>
      </x:c>
      <x:c r="Q315" s="17" t="str">
        <x:v>566184</x:v>
      </x:c>
      <x:c r="R315" s="17" t="str"/>
      <x:c r="S315" s="17" t="str"/>
    </x:row>
    <x:row r="316">
      <x:c r="A316" s="43" t="n">
        <x:v>312</x:v>
      </x:c>
      <x:c r="B316" s="44" t="str">
        <x:v>Not Started</x:v>
      </x:c>
      <x:c r="C316" s="45" t="n">
        <x:v>35200</x:v>
      </x:c>
      <x:c r="D316" s="33" t="str">
        <x:v>Law &amp; Order</x:v>
      </x:c>
      <x:c r="E316" s="33" t="str">
        <x:v>Law &amp; Order</x:v>
      </x:c>
      <x:c r="F316" s="33" t="str">
        <x:v>core</x:v>
      </x:c>
      <x:c r="G316" s="50" t="n">
        <x:v>6</x:v>
      </x:c>
      <x:c r="H316" s="50" t="n">
        <x:v>22</x:v>
      </x:c>
      <x:c r="I316" s="44" t="str">
        <x:v>06.22</x:v>
      </x:c>
      <x:c r="J316" s="33" t="str">
        <x:v>Homesick</x:v>
      </x:c>
      <x:c r="K316" s="33" t="str"/>
      <x:c r="L316" s="33" t="str"/>
      <x:c r="M316" s="44" t="str"/>
      <x:c r="N316" s="50" t="n">
        <x:v>48</x:v>
      </x:c>
      <x:c r="O316" s="53" t="str">
        <x:v>After an infant is found dead in his crib, it's determined he was poisoned, and all evidence points to the child's au pair.</x:v>
      </x:c>
      <x:c r="P316" s="53" t="str">
        <x:v>Core Law &amp; Order franchise</x:v>
      </x:c>
      <x:c r="Q316" s="17" t="str">
        <x:v>34187</x:v>
      </x:c>
      <x:c r="R316" s="17" t="str">
        <x:v>tt0629299</x:v>
      </x:c>
      <x:c r="S316" s="17" t="str">
        <x:v>195</x:v>
      </x:c>
    </x:row>
    <x:row r="317">
      <x:c r="A317" s="43" t="n">
        <x:v>313</x:v>
      </x:c>
      <x:c r="B317" s="44" t="str">
        <x:v>Not Started</x:v>
      </x:c>
      <x:c r="C317" s="45" t="n">
        <x:v>35202</x:v>
      </x:c>
      <x:c r="D317" s="33" t="str">
        <x:v>Homicide: Life on the Street</x:v>
      </x:c>
      <x:c r="E317" s="33" t="str">
        <x:v>Law &amp; Order</x:v>
      </x:c>
      <x:c r="F317" s="33" t="str">
        <x:v>connected</x:v>
      </x:c>
      <x:c r="G317" s="50" t="n">
        <x:v>4</x:v>
      </x:c>
      <x:c r="H317" s="50" t="n">
        <x:v>22</x:v>
      </x:c>
      <x:c r="I317" s="44" t="str">
        <x:v>04.22</x:v>
      </x:c>
      <x:c r="J317" s="33" t="str">
        <x:v>Work Related</x:v>
      </x:c>
      <x:c r="K317" s="33" t="str"/>
      <x:c r="L317" s="33" t="str"/>
      <x:c r="M317" s="44" t="str"/>
      <x:c r="N317" s="50" t="n">
        <x:v>45</x:v>
      </x:c>
      <x:c r="O317" s="53" t="str">
        <x:v>Mary gave birth to a girl named Olivia; Tim is more excited about it than Frank. Their latest case involves a multiple shooting a restaurant. Lewis is back from his honeymoon, but while working a case with Kellerman, he confesses that they have yet to consummate their marriage. Later he tells him that they've separated. Tim stops by to see Frank and Mary's baby. They get a suspect for their case in the box. Frank collapses in the box while interrogating a suspect. Frank is put under the knife to release the pressure built up in his head from the stroke he had. After the surgery the doctor tells them that he doesn't know if Frank will recover.</x:v>
      </x:c>
      <x:c r="P317" s="53" t="str">
        <x:v>Direct crossover with Law &amp; Order; Munch bridge to SVU</x:v>
      </x:c>
      <x:c r="Q317" s="17" t="str">
        <x:v>320032</x:v>
      </x:c>
      <x:c r="R317" s="17" t="str">
        <x:v>tt0604447</x:v>
      </x:c>
      <x:c r="S317" s="17" t="str">
        <x:v>196</x:v>
      </x:c>
    </x:row>
    <x:row r="318">
      <x:c r="A318" s="43" t="n">
        <x:v>314</x:v>
      </x:c>
      <x:c r="B318" s="44" t="str">
        <x:v>Not Started</x:v>
      </x:c>
      <x:c r="C318" s="45" t="n">
        <x:v>35203</x:v>
      </x:c>
      <x:c r="D318" s="33" t="str">
        <x:v>Homicide: Life on the Street</x:v>
      </x:c>
      <x:c r="E318" s="33" t="str">
        <x:v>Law &amp; Order</x:v>
      </x:c>
      <x:c r="F318" s="33" t="str">
        <x:v>connected</x:v>
      </x:c>
      <x:c r="G318" s="50" t="n">
        <x:v>0</x:v>
      </x:c>
      <x:c r="H318" s="50" t="n">
        <x:v>2</x:v>
      </x:c>
      <x:c r="I318" s="44" t="str">
        <x:v>S00.02</x:v>
      </x:c>
      <x:c r="J318" s="33" t="str">
        <x:v>Interviews with the Cast</x:v>
      </x:c>
      <x:c r="K318" s="33" t="str"/>
      <x:c r="L318" s="33" t="str"/>
      <x:c r="M318" s="44" t="str"/>
      <x:c r="N318" s="50" t="n">
        <x:v>45</x:v>
      </x:c>
      <x:c r="O318" s="53" t="str">
        <x:v>Interviews with members of the cast from season 4.</x:v>
      </x:c>
      <x:c r="P318" s="53" t="str">
        <x:v>Direct crossover with Law &amp; Order; Munch bridge to SVU</x:v>
      </x:c>
      <x:c r="Q318" s="17" t="str">
        <x:v>319972</x:v>
      </x:c>
      <x:c r="R318" s="17" t="str"/>
      <x:c r="S318" s="17" t="str"/>
    </x:row>
    <x:row r="319">
      <x:c r="A319" s="43" t="n">
        <x:v>315</x:v>
      </x:c>
      <x:c r="B319" s="44" t="str">
        <x:v>Not Started</x:v>
      </x:c>
      <x:c r="C319" s="45" t="n">
        <x:v>35207</x:v>
      </x:c>
      <x:c r="D319" s="33" t="str">
        <x:v>Swift Justice</x:v>
      </x:c>
      <x:c r="E319" s="33" t="str">
        <x:v>Crossover Adjacent</x:v>
      </x:c>
      <x:c r="F319" s="33" t="str">
        <x:v>complete</x:v>
      </x:c>
      <x:c r="G319" s="50" t="n">
        <x:v>1</x:v>
      </x:c>
      <x:c r="H319" s="50" t="n">
        <x:v>10</x:v>
      </x:c>
      <x:c r="I319" s="44" t="str">
        <x:v>01.10</x:v>
      </x:c>
      <x:c r="J319" s="33" t="str">
        <x:v>Isaiah's Daughter</x:v>
      </x:c>
      <x:c r="K319" s="33" t="str"/>
      <x:c r="L319" s="33" t="str"/>
      <x:c r="M319" s="44" t="str"/>
      <x:c r="N319" s="50" t="n">
        <x:v>60</x:v>
      </x:c>
      <x:c r="O319" s="53" t="str">
        <x:v>An Amish man, Isaiah Zook, travels to New York to search for his runaway daughter Sarah but is quickly overwhelmed by the city. Paterson happens upon the naive Isaiah and introduces him to Swift, who quickly agrees to take his case. Swift discovers that Sarah is living with an illicit pornographic star, David, who owes his producer a lot of money for drugs.</x:v>
      </x:c>
      <x:c r="P319" s="53" t="str">
        <x:v>Dick Wolf-created crime drama</x:v>
      </x:c>
      <x:c r="Q319" s="17" t="str">
        <x:v>566185</x:v>
      </x:c>
      <x:c r="R319" s="17" t="str"/>
      <x:c r="S319" s="17" t="str"/>
    </x:row>
    <x:row r="320">
      <x:c r="A320" s="43" t="n">
        <x:v>316</x:v>
      </x:c>
      <x:c r="B320" s="44" t="str">
        <x:v>Not Started</x:v>
      </x:c>
      <x:c r="C320" s="45" t="n">
        <x:v>35207</x:v>
      </x:c>
      <x:c r="D320" s="33" t="str">
        <x:v>Law &amp; Order</x:v>
      </x:c>
      <x:c r="E320" s="33" t="str">
        <x:v>Law &amp; Order</x:v>
      </x:c>
      <x:c r="F320" s="33" t="str">
        <x:v>core</x:v>
      </x:c>
      <x:c r="G320" s="50" t="n">
        <x:v>6</x:v>
      </x:c>
      <x:c r="H320" s="50" t="n">
        <x:v>23</x:v>
      </x:c>
      <x:c r="I320" s="44" t="str">
        <x:v>06.23</x:v>
      </x:c>
      <x:c r="J320" s="33" t="str">
        <x:v>Aftershock</x:v>
      </x:c>
      <x:c r="K320" s="33" t="str"/>
      <x:c r="L320" s="33" t="str"/>
      <x:c r="M320" s="44" t="str"/>
      <x:c r="N320" s="50" t="n">
        <x:v>47</x:v>
      </x:c>
      <x:c r="O320" s="53" t="str">
        <x:v>After Briscoe, Curtis, McCoy, and Kincaid witness the execution of a criminal they brought to justice, their unique reactions to the event culminate in personal tragedies for each of them.</x:v>
      </x:c>
      <x:c r="P320" s="53" t="str">
        <x:v>Core Law &amp; Order franchise</x:v>
      </x:c>
      <x:c r="Q320" s="17" t="str">
        <x:v>34188</x:v>
      </x:c>
      <x:c r="R320" s="17" t="str">
        <x:v>tt0629147</x:v>
      </x:c>
      <x:c r="S320" s="17" t="str">
        <x:v>197</x:v>
      </x:c>
    </x:row>
    <x:row r="321">
      <x:c r="A321" s="43" t="n">
        <x:v>317</x:v>
      </x:c>
      <x:c r="B321" s="44" t="str">
        <x:v>Not Started</x:v>
      </x:c>
      <x:c r="C321" s="45" t="n">
        <x:v>35248</x:v>
      </x:c>
      <x:c r="D321" s="33" t="str">
        <x:v>Swift Justice</x:v>
      </x:c>
      <x:c r="E321" s="33" t="str">
        <x:v>Crossover Adjacent</x:v>
      </x:c>
      <x:c r="F321" s="33" t="str">
        <x:v>complete</x:v>
      </x:c>
      <x:c r="G321" s="50" t="n">
        <x:v>1</x:v>
      </x:c>
      <x:c r="H321" s="50" t="n">
        <x:v>11</x:v>
      </x:c>
      <x:c r="I321" s="44" t="str">
        <x:v>01.11</x:v>
      </x:c>
      <x:c r="J321" s="33" t="str">
        <x:v>The Haze</x:v>
      </x:c>
      <x:c r="K321" s="33" t="str"/>
      <x:c r="L321" s="33" t="str"/>
      <x:c r="M321" s="44" t="str"/>
      <x:c r="N321" s="50" t="n">
        <x:v>60</x:v>
      </x:c>
      <x:c r="O321" s="53" t="str">
        <x:v>Patterson asks Swift to watch over a woman somehow involved in his latest case.</x:v>
      </x:c>
      <x:c r="P321" s="53" t="str">
        <x:v>Dick Wolf-created crime drama</x:v>
      </x:c>
      <x:c r="Q321" s="17" t="str">
        <x:v>566186</x:v>
      </x:c>
      <x:c r="R321" s="17" t="str"/>
      <x:c r="S321" s="17" t="str"/>
    </x:row>
    <x:row r="322">
      <x:c r="A322" s="43" t="n">
        <x:v>318</x:v>
      </x:c>
      <x:c r="B322" s="44" t="str">
        <x:v>Not Started</x:v>
      </x:c>
      <x:c r="C322" s="45" t="n">
        <x:v>35256</x:v>
      </x:c>
      <x:c r="D322" s="33" t="str">
        <x:v>Swift Justice</x:v>
      </x:c>
      <x:c r="E322" s="33" t="str">
        <x:v>Crossover Adjacent</x:v>
      </x:c>
      <x:c r="F322" s="33" t="str">
        <x:v>complete</x:v>
      </x:c>
      <x:c r="G322" s="50" t="n">
        <x:v>1</x:v>
      </x:c>
      <x:c r="H322" s="50" t="n">
        <x:v>12</x:v>
      </x:c>
      <x:c r="I322" s="44" t="str">
        <x:v>01.12</x:v>
      </x:c>
      <x:c r="J322" s="33" t="str">
        <x:v>Stones</x:v>
      </x:c>
      <x:c r="K322" s="33" t="str"/>
      <x:c r="L322" s="33" t="str"/>
      <x:c r="M322" s="44" t="str"/>
      <x:c r="N322" s="50" t="n">
        <x:v>60</x:v>
      </x:c>
      <x:c r="O322" s="53" t="str">
        <x:v>Swift and Paterson clash on issues of strategy when cases they are working on collide. Paterson, under pressure from his superiors, may have to place a charge of Swift's in danger to bring down suspects in a series of jewel heists. Swift, feeling a responsibility to help the girl he's been trying to protect and her ex-con boyfriend, may be jeopardizing Paterson's case in the process. Can their friendship survive?</x:v>
      </x:c>
      <x:c r="P322" s="53" t="str">
        <x:v>Dick Wolf-created crime drama</x:v>
      </x:c>
      <x:c r="Q322" s="17" t="str">
        <x:v>566187</x:v>
      </x:c>
      <x:c r="R322" s="17" t="str"/>
      <x:c r="S322" s="17" t="str"/>
    </x:row>
    <x:row r="323">
      <x:c r="A323" s="43" t="n">
        <x:v>319</x:v>
      </x:c>
      <x:c r="B323" s="44" t="str">
        <x:v>Not Started</x:v>
      </x:c>
      <x:c r="C323" s="45" t="n">
        <x:v>35263</x:v>
      </x:c>
      <x:c r="D323" s="33" t="str">
        <x:v>Swift Justice</x:v>
      </x:c>
      <x:c r="E323" s="33" t="str">
        <x:v>Crossover Adjacent</x:v>
      </x:c>
      <x:c r="F323" s="33" t="str">
        <x:v>complete</x:v>
      </x:c>
      <x:c r="G323" s="50" t="n">
        <x:v>1</x:v>
      </x:c>
      <x:c r="H323" s="50" t="n">
        <x:v>13</x:v>
      </x:c>
      <x:c r="I323" s="44" t="str">
        <x:v>01.13</x:v>
      </x:c>
      <x:c r="J323" s="33" t="str">
        <x:v>Retribution</x:v>
      </x:c>
      <x:c r="K323" s="33" t="str"/>
      <x:c r="L323" s="33" t="str"/>
      <x:c r="M323" s="44" t="str"/>
      <x:c r="N323" s="50" t="n">
        <x:v>60</x:v>
      </x:c>
      <x:c r="O323" s="53" t="str">
        <x:v>A serial killer escapes and goes after those who put him away: Swift, Patterson and a criminal profiler.</x:v>
      </x:c>
      <x:c r="P323" s="53" t="str">
        <x:v>Dick Wolf-created crime drama</x:v>
      </x:c>
      <x:c r="Q323" s="17" t="str">
        <x:v>566188</x:v>
      </x:c>
      <x:c r="R323" s="17" t="str"/>
      <x:c r="S323" s="17" t="str"/>
    </x:row>
    <x:row r="324">
      <x:c r="A324" s="43" t="n">
        <x:v>320</x:v>
      </x:c>
      <x:c r="B324" s="44" t="str">
        <x:v>Not Started</x:v>
      </x:c>
      <x:c r="C324" s="45" t="n">
        <x:v>35306</x:v>
      </x:c>
      <x:c r="D324" s="33" t="str">
        <x:v>New York Undercover</x:v>
      </x:c>
      <x:c r="E324" s="33" t="str">
        <x:v>Law &amp; Order</x:v>
      </x:c>
      <x:c r="F324" s="33" t="str">
        <x:v>connected</x:v>
      </x:c>
      <x:c r="G324" s="50" t="n">
        <x:v>3</x:v>
      </x:c>
      <x:c r="H324" s="50" t="n">
        <x:v>1</x:v>
      </x:c>
      <x:c r="I324" s="44" t="str">
        <x:v>03.01</x:v>
      </x:c>
      <x:c r="J324" s="33" t="str">
        <x:v>A Time of Faith (1)</x:v>
      </x:c>
      <x:c r="K324" s="33" t="str"/>
      <x:c r="L324" s="33" t="str"/>
      <x:c r="M324" s="44" t="str"/>
      <x:c r="N324" s="50" t="n">
        <x:v>44</x:v>
      </x:c>
      <x:c r="O324" s="53" t="str">
        <x:v>Harlem churches are targets of bombings.  Eddie tries to help Nina recover from her shot wound. Williams has issues with new comer Det. McNamara. G's friendship with a white person is being questioned.</x:v>
      </x:c>
      <x:c r="P324" s="53" t="str">
        <x:v>Wolf-produced New York police drama; crossover-adjacent to the Law &amp; Order era</x:v>
      </x:c>
      <x:c r="Q324" s="17" t="str">
        <x:v>291039</x:v>
      </x:c>
      <x:c r="R324" s="17" t="str"/>
      <x:c r="S324" s="17" t="str">
        <x:v>198</x:v>
      </x:c>
    </x:row>
    <x:row r="325">
      <x:c r="A325" s="43" t="n">
        <x:v>321</x:v>
      </x:c>
      <x:c r="B325" s="44" t="str">
        <x:v>Not Started</x:v>
      </x:c>
      <x:c r="C325" s="45" t="n">
        <x:v>35313</x:v>
      </x:c>
      <x:c r="D325" s="33" t="str">
        <x:v>New York Undercover</x:v>
      </x:c>
      <x:c r="E325" s="33" t="str">
        <x:v>Law &amp; Order</x:v>
      </x:c>
      <x:c r="F325" s="33" t="str">
        <x:v>connected</x:v>
      </x:c>
      <x:c r="G325" s="50" t="n">
        <x:v>3</x:v>
      </x:c>
      <x:c r="H325" s="50" t="n">
        <x:v>2</x:v>
      </x:c>
      <x:c r="I325" s="44" t="str">
        <x:v>03.02</x:v>
      </x:c>
      <x:c r="J325" s="33" t="str">
        <x:v>A Time of Faith (2)</x:v>
      </x:c>
      <x:c r="K325" s="33" t="str"/>
      <x:c r="L325" s="33" t="str"/>
      <x:c r="M325" s="44" t="str"/>
      <x:c r="N325" s="50" t="n">
        <x:v>44</x:v>
      </x:c>
      <x:c r="O325" s="53" t="str">
        <x:v>Williams discover that Rev. Harris may be part of the bombings.  Nina moves in with Eddie.</x:v>
      </x:c>
      <x:c r="P325" s="53" t="str">
        <x:v>Wolf-produced New York police drama; crossover-adjacent to the Law &amp; Order era</x:v>
      </x:c>
      <x:c r="Q325" s="17" t="str">
        <x:v>291040</x:v>
      </x:c>
      <x:c r="R325" s="17" t="str"/>
      <x:c r="S325" s="17" t="str">
        <x:v>199</x:v>
      </x:c>
    </x:row>
    <x:row r="326">
      <x:c r="A326" s="43" t="n">
        <x:v>322</x:v>
      </x:c>
      <x:c r="B326" s="44" t="str">
        <x:v>Not Started</x:v>
      </x:c>
      <x:c r="C326" s="45" t="n">
        <x:v>35320</x:v>
      </x:c>
      <x:c r="D326" s="33" t="str">
        <x:v>New York Undercover</x:v>
      </x:c>
      <x:c r="E326" s="33" t="str">
        <x:v>Law &amp; Order</x:v>
      </x:c>
      <x:c r="F326" s="33" t="str">
        <x:v>connected</x:v>
      </x:c>
      <x:c r="G326" s="50" t="n">
        <x:v>3</x:v>
      </x:c>
      <x:c r="H326" s="50" t="n">
        <x:v>3</x:v>
      </x:c>
      <x:c r="I326" s="44" t="str">
        <x:v>03.03</x:v>
      </x:c>
      <x:c r="J326" s="33" t="str">
        <x:v>Tough Love</x:v>
      </x:c>
      <x:c r="K326" s="33" t="str"/>
      <x:c r="L326" s="33" t="str"/>
      <x:c r="M326" s="44" t="str"/>
      <x:c r="N326" s="50" t="n">
        <x:v>44</x:v>
      </x:c>
      <x:c r="O326" s="53" t="str">
        <x:v>Williams befriends a woman whose boyfriend is a leader of a gang that robs apartments.  Eddie asks Nina not to go back to work.</x:v>
      </x:c>
      <x:c r="P326" s="53" t="str">
        <x:v>Wolf-produced New York police drama; crossover-adjacent to the Law &amp; Order era</x:v>
      </x:c>
      <x:c r="Q326" s="17" t="str">
        <x:v>291041</x:v>
      </x:c>
      <x:c r="R326" s="17" t="str"/>
      <x:c r="S326" s="17" t="str">
        <x:v>200</x:v>
      </x:c>
    </x:row>
    <x:row r="327">
      <x:c r="A327" s="43" t="n">
        <x:v>323</x:v>
      </x:c>
      <x:c r="B327" s="44" t="str">
        <x:v>Not Started</x:v>
      </x:c>
      <x:c r="C327" s="45" t="n">
        <x:v>35326</x:v>
      </x:c>
      <x:c r="D327" s="33" t="str">
        <x:v>Law &amp; Order</x:v>
      </x:c>
      <x:c r="E327" s="33" t="str">
        <x:v>Law &amp; Order</x:v>
      </x:c>
      <x:c r="F327" s="33" t="str">
        <x:v>core</x:v>
      </x:c>
      <x:c r="G327" s="50" t="n">
        <x:v>7</x:v>
      </x:c>
      <x:c r="H327" s="50" t="n">
        <x:v>1</x:v>
      </x:c>
      <x:c r="I327" s="44" t="str">
        <x:v>07.01</x:v>
      </x:c>
      <x:c r="J327" s="33" t="str">
        <x:v>Causa Mortis</x:v>
      </x:c>
      <x:c r="K327" s="33" t="str"/>
      <x:c r="L327" s="33" t="str"/>
      <x:c r="M327" s="44" t="str"/>
      <x:c r="N327" s="50" t="n">
        <x:v>47</x:v>
      </x:c>
      <x:c r="O327" s="53" t="str">
        <x:v>McCoy's new second chair, ADA Jamie Ross, is determined to prosecute as harshly as possible a carjacker who took the life of a teacher as she pleaded for her life on an audio tape discovered at the crime scene.</x:v>
      </x:c>
      <x:c r="P327" s="53" t="str">
        <x:v>Core Law &amp; Order franchise</x:v>
      </x:c>
      <x:c r="Q327" s="17" t="str">
        <x:v>34189</x:v>
      </x:c>
      <x:c r="R327" s="17" t="str">
        <x:v>tt0629200</x:v>
      </x:c>
      <x:c r="S327" s="17" t="str">
        <x:v>201</x:v>
      </x:c>
    </x:row>
    <x:row r="328">
      <x:c r="A328" s="43" t="n">
        <x:v>324</x:v>
      </x:c>
      <x:c r="B328" s="44" t="str">
        <x:v>Not Started</x:v>
      </x:c>
      <x:c r="C328" s="45" t="n">
        <x:v>35327</x:v>
      </x:c>
      <x:c r="D328" s="33" t="str">
        <x:v>New York Undercover</x:v>
      </x:c>
      <x:c r="E328" s="33" t="str">
        <x:v>Law &amp; Order</x:v>
      </x:c>
      <x:c r="F328" s="33" t="str">
        <x:v>connected</x:v>
      </x:c>
      <x:c r="G328" s="50" t="n">
        <x:v>3</x:v>
      </x:c>
      <x:c r="H328" s="50" t="n">
        <x:v>4</x:v>
      </x:c>
      <x:c r="I328" s="44" t="str">
        <x:v>03.04</x:v>
      </x:c>
      <x:c r="J328" s="33" t="str">
        <x:v>Blue Boy</x:v>
      </x:c>
      <x:c r="K328" s="33" t="str"/>
      <x:c r="L328" s="33" t="str"/>
      <x:c r="M328" s="44" t="str"/>
      <x:c r="N328" s="50" t="n">
        <x:v>44</x:v>
      </x:c>
      <x:c r="O328" s="53" t="str">
        <x:v>A recently released child molester is a suspect of a rape of an eleven year old girl.  G is in trouble at school.</x:v>
      </x:c>
      <x:c r="P328" s="53" t="str">
        <x:v>Wolf-produced New York police drama; crossover-adjacent to the Law &amp; Order era</x:v>
      </x:c>
      <x:c r="Q328" s="17" t="str">
        <x:v>291042</x:v>
      </x:c>
      <x:c r="R328" s="17" t="str"/>
      <x:c r="S328" s="17" t="str">
        <x:v>202</x:v>
      </x:c>
    </x:row>
    <x:row r="329">
      <x:c r="A329" s="43" t="n">
        <x:v>325</x:v>
      </x:c>
      <x:c r="B329" s="44" t="str">
        <x:v>Not Started</x:v>
      </x:c>
      <x:c r="C329" s="45" t="n">
        <x:v>35328</x:v>
      </x:c>
      <x:c r="D329" s="33" t="str">
        <x:v>Homicide: Life on the Street</x:v>
      </x:c>
      <x:c r="E329" s="33" t="str">
        <x:v>Law &amp; Order</x:v>
      </x:c>
      <x:c r="F329" s="33" t="str">
        <x:v>connected</x:v>
      </x:c>
      <x:c r="G329" s="50" t="n">
        <x:v>5</x:v>
      </x:c>
      <x:c r="H329" s="50" t="n">
        <x:v>1</x:v>
      </x:c>
      <x:c r="I329" s="44" t="str">
        <x:v>05.01</x:v>
      </x:c>
      <x:c r="J329" s="33" t="str">
        <x:v>Hostage (1)</x:v>
      </x:c>
      <x:c r="K329" s="33" t="str"/>
      <x:c r="L329" s="33" t="str"/>
      <x:c r="M329" s="44" t="str"/>
      <x:c r="N329" s="50" t="n">
        <x:v>45</x:v>
      </x:c>
      <x:c r="O329" s="53" t="str">
        <x:v>Gaffney and Barnfather give Gee a hassle about the return of Frank to duty and the sudden departure of Russert to Europe. Bayliss and Munch are called to the scene of a homicide, where the victim, Mrs. Uba, was cooking breakfast and the only witness may be a male pig named Angie. Frank returns to work and Gee tells him what his limited duties are going to be and that he's called in all his favors and both their asses are on the line. The squad is called out for a hostage situation at a middle school.</x:v>
      </x:c>
      <x:c r="P329" s="53" t="str">
        <x:v>Direct crossover with Law &amp; Order; Munch bridge to SVU</x:v>
      </x:c>
      <x:c r="Q329" s="17" t="str">
        <x:v>320033</x:v>
      </x:c>
      <x:c r="R329" s="17" t="str">
        <x:v>tt0604380</x:v>
      </x:c>
      <x:c r="S329" s="17" t="str">
        <x:v>203</x:v>
      </x:c>
    </x:row>
    <x:row r="330">
      <x:c r="A330" s="43" t="n">
        <x:v>326</x:v>
      </x:c>
      <x:c r="B330" s="44" t="str">
        <x:v>Not Started</x:v>
      </x:c>
      <x:c r="C330" s="45" t="n">
        <x:v>35333</x:v>
      </x:c>
      <x:c r="D330" s="33" t="str">
        <x:v>Law &amp; Order</x:v>
      </x:c>
      <x:c r="E330" s="33" t="str">
        <x:v>Law &amp; Order</x:v>
      </x:c>
      <x:c r="F330" s="33" t="str">
        <x:v>core</x:v>
      </x:c>
      <x:c r="G330" s="50" t="n">
        <x:v>7</x:v>
      </x:c>
      <x:c r="H330" s="50" t="n">
        <x:v>2</x:v>
      </x:c>
      <x:c r="I330" s="44" t="str">
        <x:v>07.02</x:v>
      </x:c>
      <x:c r="J330" s="33" t="str">
        <x:v>I.D.</x:v>
      </x:c>
      <x:c r="K330" s="33" t="str"/>
      <x:c r="L330" s="33" t="str"/>
      <x:c r="M330" s="44" t="str"/>
      <x:c r="N330" s="50" t="n">
        <x:v>47</x:v>
      </x:c>
      <x:c r="O330" s="53" t="str">
        <x:v>The cops tackle identifying a corpse left in an elevator, and McCoy finds his prosecution of the suspect later hampered by a vindictive judge who resents Ross's in-court rebuke for sexual harassment.</x:v>
      </x:c>
      <x:c r="P330" s="53" t="str">
        <x:v>Core Law &amp; Order franchise</x:v>
      </x:c>
      <x:c r="Q330" s="17" t="str">
        <x:v>34190</x:v>
      </x:c>
      <x:c r="R330" s="17" t="str">
        <x:v>tt0629307</x:v>
      </x:c>
      <x:c r="S330" s="17" t="str">
        <x:v>204</x:v>
      </x:c>
    </x:row>
    <x:row r="331">
      <x:c r="A331" s="43" t="n">
        <x:v>327</x:v>
      </x:c>
      <x:c r="B331" s="44" t="str">
        <x:v>Not Started</x:v>
      </x:c>
      <x:c r="C331" s="45" t="n">
        <x:v>35334</x:v>
      </x:c>
      <x:c r="D331" s="33" t="str">
        <x:v>New York Undercover</x:v>
      </x:c>
      <x:c r="E331" s="33" t="str">
        <x:v>Law &amp; Order</x:v>
      </x:c>
      <x:c r="F331" s="33" t="str">
        <x:v>connected</x:v>
      </x:c>
      <x:c r="G331" s="50" t="n">
        <x:v>3</x:v>
      </x:c>
      <x:c r="H331" s="50" t="n">
        <x:v>5</x:v>
      </x:c>
      <x:c r="I331" s="44" t="str">
        <x:v>03.05</x:v>
      </x:c>
      <x:c r="J331" s="33" t="str">
        <x:v>Rules of Engagement</x:v>
      </x:c>
      <x:c r="K331" s="33" t="str"/>
      <x:c r="L331" s="33" t="str"/>
      <x:c r="M331" s="44" t="str"/>
      <x:c r="N331" s="50" t="n">
        <x:v>44</x:v>
      </x:c>
      <x:c r="O331" s="53" t="str">
        <x:v>Nina and McNamara work together on a case where two robbers are murdered.  Nina freezes in battle and decides to turn in her gun. G hangs out with young thieves.</x:v>
      </x:c>
      <x:c r="P331" s="53" t="str">
        <x:v>Wolf-produced New York police drama; crossover-adjacent to the Law &amp; Order era</x:v>
      </x:c>
      <x:c r="Q331" s="17" t="str">
        <x:v>291043</x:v>
      </x:c>
      <x:c r="R331" s="17" t="str"/>
      <x:c r="S331" s="17" t="str">
        <x:v>205</x:v>
      </x:c>
    </x:row>
    <x:row r="332">
      <x:c r="A332" s="43" t="n">
        <x:v>328</x:v>
      </x:c>
      <x:c r="B332" s="44" t="str">
        <x:v>Not Started</x:v>
      </x:c>
      <x:c r="C332" s="45" t="n">
        <x:v>35335</x:v>
      </x:c>
      <x:c r="D332" s="33" t="str">
        <x:v>Homicide: Life on the Street</x:v>
      </x:c>
      <x:c r="E332" s="33" t="str">
        <x:v>Law &amp; Order</x:v>
      </x:c>
      <x:c r="F332" s="33" t="str">
        <x:v>connected</x:v>
      </x:c>
      <x:c r="G332" s="50" t="n">
        <x:v>5</x:v>
      </x:c>
      <x:c r="H332" s="50" t="n">
        <x:v>2</x:v>
      </x:c>
      <x:c r="I332" s="44" t="str">
        <x:v>05.02</x:v>
      </x:c>
      <x:c r="J332" s="33" t="str">
        <x:v>Hostage (2)</x:v>
      </x:c>
      <x:c r="K332" s="33" t="str"/>
      <x:c r="L332" s="33" t="str"/>
      <x:c r="M332" s="44" t="str"/>
      <x:c r="N332" s="50" t="n">
        <x:v>45</x:v>
      </x:c>
      <x:c r="O332" s="53" t="str">
        <x:v>Night has fallen and the crisis is no closer to being resolved. Gee demands that Barnfather make a decision. Frank continues to trying to adjust. Frank insists on going to the hostage scene. The identity of the hostage-taker is made when he demands that his pig be brought to the school. When the pig doesn't arrive in time, he sets a fire and seriously wounds a hostage (who later dies) and then becomes badly burned. Brodie takes issue with Munch's treatment of Pembleton. The paperwork gets completed and the hostage-taker is formally charged. Frank makes a decision regarding his recovery.</x:v>
      </x:c>
      <x:c r="P332" s="53" t="str">
        <x:v>Direct crossover with Law &amp; Order; Munch bridge to SVU</x:v>
      </x:c>
      <x:c r="Q332" s="17" t="str">
        <x:v>320034</x:v>
      </x:c>
      <x:c r="R332" s="17" t="str">
        <x:v>tt0604381</x:v>
      </x:c>
      <x:c r="S332" s="17" t="str">
        <x:v>206</x:v>
      </x:c>
    </x:row>
    <x:row r="333">
      <x:c r="A333" s="43" t="n">
        <x:v>329</x:v>
      </x:c>
      <x:c r="B333" s="44" t="str">
        <x:v>Not Started</x:v>
      </x:c>
      <x:c r="C333" s="45" t="n">
        <x:v>35340</x:v>
      </x:c>
      <x:c r="D333" s="33" t="str">
        <x:v>Law &amp; Order</x:v>
      </x:c>
      <x:c r="E333" s="33" t="str">
        <x:v>Law &amp; Order</x:v>
      </x:c>
      <x:c r="F333" s="33" t="str">
        <x:v>core</x:v>
      </x:c>
      <x:c r="G333" s="50" t="n">
        <x:v>7</x:v>
      </x:c>
      <x:c r="H333" s="50" t="n">
        <x:v>3</x:v>
      </x:c>
      <x:c r="I333" s="44" t="str">
        <x:v>07.03</x:v>
      </x:c>
      <x:c r="J333" s="33" t="str">
        <x:v>Good Girl</x:v>
      </x:c>
      <x:c r="K333" s="33" t="str"/>
      <x:c r="L333" s="33" t="str"/>
      <x:c r="M333" s="44" t="str"/>
      <x:c r="N333" s="50" t="n">
        <x:v>47</x:v>
      </x:c>
      <x:c r="O333" s="53" t="str">
        <x:v>Briscoe and Curtis have to break the mutual alibi of two girlfriends as they try to find the killer of a young black man, whose angry parents pressure McCoy to indict a young woman who claims the victim had raped her.</x:v>
      </x:c>
      <x:c r="P333" s="53" t="str">
        <x:v>Core Law &amp; Order franchise</x:v>
      </x:c>
      <x:c r="Q333" s="17" t="str">
        <x:v>34191</x:v>
      </x:c>
      <x:c r="R333" s="17" t="str">
        <x:v>tt0629281</x:v>
      </x:c>
      <x:c r="S333" s="17" t="str">
        <x:v>207</x:v>
      </x:c>
    </x:row>
    <x:row r="334">
      <x:c r="A334" s="43" t="n">
        <x:v>330</x:v>
      </x:c>
      <x:c r="B334" s="44" t="str">
        <x:v>Not Started</x:v>
      </x:c>
      <x:c r="C334" s="45" t="n">
        <x:v>35356</x:v>
      </x:c>
      <x:c r="D334" s="33" t="str">
        <x:v>Homicide: Life on the Street</x:v>
      </x:c>
      <x:c r="E334" s="33" t="str">
        <x:v>Law &amp; Order</x:v>
      </x:c>
      <x:c r="F334" s="33" t="str">
        <x:v>connected</x:v>
      </x:c>
      <x:c r="G334" s="50" t="n">
        <x:v>5</x:v>
      </x:c>
      <x:c r="H334" s="50" t="n">
        <x:v>3</x:v>
      </x:c>
      <x:c r="I334" s="44" t="str">
        <x:v>05.03</x:v>
      </x:c>
      <x:c r="J334" s="33" t="str">
        <x:v>Prison Riot</x:v>
      </x:c>
      <x:c r="K334" s="33" t="str"/>
      <x:c r="L334" s="33" t="str"/>
      <x:c r="M334" s="44" t="str"/>
      <x:c r="N334" s="50" t="n">
        <x:v>45</x:v>
      </x:c>
      <x:c r="O334" s="53" t="str">
        <x:v>A riot breaks out at the prison, where two inmates are killed. The squad goes to the scene, but Frank must still stay behind. Bayliss, Lewis, Kellerman and Howard interview the inmates; many of them have familiar faces. Frank works on his target practice. Bayliss thinks that one inmate really wanted to tell him something, so he puts together a deal to get the information. The inmate confesses to the murder and Bayliss doesn't believe him. Another riot breaks out and the truth is finally discovered.</x:v>
      </x:c>
      <x:c r="P334" s="53" t="str">
        <x:v>Direct crossover with Law &amp; Order; Munch bridge to SVU</x:v>
      </x:c>
      <x:c r="Q334" s="17" t="str">
        <x:v>320035</x:v>
      </x:c>
      <x:c r="R334" s="17" t="str">
        <x:v>tt0604404</x:v>
      </x:c>
      <x:c r="S334" s="17" t="str">
        <x:v>208</x:v>
      </x:c>
    </x:row>
    <x:row r="335">
      <x:c r="A335" s="43" t="n">
        <x:v>331</x:v>
      </x:c>
      <x:c r="B335" s="44" t="str">
        <x:v>Not Started</x:v>
      </x:c>
      <x:c r="C335" s="45" t="n">
        <x:v>35361</x:v>
      </x:c>
      <x:c r="D335" s="33" t="str">
        <x:v>Law &amp; Order</x:v>
      </x:c>
      <x:c r="E335" s="33" t="str">
        <x:v>Law &amp; Order</x:v>
      </x:c>
      <x:c r="F335" s="33" t="str">
        <x:v>core</x:v>
      </x:c>
      <x:c r="G335" s="50" t="n">
        <x:v>7</x:v>
      </x:c>
      <x:c r="H335" s="50" t="n">
        <x:v>4</x:v>
      </x:c>
      <x:c r="I335" s="44" t="str">
        <x:v>07.04</x:v>
      </x:c>
      <x:c r="J335" s="33" t="str">
        <x:v>Survivor</x:v>
      </x:c>
      <x:c r="K335" s="33" t="str"/>
      <x:c r="L335" s="33" t="str"/>
      <x:c r="M335" s="44" t="str"/>
      <x:c r="N335" s="50" t="n">
        <x:v>47</x:v>
      </x:c>
      <x:c r="O335" s="53" t="str">
        <x:v>Briscoe and Curtis's investigation of the murder of a rare coin dealer nets them a millionaire as a suspect, but Ross has to play detective too as the DA's office tries to establish a provenance for the missing coin collection.</x:v>
      </x:c>
      <x:c r="P335" s="53" t="str">
        <x:v>Core Law &amp; Order franchise</x:v>
      </x:c>
      <x:c r="Q335" s="17" t="str">
        <x:v>34192</x:v>
      </x:c>
      <x:c r="R335" s="17" t="str">
        <x:v>tt0629443</x:v>
      </x:c>
      <x:c r="S335" s="17" t="str">
        <x:v>209</x:v>
      </x:c>
    </x:row>
    <x:row r="336">
      <x:c r="A336" s="43" t="n">
        <x:v>332</x:v>
      </x:c>
      <x:c r="B336" s="44" t="str">
        <x:v>Not Started</x:v>
      </x:c>
      <x:c r="C336" s="45" t="n">
        <x:v>35363</x:v>
      </x:c>
      <x:c r="D336" s="33" t="str">
        <x:v>Homicide: Life on the Street</x:v>
      </x:c>
      <x:c r="E336" s="33" t="str">
        <x:v>Law &amp; Order</x:v>
      </x:c>
      <x:c r="F336" s="33" t="str">
        <x:v>connected</x:v>
      </x:c>
      <x:c r="G336" s="50" t="n">
        <x:v>5</x:v>
      </x:c>
      <x:c r="H336" s="50" t="n">
        <x:v>4</x:v>
      </x:c>
      <x:c r="I336" s="44" t="str">
        <x:v>05.04</x:v>
      </x:c>
      <x:c r="J336" s="33" t="str">
        <x:v>Bad Medicine</x:v>
      </x:c>
      <x:c r="K336" s="33" t="str"/>
      <x:c r="L336" s="33" t="str"/>
      <x:c r="M336" s="44" t="str"/>
      <x:c r="N336" s="50" t="n">
        <x:v>45</x:v>
      </x:c>
      <x:c r="O336" s="53" t="str">
        <x:v>More drug-related homicides are occurring. Pembleton is still relegated to desk duty and now so is Kellerman. A federal grand jury investigation is being conducted that goes back to the time when Mike was in the arson unit. Frank is still not taking his medicine and getting ready for the range test. Brodie moves out of Munch's place and into Bayliss'. Lewis finds out that the witness to his drug homicide has been brought downtown. He goes after him and meets Stivers, a female detective in narcotics. Lewis's witness points toward Luther Mahoney as the initiator of the contract. They go to find the executor, who's been executed. Stivers pages Mahoney and he comes in for questioning, but they can't make a case that Danvers thinks will stick. Frank misses a passing grade on his test by four points.</x:v>
      </x:c>
      <x:c r="P336" s="53" t="str">
        <x:v>Direct crossover with Law &amp; Order; Munch bridge to SVU</x:v>
      </x:c>
      <x:c r="Q336" s="17" t="str">
        <x:v>320036</x:v>
      </x:c>
      <x:c r="R336" s="17" t="str">
        <x:v>tt0604340</x:v>
      </x:c>
      <x:c r="S336" s="17" t="str">
        <x:v>210</x:v>
      </x:c>
    </x:row>
    <x:row r="337">
      <x:c r="A337" s="43" t="n">
        <x:v>333</x:v>
      </x:c>
      <x:c r="B337" s="44" t="str">
        <x:v>Not Started</x:v>
      </x:c>
      <x:c r="C337" s="45" t="n">
        <x:v>35368</x:v>
      </x:c>
      <x:c r="D337" s="33" t="str">
        <x:v>Law &amp; Order</x:v>
      </x:c>
      <x:c r="E337" s="33" t="str">
        <x:v>Law &amp; Order</x:v>
      </x:c>
      <x:c r="F337" s="33" t="str">
        <x:v>core</x:v>
      </x:c>
      <x:c r="G337" s="50" t="n">
        <x:v>7</x:v>
      </x:c>
      <x:c r="H337" s="50" t="n">
        <x:v>5</x:v>
      </x:c>
      <x:c r="I337" s="44" t="str">
        <x:v>07.05</x:v>
      </x:c>
      <x:c r="J337" s="33" t="str">
        <x:v>Corruption</x:v>
      </x:c>
      <x:c r="K337" s="33" t="str"/>
      <x:c r="L337" s="33" t="str"/>
      <x:c r="M337" s="44" t="str"/>
      <x:c r="N337" s="50" t="n">
        <x:v>47</x:v>
      </x:c>
      <x:c r="O337" s="53" t="str">
        <x:v>Curtis, angered by the attitude of an old colleague of Briscoe's, looks beyond the findings of an IAB investigation and turns up evidence of police corruption that puts the DA's office into competition with an ambitious judge and Briscoe under investigation for stealing evidence from a police lockup.</x:v>
      </x:c>
      <x:c r="P337" s="53" t="str">
        <x:v>Core Law &amp; Order franchise</x:v>
      </x:c>
      <x:c r="Q337" s="17" t="str">
        <x:v>34193</x:v>
      </x:c>
      <x:c r="R337" s="17" t="str">
        <x:v>tt0629217</x:v>
      </x:c>
      <x:c r="S337" s="17" t="str">
        <x:v>211</x:v>
      </x:c>
    </x:row>
    <x:row r="338">
      <x:c r="A338" s="43" t="n">
        <x:v>334</x:v>
      </x:c>
      <x:c r="B338" s="44" t="str">
        <x:v>Not Started</x:v>
      </x:c>
      <x:c r="C338" s="45" t="n">
        <x:v>35369</x:v>
      </x:c>
      <x:c r="D338" s="33" t="str">
        <x:v>New York Undercover</x:v>
      </x:c>
      <x:c r="E338" s="33" t="str">
        <x:v>Law &amp; Order</x:v>
      </x:c>
      <x:c r="F338" s="33" t="str">
        <x:v>connected</x:v>
      </x:c>
      <x:c r="G338" s="50" t="n">
        <x:v>3</x:v>
      </x:c>
      <x:c r="H338" s="50" t="n">
        <x:v>6</x:v>
      </x:c>
      <x:c r="I338" s="44" t="str">
        <x:v>03.06</x:v>
      </x:c>
      <x:c r="J338" s="33" t="str">
        <x:v>Kill the Noise</x:v>
      </x:c>
      <x:c r="K338" s="33" t="str"/>
      <x:c r="L338" s="33" t="str"/>
      <x:c r="M338" s="44" t="str"/>
      <x:c r="N338" s="50" t="n">
        <x:v>44</x:v>
      </x:c>
      <x:c r="O338" s="53" t="str">
        <x:v>A war happens between east coast and west coast rappers when a california rapper is shot.</x:v>
      </x:c>
      <x:c r="P338" s="53" t="str">
        <x:v>Wolf-produced New York police drama; crossover-adjacent to the Law &amp; Order era</x:v>
      </x:c>
      <x:c r="Q338" s="17" t="str">
        <x:v>291044</x:v>
      </x:c>
      <x:c r="R338" s="17" t="str"/>
      <x:c r="S338" s="17" t="str">
        <x:v>212</x:v>
      </x:c>
    </x:row>
    <x:row r="339">
      <x:c r="A339" s="43" t="n">
        <x:v>335</x:v>
      </x:c>
      <x:c r="B339" s="44" t="str">
        <x:v>Not Started</x:v>
      </x:c>
      <x:c r="C339" s="45" t="n">
        <x:v>35370</x:v>
      </x:c>
      <x:c r="D339" s="33" t="str">
        <x:v>Homicide: Life on the Street</x:v>
      </x:c>
      <x:c r="E339" s="33" t="str">
        <x:v>Law &amp; Order</x:v>
      </x:c>
      <x:c r="F339" s="33" t="str">
        <x:v>connected</x:v>
      </x:c>
      <x:c r="G339" s="50" t="n">
        <x:v>5</x:v>
      </x:c>
      <x:c r="H339" s="50" t="n">
        <x:v>5</x:v>
      </x:c>
      <x:c r="I339" s="44" t="str">
        <x:v>05.05</x:v>
      </x:c>
      <x:c r="J339" s="33" t="str">
        <x:v>M.E., Myself and I</x:v>
      </x:c>
      <x:c r="K339" s="33" t="str"/>
      <x:c r="L339" s="33" t="str"/>
      <x:c r="M339" s="44" t="str"/>
      <x:c r="N339" s="50" t="n">
        <x:v>45</x:v>
      </x:c>
      <x:c r="O339" s="53" t="str">
        <x:v>The new Chief Medical Examiner (CME), Julianna Cox, speeds into town. An FBI agent, Pandolfi, conducts interviews with the squad about Kellerman. Frank looks for way to celebrate his anniversary with his wife. The new CME arrives on the scene of a homicide that Lewis and Bayliss are working on, they lay down their respective ground rules. Bayliss' murderer confesses to committing another crime. Kellerman is worried by the ongoing investigation and takes it out on another arson officer. Brodie offers to make chili for the Lewis family but the dinner turns into a fight for Meldrick and his wife. From a suggestion by Frank, Bayliss and Lewis get the other body exhumed and checked out. Frank and Mary celebrate their anniversary. Bayliss gains some insight into the new CME.</x:v>
      </x:c>
      <x:c r="P339" s="53" t="str">
        <x:v>Direct crossover with Law &amp; Order; Munch bridge to SVU</x:v>
      </x:c>
      <x:c r="Q339" s="17" t="str">
        <x:v>320037</x:v>
      </x:c>
      <x:c r="R339" s="17" t="str">
        <x:v>tt0604395</x:v>
      </x:c>
      <x:c r="S339" s="17" t="str">
        <x:v>213</x:v>
      </x:c>
    </x:row>
    <x:row r="340">
      <x:c r="A340" s="43" t="n">
        <x:v>336</x:v>
      </x:c>
      <x:c r="B340" s="44" t="str">
        <x:v>Not Started</x:v>
      </x:c>
      <x:c r="C340" s="45" t="n">
        <x:v>35375</x:v>
      </x:c>
      <x:c r="D340" s="33" t="str">
        <x:v>Law &amp; Order</x:v>
      </x:c>
      <x:c r="E340" s="33" t="str">
        <x:v>Law &amp; Order</x:v>
      </x:c>
      <x:c r="F340" s="33" t="str">
        <x:v>core</x:v>
      </x:c>
      <x:c r="G340" s="50" t="n">
        <x:v>7</x:v>
      </x:c>
      <x:c r="H340" s="50" t="n">
        <x:v>6</x:v>
      </x:c>
      <x:c r="I340" s="44" t="str">
        <x:v>07.06</x:v>
      </x:c>
      <x:c r="J340" s="33" t="str">
        <x:v>Double Blind</x:v>
      </x:c>
      <x:c r="K340" s="33" t="str"/>
      <x:c r="L340" s="33" t="str"/>
      <x:c r="M340" s="44" t="str"/>
      <x:c r="N340" s="50" t="n">
        <x:v>47</x:v>
      </x:c>
      <x:c r="O340" s="53" t="str">
        <x:v>The murder of a janitor in a university laboratory building leads back to a student employee whose participation in a drug study may have prompted the crime.</x:v>
      </x:c>
      <x:c r="P340" s="53" t="str">
        <x:v>Core Law &amp; Order franchise</x:v>
      </x:c>
      <x:c r="Q340" s="17" t="str">
        <x:v>34194</x:v>
      </x:c>
      <x:c r="R340" s="17" t="str">
        <x:v>tt0629243</x:v>
      </x:c>
      <x:c r="S340" s="17" t="str">
        <x:v>214</x:v>
      </x:c>
    </x:row>
    <x:row r="341">
      <x:c r="A341" s="43" t="n">
        <x:v>337</x:v>
      </x:c>
      <x:c r="B341" s="44" t="str">
        <x:v>Not Started</x:v>
      </x:c>
      <x:c r="C341" s="45" t="n">
        <x:v>35376</x:v>
      </x:c>
      <x:c r="D341" s="33" t="str">
        <x:v>New York Undercover</x:v>
      </x:c>
      <x:c r="E341" s="33" t="str">
        <x:v>Law &amp; Order</x:v>
      </x:c>
      <x:c r="F341" s="33" t="str">
        <x:v>connected</x:v>
      </x:c>
      <x:c r="G341" s="50" t="n">
        <x:v>3</x:v>
      </x:c>
      <x:c r="H341" s="50" t="n">
        <x:v>7</x:v>
      </x:c>
      <x:c r="I341" s="44" t="str">
        <x:v>03.07</x:v>
      </x:c>
      <x:c r="J341" s="33" t="str">
        <x:v>Smack Is Back</x:v>
      </x:c>
      <x:c r="K341" s="33" t="str"/>
      <x:c r="L341" s="33" t="str"/>
      <x:c r="M341" s="44" t="str"/>
      <x:c r="N341" s="50" t="n">
        <x:v>44</x:v>
      </x:c>
      <x:c r="O341" s="53" t="str">
        <x:v>Torres's father dies of a drug over dose and Torres believes that it was suicide.  Williams tries to get custody of G.</x:v>
      </x:c>
      <x:c r="P341" s="53" t="str">
        <x:v>Wolf-produced New York police drama; crossover-adjacent to the Law &amp; Order era</x:v>
      </x:c>
      <x:c r="Q341" s="17" t="str">
        <x:v>291045</x:v>
      </x:c>
      <x:c r="R341" s="17" t="str"/>
      <x:c r="S341" s="17" t="str">
        <x:v>215</x:v>
      </x:c>
    </x:row>
    <x:row r="342">
      <x:c r="A342" s="43" t="n">
        <x:v>338</x:v>
      </x:c>
      <x:c r="B342" s="44" t="str">
        <x:v>Not Started</x:v>
      </x:c>
      <x:c r="C342" s="45" t="n">
        <x:v>35377</x:v>
      </x:c>
      <x:c r="D342" s="33" t="str">
        <x:v>Homicide: Life on the Street</x:v>
      </x:c>
      <x:c r="E342" s="33" t="str">
        <x:v>Law &amp; Order</x:v>
      </x:c>
      <x:c r="F342" s="33" t="str">
        <x:v>connected</x:v>
      </x:c>
      <x:c r="G342" s="50" t="n">
        <x:v>5</x:v>
      </x:c>
      <x:c r="H342" s="50" t="n">
        <x:v>6</x:v>
      </x:c>
      <x:c r="I342" s="44" t="str">
        <x:v>05.06</x:v>
      </x:c>
      <x:c r="J342" s="33" t="str">
        <x:v>White Lies</x:v>
      </x:c>
      <x:c r="K342" s="33" t="str"/>
      <x:c r="L342" s="33" t="str"/>
      <x:c r="M342" s="44" t="str"/>
      <x:c r="N342" s="50" t="n">
        <x:v>45</x:v>
      </x:c>
      <x:c r="O342" s="53" t="str">
        <x:v>An article appears in The Baltimore Sun about Kellerman and the other members of the arson unit who are under investigation. Munch investigates the death of women whose husband returned home to find her dead, cause unknown. He suspects the husband but Cox thinks differently. Pembleton tries to help Bayliss close the Lambert case. The article puts Kellerman on edge and he goes to Roland's office where he discovers Roland is a federal witness. This incident gets him suspended until he takes a polygraph test. Brodie gets an offer to stay at Kay's place. Munch presses his witness and breaks him but Cox's evidence still says otherwise. Kellerman takes the test and while waiting for the result tells Lewis the truth. Cox visits Munch's suspect in his cell. Frank reflects on his past and the future. Kellerman passes the polygraph, but so did the federal witness; one of them beat the test.</x:v>
      </x:c>
      <x:c r="P342" s="53" t="str">
        <x:v>Direct crossover with Law &amp; Order; Munch bridge to SVU</x:v>
      </x:c>
      <x:c r="Q342" s="17" t="str">
        <x:v>320038</x:v>
      </x:c>
      <x:c r="R342" s="17" t="str">
        <x:v>tt0604446</x:v>
      </x:c>
      <x:c r="S342" s="17" t="str">
        <x:v>216</x:v>
      </x:c>
    </x:row>
    <x:row r="343">
      <x:c r="A343" s="43" t="n">
        <x:v>339</x:v>
      </x:c>
      <x:c r="B343" s="44" t="str">
        <x:v>Not Started</x:v>
      </x:c>
      <x:c r="C343" s="45" t="n">
        <x:v>35382</x:v>
      </x:c>
      <x:c r="D343" s="33" t="str">
        <x:v>Law &amp; Order</x:v>
      </x:c>
      <x:c r="E343" s="33" t="str">
        <x:v>Law &amp; Order</x:v>
      </x:c>
      <x:c r="F343" s="33" t="str">
        <x:v>core</x:v>
      </x:c>
      <x:c r="G343" s="50" t="n">
        <x:v>7</x:v>
      </x:c>
      <x:c r="H343" s="50" t="n">
        <x:v>7</x:v>
      </x:c>
      <x:c r="I343" s="44" t="str">
        <x:v>07.07</x:v>
      </x:c>
      <x:c r="J343" s="33" t="str">
        <x:v>Deadbeat</x:v>
      </x:c>
      <x:c r="K343" s="33" t="str"/>
      <x:c r="L343" s="33" t="str"/>
      <x:c r="M343" s="44" t="str"/>
      <x:c r="N343" s="50" t="n">
        <x:v>47</x:v>
      </x:c>
      <x:c r="O343" s="53" t="str">
        <x:v>The murder of a deadbeat father whose son is dying of leukemia presents McCoy and Ross with a sympathetic suspect and a moral dilemma.</x:v>
      </x:c>
      <x:c r="P343" s="53" t="str">
        <x:v>Core Law &amp; Order franchise</x:v>
      </x:c>
      <x:c r="Q343" s="17" t="str">
        <x:v>34195</x:v>
      </x:c>
      <x:c r="R343" s="17" t="str">
        <x:v>tt0629233</x:v>
      </x:c>
      <x:c r="S343" s="17" t="str">
        <x:v>217</x:v>
      </x:c>
    </x:row>
    <x:row r="344">
      <x:c r="A344" s="43" t="n">
        <x:v>340</x:v>
      </x:c>
      <x:c r="B344" s="44" t="str">
        <x:v>Not Started</x:v>
      </x:c>
      <x:c r="C344" s="45" t="n">
        <x:v>35383</x:v>
      </x:c>
      <x:c r="D344" s="33" t="str">
        <x:v>New York Undercover</x:v>
      </x:c>
      <x:c r="E344" s="33" t="str">
        <x:v>Law &amp; Order</x:v>
      </x:c>
      <x:c r="F344" s="33" t="str">
        <x:v>connected</x:v>
      </x:c>
      <x:c r="G344" s="50" t="n">
        <x:v>3</x:v>
      </x:c>
      <x:c r="H344" s="50" t="n">
        <x:v>8</x:v>
      </x:c>
      <x:c r="I344" s="44" t="str">
        <x:v>03.08</x:v>
      </x:c>
      <x:c r="J344" s="33" t="str">
        <x:v>Don't Blink</x:v>
      </x:c>
      <x:c r="K344" s="33" t="str"/>
      <x:c r="L344" s="33" t="str"/>
      <x:c r="M344" s="44" t="str"/>
      <x:c r="N344" s="50" t="n">
        <x:v>44</x:v>
      </x:c>
      <x:c r="O344" s="53" t="str">
        <x:v>Nina's new undercover case questions her future as a cop.</x:v>
      </x:c>
      <x:c r="P344" s="53" t="str">
        <x:v>Wolf-produced New York police drama; crossover-adjacent to the Law &amp; Order era</x:v>
      </x:c>
      <x:c r="Q344" s="17" t="str">
        <x:v>291046</x:v>
      </x:c>
      <x:c r="R344" s="17" t="str"/>
      <x:c r="S344" s="17" t="str">
        <x:v>218</x:v>
      </x:c>
    </x:row>
    <x:row r="345">
      <x:c r="A345" s="43" t="n">
        <x:v>341</x:v>
      </x:c>
      <x:c r="B345" s="44" t="str">
        <x:v>Not Started</x:v>
      </x:c>
      <x:c r="C345" s="45" t="n">
        <x:v>35384</x:v>
      </x:c>
      <x:c r="D345" s="33" t="str">
        <x:v>Homicide: Life on the Street</x:v>
      </x:c>
      <x:c r="E345" s="33" t="str">
        <x:v>Law &amp; Order</x:v>
      </x:c>
      <x:c r="F345" s="33" t="str">
        <x:v>connected</x:v>
      </x:c>
      <x:c r="G345" s="50" t="n">
        <x:v>5</x:v>
      </x:c>
      <x:c r="H345" s="50" t="n">
        <x:v>7</x:v>
      </x:c>
      <x:c r="I345" s="44" t="str">
        <x:v>05.07</x:v>
      </x:c>
      <x:c r="J345" s="33" t="str">
        <x:v>The Heart of a Saturday Night</x:v>
      </x:c>
      <x:c r="K345" s="33" t="str"/>
      <x:c r="L345" s="33" t="str"/>
      <x:c r="M345" s="44" t="str"/>
      <x:c r="N345" s="50" t="n">
        <x:v>45</x:v>
      </x:c>
      <x:c r="O345" s="53" t="str">
        <x:v>Family members of murder victims (Widmer, Rath and Silvio) are in a support group where they discuss their feelings about the loss they have each suffered. Short-handed, Gee investigates the Widmer homicide at the Waterfront Bar. Bayliss' homicide is unidentified for 48 hours before she is identified as being Rath. Lewis and Munch investigate a car jacking at Federal Hill, where the mother is the victim and the 3-year-old daughter in the car at the time is missing. Meanwhile, Howard, Kellerman and Pembleton stay behind. Frank interviews the two witnesses that Tim had in for questioning and gets a lead on a suspect. Cox joins the support group meeting late; she is still coping with the death of her father.</x:v>
      </x:c>
      <x:c r="P345" s="53" t="str">
        <x:v>Direct crossover with Law &amp; Order; Munch bridge to SVU</x:v>
      </x:c>
      <x:c r="Q345" s="17" t="str">
        <x:v>320039</x:v>
      </x:c>
      <x:c r="R345" s="17" t="str">
        <x:v>tt0604430</x:v>
      </x:c>
      <x:c r="S345" s="17" t="str">
        <x:v>219</x:v>
      </x:c>
    </x:row>
    <x:row r="346">
      <x:c r="A346" s="43" t="n">
        <x:v>342</x:v>
      </x:c>
      <x:c r="B346" s="44" t="str">
        <x:v>Not Started</x:v>
      </x:c>
      <x:c r="C346" s="45" t="n">
        <x:v>35389</x:v>
      </x:c>
      <x:c r="D346" s="33" t="str">
        <x:v>Law &amp; Order</x:v>
      </x:c>
      <x:c r="E346" s="33" t="str">
        <x:v>Law &amp; Order</x:v>
      </x:c>
      <x:c r="F346" s="33" t="str">
        <x:v>core</x:v>
      </x:c>
      <x:c r="G346" s="50" t="n">
        <x:v>7</x:v>
      </x:c>
      <x:c r="H346" s="50" t="n">
        <x:v>8</x:v>
      </x:c>
      <x:c r="I346" s="44" t="str">
        <x:v>07.08</x:v>
      </x:c>
      <x:c r="J346" s="33" t="str">
        <x:v>Family Business</x:v>
      </x:c>
      <x:c r="K346" s="33" t="str"/>
      <x:c r="L346" s="33" t="str"/>
      <x:c r="M346" s="44" t="str"/>
      <x:c r="N346" s="50" t="n">
        <x:v>46</x:v>
      </x:c>
      <x:c r="O346" s="53" t="str">
        <x:v>The murder of Richard Speigel, chief financial officer for an exclusive, family-owned department store goes from the sitting room to the bedroom and into the board room as suspicion shifts from co-workers to family members.</x:v>
      </x:c>
      <x:c r="P346" s="53" t="str">
        <x:v>Core Law &amp; Order franchise</x:v>
      </x:c>
      <x:c r="Q346" s="17" t="str">
        <x:v>34196</x:v>
      </x:c>
      <x:c r="R346" s="17" t="str">
        <x:v>tt0629261</x:v>
      </x:c>
      <x:c r="S346" s="17" t="str">
        <x:v>220</x:v>
      </x:c>
    </x:row>
    <x:row r="347">
      <x:c r="A347" s="43" t="n">
        <x:v>343</x:v>
      </x:c>
      <x:c r="B347" s="44" t="str">
        <x:v>Not Started</x:v>
      </x:c>
      <x:c r="C347" s="45" t="n">
        <x:v>35390</x:v>
      </x:c>
      <x:c r="D347" s="33" t="str">
        <x:v>New York Undercover</x:v>
      </x:c>
      <x:c r="E347" s="33" t="str">
        <x:v>Law &amp; Order</x:v>
      </x:c>
      <x:c r="F347" s="33" t="str">
        <x:v>connected</x:v>
      </x:c>
      <x:c r="G347" s="50" t="n">
        <x:v>3</x:v>
      </x:c>
      <x:c r="H347" s="50" t="n">
        <x:v>9</x:v>
      </x:c>
      <x:c r="I347" s="44" t="str">
        <x:v>03.09</x:v>
      </x:c>
      <x:c r="J347" s="33" t="str">
        <x:v>Without Mercy</x:v>
      </x:c>
      <x:c r="K347" s="33" t="str"/>
      <x:c r="L347" s="33" t="str"/>
      <x:c r="M347" s="44" t="str"/>
      <x:c r="N347" s="50" t="n">
        <x:v>44</x:v>
      </x:c>
      <x:c r="O347" s="53" t="str">
        <x:v>Toress goes undercover at an AIDS clinic to solve a murder case of a bisexual man.  Cooper and Captain O'Bryne start to become closer.</x:v>
      </x:c>
      <x:c r="P347" s="53" t="str">
        <x:v>Wolf-produced New York police drama; crossover-adjacent to the Law &amp; Order era</x:v>
      </x:c>
      <x:c r="Q347" s="17" t="str">
        <x:v>291047</x:v>
      </x:c>
      <x:c r="R347" s="17" t="str"/>
      <x:c r="S347" s="17" t="str">
        <x:v>221</x:v>
      </x:c>
    </x:row>
    <x:row r="348">
      <x:c r="A348" s="43" t="n">
        <x:v>344</x:v>
      </x:c>
      <x:c r="B348" s="44" t="str">
        <x:v>Not Started</x:v>
      </x:c>
      <x:c r="C348" s="45" t="n">
        <x:v>35391</x:v>
      </x:c>
      <x:c r="D348" s="33" t="str">
        <x:v>Homicide: Life on the Street</x:v>
      </x:c>
      <x:c r="E348" s="33" t="str">
        <x:v>Law &amp; Order</x:v>
      </x:c>
      <x:c r="F348" s="33" t="str">
        <x:v>connected</x:v>
      </x:c>
      <x:c r="G348" s="50" t="n">
        <x:v>5</x:v>
      </x:c>
      <x:c r="H348" s="50" t="n">
        <x:v>8</x:v>
      </x:c>
      <x:c r="I348" s="44" t="str">
        <x:v>05.08</x:v>
      </x:c>
      <x:c r="J348" s="33" t="str">
        <x:v>The True Test</x:v>
      </x:c>
      <x:c r="K348" s="33" t="str"/>
      <x:c r="L348" s="33" t="str"/>
      <x:c r="M348" s="44" t="str"/>
      <x:c r="N348" s="50" t="n">
        <x:v>45</x:v>
      </x:c>
      <x:c r="O348" s="53" t="str">
        <x:v>Lewis and Bayliss investigate a homicide at a boarding school. Gee goes to Frank's house to pick him up for a trip to the gun range. Kellerman wants the investigation into corruption in his old arson unit to move along, but he finds out that all the real guilty parties have made plea bargains. Frank's firearm test looked promising. The tiny little voice in Bayliss' head tells him that McPhee Broadman might be their suspect despite the fact that his mother is a powerful judge in Baltimore. A student comes forward and confesses to the student's killing; however, the detectives aren't convinced he alone was responsible. Frank passes the exam and can return to active duty, but as far as he is concerned the real test is in the box.</x:v>
      </x:c>
      <x:c r="P348" s="53" t="str">
        <x:v>Direct crossover with Law &amp; Order; Munch bridge to SVU</x:v>
      </x:c>
      <x:c r="Q348" s="17" t="str">
        <x:v>320040</x:v>
      </x:c>
      <x:c r="R348" s="17" t="str">
        <x:v>tt0604436</x:v>
      </x:c>
      <x:c r="S348" s="17" t="str">
        <x:v>222</x:v>
      </x:c>
    </x:row>
    <x:row r="349">
      <x:c r="A349" s="43" t="n">
        <x:v>345</x:v>
      </x:c>
      <x:c r="B349" s="44" t="str">
        <x:v>Not Started</x:v>
      </x:c>
      <x:c r="C349" s="45" t="n">
        <x:v>35404</x:v>
      </x:c>
      <x:c r="D349" s="33" t="str">
        <x:v>New York Undercover</x:v>
      </x:c>
      <x:c r="E349" s="33" t="str">
        <x:v>Law &amp; Order</x:v>
      </x:c>
      <x:c r="F349" s="33" t="str">
        <x:v>connected</x:v>
      </x:c>
      <x:c r="G349" s="50" t="n">
        <x:v>3</x:v>
      </x:c>
      <x:c r="H349" s="50" t="n">
        <x:v>10</x:v>
      </x:c>
      <x:c r="I349" s="44" t="str">
        <x:v>03.10</x:v>
      </x:c>
      <x:c r="J349" s="33" t="str">
        <x:v>Going Platinum</x:v>
      </x:c>
      <x:c r="K349" s="33" t="str"/>
      <x:c r="L349" s="33" t="str"/>
      <x:c r="M349" s="44" t="str"/>
      <x:c r="N349" s="50" t="n">
        <x:v>44</x:v>
      </x:c>
      <x:c r="O349" s="53" t="str">
        <x:v>Williams goes undercover as a security guard.  McNamara's discovers more of his father's case. Captain O'Bryne confesses his love for Cooper.</x:v>
      </x:c>
      <x:c r="P349" s="53" t="str">
        <x:v>Wolf-produced New York police drama; crossover-adjacent to the Law &amp; Order era</x:v>
      </x:c>
      <x:c r="Q349" s="17" t="str">
        <x:v>291048</x:v>
      </x:c>
      <x:c r="R349" s="17" t="str"/>
      <x:c r="S349" s="17" t="str">
        <x:v>223</x:v>
      </x:c>
    </x:row>
    <x:row r="350">
      <x:c r="A350" s="43" t="n">
        <x:v>346</x:v>
      </x:c>
      <x:c r="B350" s="44" t="str">
        <x:v>Not Started</x:v>
      </x:c>
      <x:c r="C350" s="45" t="n">
        <x:v>35405</x:v>
      </x:c>
      <x:c r="D350" s="33" t="str">
        <x:v>Homicide: Life on the Street</x:v>
      </x:c>
      <x:c r="E350" s="33" t="str">
        <x:v>Law &amp; Order</x:v>
      </x:c>
      <x:c r="F350" s="33" t="str">
        <x:v>connected</x:v>
      </x:c>
      <x:c r="G350" s="50" t="n">
        <x:v>5</x:v>
      </x:c>
      <x:c r="H350" s="50" t="n">
        <x:v>9</x:v>
      </x:c>
      <x:c r="I350" s="44" t="str">
        <x:v>05.09</x:v>
      </x:c>
      <x:c r="J350" s="33" t="str">
        <x:v>Control</x:v>
      </x:c>
      <x:c r="K350" s="33" t="str"/>
      <x:c r="L350" s="33" t="str"/>
      <x:c r="M350" s="44" t="str"/>
      <x:c r="N350" s="50" t="n">
        <x:v>45</x:v>
      </x:c>
      <x:c r="O350" s="53" t="str">
        <x:v>Pembleton waits with anticipation for the phone to ring. It does and with Bayliss as the primary, they proceed to investigate the triple murder of a divorced woman and her children. Kellerman asks Brodie not to return to the boat. Lewis and Munch get a homicide that they can track back to Luther Mahoney. Bayliss and Pembleton disagree on who the primary suspect is in the murder. Mahoney's nephew wants to remain ""monogamous"" in implicating his uncle. Kellerman gets his summons to appear before the grand jury. Frank and Tim must work out the finer points of working in the box together again. Mahoney's hand reaches out from jail and silences his nephew; the case is a bust. Lewis lays down the law to Luther Mahoney in the Waterfront Bar. Cox finds Kellerman and his predicament intriguing and offers him some company, the night of his summons.</x:v>
      </x:c>
      <x:c r="P350" s="53" t="str">
        <x:v>Direct crossover with Law &amp; Order; Munch bridge to SVU</x:v>
      </x:c>
      <x:c r="Q350" s="17" t="str">
        <x:v>320041</x:v>
      </x:c>
      <x:c r="R350" s="17" t="str">
        <x:v>tt0604353</x:v>
      </x:c>
      <x:c r="S350" s="17" t="str">
        <x:v>224</x:v>
      </x:c>
    </x:row>
    <x:row r="351">
      <x:c r="A351" s="43" t="n">
        <x:v>347</x:v>
      </x:c>
      <x:c r="B351" s="44" t="str">
        <x:v>Not Started</x:v>
      </x:c>
      <x:c r="C351" s="45" t="n">
        <x:v>35412</x:v>
      </x:c>
      <x:c r="D351" s="33" t="str">
        <x:v>Homicide: Life on the Street</x:v>
      </x:c>
      <x:c r="E351" s="33" t="str">
        <x:v>Law &amp; Order</x:v>
      </x:c>
      <x:c r="F351" s="33" t="str">
        <x:v>connected</x:v>
      </x:c>
      <x:c r="G351" s="50" t="n">
        <x:v>5</x:v>
      </x:c>
      <x:c r="H351" s="50" t="n">
        <x:v>10</x:v>
      </x:c>
      <x:c r="I351" s="44" t="str">
        <x:v>05.10</x:v>
      </x:c>
      <x:c r="J351" s="33" t="str">
        <x:v>Blood Wedding</x:v>
      </x:c>
      <x:c r="K351" s="33" t="str"/>
      <x:c r="L351" s="33" t="str"/>
      <x:c r="M351" s="44" t="str"/>
      <x:c r="N351" s="50" t="n">
        <x:v>45</x:v>
      </x:c>
      <x:c r="O351" s="53" t="str">
        <x:v>Frank gets his first case as a primary-- unfortunately it is a case that involves the shooting of Danver's fiancÃ©e. Danvers is concerned about Frank being the primary and keeps throwing his opinions into the investigation. Danvers changes his perspective on the death penalty and also reflects on his past performance in many of the cases he's tried. Brodie continues to look for housing; the latest place he tried staying was the morgue. Kellerman is discouraged when it appears as though Cox may have only been looking for a one-night stand and nothing more-- so he takes a sick day. Gee takes some time out of his day to have a talk with Kellerman's former partners to see where they stand with him in regard to their testimonies to the grand jury. He also sees the Deputy Commissioner to see what can be done for Kellerman; what he learns instead are some truths about the Gaffney promotion.</x:v>
      </x:c>
      <x:c r="P351" s="53" t="str">
        <x:v>Direct crossover with Law &amp; Order; Munch bridge to SVU</x:v>
      </x:c>
      <x:c r="Q351" s="17" t="str">
        <x:v>320042</x:v>
      </x:c>
      <x:c r="R351" s="17" t="str">
        <x:v>tt0604347</x:v>
      </x:c>
      <x:c r="S351" s="17" t="str">
        <x:v>225</x:v>
      </x:c>
    </x:row>
    <x:row r="352">
      <x:c r="A352" s="43" t="n">
        <x:v>348</x:v>
      </x:c>
      <x:c r="B352" s="44" t="str">
        <x:v>Not Started</x:v>
      </x:c>
      <x:c r="C352" s="45" t="n">
        <x:v>35418</x:v>
      </x:c>
      <x:c r="D352" s="33" t="str">
        <x:v>New York Undercover</x:v>
      </x:c>
      <x:c r="E352" s="33" t="str">
        <x:v>Law &amp; Order</x:v>
      </x:c>
      <x:c r="F352" s="33" t="str">
        <x:v>connected</x:v>
      </x:c>
      <x:c r="G352" s="50" t="n">
        <x:v>3</x:v>
      </x:c>
      <x:c r="H352" s="50" t="n">
        <x:v>11</x:v>
      </x:c>
      <x:c r="I352" s="44" t="str">
        <x:v>03.11</x:v>
      </x:c>
      <x:c r="J352" s="33" t="str">
        <x:v>Brown Like Me</x:v>
      </x:c>
      <x:c r="K352" s="33" t="str"/>
      <x:c r="L352" s="33" t="str"/>
      <x:c r="M352" s="44" t="str"/>
      <x:c r="N352" s="50" t="n">
        <x:v>44</x:v>
      </x:c>
      <x:c r="O352" s="53" t="str">
        <x:v>Torres and Nina become involved with two feuding Latino gangs.</x:v>
      </x:c>
      <x:c r="P352" s="53" t="str">
        <x:v>Wolf-produced New York police drama; crossover-adjacent to the Law &amp; Order era</x:v>
      </x:c>
      <x:c r="Q352" s="17" t="str">
        <x:v>291049</x:v>
      </x:c>
      <x:c r="R352" s="17" t="str"/>
      <x:c r="S352" s="17" t="str">
        <x:v>226</x:v>
      </x:c>
    </x:row>
    <x:row r="353">
      <x:c r="A353" s="43" t="n">
        <x:v>349</x:v>
      </x:c>
      <x:c r="B353" s="44" t="str">
        <x:v>Not Started</x:v>
      </x:c>
      <x:c r="C353" s="45" t="n">
        <x:v>35433</x:v>
      </x:c>
      <x:c r="D353" s="33" t="str">
        <x:v>Homicide: Life on the Street</x:v>
      </x:c>
      <x:c r="E353" s="33" t="str">
        <x:v>Law &amp; Order</x:v>
      </x:c>
      <x:c r="F353" s="33" t="str">
        <x:v>connected</x:v>
      </x:c>
      <x:c r="G353" s="50" t="n">
        <x:v>5</x:v>
      </x:c>
      <x:c r="H353" s="50" t="n">
        <x:v>11</x:v>
      </x:c>
      <x:c r="I353" s="44" t="str">
        <x:v>05.11</x:v>
      </x:c>
      <x:c r="J353" s="33" t="str">
        <x:v>The Documentary</x:v>
      </x:c>
      <x:c r="K353" s="33" t="str"/>
      <x:c r="L353" s="33" t="str"/>
      <x:c r="M353" s="44" t="str"/>
      <x:c r="N353" s="50" t="n">
        <x:v>45</x:v>
      </x:c>
      <x:c r="O353" s="53" t="str">
        <x:v>On New Year's Eve, the detectives sit back in the quiet of the evening and watch a documentary that Brodie has made about them and their work. In this documentary, entitled ""BACK PAGE NEWS: Life and Homicide On The Mean Streets Of Baltimore"", one of Frank and Tim's cases is covered where some ""lies and hidden truths"" are revealed. During a sequence about one of Mike and Meldrick's cases, they chase a suspect right into the filming of something called ""Homicide"" by director Barry Levinson and his crew. Mike and Julianna agree to try a date. Also, the identity of the ""lunch bandit"" is revealed to be Gaffney. Brodie reveals that the documentary has been sent to PBS and gives his reasons why. As the new year rolls in, things return to normal as the phones start ringing.</x:v>
      </x:c>
      <x:c r="P353" s="53" t="str">
        <x:v>Direct crossover with Law &amp; Order; Munch bridge to SVU</x:v>
      </x:c>
      <x:c r="Q353" s="17" t="str">
        <x:v>320043</x:v>
      </x:c>
      <x:c r="R353" s="17" t="str">
        <x:v>tt0604427</x:v>
      </x:c>
      <x:c r="S353" s="17" t="str">
        <x:v>227</x:v>
      </x:c>
    </x:row>
    <x:row r="354">
      <x:c r="A354" s="43" t="n">
        <x:v>350</x:v>
      </x:c>
      <x:c r="B354" s="44" t="str">
        <x:v>Not Started</x:v>
      </x:c>
      <x:c r="C354" s="45" t="n">
        <x:v>35438</x:v>
      </x:c>
      <x:c r="D354" s="33" t="str">
        <x:v>Law &amp; Order</x:v>
      </x:c>
      <x:c r="E354" s="33" t="str">
        <x:v>Law &amp; Order</x:v>
      </x:c>
      <x:c r="F354" s="33" t="str">
        <x:v>core</x:v>
      </x:c>
      <x:c r="G354" s="50" t="n">
        <x:v>7</x:v>
      </x:c>
      <x:c r="H354" s="50" t="n">
        <x:v>9</x:v>
      </x:c>
      <x:c r="I354" s="44" t="str">
        <x:v>07.09</x:v>
      </x:c>
      <x:c r="J354" s="33" t="str">
        <x:v>Entrapment</x:v>
      </x:c>
      <x:c r="K354" s="33" t="str"/>
      <x:c r="L354" s="33" t="str"/>
      <x:c r="M354" s="44" t="str"/>
      <x:c r="N354" s="50" t="n">
        <x:v>47</x:v>
      </x:c>
      <x:c r="O354" s="53" t="str">
        <x:v>The case against Huey Tate, a young man accused of shooting the well-known leader of the African-American Congress comes undone when the New York authorities learn that their chief witness was once an informant for the FBI, and is still under their protection.</x:v>
      </x:c>
      <x:c r="P354" s="53" t="str">
        <x:v>Core Law &amp; Order franchise</x:v>
      </x:c>
      <x:c r="Q354" s="17" t="str">
        <x:v>34197</x:v>
      </x:c>
      <x:c r="R354" s="17" t="str">
        <x:v>tt0629253</x:v>
      </x:c>
      <x:c r="S354" s="17" t="str">
        <x:v>228</x:v>
      </x:c>
    </x:row>
    <x:row r="355">
      <x:c r="A355" s="43" t="n">
        <x:v>351</x:v>
      </x:c>
      <x:c r="B355" s="44" t="str">
        <x:v>Not Started</x:v>
      </x:c>
      <x:c r="C355" s="45" t="n">
        <x:v>35439</x:v>
      </x:c>
      <x:c r="D355" s="33" t="str">
        <x:v>New York Undercover</x:v>
      </x:c>
      <x:c r="E355" s="33" t="str">
        <x:v>Law &amp; Order</x:v>
      </x:c>
      <x:c r="F355" s="33" t="str">
        <x:v>connected</x:v>
      </x:c>
      <x:c r="G355" s="50" t="n">
        <x:v>3</x:v>
      </x:c>
      <x:c r="H355" s="50" t="n">
        <x:v>12</x:v>
      </x:c>
      <x:c r="I355" s="44" t="str">
        <x:v>03.12</x:v>
      </x:c>
      <x:c r="J355" s="33" t="str">
        <x:v>The Reaper</x:v>
      </x:c>
      <x:c r="K355" s="33" t="str"/>
      <x:c r="L355" s="33" t="str"/>
      <x:c r="M355" s="44" t="str"/>
      <x:c r="N355" s="50" t="n">
        <x:v>44</x:v>
      </x:c>
      <x:c r="O355" s="53" t="str">
        <x:v>Lt. Cooper is taken hostage in her office by a man threatening to blow up the precinct if his son is not reprieved from a death-row sentence.  Nina learns that the daughter she gave up for adoption 11 years ago wants to meet her.</x:v>
      </x:c>
      <x:c r="P355" s="53" t="str">
        <x:v>Wolf-produced New York police drama; crossover-adjacent to the Law &amp; Order era</x:v>
      </x:c>
      <x:c r="Q355" s="17" t="str">
        <x:v>291050</x:v>
      </x:c>
      <x:c r="R355" s="17" t="str"/>
      <x:c r="S355" s="17" t="str">
        <x:v>229</x:v>
      </x:c>
    </x:row>
    <x:row r="356">
      <x:c r="A356" s="43" t="n">
        <x:v>352</x:v>
      </x:c>
      <x:c r="B356" s="44" t="str">
        <x:v>Not Started</x:v>
      </x:c>
      <x:c r="C356" s="45" t="n">
        <x:v>35440</x:v>
      </x:c>
      <x:c r="D356" s="33" t="str">
        <x:v>Homicide: Life on the Street</x:v>
      </x:c>
      <x:c r="E356" s="33" t="str">
        <x:v>Law &amp; Order</x:v>
      </x:c>
      <x:c r="F356" s="33" t="str">
        <x:v>connected</x:v>
      </x:c>
      <x:c r="G356" s="50" t="n">
        <x:v>5</x:v>
      </x:c>
      <x:c r="H356" s="50" t="n">
        <x:v>12</x:v>
      </x:c>
      <x:c r="I356" s="44" t="str">
        <x:v>05.12</x:v>
      </x:c>
      <x:c r="J356" s="33" t="str">
        <x:v>Betrayal</x:v>
      </x:c>
      <x:c r="K356" s="33" t="str"/>
      <x:c r="L356" s="33" t="str"/>
      <x:c r="M356" s="44" t="str"/>
      <x:c r="N356" s="50" t="n">
        <x:v>45</x:v>
      </x:c>
      <x:c r="O356" s="53" t="str">
        <x:v>Frank and Tim investigate the death of a young girl whose abused body was found by the side of the interstate. Brodie goes to an interview with a new potential roommate. Kellerman finally gets his day in court, where he is supposed to take the 5th amendment. Frank and Tim disagree with their pursuit of the investigation. Frank tries a different approach with the mother and she tells him the story-- only they won't be able to get a murder one conviction. Julianna comes down to the courthouse to offer Mike some moral support. He sees Connelly come out of the courtroom and thinks things are going bad, so he prepares to give it all up. However, his appearance before the grand jury doesn't go quite as he expected. Brodie walks out of the building with his new roommate. The detectives try to celebrate Kellerman's freedom, though he has different thoughts about the situation. Tim tries to come to grips with the child abuse he experienced in his past and also tells Frank he doesn't want to be</x:v>
      </x:c>
      <x:c r="P356" s="53" t="str">
        <x:v>Direct crossover with Law &amp; Order; Munch bridge to SVU</x:v>
      </x:c>
      <x:c r="Q356" s="17" t="str">
        <x:v>320044</x:v>
      </x:c>
      <x:c r="R356" s="17" t="str">
        <x:v>tt0604341</x:v>
      </x:c>
      <x:c r="S356" s="17" t="str">
        <x:v>230</x:v>
      </x:c>
    </x:row>
    <x:row r="357">
      <x:c r="A357" s="43" t="n">
        <x:v>353</x:v>
      </x:c>
      <x:c r="B357" s="44" t="str">
        <x:v>Not Started</x:v>
      </x:c>
      <x:c r="C357" s="45" t="n">
        <x:v>35445</x:v>
      </x:c>
      <x:c r="D357" s="33" t="str">
        <x:v>Law &amp; Order</x:v>
      </x:c>
      <x:c r="E357" s="33" t="str">
        <x:v>Law &amp; Order</x:v>
      </x:c>
      <x:c r="F357" s="33" t="str">
        <x:v>core</x:v>
      </x:c>
      <x:c r="G357" s="50" t="n">
        <x:v>7</x:v>
      </x:c>
      <x:c r="H357" s="50" t="n">
        <x:v>10</x:v>
      </x:c>
      <x:c r="I357" s="44" t="str">
        <x:v>07.10</x:v>
      </x:c>
      <x:c r="J357" s="33" t="str">
        <x:v>Legacy</x:v>
      </x:c>
      <x:c r="K357" s="33" t="str"/>
      <x:c r="L357" s="33" t="str"/>
      <x:c r="M357" s="44" t="str"/>
      <x:c r="N357" s="50" t="n">
        <x:v>47</x:v>
      </x:c>
      <x:c r="O357" s="53" t="str">
        <x:v>The sidewalk shooting of a young husband uncovers the fact that his wife's first husband died in a inadequately investigated accident, and that they may have been having an affair before it happened.</x:v>
      </x:c>
      <x:c r="P357" s="53" t="str">
        <x:v>Core Law &amp; Order franchise</x:v>
      </x:c>
      <x:c r="Q357" s="17" t="str">
        <x:v>34198</x:v>
      </x:c>
      <x:c r="R357" s="17" t="str">
        <x:v>tt0629326</x:v>
      </x:c>
      <x:c r="S357" s="17" t="str">
        <x:v>231</x:v>
      </x:c>
    </x:row>
    <x:row r="358">
      <x:c r="A358" s="43" t="n">
        <x:v>354</x:v>
      </x:c>
      <x:c r="B358" s="44" t="str">
        <x:v>Not Started</x:v>
      </x:c>
      <x:c r="C358" s="45" t="n">
        <x:v>35446</x:v>
      </x:c>
      <x:c r="D358" s="33" t="str">
        <x:v>New York Undercover</x:v>
      </x:c>
      <x:c r="E358" s="33" t="str">
        <x:v>Law &amp; Order</x:v>
      </x:c>
      <x:c r="F358" s="33" t="str">
        <x:v>connected</x:v>
      </x:c>
      <x:c r="G358" s="50" t="n">
        <x:v>3</x:v>
      </x:c>
      <x:c r="H358" s="50" t="n">
        <x:v>13</x:v>
      </x:c>
      <x:c r="I358" s="44" t="str">
        <x:v>03.13</x:v>
      </x:c>
      <x:c r="J358" s="33" t="str">
        <x:v>Fade Out</x:v>
      </x:c>
      <x:c r="K358" s="33" t="str"/>
      <x:c r="L358" s="33" t="str"/>
      <x:c r="M358" s="44" t="str"/>
      <x:c r="N358" s="50" t="n">
        <x:v>44</x:v>
      </x:c>
      <x:c r="O358" s="53" t="str">
        <x:v>A thirteen-year-old boy has a videotape of a murder.  Torres and Williams try to protect him; The boy's mother turns out to be Williams's old high-school girlfriend, whom he betrayed by sleeping with her best friend, Chantal.</x:v>
      </x:c>
      <x:c r="P358" s="53" t="str">
        <x:v>Wolf-produced New York police drama; crossover-adjacent to the Law &amp; Order era</x:v>
      </x:c>
      <x:c r="Q358" s="17" t="str">
        <x:v>291051</x:v>
      </x:c>
      <x:c r="R358" s="17" t="str"/>
      <x:c r="S358" s="17" t="str">
        <x:v>232</x:v>
      </x:c>
    </x:row>
    <x:row r="359">
      <x:c r="A359" s="43" t="n">
        <x:v>355</x:v>
      </x:c>
      <x:c r="B359" s="44" t="str">
        <x:v>Not Started</x:v>
      </x:c>
      <x:c r="C359" s="45" t="n">
        <x:v>35447</x:v>
      </x:c>
      <x:c r="D359" s="33" t="str">
        <x:v>Homicide: Life on the Street</x:v>
      </x:c>
      <x:c r="E359" s="33" t="str">
        <x:v>Law &amp; Order</x:v>
      </x:c>
      <x:c r="F359" s="33" t="str">
        <x:v>connected</x:v>
      </x:c>
      <x:c r="G359" s="50" t="n">
        <x:v>5</x:v>
      </x:c>
      <x:c r="H359" s="50" t="n">
        <x:v>13</x:v>
      </x:c>
      <x:c r="I359" s="44" t="str">
        <x:v>05.13</x:v>
      </x:c>
      <x:c r="J359" s="33" t="str">
        <x:v>Have a Conscience</x:v>
      </x:c>
      <x:c r="K359" s="33" t="str"/>
      <x:c r="L359" s="33" t="str"/>
      <x:c r="M359" s="44" t="str"/>
      <x:c r="N359" s="50" t="n">
        <x:v>45</x:v>
      </x:c>
      <x:c r="O359" s="53" t="str">
        <x:v>Kellerman is disappointed with his treatment in the press (or rather the lack of it). Back on the job, Mike gets his first case. There was a shopkeeper who was killed for chasing the drug dealers out of his corner. The prime suspect is Luther Mahoney. Frank tries to reconnect with Tim who is still resolved to no longer be Frank's partner. Mike is visibly on the edge, with all the pressures of the past months and his reputation tarnished, and agitated by the fact that Luther Mahoney may get away with another murder. Meldrick tries to talk him down, not anxious to lose another partner.</x:v>
      </x:c>
      <x:c r="P359" s="53" t="str">
        <x:v>Direct crossover with Law &amp; Order; Munch bridge to SVU</x:v>
      </x:c>
      <x:c r="Q359" s="17" t="str">
        <x:v>320045</x:v>
      </x:c>
      <x:c r="R359" s="17" t="str">
        <x:v>tt0604377</x:v>
      </x:c>
      <x:c r="S359" s="17" t="str">
        <x:v>233</x:v>
      </x:c>
    </x:row>
    <x:row r="360">
      <x:c r="A360" s="43" t="n">
        <x:v>356</x:v>
      </x:c>
      <x:c r="B360" s="44" t="str">
        <x:v>Not Started</x:v>
      </x:c>
      <x:c r="C360" s="45" t="n">
        <x:v>35460</x:v>
      </x:c>
      <x:c r="D360" s="33" t="str">
        <x:v>New York Undercover</x:v>
      </x:c>
      <x:c r="E360" s="33" t="str">
        <x:v>Law &amp; Order</x:v>
      </x:c>
      <x:c r="F360" s="33" t="str">
        <x:v>connected</x:v>
      </x:c>
      <x:c r="G360" s="50" t="n">
        <x:v>3</x:v>
      </x:c>
      <x:c r="H360" s="50" t="n">
        <x:v>14</x:v>
      </x:c>
      <x:c r="I360" s="44" t="str">
        <x:v>03.14</x:v>
      </x:c>
      <x:c r="J360" s="33" t="str">
        <x:v>The Solomon Papers</x:v>
      </x:c>
      <x:c r="K360" s="33" t="str"/>
      <x:c r="L360" s="33" t="str"/>
      <x:c r="M360" s="44" t="str"/>
      <x:c r="N360" s="50" t="n">
        <x:v>44</x:v>
      </x:c>
      <x:c r="O360" s="53" t="str">
        <x:v>Feds may be part of a drug case and McNamara might lose it all to prove it.  Cooper and her husband tell their kids about their separation.</x:v>
      </x:c>
      <x:c r="P360" s="53" t="str">
        <x:v>Wolf-produced New York police drama; crossover-adjacent to the Law &amp; Order era</x:v>
      </x:c>
      <x:c r="Q360" s="17" t="str">
        <x:v>291052</x:v>
      </x:c>
      <x:c r="R360" s="17" t="str"/>
      <x:c r="S360" s="17" t="str">
        <x:v>234</x:v>
      </x:c>
    </x:row>
    <x:row r="361">
      <x:c r="A361" s="43" t="n">
        <x:v>357</x:v>
      </x:c>
      <x:c r="B361" s="44" t="str">
        <x:v>Not Started</x:v>
      </x:c>
      <x:c r="C361" s="45" t="n">
        <x:v>35461</x:v>
      </x:c>
      <x:c r="D361" s="33" t="str">
        <x:v>Homicide: Life on the Street</x:v>
      </x:c>
      <x:c r="E361" s="33" t="str">
        <x:v>Law &amp; Order</x:v>
      </x:c>
      <x:c r="F361" s="33" t="str">
        <x:v>connected</x:v>
      </x:c>
      <x:c r="G361" s="50" t="n">
        <x:v>5</x:v>
      </x:c>
      <x:c r="H361" s="50" t="n">
        <x:v>14</x:v>
      </x:c>
      <x:c r="I361" s="44" t="str">
        <x:v>05.14</x:v>
      </x:c>
      <x:c r="J361" s="33" t="str">
        <x:v>Diener</x:v>
      </x:c>
      <x:c r="K361" s="33" t="str"/>
      <x:c r="L361" s="33" t="str"/>
      <x:c r="M361" s="44" t="str"/>
      <x:c r="N361" s="50" t="n">
        <x:v>45</x:v>
      </x:c>
      <x:c r="O361" s="53" t="str">
        <x:v>Kellerman assures Lewis that he is seeking some professional advice; he also takes some time off. Lewis is assigned to work with Pembleton and neither is happy with the situation. Together they investigate the murder of a wealthy woman. They suspect the brother may have had a touch of sibling rivalry. Meanwhile, the brother insists that the police have stolen his sister's diamond ring. Mary tells Frank that she thinks they need to talk to a marriage counselor. Cox investigates whether the missing diamond ring might have been taken by one of her staff. She gets Brodie to help her add some video surveillance to the morgue. Mary asks Tim to be Frank's partner again.</x:v>
      </x:c>
      <x:c r="P361" s="53" t="str">
        <x:v>Direct crossover with Law &amp; Order; Munch bridge to SVU</x:v>
      </x:c>
      <x:c r="Q361" s="17" t="str">
        <x:v>320046</x:v>
      </x:c>
      <x:c r="R361" s="17" t="str">
        <x:v>tt0604358</x:v>
      </x:c>
      <x:c r="S361" s="17" t="str">
        <x:v>235</x:v>
      </x:c>
    </x:row>
    <x:row r="362">
      <x:c r="A362" s="43" t="n">
        <x:v>358</x:v>
      </x:c>
      <x:c r="B362" s="44" t="str">
        <x:v>Not Started</x:v>
      </x:c>
      <x:c r="C362" s="45" t="n">
        <x:v>35466</x:v>
      </x:c>
      <x:c r="D362" s="33" t="str">
        <x:v>Law &amp; Order</x:v>
      </x:c>
      <x:c r="E362" s="33" t="str">
        <x:v>Law &amp; Order</x:v>
      </x:c>
      <x:c r="F362" s="33" t="str">
        <x:v>core</x:v>
      </x:c>
      <x:c r="G362" s="50" t="n">
        <x:v>7</x:v>
      </x:c>
      <x:c r="H362" s="50" t="n">
        <x:v>11</x:v>
      </x:c>
      <x:c r="I362" s="44" t="str">
        <x:v>07.11</x:v>
      </x:c>
      <x:c r="J362" s="33" t="str">
        <x:v>Menace</x:v>
      </x:c>
      <x:c r="K362" s="33" t="str"/>
      <x:c r="L362" s="33" t="str"/>
      <x:c r="M362" s="44" t="str"/>
      <x:c r="N362" s="50" t="n">
        <x:v>47</x:v>
      </x:c>
      <x:c r="O362" s="53" t="str">
        <x:v>The detectives face a difficult struggle getting witnesses to a girl's apparent suicide to come forward while Ross tries to prove that a known bully is the one really responsible for her actions.</x:v>
      </x:c>
      <x:c r="P362" s="53" t="str">
        <x:v>Core Law &amp; Order franchise</x:v>
      </x:c>
      <x:c r="Q362" s="17" t="str">
        <x:v>34199</x:v>
      </x:c>
      <x:c r="R362" s="17" t="str">
        <x:v>tt0629341</x:v>
      </x:c>
      <x:c r="S362" s="17" t="str">
        <x:v>236</x:v>
      </x:c>
    </x:row>
    <x:row r="363">
      <x:c r="A363" s="43" t="n">
        <x:v>359</x:v>
      </x:c>
      <x:c r="B363" s="44" t="str">
        <x:v>Not Started</x:v>
      </x:c>
      <x:c r="C363" s="45" t="n">
        <x:v>35467</x:v>
      </x:c>
      <x:c r="D363" s="33" t="str">
        <x:v>New York Undercover</x:v>
      </x:c>
      <x:c r="E363" s="33" t="str">
        <x:v>Law &amp; Order</x:v>
      </x:c>
      <x:c r="F363" s="33" t="str">
        <x:v>connected</x:v>
      </x:c>
      <x:c r="G363" s="50" t="n">
        <x:v>3</x:v>
      </x:c>
      <x:c r="H363" s="50" t="n">
        <x:v>15</x:v>
      </x:c>
      <x:c r="I363" s="44" t="str">
        <x:v>03.15</x:v>
      </x:c>
      <x:c r="J363" s="33" t="str">
        <x:v>School's Out</x:v>
      </x:c>
      <x:c r="K363" s="33" t="str"/>
      <x:c r="L363" s="33" t="str"/>
      <x:c r="M363" s="44" t="str"/>
      <x:c r="N363" s="50" t="n">
        <x:v>44</x:v>
      </x:c>
      <x:c r="O363" s="53" t="str">
        <x:v>Nina's daughter (whom she gave up for adoption) has been kidnapped and held for ransom.</x:v>
      </x:c>
      <x:c r="P363" s="53" t="str">
        <x:v>Wolf-produced New York police drama; crossover-adjacent to the Law &amp; Order era</x:v>
      </x:c>
      <x:c r="Q363" s="17" t="str">
        <x:v>291053</x:v>
      </x:c>
      <x:c r="R363" s="17" t="str"/>
      <x:c r="S363" s="17" t="str">
        <x:v>237</x:v>
      </x:c>
    </x:row>
    <x:row r="364">
      <x:c r="A364" s="43" t="n">
        <x:v>360</x:v>
      </x:c>
      <x:c r="B364" s="44" t="str">
        <x:v>Not Started</x:v>
      </x:c>
      <x:c r="C364" s="45" t="n">
        <x:v>35468</x:v>
      </x:c>
      <x:c r="D364" s="33" t="str">
        <x:v>Homicide: Life on the Street</x:v>
      </x:c>
      <x:c r="E364" s="33" t="str">
        <x:v>Law &amp; Order</x:v>
      </x:c>
      <x:c r="F364" s="33" t="str">
        <x:v>connected</x:v>
      </x:c>
      <x:c r="G364" s="50" t="n">
        <x:v>5</x:v>
      </x:c>
      <x:c r="H364" s="50" t="n">
        <x:v>15</x:v>
      </x:c>
      <x:c r="I364" s="44" t="str">
        <x:v>05.15</x:v>
      </x:c>
      <x:c r="J364" s="33" t="str">
        <x:v>Wu's on First?</x:v>
      </x:c>
      <x:c r="K364" s="33" t="str"/>
      <x:c r="L364" s="33" t="str"/>
      <x:c r="M364" s="44" t="str"/>
      <x:c r="N364" s="50" t="n">
        <x:v>45</x:v>
      </x:c>
      <x:c r="O364" s="53" t="str">
        <x:v>A new Baltimore Sun reporter gets into the middle of Frank's investigation of the death of a county cop who was shot because of drugs. Gee likes her style. Mike's brothers, Drew and Greg, come to town, who want to take him and his boat to Miami to set up a charter service. Mike learns that they are on the run from a bookie that Drew owes $18,000. To pay that debt, they've stolen Babe Ruth's Baltimore uniform from another bookie with the intent of selling it. Lewis and Cox go in search of the Kellerman boys. They find them in jail where they spent the night after trying to return the uniform.</x:v>
      </x:c>
      <x:c r="P364" s="53" t="str">
        <x:v>Direct crossover with Law &amp; Order; Munch bridge to SVU</x:v>
      </x:c>
      <x:c r="Q364" s="17" t="str">
        <x:v>320047</x:v>
      </x:c>
      <x:c r="R364" s="17" t="str">
        <x:v>tt0604448</x:v>
      </x:c>
      <x:c r="S364" s="17" t="str">
        <x:v>238</x:v>
      </x:c>
    </x:row>
    <x:row r="365">
      <x:c r="A365" s="43" t="n">
        <x:v>361</x:v>
      </x:c>
      <x:c r="B365" s="44" t="str">
        <x:v>Not Started</x:v>
      </x:c>
      <x:c r="C365" s="45" t="n">
        <x:v>35473</x:v>
      </x:c>
      <x:c r="D365" s="33" t="str">
        <x:v>Law &amp; Order</x:v>
      </x:c>
      <x:c r="E365" s="33" t="str">
        <x:v>Law &amp; Order</x:v>
      </x:c>
      <x:c r="F365" s="33" t="str">
        <x:v>core</x:v>
      </x:c>
      <x:c r="G365" s="50" t="n">
        <x:v>7</x:v>
      </x:c>
      <x:c r="H365" s="50" t="n">
        <x:v>12</x:v>
      </x:c>
      <x:c r="I365" s="44" t="str">
        <x:v>07.12</x:v>
      </x:c>
      <x:c r="J365" s="33" t="str">
        <x:v>Barter</x:v>
      </x:c>
      <x:c r="K365" s="33" t="str"/>
      <x:c r="L365" s="33" t="str"/>
      <x:c r="M365" s="44" t="str"/>
      <x:c r="N365" s="50" t="n">
        <x:v>47</x:v>
      </x:c>
      <x:c r="O365" s="53" t="str">
        <x:v>An unpromising case of murder suddenly develops new leads when the cops explore the possibility that the victim was mistaken for someone else. McCoy walks a thin line in the matter of ethical conduct as he tries to make a case against a lendor who uses unscrupulous methods to collect the money owed to him.</x:v>
      </x:c>
      <x:c r="P365" s="53" t="str">
        <x:v>Core Law &amp; Order franchise</x:v>
      </x:c>
      <x:c r="Q365" s="17" t="str">
        <x:v>34200</x:v>
      </x:c>
      <x:c r="R365" s="17" t="str">
        <x:v>tt0629171</x:v>
      </x:c>
      <x:c r="S365" s="17" t="str">
        <x:v>239</x:v>
      </x:c>
    </x:row>
    <x:row r="366">
      <x:c r="A366" s="43" t="n">
        <x:v>362</x:v>
      </x:c>
      <x:c r="B366" s="44" t="str">
        <x:v>Not Started</x:v>
      </x:c>
      <x:c r="C366" s="45" t="n">
        <x:v>35474</x:v>
      </x:c>
      <x:c r="D366" s="33" t="str">
        <x:v>New York Undercover</x:v>
      </x:c>
      <x:c r="E366" s="33" t="str">
        <x:v>Law &amp; Order</x:v>
      </x:c>
      <x:c r="F366" s="33" t="str">
        <x:v>connected</x:v>
      </x:c>
      <x:c r="G366" s="50" t="n">
        <x:v>3</x:v>
      </x:c>
      <x:c r="H366" s="50" t="n">
        <x:v>16</x:v>
      </x:c>
      <x:c r="I366" s="44" t="str">
        <x:v>03.16</x:v>
      </x:c>
      <x:c r="J366" s="33" t="str">
        <x:v>Outrage</x:v>
      </x:c>
      <x:c r="K366" s="33" t="str"/>
      <x:c r="L366" s="33" t="str"/>
      <x:c r="M366" s="44" t="str"/>
      <x:c r="N366" s="50" t="n">
        <x:v>44</x:v>
      </x:c>
      <x:c r="O366" s="53" t="str">
        <x:v>The detectives have to prove that a Gulf War veteran has stolen missles.  Williams meets with G's french teacher about G's crush on her.</x:v>
      </x:c>
      <x:c r="P366" s="53" t="str">
        <x:v>Wolf-produced New York police drama; crossover-adjacent to the Law &amp; Order era</x:v>
      </x:c>
      <x:c r="Q366" s="17" t="str">
        <x:v>291054</x:v>
      </x:c>
      <x:c r="R366" s="17" t="str"/>
      <x:c r="S366" s="17" t="str">
        <x:v>240</x:v>
      </x:c>
    </x:row>
    <x:row r="367">
      <x:c r="A367" s="43" t="n">
        <x:v>363</x:v>
      </x:c>
      <x:c r="B367" s="44" t="str">
        <x:v>Not Started</x:v>
      </x:c>
      <x:c r="C367" s="45" t="n">
        <x:v>35475</x:v>
      </x:c>
      <x:c r="D367" s="33" t="str">
        <x:v>Homicide: Life on the Street</x:v>
      </x:c>
      <x:c r="E367" s="33" t="str">
        <x:v>Law &amp; Order</x:v>
      </x:c>
      <x:c r="F367" s="33" t="str">
        <x:v>connected</x:v>
      </x:c>
      <x:c r="G367" s="50" t="n">
        <x:v>5</x:v>
      </x:c>
      <x:c r="H367" s="50" t="n">
        <x:v>16</x:v>
      </x:c>
      <x:c r="I367" s="44" t="str">
        <x:v>05.16</x:v>
      </x:c>
      <x:c r="J367" s="33" t="str">
        <x:v>Valentine's Day</x:v>
      </x:c>
      <x:c r="K367" s="33" t="str"/>
      <x:c r="L367" s="33" t="str"/>
      <x:c r="M367" s="44" t="str"/>
      <x:c r="N367" s="50" t="n">
        <x:v>45</x:v>
      </x:c>
      <x:c r="O367" s="53" t="str">
        <x:v>Brodie suggests that a classmate of his named Schack should be a suspect in the death of the student that Munch believes committed suicide. Frank and Mary meet with their marriage counselor and they begin to air some issues. Bayliss and Kellerman try to link together two deadly bombings. Schack attacks Brodie, but he can't prove it. He does offer a way to get Schack to admit to the murder. Frank tells Mary that he will agree to getting Olivia baptized. Mike connects the two bombings; the victims were both connected through the death of the Korean grocer who was murdered by a man who worked for Luther Mahoney. They suspect that there may be more bombs, including one at the courthouse where Meldrick and Julianna are waiting to meet with Judge Aandahl and Danvers, both of who were associated with the Korean grocer case. Frank arrives late to the baptism; Mary takes this as a sign and tells him she is leaving him for a while.</x:v>
      </x:c>
      <x:c r="P367" s="53" t="str">
        <x:v>Direct crossover with Law &amp; Order; Munch bridge to SVU</x:v>
      </x:c>
      <x:c r="Q367" s="17" t="str">
        <x:v>320048</x:v>
      </x:c>
      <x:c r="R367" s="17" t="str">
        <x:v>tt0604443</x:v>
      </x:c>
      <x:c r="S367" s="17" t="str">
        <x:v>241</x:v>
      </x:c>
    </x:row>
    <x:row r="368">
      <x:c r="A368" s="43" t="n">
        <x:v>364</x:v>
      </x:c>
      <x:c r="B368" s="44" t="str">
        <x:v>Not Started</x:v>
      </x:c>
      <x:c r="C368" s="45" t="n">
        <x:v>35480</x:v>
      </x:c>
      <x:c r="D368" s="33" t="str">
        <x:v>Law &amp; Order</x:v>
      </x:c>
      <x:c r="E368" s="33" t="str">
        <x:v>Law &amp; Order</x:v>
      </x:c>
      <x:c r="F368" s="33" t="str">
        <x:v>core</x:v>
      </x:c>
      <x:c r="G368" s="50" t="n">
        <x:v>7</x:v>
      </x:c>
      <x:c r="H368" s="50" t="n">
        <x:v>13</x:v>
      </x:c>
      <x:c r="I368" s="44" t="str">
        <x:v>07.13</x:v>
      </x:c>
      <x:c r="J368" s="33" t="str">
        <x:v>Matrimony</x:v>
      </x:c>
      <x:c r="K368" s="33" t="str"/>
      <x:c r="L368" s="33" t="str"/>
      <x:c r="M368" s="44" t="str"/>
      <x:c r="N368" s="50" t="n">
        <x:v>47</x:v>
      </x:c>
      <x:c r="O368" s="53" t="str">
        <x:v>The discovery of a would-be thief refocuses a murder investigation, leaving the prosecutors the task of making a conspiracy case against the deceased's attorney and the pretty young widow.</x:v>
      </x:c>
      <x:c r="P368" s="53" t="str">
        <x:v>Core Law &amp; Order franchise</x:v>
      </x:c>
      <x:c r="Q368" s="17" t="str">
        <x:v>34201</x:v>
      </x:c>
      <x:c r="R368" s="17" t="str">
        <x:v>tt0629338</x:v>
      </x:c>
      <x:c r="S368" s="17" t="str">
        <x:v>242</x:v>
      </x:c>
    </x:row>
    <x:row r="369">
      <x:c r="A369" s="43" t="n">
        <x:v>365</x:v>
      </x:c>
      <x:c r="B369" s="44" t="str">
        <x:v>Not Started</x:v>
      </x:c>
      <x:c r="C369" s="45" t="n">
        <x:v>35481</x:v>
      </x:c>
      <x:c r="D369" s="33" t="str">
        <x:v>New York Undercover</x:v>
      </x:c>
      <x:c r="E369" s="33" t="str">
        <x:v>Law &amp; Order</x:v>
      </x:c>
      <x:c r="F369" s="33" t="str">
        <x:v>connected</x:v>
      </x:c>
      <x:c r="G369" s="50" t="n">
        <x:v>3</x:v>
      </x:c>
      <x:c r="H369" s="50" t="n">
        <x:v>17</x:v>
      </x:c>
      <x:c r="I369" s="44" t="str">
        <x:v>03.17</x:v>
      </x:c>
      <x:c r="J369" s="33" t="str">
        <x:v>The Promised Land</x:v>
      </x:c>
      <x:c r="K369" s="33" t="str"/>
      <x:c r="L369" s="33" t="str"/>
      <x:c r="M369" s="44" t="str"/>
      <x:c r="N369" s="50" t="n">
        <x:v>44</x:v>
      </x:c>
      <x:c r="O369" s="53" t="str">
        <x:v>Williams discover evidence relating to Martin Luther King Jr's murder.</x:v>
      </x:c>
      <x:c r="P369" s="53" t="str">
        <x:v>Wolf-produced New York police drama; crossover-adjacent to the Law &amp; Order era</x:v>
      </x:c>
      <x:c r="Q369" s="17" t="str">
        <x:v>291055</x:v>
      </x:c>
      <x:c r="R369" s="17" t="str"/>
      <x:c r="S369" s="17" t="str">
        <x:v>243</x:v>
      </x:c>
    </x:row>
    <x:row r="370">
      <x:c r="A370" s="43" t="n">
        <x:v>366</x:v>
      </x:c>
      <x:c r="B370" s="44" t="str">
        <x:v>Not Started</x:v>
      </x:c>
      <x:c r="C370" s="45" t="n">
        <x:v>35482</x:v>
      </x:c>
      <x:c r="D370" s="33" t="str">
        <x:v>Homicide: Life on the Street</x:v>
      </x:c>
      <x:c r="E370" s="33" t="str">
        <x:v>Law &amp; Order</x:v>
      </x:c>
      <x:c r="F370" s="33" t="str">
        <x:v>connected</x:v>
      </x:c>
      <x:c r="G370" s="50" t="n">
        <x:v>5</x:v>
      </x:c>
      <x:c r="H370" s="50" t="n">
        <x:v>17</x:v>
      </x:c>
      <x:c r="I370" s="44" t="str">
        <x:v>05.17</x:v>
      </x:c>
      <x:c r="J370" s="33" t="str">
        <x:v>Kaddish</x:v>
      </x:c>
      <x:c r="K370" s="33" t="str"/>
      <x:c r="L370" s="33" t="str"/>
      <x:c r="M370" s="44" t="str"/>
      <x:c r="N370" s="50" t="n">
        <x:v>45</x:v>
      </x:c>
      <x:c r="O370" s="53" t="str">
        <x:v>A woman that Munch had a crush on in high school is found murdered. He struggles with his faith as he works with Kellerman on the case. Meanwhile, Frank also struggles with his faith and the fact that Mary has left him.</x:v>
      </x:c>
      <x:c r="P370" s="53" t="str">
        <x:v>Direct crossover with Law &amp; Order; Munch bridge to SVU</x:v>
      </x:c>
      <x:c r="Q370" s="17" t="str">
        <x:v>320049</x:v>
      </x:c>
      <x:c r="R370" s="17" t="str">
        <x:v>tt0604388</x:v>
      </x:c>
      <x:c r="S370" s="17" t="str">
        <x:v>244</x:v>
      </x:c>
    </x:row>
    <x:row r="371">
      <x:c r="A371" s="43" t="n">
        <x:v>367</x:v>
      </x:c>
      <x:c r="B371" s="44" t="str">
        <x:v>Not Started</x:v>
      </x:c>
      <x:c r="C371" s="45" t="n">
        <x:v>35487</x:v>
      </x:c>
      <x:c r="D371" s="33" t="str">
        <x:v>Law &amp; Order</x:v>
      </x:c>
      <x:c r="E371" s="33" t="str">
        <x:v>Law &amp; Order</x:v>
      </x:c>
      <x:c r="F371" s="33" t="str">
        <x:v>core</x:v>
      </x:c>
      <x:c r="G371" s="50" t="n">
        <x:v>7</x:v>
      </x:c>
      <x:c r="H371" s="50" t="n">
        <x:v>14</x:v>
      </x:c>
      <x:c r="I371" s="44" t="str">
        <x:v>07.14</x:v>
      </x:c>
      <x:c r="J371" s="33" t="str">
        <x:v>Working Mom</x:v>
      </x:c>
      <x:c r="K371" s="33" t="str"/>
      <x:c r="L371" s="33" t="str"/>
      <x:c r="M371" s="44" t="str"/>
      <x:c r="N371" s="50" t="n">
        <x:v>47</x:v>
      </x:c>
      <x:c r="O371" s="53" t="str">
        <x:v>The murder of an ex-cop with a penchant for blackmail and illicit sex brings feminist lawyer Lanie Stieglitz into court against McCoy to defend a suburban wife and mother.</x:v>
      </x:c>
      <x:c r="P371" s="53" t="str">
        <x:v>Core Law &amp; Order franchise</x:v>
      </x:c>
      <x:c r="Q371" s="17" t="str">
        <x:v>34202</x:v>
      </x:c>
      <x:c r="R371" s="17" t="str">
        <x:v>tt0629501</x:v>
      </x:c>
      <x:c r="S371" s="17" t="str">
        <x:v>245</x:v>
      </x:c>
    </x:row>
    <x:row r="372">
      <x:c r="A372" s="43" t="n">
        <x:v>368</x:v>
      </x:c>
      <x:c r="B372" s="44" t="str">
        <x:v>Not Started</x:v>
      </x:c>
      <x:c r="C372" s="45" t="n">
        <x:v>35494</x:v>
      </x:c>
      <x:c r="D372" s="33" t="str">
        <x:v>Feds</x:v>
      </x:c>
      <x:c r="E372" s="33" t="str">
        <x:v>Crossover Adjacent</x:v>
      </x:c>
      <x:c r="F372" s="33" t="str">
        <x:v>complete</x:v>
      </x:c>
      <x:c r="G372" s="50" t="n">
        <x:v>1</x:v>
      </x:c>
      <x:c r="H372" s="50" t="n">
        <x:v>1</x:v>
      </x:c>
      <x:c r="I372" s="44" t="str">
        <x:v>01.01</x:v>
      </x:c>
      <x:c r="J372" s="33" t="str">
        <x:v>Crash and Burn</x:v>
      </x:c>
      <x:c r="K372" s="33" t="str"/>
      <x:c r="L372" s="33" t="str"/>
      <x:c r="M372" s="44" t="str"/>
      <x:c r="N372" s="50" t="n">
        <x:v>60</x:v>
      </x:c>
      <x:c r="O372" s="53" t="str">
        <x:v>Attorney Oliver Resor is prosecuting a pilot who was drunk when his plane crashed, killing 45 people; and Sandra Broome is conflicted about prosecuting a black cop charged with assaulting a skinhead.</x:v>
      </x:c>
      <x:c r="P372" s="53" t="str">
        <x:v>Dick Wolf-created federal-law series</x:v>
      </x:c>
      <x:c r="Q372" s="17" t="str">
        <x:v>823017</x:v>
      </x:c>
      <x:c r="R372" s="17" t="str"/>
      <x:c r="S372" s="17" t="str"/>
    </x:row>
    <x:row r="373">
      <x:c r="A373" s="43" t="n">
        <x:v>369</x:v>
      </x:c>
      <x:c r="B373" s="44" t="str">
        <x:v>Not Started</x:v>
      </x:c>
      <x:c r="C373" s="45" t="n">
        <x:v>35501</x:v>
      </x:c>
      <x:c r="D373" s="33" t="str">
        <x:v>Feds</x:v>
      </x:c>
      <x:c r="E373" s="33" t="str">
        <x:v>Crossover Adjacent</x:v>
      </x:c>
      <x:c r="F373" s="33" t="str">
        <x:v>complete</x:v>
      </x:c>
      <x:c r="G373" s="50" t="n">
        <x:v>1</x:v>
      </x:c>
      <x:c r="H373" s="50" t="n">
        <x:v>2</x:v>
      </x:c>
      <x:c r="I373" s="44" t="str">
        <x:v>01.02</x:v>
      </x:c>
      <x:c r="J373" s="33" t="str">
        <x:v>Do No Harm</x:v>
      </x:c>
      <x:c r="K373" s="33" t="str"/>
      <x:c r="L373" s="33" t="str"/>
      <x:c r="M373" s="44" t="str"/>
      <x:c r="N373" s="50" t="n">
        <x:v>60</x:v>
      </x:c>
      <x:c r="O373" s="53" t="str">
        <x:v>Sandra prosecutes a drug company that's ""using inner-city babies as lab rats"" to test a measles vaccine; officials unearth the identity of the man who killed Michael's family; Gaffney pursues a relationship with a bond trader; and Oliver learns his father has cancer.</x:v>
      </x:c>
      <x:c r="P373" s="53" t="str">
        <x:v>Dick Wolf-created federal-law series</x:v>
      </x:c>
      <x:c r="Q373" s="17" t="str">
        <x:v>823018</x:v>
      </x:c>
      <x:c r="R373" s="17" t="str"/>
      <x:c r="S373" s="17" t="str"/>
    </x:row>
    <x:row r="374">
      <x:c r="A374" s="43" t="n">
        <x:v>370</x:v>
      </x:c>
      <x:c r="B374" s="44" t="str">
        <x:v>Not Started</x:v>
      </x:c>
      <x:c r="C374" s="45" t="n">
        <x:v>35502</x:v>
      </x:c>
      <x:c r="D374" s="33" t="str">
        <x:v>New York Undercover</x:v>
      </x:c>
      <x:c r="E374" s="33" t="str">
        <x:v>Law &amp; Order</x:v>
      </x:c>
      <x:c r="F374" s="33" t="str">
        <x:v>connected</x:v>
      </x:c>
      <x:c r="G374" s="50" t="n">
        <x:v>3</x:v>
      </x:c>
      <x:c r="H374" s="50" t="n">
        <x:v>18</x:v>
      </x:c>
      <x:c r="I374" s="44" t="str">
        <x:v>03.18</x:v>
      </x:c>
      <x:c r="J374" s="33" t="str">
        <x:v>Descell</x:v>
      </x:c>
      <x:c r="K374" s="33" t="str"/>
      <x:c r="L374" s="33" t="str"/>
      <x:c r="M374" s="44" t="str"/>
      <x:c r="N374" s="50" t="n">
        <x:v>44</x:v>
      </x:c>
      <x:c r="O374" s="53" t="str">
        <x:v>Nina and McNamara go undercover to find out who tried to kill an executive.  Williams and Natasha get close.</x:v>
      </x:c>
      <x:c r="P374" s="53" t="str">
        <x:v>Wolf-produced New York police drama; crossover-adjacent to the Law &amp; Order era</x:v>
      </x:c>
      <x:c r="Q374" s="17" t="str">
        <x:v>291056</x:v>
      </x:c>
      <x:c r="R374" s="17" t="str"/>
      <x:c r="S374" s="17" t="str">
        <x:v>247</x:v>
      </x:c>
    </x:row>
    <x:row r="375">
      <x:c r="A375" s="43" t="n">
        <x:v>371</x:v>
      </x:c>
      <x:c r="B375" s="44" t="str">
        <x:v>Not Started</x:v>
      </x:c>
      <x:c r="C375" s="45" t="n">
        <x:v>35502</x:v>
      </x:c>
      <x:c r="D375" s="33" t="str">
        <x:v>Law &amp; Order</x:v>
      </x:c>
      <x:c r="E375" s="33" t="str">
        <x:v>Law &amp; Order</x:v>
      </x:c>
      <x:c r="F375" s="33" t="str">
        <x:v>core</x:v>
      </x:c>
      <x:c r="G375" s="50" t="n">
        <x:v>7</x:v>
      </x:c>
      <x:c r="H375" s="50" t="n">
        <x:v>15</x:v>
      </x:c>
      <x:c r="I375" s="44" t="str">
        <x:v>07.15</x:v>
      </x:c>
      <x:c r="J375" s="33" t="str">
        <x:v>D-Girl</x:v>
      </x:c>
      <x:c r="K375" s="33" t="str"/>
      <x:c r="L375" s="33" t="str"/>
      <x:c r="M375" s="44" t="str"/>
      <x:c r="N375" s="50" t="n">
        <x:v>45</x:v>
      </x:c>
      <x:c r="O375" s="53" t="str">
        <x:v>A headless corpse fished out of the river sends Briscoe and Curtis out to Los Angeles to obtain a blood sample from their chief suspect while McCoy and Ross back in New York try to obtain a court order for the procedure.</x:v>
      </x:c>
      <x:c r="P375" s="53" t="str">
        <x:v>Core Law &amp; Order franchise</x:v>
      </x:c>
      <x:c r="Q375" s="17" t="str">
        <x:v>34203</x:v>
      </x:c>
      <x:c r="R375" s="17" t="str">
        <x:v>tt0629316</x:v>
      </x:c>
      <x:c r="S375" s="17" t="str">
        <x:v>246</x:v>
      </x:c>
    </x:row>
    <x:row r="376">
      <x:c r="A376" s="43" t="n">
        <x:v>372</x:v>
      </x:c>
      <x:c r="B376" s="44" t="str">
        <x:v>Not Started</x:v>
      </x:c>
      <x:c r="C376" s="45" t="n">
        <x:v>35508</x:v>
      </x:c>
      <x:c r="D376" s="33" t="str">
        <x:v>Feds</x:v>
      </x:c>
      <x:c r="E376" s="33" t="str">
        <x:v>Crossover Adjacent</x:v>
      </x:c>
      <x:c r="F376" s="33" t="str">
        <x:v>complete</x:v>
      </x:c>
      <x:c r="G376" s="50" t="n">
        <x:v>1</x:v>
      </x:c>
      <x:c r="H376" s="50" t="n">
        <x:v>3</x:v>
      </x:c>
      <x:c r="I376" s="44" t="str">
        <x:v>01.03</x:v>
      </x:c>
      <x:c r="J376" s="33" t="str">
        <x:v>The War Against Crime</x:v>
      </x:c>
      <x:c r="K376" s="33" t="str"/>
      <x:c r="L376" s="33" t="str"/>
      <x:c r="M376" s="44" t="str"/>
      <x:c r="N376" s="50" t="n">
        <x:v>60</x:v>
      </x:c>
      <x:c r="O376" s="53" t="str">
        <x:v>Tony Garufi, the man who had Mike's family murdered, is killed the week before he's scheduled to get a subpoena. Meanwhile, after charges of statutory rape against a popular ballet dancer are dropped in L.A., Sandra decides to prosecute him on a Federal level; and Oliver initiates a case against a tobacco company.</x:v>
      </x:c>
      <x:c r="P376" s="53" t="str">
        <x:v>Dick Wolf-created federal-law series</x:v>
      </x:c>
      <x:c r="Q376" s="17" t="str">
        <x:v>823019</x:v>
      </x:c>
      <x:c r="R376" s="17" t="str"/>
      <x:c r="S376" s="17" t="str"/>
    </x:row>
    <x:row r="377">
      <x:c r="A377" s="43" t="n">
        <x:v>373</x:v>
      </x:c>
      <x:c r="B377" s="44" t="str">
        <x:v>Not Started</x:v>
      </x:c>
      <x:c r="C377" s="45" t="n">
        <x:v>35509</x:v>
      </x:c>
      <x:c r="D377" s="33" t="str">
        <x:v>Law &amp; Order</x:v>
      </x:c>
      <x:c r="E377" s="33" t="str">
        <x:v>Law &amp; Order</x:v>
      </x:c>
      <x:c r="F377" s="33" t="str">
        <x:v>core</x:v>
      </x:c>
      <x:c r="G377" s="50" t="n">
        <x:v>7</x:v>
      </x:c>
      <x:c r="H377" s="50" t="n">
        <x:v>16</x:v>
      </x:c>
      <x:c r="I377" s="44" t="str">
        <x:v>07.16</x:v>
      </x:c>
      <x:c r="J377" s="33" t="str">
        <x:v>Turnaround</x:v>
      </x:c>
      <x:c r="K377" s="33" t="str"/>
      <x:c r="L377" s="33" t="str"/>
      <x:c r="M377" s="44" t="str"/>
      <x:c r="N377" s="50" t="n">
        <x:v>45</x:v>
      </x:c>
      <x:c r="O377" s="53" t="str">
        <x:v>Back in New York with their suspect, Briscoe and Curtis try to pin down his schedule on the night of the murder, but find instead that another man was in the area at the right time and more importantly, might have a motive for the crime. But after the issuance of a new arrest warrant, McCoy and Ross have to fly to LA to defend their warrant against attacks by the man's defense counsel, Ross's former husband Neal Gorton.</x:v>
      </x:c>
      <x:c r="P377" s="53" t="str">
        <x:v>Core Law &amp; Order franchise</x:v>
      </x:c>
      <x:c r="Q377" s="17" t="str">
        <x:v>34204</x:v>
      </x:c>
      <x:c r="R377" s="17" t="str">
        <x:v>tt0629318</x:v>
      </x:c>
      <x:c r="S377" s="17" t="str">
        <x:v>248</x:v>
      </x:c>
    </x:row>
    <x:row r="378">
      <x:c r="A378" s="43" t="n">
        <x:v>374</x:v>
      </x:c>
      <x:c r="B378" s="44" t="str">
        <x:v>Not Started</x:v>
      </x:c>
      <x:c r="C378" s="45" t="n">
        <x:v>35515</x:v>
      </x:c>
      <x:c r="D378" s="33" t="str">
        <x:v>Feds</x:v>
      </x:c>
      <x:c r="E378" s="33" t="str">
        <x:v>Crossover Adjacent</x:v>
      </x:c>
      <x:c r="F378" s="33" t="str">
        <x:v>complete</x:v>
      </x:c>
      <x:c r="G378" s="50" t="n">
        <x:v>1</x:v>
      </x:c>
      <x:c r="H378" s="50" t="n">
        <x:v>4</x:v>
      </x:c>
      <x:c r="I378" s="44" t="str">
        <x:v>01.04</x:v>
      </x:c>
      <x:c r="J378" s="33" t="str">
        <x:v>Missing Pieces</x:v>
      </x:c>
      <x:c r="K378" s="33" t="str"/>
      <x:c r="L378" s="33" t="str"/>
      <x:c r="M378" s="44" t="str"/>
      <x:c r="N378" s="50" t="n">
        <x:v>60</x:v>
      </x:c>
      <x:c r="O378" s="53" t="str">
        <x:v>Michael resents having to help an attorney prosecute a man involved in the murder of his family - a case he wanted to handle - so he withholds information; and Oliver is arrested after the tobacco company plants cocaine in his car.</x:v>
      </x:c>
      <x:c r="P378" s="53" t="str">
        <x:v>Dick Wolf-created federal-law series</x:v>
      </x:c>
      <x:c r="Q378" s="17" t="str">
        <x:v>823020</x:v>
      </x:c>
      <x:c r="R378" s="17" t="str"/>
      <x:c r="S378" s="17" t="str"/>
    </x:row>
    <x:row r="379">
      <x:c r="A379" s="43" t="n">
        <x:v>375</x:v>
      </x:c>
      <x:c r="B379" s="44" t="str">
        <x:v>Not Started</x:v>
      </x:c>
      <x:c r="C379" s="45" t="n">
        <x:v>35516</x:v>
      </x:c>
      <x:c r="D379" s="33" t="str">
        <x:v>New York Undercover</x:v>
      </x:c>
      <x:c r="E379" s="33" t="str">
        <x:v>Law &amp; Order</x:v>
      </x:c>
      <x:c r="F379" s="33" t="str">
        <x:v>connected</x:v>
      </x:c>
      <x:c r="G379" s="50" t="n">
        <x:v>3</x:v>
      </x:c>
      <x:c r="H379" s="50" t="n">
        <x:v>19</x:v>
      </x:c>
      <x:c r="I379" s="44" t="str">
        <x:v>03.19</x:v>
      </x:c>
      <x:c r="J379" s="33" t="str">
        <x:v>Hubris</x:v>
      </x:c>
      <x:c r="K379" s="33" t="str"/>
      <x:c r="L379" s="33" t="str"/>
      <x:c r="M379" s="44" t="str"/>
      <x:c r="N379" s="50" t="n">
        <x:v>44</x:v>
      </x:c>
      <x:c r="O379" s="53" t="str">
        <x:v>A female bounty hunter uses Williams to help find a fugitive in protective custody.  Nina and McNamara suspect a wife a recently deceased cop.  Natasha visits the precinct.</x:v>
      </x:c>
      <x:c r="P379" s="53" t="str">
        <x:v>Wolf-produced New York police drama; crossover-adjacent to the Law &amp; Order era</x:v>
      </x:c>
      <x:c r="Q379" s="17" t="str">
        <x:v>291057</x:v>
      </x:c>
      <x:c r="R379" s="17" t="str"/>
      <x:c r="S379" s="17" t="str">
        <x:v>250</x:v>
      </x:c>
    </x:row>
    <x:row r="380">
      <x:c r="A380" s="43" t="n">
        <x:v>376</x:v>
      </x:c>
      <x:c r="B380" s="44" t="str">
        <x:v>Not Started</x:v>
      </x:c>
      <x:c r="C380" s="45" t="n">
        <x:v>35516</x:v>
      </x:c>
      <x:c r="D380" s="33" t="str">
        <x:v>Law &amp; Order</x:v>
      </x:c>
      <x:c r="E380" s="33" t="str">
        <x:v>Law &amp; Order</x:v>
      </x:c>
      <x:c r="F380" s="33" t="str">
        <x:v>core</x:v>
      </x:c>
      <x:c r="G380" s="50" t="n">
        <x:v>7</x:v>
      </x:c>
      <x:c r="H380" s="50" t="n">
        <x:v>17</x:v>
      </x:c>
      <x:c r="I380" s="44" t="str">
        <x:v>07.17</x:v>
      </x:c>
      <x:c r="J380" s="33" t="str">
        <x:v>Showtime</x:v>
      </x:c>
      <x:c r="K380" s="33" t="str"/>
      <x:c r="L380" s="33" t="str"/>
      <x:c r="M380" s="44" t="str"/>
      <x:c r="N380" s="50" t="n">
        <x:v>47</x:v>
      </x:c>
      <x:c r="O380" s="53" t="str">
        <x:v>The trial of Eddie Newman begins but the prosecution's chances of conviction are hampered by a "dream team" of defense attorneys, Gorton's personal pressures on Ross, the public questioning of the relationship between Curtis and Lisa Lundquist, and a surprise accusation.</x:v>
      </x:c>
      <x:c r="P380" s="53" t="str">
        <x:v>Core Law &amp; Order franchise</x:v>
      </x:c>
      <x:c r="Q380" s="17" t="str">
        <x:v>34205</x:v>
      </x:c>
      <x:c r="R380" s="17" t="str">
        <x:v>tt0629317</x:v>
      </x:c>
      <x:c r="S380" s="17" t="str">
        <x:v>249</x:v>
      </x:c>
    </x:row>
    <x:row r="381">
      <x:c r="A381" s="43" t="n">
        <x:v>377</x:v>
      </x:c>
      <x:c r="B381" s="44" t="str">
        <x:v>Not Started</x:v>
      </x:c>
      <x:c r="C381" s="45" t="n">
        <x:v>35522</x:v>
      </x:c>
      <x:c r="D381" s="33" t="str">
        <x:v>Feds</x:v>
      </x:c>
      <x:c r="E381" s="33" t="str">
        <x:v>Crossover Adjacent</x:v>
      </x:c>
      <x:c r="F381" s="33" t="str">
        <x:v>complete</x:v>
      </x:c>
      <x:c r="G381" s="50" t="n">
        <x:v>1</x:v>
      </x:c>
      <x:c r="H381" s="50" t="n">
        <x:v>5</x:v>
      </x:c>
      <x:c r="I381" s="44" t="str">
        <x:v>01.05</x:v>
      </x:c>
      <x:c r="J381" s="33" t="str">
        <x:v>Somebody's Lyin'</x:v>
      </x:c>
      <x:c r="K381" s="33" t="str"/>
      <x:c r="L381" s="33" t="str"/>
      <x:c r="M381" s="44" t="str"/>
      <x:c r="N381" s="50" t="n">
        <x:v>60</x:v>
      </x:c>
      <x:c r="O381" s="53" t="str">
        <x:v>Erica assigns Jessica to prosecute an artist who took nude photos of her friend's daughter and posted them on the Internet; and Michael resumes work on the mob case, but is frustrated when agents discover there's a leak among them.</x:v>
      </x:c>
      <x:c r="P381" s="53" t="str">
        <x:v>Dick Wolf-created federal-law series</x:v>
      </x:c>
      <x:c r="Q381" s="17" t="str">
        <x:v>823021</x:v>
      </x:c>
      <x:c r="R381" s="17" t="str"/>
      <x:c r="S381" s="17" t="str"/>
    </x:row>
    <x:row r="382">
      <x:c r="A382" s="43" t="n">
        <x:v>378</x:v>
      </x:c>
      <x:c r="B382" s="44" t="str">
        <x:v>Not Started</x:v>
      </x:c>
      <x:c r="C382" s="45" t="n">
        <x:v>35522</x:v>
      </x:c>
      <x:c r="D382" s="33" t="str">
        <x:v>Law &amp; Order</x:v>
      </x:c>
      <x:c r="E382" s="33" t="str">
        <x:v>Law &amp; Order</x:v>
      </x:c>
      <x:c r="F382" s="33" t="str">
        <x:v>core</x:v>
      </x:c>
      <x:c r="G382" s="50" t="n">
        <x:v>7</x:v>
      </x:c>
      <x:c r="H382" s="50" t="n">
        <x:v>18</x:v>
      </x:c>
      <x:c r="I382" s="44" t="str">
        <x:v>07.18</x:v>
      </x:c>
      <x:c r="J382" s="33" t="str">
        <x:v>Mad Dog</x:v>
      </x:c>
      <x:c r="K382" s="33" t="str"/>
      <x:c r="L382" s="33" t="str"/>
      <x:c r="M382" s="44" t="str"/>
      <x:c r="N382" s="50" t="n">
        <x:v>48</x:v>
      </x:c>
      <x:c r="O382" s="53" t="str">
        <x:v>McCoy becomes obsessed with nailing a serial rapist recently released on parole and pushes the cops perilously close to harassment as he attempts to connect the man with a new rape and murder matching his previous M.O.</x:v>
      </x:c>
      <x:c r="P382" s="53" t="str">
        <x:v>Core Law &amp; Order franchise</x:v>
      </x:c>
      <x:c r="Q382" s="17" t="str">
        <x:v>34206</x:v>
      </x:c>
      <x:c r="R382" s="17" t="str">
        <x:v>tt0629332</x:v>
      </x:c>
      <x:c r="S382" s="17" t="str">
        <x:v>251</x:v>
      </x:c>
    </x:row>
    <x:row r="383">
      <x:c r="A383" s="43" t="n">
        <x:v>379</x:v>
      </x:c>
      <x:c r="B383" s="44" t="str">
        <x:v>Not Started</x:v>
      </x:c>
      <x:c r="C383" s="45" t="n">
        <x:v>35529</x:v>
      </x:c>
      <x:c r="D383" s="33" t="str">
        <x:v>Feds</x:v>
      </x:c>
      <x:c r="E383" s="33" t="str">
        <x:v>Crossover Adjacent</x:v>
      </x:c>
      <x:c r="F383" s="33" t="str">
        <x:v>complete</x:v>
      </x:c>
      <x:c r="G383" s="50" t="n">
        <x:v>1</x:v>
      </x:c>
      <x:c r="H383" s="50" t="n">
        <x:v>6</x:v>
      </x:c>
      <x:c r="I383" s="44" t="str">
        <x:v>01.06</x:v>
      </x:c>
      <x:c r="J383" s="33" t="str">
        <x:v>Smoking Gun</x:v>
      </x:c>
      <x:c r="K383" s="33" t="str"/>
      <x:c r="L383" s="33" t="str"/>
      <x:c r="M383" s="44" t="str"/>
      <x:c r="N383" s="50" t="n">
        <x:v>60</x:v>
      </x:c>
      <x:c r="O383" s="53" t="str">
        <x:v>Mrs. Abruzzi gives Michael a tip leading to Iredesco's arrest after learning that her husband's killer also murdered Michael's family; a tobacco-company informant dies after warning Oliver and Jessica of a secret agency that monitors the anti-smoking movement.</x:v>
      </x:c>
      <x:c r="P383" s="53" t="str">
        <x:v>Dick Wolf-created federal-law series</x:v>
      </x:c>
      <x:c r="Q383" s="17" t="str">
        <x:v>823022</x:v>
      </x:c>
      <x:c r="R383" s="17" t="str"/>
      <x:c r="S383" s="17" t="str"/>
    </x:row>
    <x:row r="384">
      <x:c r="A384" s="43" t="n">
        <x:v>380</x:v>
      </x:c>
      <x:c r="B384" s="44" t="str">
        <x:v>Not Started</x:v>
      </x:c>
      <x:c r="C384" s="45" t="n">
        <x:v>35531</x:v>
      </x:c>
      <x:c r="D384" s="33" t="str">
        <x:v>Homicide: Life on the Street</x:v>
      </x:c>
      <x:c r="E384" s="33" t="str">
        <x:v>Law &amp; Order</x:v>
      </x:c>
      <x:c r="F384" s="33" t="str">
        <x:v>connected</x:v>
      </x:c>
      <x:c r="G384" s="50" t="n">
        <x:v>5</x:v>
      </x:c>
      <x:c r="H384" s="50" t="n">
        <x:v>18</x:v>
      </x:c>
      <x:c r="I384" s="44" t="str">
        <x:v>05.18</x:v>
      </x:c>
      <x:c r="J384" s="33" t="str">
        <x:v>Double Blind</x:v>
      </x:c>
      <x:c r="K384" s="33" t="str"/>
      <x:c r="L384" s="33" t="str"/>
      <x:c r="M384" s="44" t="str"/>
      <x:c r="N384" s="50" t="n">
        <x:v>45</x:v>
      </x:c>
      <x:c r="O384" s="53" t="str">
        <x:v>A girl complains to the desk sergeant about her father's abuse of her mother. Meldrick spends the night remembering Crosetti with the Chris and Eva Thormann. Chris reflects on his own memories of the shooting incident that blinded him, the shooter is now up for parole. Bayliss with Pembleton investigate the homicide of a man shot to death in his own house. The shooter, the murdered man's wife will testify, is their daughter. The case triggers a painful memory for Tim who goes to visit his Uncle George.</x:v>
      </x:c>
      <x:c r="P384" s="53" t="str">
        <x:v>Direct crossover with Law &amp; Order; Munch bridge to SVU</x:v>
      </x:c>
      <x:c r="Q384" s="17" t="str">
        <x:v>320050</x:v>
      </x:c>
      <x:c r="R384" s="17" t="str">
        <x:v>tt0604360</x:v>
      </x:c>
      <x:c r="S384" s="17" t="str">
        <x:v>252</x:v>
      </x:c>
    </x:row>
    <x:row r="385">
      <x:c r="A385" s="43" t="n">
        <x:v>381</x:v>
      </x:c>
      <x:c r="B385" s="44" t="str">
        <x:v>Not Started</x:v>
      </x:c>
      <x:c r="C385" s="45" t="n">
        <x:v>35536</x:v>
      </x:c>
      <x:c r="D385" s="33" t="str">
        <x:v>Law &amp; Order</x:v>
      </x:c>
      <x:c r="E385" s="33" t="str">
        <x:v>Law &amp; Order</x:v>
      </x:c>
      <x:c r="F385" s="33" t="str">
        <x:v>core</x:v>
      </x:c>
      <x:c r="G385" s="50" t="n">
        <x:v>7</x:v>
      </x:c>
      <x:c r="H385" s="50" t="n">
        <x:v>19</x:v>
      </x:c>
      <x:c r="I385" s="44" t="str">
        <x:v>07.19</x:v>
      </x:c>
      <x:c r="J385" s="33" t="str">
        <x:v>Double Down</x:v>
      </x:c>
      <x:c r="K385" s="33" t="str"/>
      <x:c r="L385" s="33" t="str"/>
      <x:c r="M385" s="44" t="str"/>
      <x:c r="N385" s="50" t="n">
        <x:v>47</x:v>
      </x:c>
      <x:c r="O385" s="53" t="str">
        <x:v>The cops' best hope of finding a kidnapped hired car driver alive is one of the armed robbers who grabbed him after a job, but the immunity deal he demands in return would effectively preclude his prosecution for the shooting death of an off-duty cop, placing McCoy in a difficult position as he seeks to placate the cops, who want the guy prosecuted, and the kidnapped man's wife, who wants every avenue of saving her husband explored.</x:v>
      </x:c>
      <x:c r="P385" s="53" t="str">
        <x:v>Core Law &amp; Order franchise</x:v>
      </x:c>
      <x:c r="Q385" s="17" t="str">
        <x:v>34207</x:v>
      </x:c>
      <x:c r="R385" s="17" t="str">
        <x:v>tt0629244</x:v>
      </x:c>
      <x:c r="S385" s="17" t="str">
        <x:v>253</x:v>
      </x:c>
    </x:row>
    <x:row r="386">
      <x:c r="A386" s="43" t="n">
        <x:v>382</x:v>
      </x:c>
      <x:c r="B386" s="44" t="str">
        <x:v>Not Started</x:v>
      </x:c>
      <x:c r="C386" s="45" t="n">
        <x:v>35537</x:v>
      </x:c>
      <x:c r="D386" s="33" t="str">
        <x:v>New York Undercover</x:v>
      </x:c>
      <x:c r="E386" s="33" t="str">
        <x:v>Law &amp; Order</x:v>
      </x:c>
      <x:c r="F386" s="33" t="str">
        <x:v>connected</x:v>
      </x:c>
      <x:c r="G386" s="50" t="n">
        <x:v>3</x:v>
      </x:c>
      <x:c r="H386" s="50" t="n">
        <x:v>20</x:v>
      </x:c>
      <x:c r="I386" s="44" t="str">
        <x:v>03.20</x:v>
      </x:c>
      <x:c r="J386" s="33" t="str">
        <x:v>The Unthinkable</x:v>
      </x:c>
      <x:c r="K386" s="33" t="str"/>
      <x:c r="L386" s="33" t="str"/>
      <x:c r="M386" s="44" t="str"/>
      <x:c r="N386" s="50" t="n">
        <x:v>44</x:v>
      </x:c>
      <x:c r="O386" s="53" t="str">
        <x:v>The detectives suspect a mother of being involved in a carjacking involving her two children.  Nina deals with her custody battle for Melissa.</x:v>
      </x:c>
      <x:c r="P386" s="53" t="str">
        <x:v>Wolf-produced New York police drama; crossover-adjacent to the Law &amp; Order era</x:v>
      </x:c>
      <x:c r="Q386" s="17" t="str">
        <x:v>291058</x:v>
      </x:c>
      <x:c r="R386" s="17" t="str"/>
      <x:c r="S386" s="17" t="str">
        <x:v>254</x:v>
      </x:c>
    </x:row>
    <x:row r="387">
      <x:c r="A387" s="43" t="n">
        <x:v>383</x:v>
      </x:c>
      <x:c r="B387" s="44" t="str">
        <x:v>Not Started</x:v>
      </x:c>
      <x:c r="C387" s="45" t="n">
        <x:v>35544</x:v>
      </x:c>
      <x:c r="D387" s="33" t="str">
        <x:v>New York Undercover</x:v>
      </x:c>
      <x:c r="E387" s="33" t="str">
        <x:v>Law &amp; Order</x:v>
      </x:c>
      <x:c r="F387" s="33" t="str">
        <x:v>connected</x:v>
      </x:c>
      <x:c r="G387" s="50" t="n">
        <x:v>3</x:v>
      </x:c>
      <x:c r="H387" s="50" t="n">
        <x:v>21</x:v>
      </x:c>
      <x:c r="I387" s="44" t="str">
        <x:v>03.21</x:v>
      </x:c>
      <x:c r="J387" s="33" t="str">
        <x:v>Vendetta</x:v>
      </x:c>
      <x:c r="K387" s="33" t="str"/>
      <x:c r="L387" s="33" t="str"/>
      <x:c r="M387" s="44" t="str"/>
      <x:c r="N387" s="50" t="n">
        <x:v>44</x:v>
      </x:c>
      <x:c r="O387" s="53" t="str">
        <x:v>McNamara goes undercover involving a Chinese Mafia that has a link with his father's death.  Torres asks his sister for money to buy an engagement ring for Nina.</x:v>
      </x:c>
      <x:c r="P387" s="53" t="str">
        <x:v>Wolf-produced New York police drama; crossover-adjacent to the Law &amp; Order era</x:v>
      </x:c>
      <x:c r="Q387" s="17" t="str">
        <x:v>291059</x:v>
      </x:c>
      <x:c r="R387" s="17" t="str"/>
      <x:c r="S387" s="17" t="str">
        <x:v>255</x:v>
      </x:c>
    </x:row>
    <x:row r="388">
      <x:c r="A388" s="43" t="n">
        <x:v>384</x:v>
      </x:c>
      <x:c r="B388" s="44" t="str">
        <x:v>Not Started</x:v>
      </x:c>
      <x:c r="C388" s="45" t="n">
        <x:v>35545</x:v>
      </x:c>
      <x:c r="D388" s="33" t="str">
        <x:v>Homicide: Life on the Street</x:v>
      </x:c>
      <x:c r="E388" s="33" t="str">
        <x:v>Law &amp; Order</x:v>
      </x:c>
      <x:c r="F388" s="33" t="str">
        <x:v>connected</x:v>
      </x:c>
      <x:c r="G388" s="50" t="n">
        <x:v>5</x:v>
      </x:c>
      <x:c r="H388" s="50" t="n">
        <x:v>19</x:v>
      </x:c>
      <x:c r="I388" s="44" t="str">
        <x:v>05.19</x:v>
      </x:c>
      <x:c r="J388" s="33" t="str">
        <x:v>Deception</x:v>
      </x:c>
      <x:c r="K388" s="33" t="str"/>
      <x:c r="L388" s="33" t="str"/>
      <x:c r="M388" s="44" t="str"/>
      <x:c r="N388" s="50" t="n">
        <x:v>45</x:v>
      </x:c>
      <x:c r="O388" s="53" t="str">
        <x:v>A man transporting 72 condoms filled with heroin bound for Luther Mahoney is found dead in hotel. The department takes this opportunity to set up ""Operation Get Luther."" The operation almost goes off as planned, except Luther Mahoney gets Lewis' gun and is holding it on him as Kellerman and Stivers enter. Frank and Tim agree to become partners again. Tim stops by to see his uncle. Munch takes a call from a convict who was looking to talk to Bolander. He has information on an old murder case that should be a done deal. That involves the digging up of section C of the parking lot at a racetrack. Munch discovers that the supposed victim is alive; however, he isn't that way for long.</x:v>
      </x:c>
      <x:c r="P388" s="53" t="str">
        <x:v>Direct crossover with Law &amp; Order; Munch bridge to SVU</x:v>
      </x:c>
      <x:c r="Q388" s="17" t="str">
        <x:v>320051</x:v>
      </x:c>
      <x:c r="R388" s="17" t="str">
        <x:v>tt0604357</x:v>
      </x:c>
      <x:c r="S388" s="17" t="str">
        <x:v>256</x:v>
      </x:c>
    </x:row>
    <x:row r="389">
      <x:c r="A389" s="43" t="n">
        <x:v>385</x:v>
      </x:c>
      <x:c r="B389" s="44" t="str">
        <x:v>Not Started</x:v>
      </x:c>
      <x:c r="C389" s="45" t="n">
        <x:v>35550</x:v>
      </x:c>
      <x:c r="D389" s="33" t="str">
        <x:v>Law &amp; Order</x:v>
      </x:c>
      <x:c r="E389" s="33" t="str">
        <x:v>Law &amp; Order</x:v>
      </x:c>
      <x:c r="F389" s="33" t="str">
        <x:v>core</x:v>
      </x:c>
      <x:c r="G389" s="50" t="n">
        <x:v>7</x:v>
      </x:c>
      <x:c r="H389" s="50" t="n">
        <x:v>20</x:v>
      </x:c>
      <x:c r="I389" s="44" t="str">
        <x:v>07.20</x:v>
      </x:c>
      <x:c r="J389" s="33" t="str">
        <x:v>We Like Mike</x:v>
      </x:c>
      <x:c r="K389" s="33" t="str"/>
      <x:c r="L389" s="33" t="str"/>
      <x:c r="M389" s="44" t="str"/>
      <x:c r="N389" s="50" t="n">
        <x:v>47</x:v>
      </x:c>
      <x:c r="O389" s="53" t="str">
        <x:v>A young man who claims to have helped a murdered young man change a flat tire is first the cops' primary suspect, then the prosecutors' chief witness.</x:v>
      </x:c>
      <x:c r="P389" s="53" t="str">
        <x:v>Core Law &amp; Order franchise</x:v>
      </x:c>
      <x:c r="Q389" s="17" t="str">
        <x:v>34208</x:v>
      </x:c>
      <x:c r="R389" s="17" t="str">
        <x:v>tt0629494</x:v>
      </x:c>
      <x:c r="S389" s="17" t="str">
        <x:v>257</x:v>
      </x:c>
    </x:row>
    <x:row r="390">
      <x:c r="A390" s="43" t="n">
        <x:v>386</x:v>
      </x:c>
      <x:c r="B390" s="44" t="str">
        <x:v>Not Started</x:v>
      </x:c>
      <x:c r="C390" s="45" t="n">
        <x:v>35551</x:v>
      </x:c>
      <x:c r="D390" s="33" t="str">
        <x:v>New York Undercover</x:v>
      </x:c>
      <x:c r="E390" s="33" t="str">
        <x:v>Law &amp; Order</x:v>
      </x:c>
      <x:c r="F390" s="33" t="str">
        <x:v>connected</x:v>
      </x:c>
      <x:c r="G390" s="50" t="n">
        <x:v>3</x:v>
      </x:c>
      <x:c r="H390" s="50" t="n">
        <x:v>22</x:v>
      </x:c>
      <x:c r="I390" s="44" t="str">
        <x:v>03.22</x:v>
      </x:c>
      <x:c r="J390" s="33" t="str">
        <x:v>Is It a Crime?</x:v>
      </x:c>
      <x:c r="K390" s="33" t="str"/>
      <x:c r="L390" s="33" t="str"/>
      <x:c r="M390" s="44" t="str"/>
      <x:c r="N390" s="50" t="n">
        <x:v>43</x:v>
      </x:c>
      <x:c r="O390" s="53" t="str">
        <x:v>Williams investigate a case where a girl feel down and elevator shaft in her building.  Torres goes shopping for Nina's engagement ring.</x:v>
      </x:c>
      <x:c r="P390" s="53" t="str">
        <x:v>Wolf-produced New York police drama; crossover-adjacent to the Law &amp; Order era</x:v>
      </x:c>
      <x:c r="Q390" s="17" t="str">
        <x:v>291060</x:v>
      </x:c>
      <x:c r="R390" s="17" t="str"/>
      <x:c r="S390" s="17" t="str">
        <x:v>258</x:v>
      </x:c>
    </x:row>
    <x:row r="391">
      <x:c r="A391" s="43" t="n">
        <x:v>387</x:v>
      </x:c>
      <x:c r="B391" s="44" t="str">
        <x:v>Not Started</x:v>
      </x:c>
      <x:c r="C391" s="45" t="n">
        <x:v>35552</x:v>
      </x:c>
      <x:c r="D391" s="33" t="str">
        <x:v>Homicide: Life on the Street</x:v>
      </x:c>
      <x:c r="E391" s="33" t="str">
        <x:v>Law &amp; Order</x:v>
      </x:c>
      <x:c r="F391" s="33" t="str">
        <x:v>connected</x:v>
      </x:c>
      <x:c r="G391" s="50" t="n">
        <x:v>5</x:v>
      </x:c>
      <x:c r="H391" s="50" t="n">
        <x:v>20</x:v>
      </x:c>
      <x:c r="I391" s="44" t="str">
        <x:v>05.20</x:v>
      </x:c>
      <x:c r="J391" s="33" t="str">
        <x:v>Narcissus</x:v>
      </x:c>
      <x:c r="K391" s="33" t="str"/>
      <x:c r="L391" s="33" t="str"/>
      <x:c r="M391" s="44" t="str"/>
      <x:c r="N391" s="50" t="n">
        <x:v>45</x:v>
      </x:c>
      <x:c r="O391" s="53" t="str">
        <x:v>There is a major police chase after an armed suspect, as he holes himself up in a row house that is the headquarters of ARM (African Revival Movement). The head of that house, a former cop, calls in a favor, high in the police department. Munch and Pembleton try to work the case as Bayliss seems to be missing. Their investigation seems to be thwarted every step of the way. Stivers' has second thoughts about what she saw at the Mahoney shooting. An attempt to serve ""Burundi"" Robinson an arrest warrant breaks out into a war between the police and ARM. Gee goes into the house to confront Robinson and finds out who and what he knows.</x:v>
      </x:c>
      <x:c r="P391" s="53" t="str">
        <x:v>Direct crossover with Law &amp; Order; Munch bridge to SVU</x:v>
      </x:c>
      <x:c r="Q391" s="17" t="str">
        <x:v>320052</x:v>
      </x:c>
      <x:c r="R391" s="17" t="str">
        <x:v>tt0604398</x:v>
      </x:c>
      <x:c r="S391" s="17" t="str">
        <x:v>259</x:v>
      </x:c>
    </x:row>
    <x:row r="392">
      <x:c r="A392" s="43" t="n">
        <x:v>388</x:v>
      </x:c>
      <x:c r="B392" s="44" t="str">
        <x:v>Not Started</x:v>
      </x:c>
      <x:c r="C392" s="45" t="n">
        <x:v>35557</x:v>
      </x:c>
      <x:c r="D392" s="33" t="str">
        <x:v>Law &amp; Order</x:v>
      </x:c>
      <x:c r="E392" s="33" t="str">
        <x:v>Law &amp; Order</x:v>
      </x:c>
      <x:c r="F392" s="33" t="str">
        <x:v>core</x:v>
      </x:c>
      <x:c r="G392" s="50" t="n">
        <x:v>7</x:v>
      </x:c>
      <x:c r="H392" s="50" t="n">
        <x:v>21</x:v>
      </x:c>
      <x:c r="I392" s="44" t="str">
        <x:v>07.21</x:v>
      </x:c>
      <x:c r="J392" s="33" t="str">
        <x:v>Passion</x:v>
      </x:c>
      <x:c r="K392" s="33" t="str"/>
      <x:c r="L392" s="33" t="str"/>
      <x:c r="M392" s="44" t="str"/>
      <x:c r="N392" s="50" t="n">
        <x:v>47</x:v>
      </x:c>
      <x:c r="O392" s="53" t="str">
        <x:v>Briscoe and Curtis investigate the death of a pretty young book editor who was reputedly having an affair with one of her authors, and find themselves focusing on the author's long time companion, who steadfastly denies there was anything wrong with their relationship.</x:v>
      </x:c>
      <x:c r="P392" s="53" t="str">
        <x:v>Core Law &amp; Order franchise</x:v>
      </x:c>
      <x:c r="Q392" s="17" t="str">
        <x:v>34209</x:v>
      </x:c>
      <x:c r="R392" s="17" t="str">
        <x:v>tt0629367</x:v>
      </x:c>
      <x:c r="S392" s="17" t="str">
        <x:v>260</x:v>
      </x:c>
    </x:row>
    <x:row r="393">
      <x:c r="A393" s="43" t="n">
        <x:v>389</x:v>
      </x:c>
      <x:c r="B393" s="44" t="str">
        <x:v>Not Started</x:v>
      </x:c>
      <x:c r="C393" s="45" t="n">
        <x:v>35558</x:v>
      </x:c>
      <x:c r="D393" s="33" t="str">
        <x:v>New York Undercover</x:v>
      </x:c>
      <x:c r="E393" s="33" t="str">
        <x:v>Law &amp; Order</x:v>
      </x:c>
      <x:c r="F393" s="33" t="str">
        <x:v>connected</x:v>
      </x:c>
      <x:c r="G393" s="50" t="n">
        <x:v>3</x:v>
      </x:c>
      <x:c r="H393" s="50" t="n">
        <x:v>23</x:v>
      </x:c>
      <x:c r="I393" s="44" t="str">
        <x:v>03.23</x:v>
      </x:c>
      <x:c r="J393" s="33" t="str">
        <x:v>No Place Like Hell</x:v>
      </x:c>
      <x:c r="K393" s="33" t="str"/>
      <x:c r="L393" s="33" t="str"/>
      <x:c r="M393" s="44" t="str"/>
      <x:c r="N393" s="50" t="n">
        <x:v>44</x:v>
      </x:c>
      <x:c r="O393" s="53" t="str">
        <x:v>Willias go undercover at a prison to find evidence that will catch a drug lord.  William's new friend in prison becomes involved in a murder.  Torres purposes to Nina.</x:v>
      </x:c>
      <x:c r="P393" s="53" t="str">
        <x:v>Wolf-produced New York police drama; crossover-adjacent to the Law &amp; Order era</x:v>
      </x:c>
      <x:c r="Q393" s="17" t="str">
        <x:v>291061</x:v>
      </x:c>
      <x:c r="R393" s="17" t="str"/>
      <x:c r="S393" s="17" t="str">
        <x:v>261</x:v>
      </x:c>
    </x:row>
    <x:row r="394">
      <x:c r="A394" s="43" t="n">
        <x:v>390</x:v>
      </x:c>
      <x:c r="B394" s="44" t="str">
        <x:v>Not Started</x:v>
      </x:c>
      <x:c r="C394" s="45" t="n">
        <x:v>35559</x:v>
      </x:c>
      <x:c r="D394" s="33" t="str">
        <x:v>Homicide: Life on the Street</x:v>
      </x:c>
      <x:c r="E394" s="33" t="str">
        <x:v>Law &amp; Order</x:v>
      </x:c>
      <x:c r="F394" s="33" t="str">
        <x:v>connected</x:v>
      </x:c>
      <x:c r="G394" s="50" t="n">
        <x:v>5</x:v>
      </x:c>
      <x:c r="H394" s="50" t="n">
        <x:v>21</x:v>
      </x:c>
      <x:c r="I394" s="44" t="str">
        <x:v>05.21</x:v>
      </x:c>
      <x:c r="J394" s="33" t="str">
        <x:v>Partners and Other Strangers (1)</x:v>
      </x:c>
      <x:c r="K394" s="33" t="str"/>
      <x:c r="L394" s="33" t="str"/>
      <x:c r="M394" s="44" t="str"/>
      <x:c r="N394" s="50" t="n">
        <x:v>45</x:v>
      </x:c>
      <x:c r="O394" s="53" t="str">
        <x:v>Bayliss has disappeared again as Pembleton and Brodie make their way to the scene of a shotgun suicide. The victim appears to be Beau Felton. Gee's letter, including information gained in the ""Burundi"" case, begins to make an impact at the highest levels of the department. Frank returns to the department with the news about his case. Lewis goes off, wondering who is going to be next. Det. Falsone comes to the squad with news about why he thinks Beau Felton killed himself. Lewis and Stivers discuss the Mahoney shooting. Cox finds something interesting about the Felton case; she digs in deeper and the results change the case to a murder. Bayliss turns up the next day and disappears again to his Uncle George's place. Pembleton and Howard try to work with Falsone to find Beau's killer. Gee finds out that Beau had been working undercover for the past six months on the Cantwell auto-theft ring. Megan Russert returns from France.</x:v>
      </x:c>
      <x:c r="P394" s="53" t="str">
        <x:v>Direct crossover with Law &amp; Order; Munch bridge to SVU</x:v>
      </x:c>
      <x:c r="Q394" s="17" t="str">
        <x:v>320053</x:v>
      </x:c>
      <x:c r="R394" s="17" t="str">
        <x:v>tt0604402</x:v>
      </x:c>
      <x:c r="S394" s="17" t="str">
        <x:v>262</x:v>
      </x:c>
    </x:row>
    <x:row r="395">
      <x:c r="A395" s="43" t="n">
        <x:v>391</x:v>
      </x:c>
      <x:c r="B395" s="44" t="str">
        <x:v>Not Started</x:v>
      </x:c>
      <x:c r="C395" s="45" t="n">
        <x:v>35564</x:v>
      </x:c>
      <x:c r="D395" s="33" t="str">
        <x:v>Law &amp; Order</x:v>
      </x:c>
      <x:c r="E395" s="33" t="str">
        <x:v>Law &amp; Order</x:v>
      </x:c>
      <x:c r="F395" s="33" t="str">
        <x:v>core</x:v>
      </x:c>
      <x:c r="G395" s="50" t="n">
        <x:v>7</x:v>
      </x:c>
      <x:c r="H395" s="50" t="n">
        <x:v>22</x:v>
      </x:c>
      <x:c r="I395" s="44" t="str">
        <x:v>07.22</x:v>
      </x:c>
      <x:c r="J395" s="33" t="str">
        <x:v>Past Imperfect</x:v>
      </x:c>
      <x:c r="K395" s="33" t="str"/>
      <x:c r="L395" s="33" t="str"/>
      <x:c r="M395" s="44" t="str"/>
      <x:c r="N395" s="50" t="n">
        <x:v>47</x:v>
      </x:c>
      <x:c r="O395" s="53" t="str">
        <x:v>The cops have a definite clue when a bloodstain that's not the same as the victim reveals that the killer was a blood relative, and the prosecutors stumble when their chief suspect claims their chief witness is her lawyer, and his knowledge of the crime represents privileged communications.</x:v>
      </x:c>
      <x:c r="P395" s="53" t="str">
        <x:v>Core Law &amp; Order franchise</x:v>
      </x:c>
      <x:c r="Q395" s="17" t="str">
        <x:v>34210</x:v>
      </x:c>
      <x:c r="R395" s="17" t="str">
        <x:v>tt0629368</x:v>
      </x:c>
      <x:c r="S395" s="17" t="str">
        <x:v>263</x:v>
      </x:c>
    </x:row>
    <x:row r="396">
      <x:c r="A396" s="43" t="n">
        <x:v>392</x:v>
      </x:c>
      <x:c r="B396" s="44" t="str">
        <x:v>Not Started</x:v>
      </x:c>
      <x:c r="C396" s="45" t="n">
        <x:v>35565</x:v>
      </x:c>
      <x:c r="D396" s="33" t="str">
        <x:v>New York Undercover</x:v>
      </x:c>
      <x:c r="E396" s="33" t="str">
        <x:v>Law &amp; Order</x:v>
      </x:c>
      <x:c r="F396" s="33" t="str">
        <x:v>connected</x:v>
      </x:c>
      <x:c r="G396" s="50" t="n">
        <x:v>3</x:v>
      </x:c>
      <x:c r="H396" s="50" t="n">
        <x:v>24</x:v>
      </x:c>
      <x:c r="I396" s="44" t="str">
        <x:v>03.24</x:v>
      </x:c>
      <x:c r="J396" s="33" t="str">
        <x:v>The Last Hurrah</x:v>
      </x:c>
      <x:c r="K396" s="33" t="str"/>
      <x:c r="L396" s="33" t="str"/>
      <x:c r="M396" s="44" t="str"/>
      <x:c r="N396" s="50" t="n">
        <x:v>44</x:v>
      </x:c>
      <x:c r="O396" s="53" t="str">
        <x:v>The detectives go after a bank robbery ring. Torres and Nina get married.</x:v>
      </x:c>
      <x:c r="P396" s="53" t="str">
        <x:v>Wolf-produced New York police drama; crossover-adjacent to the Law &amp; Order era</x:v>
      </x:c>
      <x:c r="Q396" s="17" t="str">
        <x:v>291062</x:v>
      </x:c>
      <x:c r="R396" s="17" t="str"/>
      <x:c r="S396" s="17" t="str">
        <x:v>264</x:v>
      </x:c>
    </x:row>
    <x:row r="397">
      <x:c r="A397" s="43" t="n">
        <x:v>393</x:v>
      </x:c>
      <x:c r="B397" s="44" t="str">
        <x:v>Not Started</x:v>
      </x:c>
      <x:c r="C397" s="45" t="n">
        <x:v>35566</x:v>
      </x:c>
      <x:c r="D397" s="33" t="str">
        <x:v>Homicide: Life on the Street</x:v>
      </x:c>
      <x:c r="E397" s="33" t="str">
        <x:v>Law &amp; Order</x:v>
      </x:c>
      <x:c r="F397" s="33" t="str">
        <x:v>connected</x:v>
      </x:c>
      <x:c r="G397" s="50" t="n">
        <x:v>5</x:v>
      </x:c>
      <x:c r="H397" s="50" t="n">
        <x:v>22</x:v>
      </x:c>
      <x:c r="I397" s="44" t="str">
        <x:v>05.22</x:v>
      </x:c>
      <x:c r="J397" s="33" t="str">
        <x:v>Strangers and Other Partners (2)</x:v>
      </x:c>
      <x:c r="K397" s="33" t="str"/>
      <x:c r="L397" s="33" t="str"/>
      <x:c r="M397" s="44" t="str"/>
      <x:c r="N397" s="50" t="n">
        <x:v>45</x:v>
      </x:c>
      <x:c r="O397" s="53" t="str">
        <x:v>Mike and Julianna wake up the morning after a night of drinking and passion. The investigation into Beau's death continues; Howard wants to be the primary while Frank tries to maintain control. Gee asks her to step aside and let him do the job with a more unbiased approach. The investigation creates some unlikely pairings: Pembleton with Gharty and Bayliss with Falsone and Munch on his own. Meanwhile, Howard and Russert make arrangements for Beau's funeral. Lewis and Kellerman's investigation into a homicide is stalled; when Kellerman's hangover laden police work is shoddy. When it appears as thought the investigation is going nowhere; Kay demands to be put on the case. Gee refuses. Because of his bad day and finding Julianna drinking with someone at the Waterfront Bar, Kellerman suggests that they should stop drinking. Frank tries to call Mary; eventually they connect and reconcile; with Frank saying that he is willing to give it all up. They find out who killed Beau, but when they go</x:v>
      </x:c>
      <x:c r="P397" s="53" t="str">
        <x:v>Direct crossover with Law &amp; Order; Munch bridge to SVU</x:v>
      </x:c>
      <x:c r="Q397" s="17" t="str">
        <x:v>320054</x:v>
      </x:c>
      <x:c r="R397" s="17" t="str">
        <x:v>tt0604423</x:v>
      </x:c>
      <x:c r="S397" s="17" t="str">
        <x:v>265</x:v>
      </x:c>
    </x:row>
    <x:row r="398">
      <x:c r="A398" s="43" t="n">
        <x:v>394</x:v>
      </x:c>
      <x:c r="B398" s="44" t="str">
        <x:v>Not Started</x:v>
      </x:c>
      <x:c r="C398" s="45" t="n">
        <x:v>35571</x:v>
      </x:c>
      <x:c r="D398" s="33" t="str">
        <x:v>Law &amp; Order</x:v>
      </x:c>
      <x:c r="E398" s="33" t="str">
        <x:v>Law &amp; Order</x:v>
      </x:c>
      <x:c r="F398" s="33" t="str">
        <x:v>core</x:v>
      </x:c>
      <x:c r="G398" s="50" t="n">
        <x:v>7</x:v>
      </x:c>
      <x:c r="H398" s="50" t="n">
        <x:v>23</x:v>
      </x:c>
      <x:c r="I398" s="44" t="str">
        <x:v>07.23</x:v>
      </x:c>
      <x:c r="J398" s="33" t="str">
        <x:v>Terminal</x:v>
      </x:c>
      <x:c r="K398" s="33" t="str"/>
      <x:c r="L398" s="33" t="str"/>
      <x:c r="M398" s="44" t="str"/>
      <x:c r="N398" s="50" t="n">
        <x:v>47</x:v>
      </x:c>
      <x:c r="O398" s="53" t="str">
        <x:v>The cops uncover a man with a secret second life as they try to learn who opened fire on a group of people disembarking from a party cruise, but his guilt or innocence becomes almost a second thought as Schiff goes toe to toe with the governor and the States Attorney General over the decision to seek the death penalty.</x:v>
      </x:c>
      <x:c r="P398" s="53" t="str">
        <x:v>Core Law &amp; Order franchise</x:v>
      </x:c>
      <x:c r="Q398" s="17" t="str">
        <x:v>34211</x:v>
      </x:c>
      <x:c r="R398" s="17" t="str">
        <x:v>tt0629450</x:v>
      </x:c>
      <x:c r="S398" s="17" t="str">
        <x:v>266</x:v>
      </x:c>
    </x:row>
    <x:row r="399">
      <x:c r="A399" s="43" t="n">
        <x:v>395</x:v>
      </x:c>
      <x:c r="B399" s="44" t="str">
        <x:v>Not Started</x:v>
      </x:c>
      <x:c r="C399" s="45" t="n">
        <x:v>35697</x:v>
      </x:c>
      <x:c r="D399" s="33" t="str">
        <x:v>Law &amp; Order</x:v>
      </x:c>
      <x:c r="E399" s="33" t="str">
        <x:v>Law &amp; Order</x:v>
      </x:c>
      <x:c r="F399" s="33" t="str">
        <x:v>core</x:v>
      </x:c>
      <x:c r="G399" s="50" t="n">
        <x:v>8</x:v>
      </x:c>
      <x:c r="H399" s="50" t="n">
        <x:v>1</x:v>
      </x:c>
      <x:c r="I399" s="44" t="str">
        <x:v>08.01</x:v>
      </x:c>
      <x:c r="J399" s="33" t="str">
        <x:v>Thrill</x:v>
      </x:c>
      <x:c r="K399" s="33" t="str"/>
      <x:c r="L399" s="33" t="str"/>
      <x:c r="M399" s="44" t="str"/>
      <x:c r="N399" s="50" t="n">
        <x:v>47</x:v>
      </x:c>
      <x:c r="O399" s="53" t="str">
        <x:v>The cops break the seemingly random murder of a pizza delivery guy with a little ""undercover"" work in the park, but McCoy and Ross face a harder battle to get a conviction when the two defendants resolutely point the finger at each other, and the one item identifying the actual killer is the recording of a confession-made to a priest.</x:v>
      </x:c>
      <x:c r="P399" s="53" t="str">
        <x:v>Core Law &amp; Order franchise</x:v>
      </x:c>
      <x:c r="Q399" s="17" t="str">
        <x:v>34212</x:v>
      </x:c>
      <x:c r="R399" s="17" t="str">
        <x:v>tt0629471</x:v>
      </x:c>
      <x:c r="S399" s="17" t="str">
        <x:v>267</x:v>
      </x:c>
    </x:row>
    <x:row r="400">
      <x:c r="A400" s="43" t="n">
        <x:v>396</x:v>
      </x:c>
      <x:c r="B400" s="44" t="str">
        <x:v>Not Started</x:v>
      </x:c>
      <x:c r="C400" s="45" t="n">
        <x:v>35711</x:v>
      </x:c>
      <x:c r="D400" s="33" t="str">
        <x:v>Law &amp; Order</x:v>
      </x:c>
      <x:c r="E400" s="33" t="str">
        <x:v>Law &amp; Order</x:v>
      </x:c>
      <x:c r="F400" s="33" t="str">
        <x:v>core</x:v>
      </x:c>
      <x:c r="G400" s="50" t="n">
        <x:v>8</x:v>
      </x:c>
      <x:c r="H400" s="50" t="n">
        <x:v>2</x:v>
      </x:c>
      <x:c r="I400" s="44" t="str">
        <x:v>08.02</x:v>
      </x:c>
      <x:c r="J400" s="33" t="str">
        <x:v>Denial</x:v>
      </x:c>
      <x:c r="K400" s="33" t="str"/>
      <x:c r="L400" s="33" t="str"/>
      <x:c r="M400" s="44" t="str"/>
      <x:c r="N400" s="50" t="n">
        <x:v>47</x:v>
      </x:c>
      <x:c r="O400" s="53" t="str">
        <x:v>Bloody sheets and an apparently stolen credit card lead Briscoe and Curtis to a pair of college age lovers who present McCoy and Ross with a united front of denial that one of them killed their newborn son and disposed of the body.</x:v>
      </x:c>
      <x:c r="P400" s="53" t="str">
        <x:v>Core Law &amp; Order franchise</x:v>
      </x:c>
      <x:c r="Q400" s="17" t="str">
        <x:v>34213</x:v>
      </x:c>
      <x:c r="R400" s="17" t="str">
        <x:v>tt0629236</x:v>
      </x:c>
      <x:c r="S400" s="17" t="str">
        <x:v>268</x:v>
      </x:c>
    </x:row>
    <x:row r="401">
      <x:c r="A401" s="43" t="n">
        <x:v>397</x:v>
      </x:c>
      <x:c r="B401" s="44" t="str">
        <x:v>Not Started</x:v>
      </x:c>
      <x:c r="C401" s="45" t="n">
        <x:v>35718</x:v>
      </x:c>
      <x:c r="D401" s="33" t="str">
        <x:v>Law &amp; Order</x:v>
      </x:c>
      <x:c r="E401" s="33" t="str">
        <x:v>Law &amp; Order</x:v>
      </x:c>
      <x:c r="F401" s="33" t="str">
        <x:v>core</x:v>
      </x:c>
      <x:c r="G401" s="50" t="n">
        <x:v>8</x:v>
      </x:c>
      <x:c r="H401" s="50" t="n">
        <x:v>3</x:v>
      </x:c>
      <x:c r="I401" s="44" t="str">
        <x:v>08.03</x:v>
      </x:c>
      <x:c r="J401" s="33" t="str">
        <x:v>Navy Blues</x:v>
      </x:c>
      <x:c r="K401" s="33" t="str"/>
      <x:c r="L401" s="33" t="str"/>
      <x:c r="M401" s="44" t="str"/>
      <x:c r="N401" s="50" t="n">
        <x:v>46</x:v>
      </x:c>
      <x:c r="O401" s="53" t="str">
        <x:v>McCoy finds himself battling the Navy and the office of the Judge Advocate General as he tries to prosecute a female pilot accused of murdering her married lover after he tried to break off with her.</x:v>
      </x:c>
      <x:c r="P401" s="53" t="str">
        <x:v>Core Law &amp; Order franchise</x:v>
      </x:c>
      <x:c r="Q401" s="17" t="str">
        <x:v>34214</x:v>
      </x:c>
      <x:c r="R401" s="17" t="str">
        <x:v>tt0629352</x:v>
      </x:c>
      <x:c r="S401" s="17" t="str">
        <x:v>269</x:v>
      </x:c>
    </x:row>
    <x:row r="402">
      <x:c r="A402" s="43" t="n">
        <x:v>398</x:v>
      </x:c>
      <x:c r="B402" s="44" t="str">
        <x:v>Not Started</x:v>
      </x:c>
      <x:c r="C402" s="45" t="n">
        <x:v>35720</x:v>
      </x:c>
      <x:c r="D402" s="33" t="str">
        <x:v>Players</x:v>
      </x:c>
      <x:c r="E402" s="33" t="str">
        <x:v>Crossover Adjacent</x:v>
      </x:c>
      <x:c r="F402" s="33" t="str">
        <x:v>complete</x:v>
      </x:c>
      <x:c r="G402" s="50" t="n">
        <x:v>1</x:v>
      </x:c>
      <x:c r="H402" s="50" t="n">
        <x:v>1</x:v>
      </x:c>
      <x:c r="I402" s="44" t="str">
        <x:v>01.01</x:v>
      </x:c>
      <x:c r="J402" s="33" t="str">
        <x:v>Con Job</x:v>
      </x:c>
      <x:c r="K402" s="33" t="str"/>
      <x:c r="L402" s="33" t="str"/>
      <x:c r="M402" s="44" t="str"/>
      <x:c r="N402" s="50" t="n">
        <x:v>60</x:v>
      </x:c>
      <x:c r="O402" s="53" t="str"/>
      <x:c r="P402" s="53" t="str">
        <x:v>Dick Wolf crime drama</x:v>
      </x:c>
      <x:c r="Q402" s="17" t="str">
        <x:v>1617913</x:v>
      </x:c>
      <x:c r="R402" s="17" t="str"/>
      <x:c r="S402" s="17" t="str"/>
    </x:row>
    <x:row r="403">
      <x:c r="A403" s="43" t="n">
        <x:v>399</x:v>
      </x:c>
      <x:c r="B403" s="44" t="str">
        <x:v>Not Started</x:v>
      </x:c>
      <x:c r="C403" s="45" t="n">
        <x:v>35720</x:v>
      </x:c>
      <x:c r="D403" s="33" t="str">
        <x:v>Homicide: Life on the Street</x:v>
      </x:c>
      <x:c r="E403" s="33" t="str">
        <x:v>Law &amp; Order</x:v>
      </x:c>
      <x:c r="F403" s="33" t="str">
        <x:v>connected</x:v>
      </x:c>
      <x:c r="G403" s="50" t="n">
        <x:v>6</x:v>
      </x:c>
      <x:c r="H403" s="50" t="n">
        <x:v>1</x:v>
      </x:c>
      <x:c r="I403" s="44" t="str">
        <x:v>06.01</x:v>
      </x:c>
      <x:c r="J403" s="33" t="str">
        <x:v>Blood Ties (1)</x:v>
      </x:c>
      <x:c r="K403" s="33" t="str"/>
      <x:c r="L403" s="33" t="str"/>
      <x:c r="M403" s="44" t="str"/>
      <x:c r="N403" s="50" t="n">
        <x:v>45</x:v>
      </x:c>
      <x:c r="O403" s="53" t="str">
        <x:v>Their rotation in robbery is up, Frank and Tim return to the homicide unit. They find that citations are being handed out to the unit and a delighted Gee, whose clearance rate is the highest it has been in five years. Kellerman and Lewis are also scheduled to return. Howard is still on assignment with the fugitive squad. Additions to the unit through rotated assignment include Det. Ballard who actually comes from a Seattle homicide unit, Det. Falsone and Det. Gharty. Falsone and Gharty worked with the unit on the Felton case last spring; however, nothing is mentioned about the status of that case. (Sharp-eyed viewers note that Felton's name is still in red under Pembleton's name on the board.) Meanwhile, Gee attends a black tie function honoring Felix Wilson, a respected member of the community. Because he grew up with them, Gee sits at a table with Felix, his wife and their family. Everyone attending the function at the hotel is kept late because the body of a woman is found dead in t</x:v>
      </x:c>
      <x:c r="P403" s="53" t="str">
        <x:v>Direct crossover with Law &amp; Order; Munch bridge to SVU</x:v>
      </x:c>
      <x:c r="Q403" s="17" t="str">
        <x:v>320055</x:v>
      </x:c>
      <x:c r="R403" s="17" t="str">
        <x:v>tt0604344</x:v>
      </x:c>
      <x:c r="S403" s="17" t="str">
        <x:v>270</x:v>
      </x:c>
    </x:row>
    <x:row r="404">
      <x:c r="A404" s="43" t="n">
        <x:v>400</x:v>
      </x:c>
      <x:c r="B404" s="44" t="str">
        <x:v>Not Started</x:v>
      </x:c>
      <x:c r="C404" s="45" t="n">
        <x:v>35727</x:v>
      </x:c>
      <x:c r="D404" s="33" t="str">
        <x:v>Players</x:v>
      </x:c>
      <x:c r="E404" s="33" t="str">
        <x:v>Crossover Adjacent</x:v>
      </x:c>
      <x:c r="F404" s="33" t="str">
        <x:v>complete</x:v>
      </x:c>
      <x:c r="G404" s="50" t="n">
        <x:v>1</x:v>
      </x:c>
      <x:c r="H404" s="50" t="n">
        <x:v>2</x:v>
      </x:c>
      <x:c r="I404" s="44" t="str">
        <x:v>01.02</x:v>
      </x:c>
      <x:c r="J404" s="33" t="str">
        <x:v>Con Law</x:v>
      </x:c>
      <x:c r="K404" s="33" t="str"/>
      <x:c r="L404" s="33" t="str"/>
      <x:c r="M404" s="44" t="str"/>
      <x:c r="N404" s="50" t="n">
        <x:v>60</x:v>
      </x:c>
      <x:c r="O404" s="53" t="str"/>
      <x:c r="P404" s="53" t="str">
        <x:v>Dick Wolf crime drama</x:v>
      </x:c>
      <x:c r="Q404" s="17" t="str">
        <x:v>1617917</x:v>
      </x:c>
      <x:c r="R404" s="17" t="str"/>
      <x:c r="S404" s="17" t="str"/>
    </x:row>
    <x:row r="405">
      <x:c r="A405" s="43" t="n">
        <x:v>401</x:v>
      </x:c>
      <x:c r="B405" s="44" t="str">
        <x:v>Not Started</x:v>
      </x:c>
      <x:c r="C405" s="45" t="n">
        <x:v>35727</x:v>
      </x:c>
      <x:c r="D405" s="33" t="str">
        <x:v>Homicide: Life on the Street</x:v>
      </x:c>
      <x:c r="E405" s="33" t="str">
        <x:v>Law &amp; Order</x:v>
      </x:c>
      <x:c r="F405" s="33" t="str">
        <x:v>connected</x:v>
      </x:c>
      <x:c r="G405" s="50" t="n">
        <x:v>6</x:v>
      </x:c>
      <x:c r="H405" s="50" t="n">
        <x:v>2</x:v>
      </x:c>
      <x:c r="I405" s="44" t="str">
        <x:v>06.02</x:v>
      </x:c>
      <x:c r="J405" s="33" t="str">
        <x:v>Blood Ties (2)</x:v>
      </x:c>
      <x:c r="K405" s="33" t="str"/>
      <x:c r="L405" s="33" t="str"/>
      <x:c r="M405" s="44" t="str"/>
      <x:c r="N405" s="50" t="n">
        <x:v>45</x:v>
      </x:c>
      <x:c r="O405" s="53" t="str">
        <x:v>While Pembleton is still interested in the housekeeper's ex-boyfriend, Ballard still thinks that the Wilson family needs to be looked at more closely. Also, a body is found at Camden Yards during a game between the Orioles and the A's. Falsone questions Stivers about the Mahoney shooting and that begins to make her nervous. Tensions mount because there appears to be a leak to the press within the unit about the Wilson case. Orioles' security wants the case quickly resolved. Munch and Kellerman have only 48,000 possible suspects. The victim is discovered to be a dead Yankees fan. Tim gets his old high school French teacher to help them check out the whereabouts of the housekeeper's ex-boyfriend. He is cleared because of his current incarceration in a Haitian prison, which leaves the Wilson men as more probable suspects. Are Gee and Pembleton protecting Felix Wilson because he is a prominent businessman in predominately black Baltimore, as outsider Ballard suggests? Munch and Kellerman g</x:v>
      </x:c>
      <x:c r="P405" s="53" t="str">
        <x:v>Direct crossover with Law &amp; Order; Munch bridge to SVU</x:v>
      </x:c>
      <x:c r="Q405" s="17" t="str">
        <x:v>320056</x:v>
      </x:c>
      <x:c r="R405" s="17" t="str">
        <x:v>tt0604345</x:v>
      </x:c>
      <x:c r="S405" s="17" t="str">
        <x:v>271</x:v>
      </x:c>
    </x:row>
    <x:row r="406">
      <x:c r="A406" s="43" t="n">
        <x:v>402</x:v>
      </x:c>
      <x:c r="B406" s="44" t="str">
        <x:v>Not Started</x:v>
      </x:c>
      <x:c r="C406" s="45" t="n">
        <x:v>35732</x:v>
      </x:c>
      <x:c r="D406" s="33" t="str">
        <x:v>Law &amp; Order</x:v>
      </x:c>
      <x:c r="E406" s="33" t="str">
        <x:v>Law &amp; Order</x:v>
      </x:c>
      <x:c r="F406" s="33" t="str">
        <x:v>core</x:v>
      </x:c>
      <x:c r="G406" s="50" t="n">
        <x:v>8</x:v>
      </x:c>
      <x:c r="H406" s="50" t="n">
        <x:v>4</x:v>
      </x:c>
      <x:c r="I406" s="44" t="str">
        <x:v>08.04</x:v>
      </x:c>
      <x:c r="J406" s="33" t="str">
        <x:v>Harvest</x:v>
      </x:c>
      <x:c r="K406" s="33" t="str"/>
      <x:c r="L406" s="33" t="str"/>
      <x:c r="M406" s="44" t="str"/>
      <x:c r="N406" s="50" t="n">
        <x:v>47</x:v>
      </x:c>
      <x:c r="O406" s="53" t="str">
        <x:v>A discrepancy concerning the time of death of a drive-by shooting victim leads McCoy and Ross to initiate prosecutions against both the shooter and the doctor who harvested her organs as transplant donations.</x:v>
      </x:c>
      <x:c r="P406" s="53" t="str">
        <x:v>Core Law &amp; Order franchise</x:v>
      </x:c>
      <x:c r="Q406" s="17" t="str">
        <x:v>34215</x:v>
      </x:c>
      <x:c r="R406" s="17" t="str">
        <x:v>tt0629290</x:v>
      </x:c>
      <x:c r="S406" s="17" t="str">
        <x:v>272</x:v>
      </x:c>
    </x:row>
    <x:row r="407">
      <x:c r="A407" s="43" t="n">
        <x:v>403</x:v>
      </x:c>
      <x:c r="B407" s="44" t="str">
        <x:v>Not Started</x:v>
      </x:c>
      <x:c r="C407" s="45" t="n">
        <x:v>35734</x:v>
      </x:c>
      <x:c r="D407" s="33" t="str">
        <x:v>Players</x:v>
      </x:c>
      <x:c r="E407" s="33" t="str">
        <x:v>Crossover Adjacent</x:v>
      </x:c>
      <x:c r="F407" s="33" t="str">
        <x:v>complete</x:v>
      </x:c>
      <x:c r="G407" s="50" t="n">
        <x:v>1</x:v>
      </x:c>
      <x:c r="H407" s="50" t="n">
        <x:v>3</x:v>
      </x:c>
      <x:c r="I407" s="44" t="str">
        <x:v>01.03</x:v>
      </x:c>
      <x:c r="J407" s="33" t="str">
        <x:v>In Concert</x:v>
      </x:c>
      <x:c r="K407" s="33" t="str"/>
      <x:c r="L407" s="33" t="str"/>
      <x:c r="M407" s="44" t="str"/>
      <x:c r="N407" s="50" t="n">
        <x:v>60</x:v>
      </x:c>
      <x:c r="O407" s="53" t="str"/>
      <x:c r="P407" s="53" t="str">
        <x:v>Dick Wolf crime drama</x:v>
      </x:c>
      <x:c r="Q407" s="17" t="str">
        <x:v>1617920</x:v>
      </x:c>
      <x:c r="R407" s="17" t="str"/>
      <x:c r="S407" s="17" t="str"/>
    </x:row>
    <x:row r="408">
      <x:c r="A408" s="43" t="n">
        <x:v>404</x:v>
      </x:c>
      <x:c r="B408" s="44" t="str">
        <x:v>Not Started</x:v>
      </x:c>
      <x:c r="C408" s="45" t="n">
        <x:v>35734</x:v>
      </x:c>
      <x:c r="D408" s="33" t="str">
        <x:v>Homicide: Life on the Street</x:v>
      </x:c>
      <x:c r="E408" s="33" t="str">
        <x:v>Law &amp; Order</x:v>
      </x:c>
      <x:c r="F408" s="33" t="str">
        <x:v>connected</x:v>
      </x:c>
      <x:c r="G408" s="50" t="n">
        <x:v>6</x:v>
      </x:c>
      <x:c r="H408" s="50" t="n">
        <x:v>3</x:v>
      </x:c>
      <x:c r="I408" s="44" t="str">
        <x:v>06.03</x:v>
      </x:c>
      <x:c r="J408" s="33" t="str">
        <x:v>Blood Ties (3)</x:v>
      </x:c>
      <x:c r="K408" s="33" t="str"/>
      <x:c r="L408" s="33" t="str"/>
      <x:c r="M408" s="44" t="str"/>
      <x:c r="N408" s="50" t="n">
        <x:v>45</x:v>
      </x:c>
      <x:c r="O408" s="53" t="str">
        <x:v>The Wilsons go on television to offer a reward. The newspapers are making the Homicide unit look bad and Barnfather wants quick resolution to the case. The man (and his wife) who gave up Junior Bunk are murdered; Falsone and Lewis investigate. The only survivor, their young son, is brought in to find out what he remembers. His memories-- and a recorded phone message-- lead Stivers to believe a former member of the Narcotics unit is involved. The officer cops to a deal that implicates Georgia Rae Mahoney, though Giardella doesn't want to pursue that yet. Falsone's questioning of the Mahoney shooting leads Cox to doubt her actions at the time of the investigation. Incriminating evidence leads the detectives to Hal Wilson being their prime suspect. Frank goes to interview Felix and Hal Wilson; son and father confront some long-standing issues. Hal's confession is inadmissible in court, the Wilsons leave the Baltimore area, and the case remains officially open.</x:v>
      </x:c>
      <x:c r="P408" s="53" t="str">
        <x:v>Direct crossover with Law &amp; Order; Munch bridge to SVU</x:v>
      </x:c>
      <x:c r="Q408" s="17" t="str">
        <x:v>320057</x:v>
      </x:c>
      <x:c r="R408" s="17" t="str">
        <x:v>tt0604346</x:v>
      </x:c>
      <x:c r="S408" s="17" t="str">
        <x:v>273</x:v>
      </x:c>
    </x:row>
    <x:row r="409">
      <x:c r="A409" s="43" t="n">
        <x:v>405</x:v>
      </x:c>
      <x:c r="B409" s="44" t="str">
        <x:v>Not Started</x:v>
      </x:c>
      <x:c r="C409" s="45" t="n">
        <x:v>35739</x:v>
      </x:c>
      <x:c r="D409" s="33" t="str">
        <x:v>Law &amp; Order</x:v>
      </x:c>
      <x:c r="E409" s="33" t="str">
        <x:v>Law &amp; Order</x:v>
      </x:c>
      <x:c r="F409" s="33" t="str">
        <x:v>core</x:v>
      </x:c>
      <x:c r="G409" s="50" t="n">
        <x:v>8</x:v>
      </x:c>
      <x:c r="H409" s="50" t="n">
        <x:v>5</x:v>
      </x:c>
      <x:c r="I409" s="44" t="str">
        <x:v>08.05</x:v>
      </x:c>
      <x:c r="J409" s="33" t="str">
        <x:v>Nullification</x:v>
      </x:c>
      <x:c r="K409" s="33" t="str"/>
      <x:c r="L409" s="33" t="str"/>
      <x:c r="M409" s="44" t="str"/>
      <x:c r="N409" s="50" t="n">
        <x:v>47</x:v>
      </x:c>
      <x:c r="O409" s="53" t="str">
        <x:v>After the cops trace an eagle tattoo on a man shot and killed while holding up an armored truck to a group of militia members, McCoy finds himself facing one of their number as the pro se counsel for his friends, arguing for the concept of "jury nullification", the right of a jury to protect a defendant from an unjust law by finding him not guilty despite the evidence.</x:v>
      </x:c>
      <x:c r="P409" s="53" t="str">
        <x:v>Core Law &amp; Order franchise</x:v>
      </x:c>
      <x:c r="Q409" s="17" t="str">
        <x:v>34216</x:v>
      </x:c>
      <x:c r="R409" s="17" t="str">
        <x:v>tt0629356</x:v>
      </x:c>
      <x:c r="S409" s="17" t="str">
        <x:v>274</x:v>
      </x:c>
    </x:row>
    <x:row r="410">
      <x:c r="A410" s="43" t="n">
        <x:v>406</x:v>
      </x:c>
      <x:c r="B410" s="44" t="str">
        <x:v>Not Started</x:v>
      </x:c>
      <x:c r="C410" s="45" t="n">
        <x:v>35741</x:v>
      </x:c>
      <x:c r="D410" s="33" t="str">
        <x:v>Players</x:v>
      </x:c>
      <x:c r="E410" s="33" t="str">
        <x:v>Crossover Adjacent</x:v>
      </x:c>
      <x:c r="F410" s="33" t="str">
        <x:v>complete</x:v>
      </x:c>
      <x:c r="G410" s="50" t="n">
        <x:v>1</x:v>
      </x:c>
      <x:c r="H410" s="50" t="n">
        <x:v>4</x:v>
      </x:c>
      <x:c r="I410" s="44" t="str">
        <x:v>01.04</x:v>
      </x:c>
      <x:c r="J410" s="33" t="str">
        <x:v>Con Artist</x:v>
      </x:c>
      <x:c r="K410" s="33" t="str"/>
      <x:c r="L410" s="33" t="str"/>
      <x:c r="M410" s="44" t="str"/>
      <x:c r="N410" s="50" t="n">
        <x:v>60</x:v>
      </x:c>
      <x:c r="O410" s="53" t="str"/>
      <x:c r="P410" s="53" t="str">
        <x:v>Dick Wolf crime drama</x:v>
      </x:c>
      <x:c r="Q410" s="17" t="str">
        <x:v>1617922</x:v>
      </x:c>
      <x:c r="R410" s="17" t="str"/>
      <x:c r="S410" s="17" t="str"/>
    </x:row>
    <x:row r="411">
      <x:c r="A411" s="43" t="n">
        <x:v>407</x:v>
      </x:c>
      <x:c r="B411" s="44" t="str">
        <x:v>Not Started</x:v>
      </x:c>
      <x:c r="C411" s="45" t="n">
        <x:v>35742</x:v>
      </x:c>
      <x:c r="D411" s="33" t="str">
        <x:v>Homicide: Life on the Street</x:v>
      </x:c>
      <x:c r="E411" s="33" t="str">
        <x:v>Law &amp; Order</x:v>
      </x:c>
      <x:c r="F411" s="33" t="str">
        <x:v>connected</x:v>
      </x:c>
      <x:c r="G411" s="50" t="n">
        <x:v>6</x:v>
      </x:c>
      <x:c r="H411" s="50" t="n">
        <x:v>4</x:v>
      </x:c>
      <x:c r="I411" s="44" t="str">
        <x:v>06.04</x:v>
      </x:c>
      <x:c r="J411" s="33" t="str">
        <x:v>Birthday</x:v>
      </x:c>
      <x:c r="K411" s="33" t="str"/>
      <x:c r="L411" s="33" t="str"/>
      <x:c r="M411" s="44" t="str"/>
      <x:c r="N411" s="50" t="n">
        <x:v>45</x:v>
      </x:c>
      <x:c r="O411" s="53" t="str">
        <x:v>A young woman is viciously attacked. Falsone and Lewis are called to the scene because the victim wasn't expected to make it. Stivers is working in Sex Crimes and is second to the scene; however, because Homicide was first it is technically their case. The attack is the third in three months and the bosses decide they'll work the case together. Frank's wife is overdue on her delivery. Tim recommends a restaurant whose salad has been known to ""kick start"" delivery in pregnant women. Frank gives it a try. Georgia Rae Mahoney meets Kellerman and mentions to him that she has a surveillance tape from Luther's condo. She tells him she'll keep in touch. Kellerman tracks down the old surveillance equipment from Luther's condo. A possible suspect is found in the rape case that doesn't turn into anything. A recanvas of the bars brings a new suspect to light. The salad might have worked its magic, because Mary gives birth, although there are complications that cause Frank to think about the job's</x:v>
      </x:c>
      <x:c r="P411" s="53" t="str">
        <x:v>Direct crossover with Law &amp; Order; Munch bridge to SVU</x:v>
      </x:c>
      <x:c r="Q411" s="17" t="str">
        <x:v>320058</x:v>
      </x:c>
      <x:c r="R411" s="17" t="str">
        <x:v>tt0604342</x:v>
      </x:c>
      <x:c r="S411" s="17" t="str"/>
    </x:row>
    <x:row r="412">
      <x:c r="A412" s="43" t="n">
        <x:v>408</x:v>
      </x:c>
      <x:c r="B412" s="44" t="str">
        <x:v>Not Started</x:v>
      </x:c>
      <x:c r="C412" s="45" t="n">
        <x:v>35746</x:v>
      </x:c>
      <x:c r="D412" s="33" t="str">
        <x:v>Law &amp; Order</x:v>
      </x:c>
      <x:c r="E412" s="33" t="str">
        <x:v>Law &amp; Order</x:v>
      </x:c>
      <x:c r="F412" s="33" t="str">
        <x:v>core</x:v>
      </x:c>
      <x:c r="G412" s="50" t="n">
        <x:v>8</x:v>
      </x:c>
      <x:c r="H412" s="50" t="n">
        <x:v>6</x:v>
      </x:c>
      <x:c r="I412" s="44" t="str">
        <x:v>08.06</x:v>
      </x:c>
      <x:c r="J412" s="33" t="str">
        <x:v>Baby, It's You (I)</x:v>
      </x:c>
      <x:c r="K412" s="33" t="str">
        <x:v>Crossover</x:v>
      </x:c>
      <x:c r="L412" s="33" t="str">
        <x:v>Baby, It's You</x:v>
      </x:c>
      <x:c r="M412" s="44" t="str">
        <x:v>1/2</x:v>
      </x:c>
      <x:c r="N412" s="50" t="n">
        <x:v>46</x:v>
      </x:c>
      <x:c r="O412" s="53" t="str">
        <x:v>It's old home week for Briscoe when an apparent murder of a teenage model in New York develops ties to Baltimore and Detectives Munch and Falsone pay a visit to the Big Apple to observe the case. Meanwhile, McCoy finds himself battling the attorney of the victim's parents for access to his clients and the Baltimore DA for jurisdiction.
This crossover continues on Homicide: Life on the Street S06E05 Baby, It's You (II).</x:v>
      </x:c>
      <x:c r="P412" s="53" t="str">
        <x:v>Core Law &amp; Order franchise</x:v>
      </x:c>
      <x:c r="Q412" s="17" t="str">
        <x:v>34217</x:v>
      </x:c>
      <x:c r="R412" s="17" t="str">
        <x:v>tt0629167</x:v>
      </x:c>
      <x:c r="S412" s="17" t="str">
        <x:v>https://one-chicago-fbi.fandom.com/wiki/Crossovers_and_Milestones</x:v>
      </x:c>
    </x:row>
    <x:row r="413">
      <x:c r="A413" s="43" t="n">
        <x:v>409</x:v>
      </x:c>
      <x:c r="B413" s="44" t="str">
        <x:v>Not Started</x:v>
      </x:c>
      <x:c r="C413" s="45" t="n">
        <x:v>35748</x:v>
      </x:c>
      <x:c r="D413" s="33" t="str">
        <x:v>Players</x:v>
      </x:c>
      <x:c r="E413" s="33" t="str">
        <x:v>Crossover Adjacent</x:v>
      </x:c>
      <x:c r="F413" s="33" t="str">
        <x:v>complete</x:v>
      </x:c>
      <x:c r="G413" s="50" t="n">
        <x:v>1</x:v>
      </x:c>
      <x:c r="H413" s="50" t="n">
        <x:v>5</x:v>
      </x:c>
      <x:c r="I413" s="44" t="str">
        <x:v>01.05</x:v>
      </x:c>
      <x:c r="J413" s="33" t="str">
        <x:v>Contact Sport</x:v>
      </x:c>
      <x:c r="K413" s="33" t="str"/>
      <x:c r="L413" s="33" t="str"/>
      <x:c r="M413" s="44" t="str"/>
      <x:c r="N413" s="50" t="n">
        <x:v>60</x:v>
      </x:c>
      <x:c r="O413" s="53" t="str"/>
      <x:c r="P413" s="53" t="str">
        <x:v>Dick Wolf crime drama</x:v>
      </x:c>
      <x:c r="Q413" s="17" t="str">
        <x:v>1617924</x:v>
      </x:c>
      <x:c r="R413" s="17" t="str"/>
      <x:c r="S413" s="17" t="str"/>
    </x:row>
    <x:row r="414">
      <x:c r="A414" s="43" t="n">
        <x:v>410</x:v>
      </x:c>
      <x:c r="B414" s="44" t="str">
        <x:v>Not Started</x:v>
      </x:c>
      <x:c r="C414" s="45" t="n">
        <x:v>35748</x:v>
      </x:c>
      <x:c r="D414" s="33" t="str">
        <x:v>Homicide: Life on the Street</x:v>
      </x:c>
      <x:c r="E414" s="33" t="str">
        <x:v>Law &amp; Order</x:v>
      </x:c>
      <x:c r="F414" s="33" t="str">
        <x:v>connected</x:v>
      </x:c>
      <x:c r="G414" s="50" t="n">
        <x:v>6</x:v>
      </x:c>
      <x:c r="H414" s="50" t="n">
        <x:v>5</x:v>
      </x:c>
      <x:c r="I414" s="44" t="str">
        <x:v>06.05</x:v>
      </x:c>
      <x:c r="J414" s="33" t="str">
        <x:v>Baby, It's You (II)</x:v>
      </x:c>
      <x:c r="K414" s="33" t="str">
        <x:v>Crossover</x:v>
      </x:c>
      <x:c r="L414" s="33" t="str">
        <x:v>Baby, It's You</x:v>
      </x:c>
      <x:c r="M414" s="44" t="str">
        <x:v>2/2</x:v>
      </x:c>
      <x:c r="N414" s="50" t="n">
        <x:v>45</x:v>
      </x:c>
      <x:c r="O414" s="53" t="str">
        <x:v>Brittany's stalker in Baltimore is interviewed and says that he saw her being attacked by someone. When going to question the parents, the detectives discover that the Janaways have returned to Baltimore, so they make the trip to Charm City. They get the father in the box and he demands that they prove he did it. The attorneys fight over jurisdiction but the judge rules in favor of Baltimore and the two teams of prosecutors must work together.
This crossover starts on Law and Order S08E06 Baby, It's You (I).</x:v>
      </x:c>
      <x:c r="P414" s="53" t="str">
        <x:v>Direct crossover with Law &amp; Order; Munch bridge to SVU</x:v>
      </x:c>
      <x:c r="Q414" s="17" t="str">
        <x:v>320059</x:v>
      </x:c>
      <x:c r="R414" s="17" t="str">
        <x:v>tt0604339</x:v>
      </x:c>
      <x:c r="S414" s="17" t="str">
        <x:v>https://one-chicago-fbi.fandom.com/wiki/Crossovers_and_Milestones</x:v>
      </x:c>
    </x:row>
    <x:row r="415">
      <x:c r="A415" s="43" t="n">
        <x:v>411</x:v>
      </x:c>
      <x:c r="B415" s="44" t="str">
        <x:v>Not Started</x:v>
      </x:c>
      <x:c r="C415" s="45" t="n">
        <x:v>35749</x:v>
      </x:c>
      <x:c r="D415" s="33" t="str">
        <x:v>Law &amp; Order</x:v>
      </x:c>
      <x:c r="E415" s="33" t="str">
        <x:v>Law &amp; Order</x:v>
      </x:c>
      <x:c r="F415" s="33" t="str">
        <x:v>core</x:v>
      </x:c>
      <x:c r="G415" s="50" t="n">
        <x:v>0</x:v>
      </x:c>
      <x:c r="H415" s="50" t="n">
        <x:v>10</x:v>
      </x:c>
      <x:c r="I415" s="44" t="str">
        <x:v>S00.10</x:v>
      </x:c>
      <x:c r="J415" s="33" t="str">
        <x:v>Baby, It's You (2)</x:v>
      </x:c>
      <x:c r="K415" s="33" t="str"/>
      <x:c r="L415" s="33" t="str"/>
      <x:c r="M415" s="44" t="str"/>
      <x:c r="N415" s="50" t="n">
        <x:v>45</x:v>
      </x:c>
      <x:c r="O415" s="53" t="str">
        <x:v>The young man that was stalking Brittany in Baltimore is interviewed and relates that he saw her being attacked by someone. When going to question the parents, the New York and Baltimore detectives discover that the Janaways have returned to Baltimore, so they make the trip to Charm City. They get the father in the box and he demands that they prove he did it. The attorneys fight over jurisdiction, but the judge rules in favor of Baltimore and the two teams of prosecutors must work together. When the father is put on the stand he gives an alibi, a surprise that gives the detectives 48 hours to verify this alibi. When the alibi checks out, they bring in both of the parents to get to the truth. (Baby, It's You (1) aired on Law &amp; Order, season 8, episode 6.)</x:v>
      </x:c>
      <x:c r="P415" s="53" t="str">
        <x:v>Core Law &amp; Order franchise</x:v>
      </x:c>
      <x:c r="Q415" s="17" t="str">
        <x:v>34049</x:v>
      </x:c>
      <x:c r="R415" s="17" t="str"/>
      <x:c r="S415" s="17" t="str"/>
    </x:row>
    <x:row r="416">
      <x:c r="A416" s="43" t="n">
        <x:v>412</x:v>
      </x:c>
      <x:c r="B416" s="44" t="str">
        <x:v>Not Started</x:v>
      </x:c>
      <x:c r="C416" s="45" t="n">
        <x:v>35753</x:v>
      </x:c>
      <x:c r="D416" s="33" t="str">
        <x:v>Law &amp; Order</x:v>
      </x:c>
      <x:c r="E416" s="33" t="str">
        <x:v>Law &amp; Order</x:v>
      </x:c>
      <x:c r="F416" s="33" t="str">
        <x:v>core</x:v>
      </x:c>
      <x:c r="G416" s="50" t="n">
        <x:v>8</x:v>
      </x:c>
      <x:c r="H416" s="50" t="n">
        <x:v>7</x:v>
      </x:c>
      <x:c r="I416" s="44" t="str">
        <x:v>08.07</x:v>
      </x:c>
      <x:c r="J416" s="33" t="str">
        <x:v>Blood</x:v>
      </x:c>
      <x:c r="K416" s="33" t="str"/>
      <x:c r="L416" s="33" t="str"/>
      <x:c r="M416" s="44" t="str"/>
      <x:c r="N416" s="50" t="n">
        <x:v>47</x:v>
      </x:c>
      <x:c r="O416" s="53" t="str">
        <x:v>The paternity of a black baby given up for adoption by a white mother might provide a clue to her murderer but it also unearths some long buried family secrets.</x:v>
      </x:c>
      <x:c r="P416" s="53" t="str">
        <x:v>Core Law &amp; Order franchise</x:v>
      </x:c>
      <x:c r="Q416" s="17" t="str">
        <x:v>34218</x:v>
      </x:c>
      <x:c r="R416" s="17" t="str">
        <x:v>tt0629180</x:v>
      </x:c>
      <x:c r="S416" s="17" t="str">
        <x:v>278</x:v>
      </x:c>
    </x:row>
    <x:row r="417">
      <x:c r="A417" s="43" t="n">
        <x:v>413</x:v>
      </x:c>
      <x:c r="B417" s="44" t="str">
        <x:v>Not Started</x:v>
      </x:c>
      <x:c r="C417" s="45" t="n">
        <x:v>35755</x:v>
      </x:c>
      <x:c r="D417" s="33" t="str">
        <x:v>Players</x:v>
      </x:c>
      <x:c r="E417" s="33" t="str">
        <x:v>Crossover Adjacent</x:v>
      </x:c>
      <x:c r="F417" s="33" t="str">
        <x:v>complete</x:v>
      </x:c>
      <x:c r="G417" s="50" t="n">
        <x:v>1</x:v>
      </x:c>
      <x:c r="H417" s="50" t="n">
        <x:v>6</x:v>
      </x:c>
      <x:c r="I417" s="44" t="str">
        <x:v>01.06</x:v>
      </x:c>
      <x:c r="J417" s="33" t="str">
        <x:v>Con Amore</x:v>
      </x:c>
      <x:c r="K417" s="33" t="str"/>
      <x:c r="L417" s="33" t="str"/>
      <x:c r="M417" s="44" t="str"/>
      <x:c r="N417" s="50" t="n">
        <x:v>60</x:v>
      </x:c>
      <x:c r="O417" s="53" t="str"/>
      <x:c r="P417" s="53" t="str">
        <x:v>Dick Wolf crime drama</x:v>
      </x:c>
      <x:c r="Q417" s="17" t="str">
        <x:v>1617925</x:v>
      </x:c>
      <x:c r="R417" s="17" t="str"/>
      <x:c r="S417" s="17" t="str"/>
    </x:row>
    <x:row r="418">
      <x:c r="A418" s="43" t="n">
        <x:v>414</x:v>
      </x:c>
      <x:c r="B418" s="44" t="str">
        <x:v>Not Started</x:v>
      </x:c>
      <x:c r="C418" s="45" t="n">
        <x:v>35756</x:v>
      </x:c>
      <x:c r="D418" s="33" t="str">
        <x:v>Homicide: Life on the Street</x:v>
      </x:c>
      <x:c r="E418" s="33" t="str">
        <x:v>Law &amp; Order</x:v>
      </x:c>
      <x:c r="F418" s="33" t="str">
        <x:v>connected</x:v>
      </x:c>
      <x:c r="G418" s="50" t="n">
        <x:v>6</x:v>
      </x:c>
      <x:c r="H418" s="50" t="n">
        <x:v>6</x:v>
      </x:c>
      <x:c r="I418" s="44" t="str">
        <x:v>06.06</x:v>
      </x:c>
      <x:c r="J418" s="33" t="str">
        <x:v>Saigon Rose</x:v>
      </x:c>
      <x:c r="K418" s="33" t="str"/>
      <x:c r="L418" s="33" t="str"/>
      <x:c r="M418" s="44" t="str"/>
      <x:c r="N418" s="50" t="n">
        <x:v>45</x:v>
      </x:c>
      <x:c r="O418" s="53" t="str">
        <x:v>Two Vietnamese teenagers witness the shooting of their parents and some friends. One of the friends was a cop and one of the shooters they say was another cop. That cop they discover failed her psyche evaluation but may have possibly gotten her job due to Affirmative Action; although strings pulled by her father proved to be her ticket into law enforcement. After they are able to implicate the cop in the shooting, as a bonus they discover the body of her string-pulling father. Ballard suffers from an allergic reaction to crabs. Falsone finds out that the case against Georgia Rae Mahoney is going to be dropped because of a lack of evidence. He suspects that the whole Mahoney thing is going to blow up in the department's face, because he knows the Mahoney shooting didn't go down the way Stivers, Kellerman and Lewis reported it. Kellerman debates with Cox about what he should do about the Mahoney situation.</x:v>
      </x:c>
      <x:c r="P418" s="53" t="str">
        <x:v>Direct crossover with Law &amp; Order; Munch bridge to SVU</x:v>
      </x:c>
      <x:c r="Q418" s="17" t="str">
        <x:v>320060</x:v>
      </x:c>
      <x:c r="R418" s="17" t="str">
        <x:v>tt0604407</x:v>
      </x:c>
      <x:c r="S418" s="17" t="str"/>
    </x:row>
    <x:row r="419">
      <x:c r="A419" s="43" t="n">
        <x:v>415</x:v>
      </x:c>
      <x:c r="B419" s="44" t="str">
        <x:v>Not Started</x:v>
      </x:c>
      <x:c r="C419" s="45" t="n">
        <x:v>35760</x:v>
      </x:c>
      <x:c r="D419" s="33" t="str">
        <x:v>Law &amp; Order</x:v>
      </x:c>
      <x:c r="E419" s="33" t="str">
        <x:v>Law &amp; Order</x:v>
      </x:c>
      <x:c r="F419" s="33" t="str">
        <x:v>core</x:v>
      </x:c>
      <x:c r="G419" s="50" t="n">
        <x:v>8</x:v>
      </x:c>
      <x:c r="H419" s="50" t="n">
        <x:v>8</x:v>
      </x:c>
      <x:c r="I419" s="44" t="str">
        <x:v>08.08</x:v>
      </x:c>
      <x:c r="J419" s="33" t="str">
        <x:v>Shadow</x:v>
      </x:c>
      <x:c r="K419" s="33" t="str"/>
      <x:c r="L419" s="33" t="str"/>
      <x:c r="M419" s="44" t="str"/>
      <x:c r="N419" s="50" t="n">
        <x:v>47</x:v>
      </x:c>
      <x:c r="O419" s="53" t="str">
        <x:v>The murder of a bail bondsman looks fairly routine until the chance words of the chief suspect uncovers possible case-fixing between a shady lawyer and an unknown contact within the judicial system.</x:v>
      </x:c>
      <x:c r="P419" s="53" t="str">
        <x:v>Core Law &amp; Order franchise</x:v>
      </x:c>
      <x:c r="Q419" s="17" t="str">
        <x:v>34219</x:v>
      </x:c>
      <x:c r="R419" s="17" t="str">
        <x:v>tt0629417</x:v>
      </x:c>
      <x:c r="S419" s="17" t="str">
        <x:v>280</x:v>
      </x:c>
    </x:row>
    <x:row r="420">
      <x:c r="A420" s="43" t="n">
        <x:v>416</x:v>
      </x:c>
      <x:c r="B420" s="44" t="str">
        <x:v>Not Started</x:v>
      </x:c>
      <x:c r="C420" s="45" t="n">
        <x:v>35769</x:v>
      </x:c>
      <x:c r="D420" s="33" t="str">
        <x:v>Players</x:v>
      </x:c>
      <x:c r="E420" s="33" t="str">
        <x:v>Crossover Adjacent</x:v>
      </x:c>
      <x:c r="F420" s="33" t="str">
        <x:v>complete</x:v>
      </x:c>
      <x:c r="G420" s="50" t="n">
        <x:v>1</x:v>
      </x:c>
      <x:c r="H420" s="50" t="n">
        <x:v>7</x:v>
      </x:c>
      <x:c r="I420" s="44" t="str">
        <x:v>01.07</x:v>
      </x:c>
      <x:c r="J420" s="33" t="str">
        <x:v>Rashocon</x:v>
      </x:c>
      <x:c r="K420" s="33" t="str"/>
      <x:c r="L420" s="33" t="str"/>
      <x:c r="M420" s="44" t="str"/>
      <x:c r="N420" s="50" t="n">
        <x:v>60</x:v>
      </x:c>
      <x:c r="O420" s="53" t="str"/>
      <x:c r="P420" s="53" t="str">
        <x:v>Dick Wolf crime drama</x:v>
      </x:c>
      <x:c r="Q420" s="17" t="str">
        <x:v>1617927</x:v>
      </x:c>
      <x:c r="R420" s="17" t="str"/>
      <x:c r="S420" s="17" t="str"/>
    </x:row>
    <x:row r="421">
      <x:c r="A421" s="43" t="n">
        <x:v>417</x:v>
      </x:c>
      <x:c r="B421" s="44" t="str">
        <x:v>Not Started</x:v>
      </x:c>
      <x:c r="C421" s="45" t="n">
        <x:v>35770</x:v>
      </x:c>
      <x:c r="D421" s="33" t="str">
        <x:v>Homicide: Life on the Street</x:v>
      </x:c>
      <x:c r="E421" s="33" t="str">
        <x:v>Law &amp; Order</x:v>
      </x:c>
      <x:c r="F421" s="33" t="str">
        <x:v>connected</x:v>
      </x:c>
      <x:c r="G421" s="50" t="n">
        <x:v>6</x:v>
      </x:c>
      <x:c r="H421" s="50" t="n">
        <x:v>7</x:v>
      </x:c>
      <x:c r="I421" s="44" t="str">
        <x:v>06.07</x:v>
      </x:c>
      <x:c r="J421" s="33" t="str">
        <x:v>Subway</x:v>
      </x:c>
      <x:c r="K421" s="33" t="str"/>
      <x:c r="L421" s="33" t="str"/>
      <x:c r="M421" s="44" t="str"/>
      <x:c r="N421" s="50" t="n">
        <x:v>45</x:v>
      </x:c>
      <x:c r="O421" s="53" t="str">
        <x:v>A man falls between the cars of a subway train in front of horrified witnesses. Was he pushed? While the man is still alive, the prognosis is he will be dead the moment they extract from the position he currently occupies: pinned between the train and platform. Homicide is called in light of this condition and the fact he may have been pushed. Pembleton questions the victim, and Bayliss questions the witnesses, especially a strange one named Larry Biedron. The victim has no relatives in the Baltimore area. He does have a girlfriend who is supposed to be jogging in the area; Lewis and Falsone try to find her to bring her to the scene.</x:v>
      </x:c>
      <x:c r="P421" s="53" t="str">
        <x:v>Direct crossover with Law &amp; Order; Munch bridge to SVU</x:v>
      </x:c>
      <x:c r="Q421" s="17" t="str">
        <x:v>320061</x:v>
      </x:c>
      <x:c r="R421" s="17" t="str">
        <x:v>tt0604435</x:v>
      </x:c>
      <x:c r="S421" s="17" t="str"/>
    </x:row>
    <x:row r="422">
      <x:c r="A422" s="43" t="n">
        <x:v>418</x:v>
      </x:c>
      <x:c r="B422" s="44" t="str">
        <x:v>Not Started</x:v>
      </x:c>
      <x:c r="C422" s="45" t="n">
        <x:v>35774</x:v>
      </x:c>
      <x:c r="D422" s="33" t="str">
        <x:v>Law &amp; Order</x:v>
      </x:c>
      <x:c r="E422" s="33" t="str">
        <x:v>Law &amp; Order</x:v>
      </x:c>
      <x:c r="F422" s="33" t="str">
        <x:v>core</x:v>
      </x:c>
      <x:c r="G422" s="50" t="n">
        <x:v>8</x:v>
      </x:c>
      <x:c r="H422" s="50" t="n">
        <x:v>9</x:v>
      </x:c>
      <x:c r="I422" s="44" t="str">
        <x:v>08.09</x:v>
      </x:c>
      <x:c r="J422" s="33" t="str">
        <x:v>Burned</x:v>
      </x:c>
      <x:c r="K422" s="33" t="str"/>
      <x:c r="L422" s="33" t="str"/>
      <x:c r="M422" s="44" t="str"/>
      <x:c r="N422" s="50" t="n">
        <x:v>45</x:v>
      </x:c>
      <x:c r="O422" s="53" t="str">
        <x:v>A message overheard on an answering machine leads Briscoe and Curtis to a confessed murderer and the home of wealthy Carl Anderton, whose stubborn non-cooperation with the district attorney threatens to create a serious miscarriage of justice.</x:v>
      </x:c>
      <x:c r="P422" s="53" t="str">
        <x:v>Core Law &amp; Order franchise</x:v>
      </x:c>
      <x:c r="Q422" s="17" t="str">
        <x:v>34220</x:v>
      </x:c>
      <x:c r="R422" s="17" t="str">
        <x:v>tt0629194</x:v>
      </x:c>
      <x:c r="S422" s="17" t="str">
        <x:v>282</x:v>
      </x:c>
    </x:row>
    <x:row r="423">
      <x:c r="A423" s="43" t="n">
        <x:v>419</x:v>
      </x:c>
      <x:c r="B423" s="44" t="str">
        <x:v>Not Started</x:v>
      </x:c>
      <x:c r="C423" s="45" t="n">
        <x:v>35776</x:v>
      </x:c>
      <x:c r="D423" s="33" t="str">
        <x:v>Players</x:v>
      </x:c>
      <x:c r="E423" s="33" t="str">
        <x:v>Crossover Adjacent</x:v>
      </x:c>
      <x:c r="F423" s="33" t="str">
        <x:v>complete</x:v>
      </x:c>
      <x:c r="G423" s="50" t="n">
        <x:v>1</x:v>
      </x:c>
      <x:c r="H423" s="50" t="n">
        <x:v>8</x:v>
      </x:c>
      <x:c r="I423" s="44" t="str">
        <x:v>01.08</x:v>
      </x:c>
      <x:c r="J423" s="33" t="str">
        <x:v>Three of a Con</x:v>
      </x:c>
      <x:c r="K423" s="33" t="str"/>
      <x:c r="L423" s="33" t="str"/>
      <x:c r="M423" s="44" t="str"/>
      <x:c r="N423" s="50" t="n">
        <x:v>60</x:v>
      </x:c>
      <x:c r="O423" s="53" t="str"/>
      <x:c r="P423" s="53" t="str">
        <x:v>Dick Wolf crime drama</x:v>
      </x:c>
      <x:c r="Q423" s="17" t="str">
        <x:v>1617929</x:v>
      </x:c>
      <x:c r="R423" s="17" t="str"/>
      <x:c r="S423" s="17" t="str"/>
    </x:row>
    <x:row r="424">
      <x:c r="A424" s="43" t="n">
        <x:v>420</x:v>
      </x:c>
      <x:c r="B424" s="44" t="str">
        <x:v>Not Started</x:v>
      </x:c>
      <x:c r="C424" s="45" t="n">
        <x:v>35776</x:v>
      </x:c>
      <x:c r="D424" s="33" t="str">
        <x:v>Homicide: Life on the Street</x:v>
      </x:c>
      <x:c r="E424" s="33" t="str">
        <x:v>Law &amp; Order</x:v>
      </x:c>
      <x:c r="F424" s="33" t="str">
        <x:v>connected</x:v>
      </x:c>
      <x:c r="G424" s="50" t="n">
        <x:v>6</x:v>
      </x:c>
      <x:c r="H424" s="50" t="n">
        <x:v>8</x:v>
      </x:c>
      <x:c r="I424" s="44" t="str">
        <x:v>06.08</x:v>
      </x:c>
      <x:c r="J424" s="33" t="str">
        <x:v>All is Bright</x:v>
      </x:c>
      <x:c r="K424" s="33" t="str"/>
      <x:c r="L424" s="33" t="str"/>
      <x:c r="M424" s="44" t="str"/>
      <x:c r="N424" s="50" t="n">
        <x:v>45</x:v>
      </x:c>
      <x:c r="O424" s="53" t="str">
        <x:v>Ballard and Gharty investigate the death of a man at a laundromat. The Waterfront Bar gets ready for the Christmas holiday. Munch's ex-wife, Gwen, shows up; her mother (a literary critic and author) has died. Tim goes Christmas shopping and runs into Julianna; he invites her to come to the Waterfront's Christmas celebration. Ballard and Gharty interview the victim's girlfriend (as listed in his address book). Cox informs Ballard and Gharty that the victim was HIV positive and she also convinces Kellerman to tell Lewis and Stivers about the Mahoney videotape. Munch gets his brother to give Gwen a deal on her mother's funeral arrangements. The victim's mother knew about his HIV status and about a girlfriend he didn't use protection with, whose name didn't appear in the address book. Ballard and Gharty find this woman and find that she has full-blown, terminal AIDS, and they bring her in for questioning. Ballard feels the woman has suffered enough so she is reluctant to a get her confessi</x:v>
      </x:c>
      <x:c r="P424" s="53" t="str">
        <x:v>Direct crossover with Law &amp; Order; Munch bridge to SVU</x:v>
      </x:c>
      <x:c r="Q424" s="17" t="str">
        <x:v>320062</x:v>
      </x:c>
      <x:c r="R424" s="17" t="str">
        <x:v>tt0604335</x:v>
      </x:c>
      <x:c r="S424" s="17" t="str">
        <x:v>283</x:v>
      </x:c>
    </x:row>
    <x:row r="425">
      <x:c r="A425" s="43" t="n">
        <x:v>421</x:v>
      </x:c>
      <x:c r="B425" s="44" t="str">
        <x:v>Not Started</x:v>
      </x:c>
      <x:c r="C425" s="45" t="n">
        <x:v>35781</x:v>
      </x:c>
      <x:c r="D425" s="33" t="str">
        <x:v>Law &amp; Order</x:v>
      </x:c>
      <x:c r="E425" s="33" t="str">
        <x:v>Law &amp; Order</x:v>
      </x:c>
      <x:c r="F425" s="33" t="str">
        <x:v>core</x:v>
      </x:c>
      <x:c r="G425" s="50" t="n">
        <x:v>8</x:v>
      </x:c>
      <x:c r="H425" s="50" t="n">
        <x:v>10</x:v>
      </x:c>
      <x:c r="I425" s="44" t="str">
        <x:v>08.10</x:v>
      </x:c>
      <x:c r="J425" s="33" t="str">
        <x:v>Ritual</x:v>
      </x:c>
      <x:c r="K425" s="33" t="str"/>
      <x:c r="L425" s="33" t="str"/>
      <x:c r="M425" s="44" t="str"/>
      <x:c r="N425" s="50" t="n">
        <x:v>45</x:v>
      </x:c>
      <x:c r="O425" s="53" t="str">
        <x:v>The investigation into the death of a man who initially appears to be the victim of a mugging victim reveals him to be a Middle Eastern physician who performs genital mutilations on young girls.</x:v>
      </x:c>
      <x:c r="P425" s="53" t="str">
        <x:v>Core Law &amp; Order franchise</x:v>
      </x:c>
      <x:c r="Q425" s="17" t="str">
        <x:v>34221</x:v>
      </x:c>
      <x:c r="R425" s="17" t="str">
        <x:v>tt0629403</x:v>
      </x:c>
      <x:c r="S425" s="17" t="str">
        <x:v>284</x:v>
      </x:c>
    </x:row>
    <x:row r="426">
      <x:c r="A426" s="43" t="n">
        <x:v>422</x:v>
      </x:c>
      <x:c r="B426" s="44" t="str">
        <x:v>Not Started</x:v>
      </x:c>
      <x:c r="C426" s="45" t="n">
        <x:v>35797</x:v>
      </x:c>
      <x:c r="D426" s="33" t="str">
        <x:v>Players</x:v>
      </x:c>
      <x:c r="E426" s="33" t="str">
        <x:v>Crossover Adjacent</x:v>
      </x:c>
      <x:c r="F426" s="33" t="str">
        <x:v>complete</x:v>
      </x:c>
      <x:c r="G426" s="50" t="n">
        <x:v>1</x:v>
      </x:c>
      <x:c r="H426" s="50" t="n">
        <x:v>9</x:v>
      </x:c>
      <x:c r="I426" s="44" t="str">
        <x:v>01.09</x:v>
      </x:c>
      <x:c r="J426" s="33" t="str">
        <x:v>Mint Condition</x:v>
      </x:c>
      <x:c r="K426" s="33" t="str"/>
      <x:c r="L426" s="33" t="str"/>
      <x:c r="M426" s="44" t="str"/>
      <x:c r="N426" s="50" t="n">
        <x:v>60</x:v>
      </x:c>
      <x:c r="O426" s="53" t="str"/>
      <x:c r="P426" s="53" t="str">
        <x:v>Dick Wolf crime drama</x:v>
      </x:c>
      <x:c r="Q426" s="17" t="str">
        <x:v>1617933</x:v>
      </x:c>
      <x:c r="R426" s="17" t="str"/>
      <x:c r="S426" s="17" t="str"/>
    </x:row>
    <x:row r="427">
      <x:c r="A427" s="43" t="n">
        <x:v>423</x:v>
      </x:c>
      <x:c r="B427" s="44" t="str">
        <x:v>Not Started</x:v>
      </x:c>
      <x:c r="C427" s="45" t="n">
        <x:v>35797</x:v>
      </x:c>
      <x:c r="D427" s="33" t="str">
        <x:v>Homicide: Life on the Street</x:v>
      </x:c>
      <x:c r="E427" s="33" t="str">
        <x:v>Law &amp; Order</x:v>
      </x:c>
      <x:c r="F427" s="33" t="str">
        <x:v>connected</x:v>
      </x:c>
      <x:c r="G427" s="50" t="n">
        <x:v>6</x:v>
      </x:c>
      <x:c r="H427" s="50" t="n">
        <x:v>9</x:v>
      </x:c>
      <x:c r="I427" s="44" t="str">
        <x:v>06.09</x:v>
      </x:c>
      <x:c r="J427" s="33" t="str">
        <x:v>Closet Cases</x:v>
      </x:c>
      <x:c r="K427" s="33" t="str"/>
      <x:c r="L427" s="33" t="str"/>
      <x:c r="M427" s="44" t="str"/>
      <x:c r="N427" s="50" t="n">
        <x:v>45</x:v>
      </x:c>
      <x:c r="O427" s="53" t="str">
        <x:v>The semi-nude body of a man is found in a dumpster outside of a restaurant. Bayliss returns Cox a pair of her earrings that she'd left at his place the night before. Disturbed by him doing that in public and while at a crime scene, she suggests they take some time off, instead they decide to break it off. The owners of the restaurant thinks that this murder might be tied to another murder (one that Munch is working). Lewis confronts Kellerman about the Mahoney videotape and the need to let Stivers know that she is also ""in the soup."" Lewis tells Stivers about the videotape, so she demands a meeting with Kellerman. Falsone confronts his ex-wife about getting to see his son more often; however, they argue and he plans to pursue getting joint custody. Kellerman decides that he will try to force Georgia Rae's hand, since he doesn't plan on doing anything corrupt for her anyway. Kellerman tells Georgia Rae that she can do whatever she wants with the videotape, he doesn't care. Bayliss decid</x:v>
      </x:c>
      <x:c r="P427" s="53" t="str">
        <x:v>Direct crossover with Law &amp; Order; Munch bridge to SVU</x:v>
      </x:c>
      <x:c r="Q427" s="17" t="str">
        <x:v>320063</x:v>
      </x:c>
      <x:c r="R427" s="17" t="str">
        <x:v>tt0604351</x:v>
      </x:c>
      <x:c r="S427" s="17" t="str">
        <x:v>285</x:v>
      </x:c>
    </x:row>
    <x:row r="428">
      <x:c r="A428" s="43" t="n">
        <x:v>424</x:v>
      </x:c>
      <x:c r="B428" s="44" t="str">
        <x:v>Not Started</x:v>
      </x:c>
      <x:c r="C428" s="45" t="n">
        <x:v>35802</x:v>
      </x:c>
      <x:c r="D428" s="33" t="str">
        <x:v>Law &amp; Order</x:v>
      </x:c>
      <x:c r="E428" s="33" t="str">
        <x:v>Law &amp; Order</x:v>
      </x:c>
      <x:c r="F428" s="33" t="str">
        <x:v>core</x:v>
      </x:c>
      <x:c r="G428" s="50" t="n">
        <x:v>8</x:v>
      </x:c>
      <x:c r="H428" s="50" t="n">
        <x:v>11</x:v>
      </x:c>
      <x:c r="I428" s="44" t="str">
        <x:v>08.11</x:v>
      </x:c>
      <x:c r="J428" s="33" t="str">
        <x:v>Under the Influence</x:v>
      </x:c>
      <x:c r="K428" s="33" t="str"/>
      <x:c r="L428" s="33" t="str"/>
      <x:c r="M428" s="44" t="str"/>
      <x:c r="N428" s="50" t="n">
        <x:v>47</x:v>
      </x:c>
      <x:c r="O428" s="53" t="str">
        <x:v>After Briscoe and Curtis finally determine who was driving the car that killed three people, the legal prosecution stands in danger of becoming a kangaroo court when McCoy's feelings over Kincaid mesh with the political agenda of an ambitious judge anxious to make an example of the defendant.</x:v>
      </x:c>
      <x:c r="P428" s="53" t="str">
        <x:v>Core Law &amp; Order franchise</x:v>
      </x:c>
      <x:c r="Q428" s="17" t="str">
        <x:v>34222</x:v>
      </x:c>
      <x:c r="R428" s="17" t="str">
        <x:v>tt0629481</x:v>
      </x:c>
      <x:c r="S428" s="17" t="str">
        <x:v>286</x:v>
      </x:c>
    </x:row>
    <x:row r="429">
      <x:c r="A429" s="43" t="n">
        <x:v>425</x:v>
      </x:c>
      <x:c r="B429" s="44" t="str">
        <x:v>Not Started</x:v>
      </x:c>
      <x:c r="C429" s="45" t="n">
        <x:v>35803</x:v>
      </x:c>
      <x:c r="D429" s="33" t="str">
        <x:v>New York Undercover</x:v>
      </x:c>
      <x:c r="E429" s="33" t="str">
        <x:v>Law &amp; Order</x:v>
      </x:c>
      <x:c r="F429" s="33" t="str">
        <x:v>connected</x:v>
      </x:c>
      <x:c r="G429" s="50" t="n">
        <x:v>4</x:v>
      </x:c>
      <x:c r="H429" s="50" t="n">
        <x:v>1</x:v>
      </x:c>
      <x:c r="I429" s="44" t="str">
        <x:v>04.01</x:v>
      </x:c>
      <x:c r="J429" s="33" t="str">
        <x:v>Change Change Change</x:v>
      </x:c>
      <x:c r="K429" s="33" t="str"/>
      <x:c r="L429" s="33" t="str"/>
      <x:c r="M429" s="44" t="str"/>
      <x:c r="N429" s="50" t="n">
        <x:v>44</x:v>
      </x:c>
      <x:c r="O429" s="53" t="str">
        <x:v>Lt. Barker recruits JC and Moreno to get the armored-car robber who killed Eddie and MacNamara.</x:v>
      </x:c>
      <x:c r="P429" s="53" t="str">
        <x:v>Wolf-produced New York police drama; crossover-adjacent to the Law &amp; Order era</x:v>
      </x:c>
      <x:c r="Q429" s="17" t="str">
        <x:v>291063</x:v>
      </x:c>
      <x:c r="R429" s="17" t="str"/>
      <x:c r="S429" s="17" t="str">
        <x:v>287</x:v>
      </x:c>
    </x:row>
    <x:row r="430">
      <x:c r="A430" s="43" t="n">
        <x:v>426</x:v>
      </x:c>
      <x:c r="B430" s="44" t="str">
        <x:v>Not Started</x:v>
      </x:c>
      <x:c r="C430" s="45" t="n">
        <x:v>35804</x:v>
      </x:c>
      <x:c r="D430" s="33" t="str">
        <x:v>Players</x:v>
      </x:c>
      <x:c r="E430" s="33" t="str">
        <x:v>Crossover Adjacent</x:v>
      </x:c>
      <x:c r="F430" s="33" t="str">
        <x:v>complete</x:v>
      </x:c>
      <x:c r="G430" s="50" t="n">
        <x:v>1</x:v>
      </x:c>
      <x:c r="H430" s="50" t="n">
        <x:v>10</x:v>
      </x:c>
      <x:c r="I430" s="44" t="str">
        <x:v>01.10</x:v>
      </x:c>
      <x:c r="J430" s="33" t="str">
        <x:v>Confidence Man</x:v>
      </x:c>
      <x:c r="K430" s="33" t="str"/>
      <x:c r="L430" s="33" t="str"/>
      <x:c r="M430" s="44" t="str"/>
      <x:c r="N430" s="50" t="n">
        <x:v>60</x:v>
      </x:c>
      <x:c r="O430" s="53" t="str"/>
      <x:c r="P430" s="53" t="str">
        <x:v>Dick Wolf crime drama</x:v>
      </x:c>
      <x:c r="Q430" s="17" t="str">
        <x:v>1617936</x:v>
      </x:c>
      <x:c r="R430" s="17" t="str"/>
      <x:c r="S430" s="17" t="str"/>
    </x:row>
    <x:row r="431">
      <x:c r="A431" s="43" t="n">
        <x:v>427</x:v>
      </x:c>
      <x:c r="B431" s="44" t="str">
        <x:v>Not Started</x:v>
      </x:c>
      <x:c r="C431" s="45" t="n">
        <x:v>35804</x:v>
      </x:c>
      <x:c r="D431" s="33" t="str">
        <x:v>Homicide: Life on the Street</x:v>
      </x:c>
      <x:c r="E431" s="33" t="str">
        <x:v>Law &amp; Order</x:v>
      </x:c>
      <x:c r="F431" s="33" t="str">
        <x:v>connected</x:v>
      </x:c>
      <x:c r="G431" s="50" t="n">
        <x:v>6</x:v>
      </x:c>
      <x:c r="H431" s="50" t="n">
        <x:v>10</x:v>
      </x:c>
      <x:c r="I431" s="44" t="str">
        <x:v>06.10</x:v>
      </x:c>
      <x:c r="J431" s="33" t="str">
        <x:v>Sins of the Father</x:v>
      </x:c>
      <x:c r="K431" s="33" t="str"/>
      <x:c r="L431" s="33" t="str"/>
      <x:c r="M431" s="44" t="str"/>
      <x:c r="N431" s="50" t="n">
        <x:v>45</x:v>
      </x:c>
      <x:c r="O431" s="53" t="str">
        <x:v>A white man is found lynched in a historic black section of the city; Falsone and Lewis investigate. The day after Tim's dinner date with the male restaurant owner that Tim was positive about, Frank is perplexed by Tim's interest in Laura Ballard. The autopsy reveals that the hanged man was also whipped. Gharty worries about Ballard getting involved with ""switch-hitter"" Bayliss. Lewis is convinced the lynching is related back to the victim's Civil War ancestor, infamous runaway-slave catcher and free-blacks abductress. Tim and Laura attend an art show.</x:v>
      </x:c>
      <x:c r="P431" s="53" t="str">
        <x:v>Direct crossover with Law &amp; Order; Munch bridge to SVU</x:v>
      </x:c>
      <x:c r="Q431" s="17" t="str">
        <x:v>320064</x:v>
      </x:c>
      <x:c r="R431" s="17" t="str">
        <x:v>tt0604415</x:v>
      </x:c>
      <x:c r="S431" s="17" t="str">
        <x:v>288</x:v>
      </x:c>
    </x:row>
    <x:row r="432">
      <x:c r="A432" s="43" t="n">
        <x:v>428</x:v>
      </x:c>
      <x:c r="B432" s="44" t="str">
        <x:v>Not Started</x:v>
      </x:c>
      <x:c r="C432" s="45" t="n">
        <x:v>35810</x:v>
      </x:c>
      <x:c r="D432" s="33" t="str">
        <x:v>New York Undercover</x:v>
      </x:c>
      <x:c r="E432" s="33" t="str">
        <x:v>Law &amp; Order</x:v>
      </x:c>
      <x:c r="F432" s="33" t="str">
        <x:v>connected</x:v>
      </x:c>
      <x:c r="G432" s="50" t="n">
        <x:v>4</x:v>
      </x:c>
      <x:c r="H432" s="50" t="n">
        <x:v>2</x:v>
      </x:c>
      <x:c r="I432" s="44" t="str">
        <x:v>04.02</x:v>
      </x:c>
      <x:c r="J432" s="33" t="str">
        <x:v>Drop-Dead Gorgeous</x:v>
      </x:c>
      <x:c r="K432" s="33" t="str"/>
      <x:c r="L432" s="33" t="str"/>
      <x:c r="M432" s="44" t="str"/>
      <x:c r="N432" s="50" t="n">
        <x:v>44</x:v>
      </x:c>
      <x:c r="O432" s="53" t="str">
        <x:v>Members of the unit target a modeling agent.</x:v>
      </x:c>
      <x:c r="P432" s="53" t="str">
        <x:v>Wolf-produced New York police drama; crossover-adjacent to the Law &amp; Order era</x:v>
      </x:c>
      <x:c r="Q432" s="17" t="str">
        <x:v>291064</x:v>
      </x:c>
      <x:c r="R432" s="17" t="str"/>
      <x:c r="S432" s="17" t="str">
        <x:v>289</x:v>
      </x:c>
    </x:row>
    <x:row r="433">
      <x:c r="A433" s="43" t="n">
        <x:v>429</x:v>
      </x:c>
      <x:c r="B433" s="44" t="str">
        <x:v>Not Started</x:v>
      </x:c>
      <x:c r="C433" s="45" t="n">
        <x:v>35811</x:v>
      </x:c>
      <x:c r="D433" s="33" t="str">
        <x:v>Players</x:v>
      </x:c>
      <x:c r="E433" s="33" t="str">
        <x:v>Crossover Adjacent</x:v>
      </x:c>
      <x:c r="F433" s="33" t="str">
        <x:v>complete</x:v>
      </x:c>
      <x:c r="G433" s="50" t="n">
        <x:v>1</x:v>
      </x:c>
      <x:c r="H433" s="50" t="n">
        <x:v>11</x:v>
      </x:c>
      <x:c r="I433" s="44" t="str">
        <x:v>01.11</x:v>
      </x:c>
      <x:c r="J433" s="33" t="str">
        <x:v>Contraband</x:v>
      </x:c>
      <x:c r="K433" s="33" t="str"/>
      <x:c r="L433" s="33" t="str"/>
      <x:c r="M433" s="44" t="str"/>
      <x:c r="N433" s="50" t="n">
        <x:v>60</x:v>
      </x:c>
      <x:c r="O433" s="53" t="str"/>
      <x:c r="P433" s="53" t="str">
        <x:v>Dick Wolf crime drama</x:v>
      </x:c>
      <x:c r="Q433" s="17" t="str">
        <x:v>1617938</x:v>
      </x:c>
      <x:c r="R433" s="17" t="str"/>
      <x:c r="S433" s="17" t="str"/>
    </x:row>
    <x:row r="434">
      <x:c r="A434" s="43" t="n">
        <x:v>430</x:v>
      </x:c>
      <x:c r="B434" s="44" t="str">
        <x:v>Not Started</x:v>
      </x:c>
      <x:c r="C434" s="45" t="n">
        <x:v>35811</x:v>
      </x:c>
      <x:c r="D434" s="33" t="str">
        <x:v>Homicide: Life on the Street</x:v>
      </x:c>
      <x:c r="E434" s="33" t="str">
        <x:v>Law &amp; Order</x:v>
      </x:c>
      <x:c r="F434" s="33" t="str">
        <x:v>connected</x:v>
      </x:c>
      <x:c r="G434" s="50" t="n">
        <x:v>6</x:v>
      </x:c>
      <x:c r="H434" s="50" t="n">
        <x:v>11</x:v>
      </x:c>
      <x:c r="I434" s="44" t="str">
        <x:v>06.11</x:v>
      </x:c>
      <x:c r="J434" s="33" t="str">
        <x:v>Shaggy Dog, City Goat</x:v>
      </x:c>
      <x:c r="K434" s="33" t="str"/>
      <x:c r="L434" s="33" t="str"/>
      <x:c r="M434" s="44" t="str"/>
      <x:c r="N434" s="50" t="n">
        <x:v>45</x:v>
      </x:c>
      <x:c r="O434" s="53" t="str">
        <x:v>Julianna wins the recognition of her peers. At dinner, Julianna and her colleagues swap stories about how they've cracked cases. Julianna relates a story that happened a few weeks earlier, a suicide might actually be turn out to be murder, when it is determined that the victim was shot in mid-jump. A bickering elderly couple proves to be the key to the crime. Meanwhile, Falsone investigates the legal possibilities of obtaining custody of his son. Ballard and Gharty investigate the death of a drug dealer, which takes them up into the hills of western Maryland in search of their suspects. Georgia Rae Mahoney sues Stivers, Lewis, Kellerman, Giardello, Cox, the department and the city for the wrongful death of her brother, to the tune of $60 million. Lewis confronts Georgia Rae and winds up with a suspension for his trouble.</x:v>
      </x:c>
      <x:c r="P434" s="53" t="str">
        <x:v>Direct crossover with Law &amp; Order; Munch bridge to SVU</x:v>
      </x:c>
      <x:c r="Q434" s="17" t="str">
        <x:v>320065</x:v>
      </x:c>
      <x:c r="R434" s="17" t="str">
        <x:v>tt0604413</x:v>
      </x:c>
      <x:c r="S434" s="17" t="str">
        <x:v>290</x:v>
      </x:c>
    </x:row>
    <x:row r="435">
      <x:c r="A435" s="43" t="n">
        <x:v>431</x:v>
      </x:c>
      <x:c r="B435" s="44" t="str">
        <x:v>Not Started</x:v>
      </x:c>
      <x:c r="C435" s="45" t="n">
        <x:v>35816</x:v>
      </x:c>
      <x:c r="D435" s="33" t="str">
        <x:v>Law &amp; Order</x:v>
      </x:c>
      <x:c r="E435" s="33" t="str">
        <x:v>Law &amp; Order</x:v>
      </x:c>
      <x:c r="F435" s="33" t="str">
        <x:v>core</x:v>
      </x:c>
      <x:c r="G435" s="50" t="n">
        <x:v>8</x:v>
      </x:c>
      <x:c r="H435" s="50" t="n">
        <x:v>12</x:v>
      </x:c>
      <x:c r="I435" s="44" t="str">
        <x:v>08.12</x:v>
      </x:c>
      <x:c r="J435" s="33" t="str">
        <x:v>Expert</x:v>
      </x:c>
      <x:c r="K435" s="33" t="str"/>
      <x:c r="L435" s="33" t="str"/>
      <x:c r="M435" s="44" t="str"/>
      <x:c r="N435" s="50" t="n">
        <x:v>47</x:v>
      </x:c>
      <x:c r="O435" s="53" t="str">
        <x:v>The shooting of two people in a restaurant restroom takes some abrupt turns as they try to discover who exactly the intended victim was, and the prosecutors have to deal with a defendant claiming to have been in a dissociative state while committing the crime-- the same defense used years before by the defendant's father.</x:v>
      </x:c>
      <x:c r="P435" s="53" t="str">
        <x:v>Core Law &amp; Order franchise</x:v>
      </x:c>
      <x:c r="Q435" s="17" t="str">
        <x:v>34223</x:v>
      </x:c>
      <x:c r="R435" s="17" t="str">
        <x:v>tt0629258</x:v>
      </x:c>
      <x:c r="S435" s="17" t="str">
        <x:v>291</x:v>
      </x:c>
    </x:row>
    <x:row r="436">
      <x:c r="A436" s="43" t="n">
        <x:v>432</x:v>
      </x:c>
      <x:c r="B436" s="44" t="str">
        <x:v>Not Started</x:v>
      </x:c>
      <x:c r="C436" s="45" t="n">
        <x:v>35817</x:v>
      </x:c>
      <x:c r="D436" s="33" t="str">
        <x:v>New York Undercover</x:v>
      </x:c>
      <x:c r="E436" s="33" t="str">
        <x:v>Law &amp; Order</x:v>
      </x:c>
      <x:c r="F436" s="33" t="str">
        <x:v>connected</x:v>
      </x:c>
      <x:c r="G436" s="50" t="n">
        <x:v>4</x:v>
      </x:c>
      <x:c r="H436" s="50" t="n">
        <x:v>3</x:v>
      </x:c>
      <x:c r="I436" s="44" t="str">
        <x:v>04.03</x:v>
      </x:c>
      <x:c r="J436" s="33" t="str">
        <x:v>Pipeline</x:v>
      </x:c>
      <x:c r="K436" s="33" t="str"/>
      <x:c r="L436" s="33" t="str"/>
      <x:c r="M436" s="44" t="str"/>
      <x:c r="N436" s="50" t="n">
        <x:v>45</x:v>
      </x:c>
      <x:c r="O436" s="53" t="str">
        <x:v>Agents interfere in an undercover operation aimed at a Colombian drug kingpin.</x:v>
      </x:c>
      <x:c r="P436" s="53" t="str">
        <x:v>Wolf-produced New York police drama; crossover-adjacent to the Law &amp; Order era</x:v>
      </x:c>
      <x:c r="Q436" s="17" t="str">
        <x:v>291065</x:v>
      </x:c>
      <x:c r="R436" s="17" t="str"/>
      <x:c r="S436" s="17" t="str">
        <x:v>292</x:v>
      </x:c>
    </x:row>
    <x:row r="437">
      <x:c r="A437" s="43" t="n">
        <x:v>433</x:v>
      </x:c>
      <x:c r="B437" s="44" t="str">
        <x:v>Not Started</x:v>
      </x:c>
      <x:c r="C437" s="45" t="n">
        <x:v>35823</x:v>
      </x:c>
      <x:c r="D437" s="33" t="str">
        <x:v>Law &amp; Order</x:v>
      </x:c>
      <x:c r="E437" s="33" t="str">
        <x:v>Law &amp; Order</x:v>
      </x:c>
      <x:c r="F437" s="33" t="str">
        <x:v>core</x:v>
      </x:c>
      <x:c r="G437" s="50" t="n">
        <x:v>8</x:v>
      </x:c>
      <x:c r="H437" s="50" t="n">
        <x:v>13</x:v>
      </x:c>
      <x:c r="I437" s="44" t="str">
        <x:v>08.13</x:v>
      </x:c>
      <x:c r="J437" s="33" t="str">
        <x:v>Castoff</x:v>
      </x:c>
      <x:c r="K437" s="33" t="str"/>
      <x:c r="L437" s="33" t="str"/>
      <x:c r="M437" s="44" t="str"/>
      <x:c r="N437" s="50" t="n">
        <x:v>46</x:v>
      </x:c>
      <x:c r="O437" s="53" t="str">
        <x:v>The street murder of a woman who worked with underprivileged kids takes a turn towards the bizarre when the detectives uncover she had a predilection for kinky sex, and that one of her current partners appears to be a serial killer, who offers an overexposure to television violence as his defense during his trial.</x:v>
      </x:c>
      <x:c r="P437" s="53" t="str">
        <x:v>Core Law &amp; Order franchise</x:v>
      </x:c>
      <x:c r="Q437" s="17" t="str">
        <x:v>34224</x:v>
      </x:c>
      <x:c r="R437" s="17" t="str">
        <x:v>tt0629199</x:v>
      </x:c>
      <x:c r="S437" s="17" t="str">
        <x:v>293</x:v>
      </x:c>
    </x:row>
    <x:row r="438">
      <x:c r="A438" s="43" t="n">
        <x:v>434</x:v>
      </x:c>
      <x:c r="B438" s="44" t="str">
        <x:v>Not Started</x:v>
      </x:c>
      <x:c r="C438" s="45" t="n">
        <x:v>35824</x:v>
      </x:c>
      <x:c r="D438" s="33" t="str">
        <x:v>New York Undercover</x:v>
      </x:c>
      <x:c r="E438" s="33" t="str">
        <x:v>Law &amp; Order</x:v>
      </x:c>
      <x:c r="F438" s="33" t="str">
        <x:v>connected</x:v>
      </x:c>
      <x:c r="G438" s="50" t="n">
        <x:v>4</x:v>
      </x:c>
      <x:c r="H438" s="50" t="n">
        <x:v>4</x:v>
      </x:c>
      <x:c r="I438" s="44" t="str">
        <x:v>04.04</x:v>
      </x:c>
      <x:c r="J438" s="33" t="str">
        <x:v>Spare Parts</x:v>
      </x:c>
      <x:c r="K438" s="33" t="str"/>
      <x:c r="L438" s="33" t="str"/>
      <x:c r="M438" s="44" t="str"/>
      <x:c r="N438" s="50" t="n">
        <x:v>44</x:v>
      </x:c>
      <x:c r="O438" s="53" t="str">
        <x:v>Missing teens prompt a probe of a private hospital's organ-donor program.</x:v>
      </x:c>
      <x:c r="P438" s="53" t="str">
        <x:v>Wolf-produced New York police drama; crossover-adjacent to the Law &amp; Order era</x:v>
      </x:c>
      <x:c r="Q438" s="17" t="str">
        <x:v>291066</x:v>
      </x:c>
      <x:c r="R438" s="17" t="str"/>
      <x:c r="S438" s="17" t="str">
        <x:v>294</x:v>
      </x:c>
    </x:row>
    <x:row r="439">
      <x:c r="A439" s="43" t="n">
        <x:v>435</x:v>
      </x:c>
      <x:c r="B439" s="44" t="str">
        <x:v>Not Started</x:v>
      </x:c>
      <x:c r="C439" s="45" t="n">
        <x:v>35825</x:v>
      </x:c>
      <x:c r="D439" s="33" t="str">
        <x:v>Homicide: Life on the Street</x:v>
      </x:c>
      <x:c r="E439" s="33" t="str">
        <x:v>Law &amp; Order</x:v>
      </x:c>
      <x:c r="F439" s="33" t="str">
        <x:v>connected</x:v>
      </x:c>
      <x:c r="G439" s="50" t="n">
        <x:v>6</x:v>
      </x:c>
      <x:c r="H439" s="50" t="n">
        <x:v>12</x:v>
      </x:c>
      <x:c r="I439" s="44" t="str">
        <x:v>06.12</x:v>
      </x:c>
      <x:c r="J439" s="33" t="str">
        <x:v>Something Sacred (1)</x:v>
      </x:c>
      <x:c r="K439" s="33" t="str"/>
      <x:c r="L439" s="33" t="str"/>
      <x:c r="M439" s="44" t="str"/>
      <x:c r="N439" s="50" t="n">
        <x:v>45</x:v>
      </x:c>
      <x:c r="O439" s="53" t="str">
        <x:v>Kellerman is trying to find Lewis, who's disappeared since his suspension. Bayliss is on vacation. Stivers rotates into homicide and Kellerman isn't happy to see her. A priest is found murdered. Falsone attends a custody deposition hearing. A tape is delivered to Channel 11 that contains some startling information from a Swami about the priest's activities involving young boys. Munch and Kellerman seek out the two boys who were at the scene of the crime; meanwhile the other detectives seek out the Swami. Both are located, though the boys do not provide anything conclusive; they are held in protective custody. Kellerman searches for Lewis. Meanwhile, church members protest in front of the station house. Falsone gets his son for a weekend. Ballard and Gharty detain a corner kid who might be identifiable as one of three who had frightened a priest. Unfortunately, that priest (a monsignor) can't make a positive ID. Because of public pressure, the boys are released from custody to stay with</x:v>
      </x:c>
      <x:c r="P439" s="53" t="str">
        <x:v>Direct crossover with Law &amp; Order; Munch bridge to SVU</x:v>
      </x:c>
      <x:c r="Q439" s="17" t="str">
        <x:v>320066</x:v>
      </x:c>
      <x:c r="R439" s="17" t="str">
        <x:v>tt0604419</x:v>
      </x:c>
      <x:c r="S439" s="17" t="str">
        <x:v>295</x:v>
      </x:c>
    </x:row>
    <x:row r="440">
      <x:c r="A440" s="43" t="n">
        <x:v>436</x:v>
      </x:c>
      <x:c r="B440" s="44" t="str">
        <x:v>Not Started</x:v>
      </x:c>
      <x:c r="C440" s="45" t="n">
        <x:v>35825</x:v>
      </x:c>
      <x:c r="D440" s="33" t="str">
        <x:v>Homicide: Life on the Street</x:v>
      </x:c>
      <x:c r="E440" s="33" t="str">
        <x:v>Law &amp; Order</x:v>
      </x:c>
      <x:c r="F440" s="33" t="str">
        <x:v>connected</x:v>
      </x:c>
      <x:c r="G440" s="50" t="n">
        <x:v>6</x:v>
      </x:c>
      <x:c r="H440" s="50" t="n">
        <x:v>13</x:v>
      </x:c>
      <x:c r="I440" s="44" t="str">
        <x:v>06.13</x:v>
      </x:c>
      <x:c r="J440" s="33" t="str">
        <x:v>Something Sacred (2)</x:v>
      </x:c>
      <x:c r="K440" s="33" t="str"/>
      <x:c r="L440" s="33" t="str"/>
      <x:c r="M440" s="44" t="str"/>
      <x:c r="N440" s="50" t="n">
        <x:v>45</x:v>
      </x:c>
      <x:c r="O440" s="53" t="str">
        <x:v>With the addition of the latest murder, the ""red ball"" investigation continues full force. The detectives and the returning Bayliss pose as priests in an attempt to flush out any leads. Munch's cover attracts two young thugs, but they prove to be nothing. Gee is called upstairs, where his performance doesn't sit well with Barnfather. Lewis turns up and seeks some help from Falsone. Pembleton receives a call that the two missing boys have been found. Pembleton and Stivers travel to collect them. Meanwhile, Gharty and Ballard find the pawnbroker who had accepted a stolen chalice. Cox and Bayliss prevent a drunken Kellerman from driving home. Ballard and Gharty use the pawn-receipt false address to track down the corner kid with whom they'd previously had a run-in. They bring him into the box and Gharty loses his cool. The kid is tough to crack, but Pembleton has an idea involving the morgue and a trip to the shore. While stumbling home, a drunken Kellerman decides he doesn't like the loo</x:v>
      </x:c>
      <x:c r="P440" s="53" t="str">
        <x:v>Direct crossover with Law &amp; Order; Munch bridge to SVU</x:v>
      </x:c>
      <x:c r="Q440" s="17" t="str">
        <x:v>320067</x:v>
      </x:c>
      <x:c r="R440" s="17" t="str">
        <x:v>tt0604420</x:v>
      </x:c>
      <x:c r="S440" s="17" t="str">
        <x:v>296</x:v>
      </x:c>
    </x:row>
    <x:row r="441">
      <x:c r="A441" s="43" t="n">
        <x:v>437</x:v>
      </x:c>
      <x:c r="B441" s="44" t="str">
        <x:v>Not Started</x:v>
      </x:c>
      <x:c r="C441" s="45" t="n">
        <x:v>35830</x:v>
      </x:c>
      <x:c r="D441" s="33" t="str">
        <x:v>Law &amp; Order</x:v>
      </x:c>
      <x:c r="E441" s="33" t="str">
        <x:v>Law &amp; Order</x:v>
      </x:c>
      <x:c r="F441" s="33" t="str">
        <x:v>core</x:v>
      </x:c>
      <x:c r="G441" s="50" t="n">
        <x:v>8</x:v>
      </x:c>
      <x:c r="H441" s="50" t="n">
        <x:v>14</x:v>
      </x:c>
      <x:c r="I441" s="44" t="str">
        <x:v>08.14</x:v>
      </x:c>
      <x:c r="J441" s="33" t="str">
        <x:v>Grief</x:v>
      </x:c>
      <x:c r="K441" s="33" t="str"/>
      <x:c r="L441" s="33" t="str"/>
      <x:c r="M441" s="44" t="str"/>
      <x:c r="N441" s="50" t="n">
        <x:v>46</x:v>
      </x:c>
      <x:c r="O441" s="53" t="str">
        <x:v>The cops, as they try to pin down the specifics of an assault on a man reluctant to talk about it, uncover the alleged rape of two women in custodial care. But as the prosecutors attempt to prepare their case, a reluctant witness changes their view of the cases.</x:v>
      </x:c>
      <x:c r="P441" s="53" t="str">
        <x:v>Core Law &amp; Order franchise</x:v>
      </x:c>
      <x:c r="Q441" s="17" t="str">
        <x:v>34225</x:v>
      </x:c>
      <x:c r="R441" s="17" t="str">
        <x:v>tt0629283</x:v>
      </x:c>
      <x:c r="S441" s="17" t="str">
        <x:v>297</x:v>
      </x:c>
    </x:row>
    <x:row r="442">
      <x:c r="A442" s="43" t="n">
        <x:v>438</x:v>
      </x:c>
      <x:c r="B442" s="44" t="str">
        <x:v>Not Started</x:v>
      </x:c>
      <x:c r="C442" s="45" t="n">
        <x:v>35838</x:v>
      </x:c>
      <x:c r="D442" s="33" t="str">
        <x:v>New York Undercover</x:v>
      </x:c>
      <x:c r="E442" s="33" t="str">
        <x:v>Law &amp; Order</x:v>
      </x:c>
      <x:c r="F442" s="33" t="str">
        <x:v>connected</x:v>
      </x:c>
      <x:c r="G442" s="50" t="n">
        <x:v>4</x:v>
      </x:c>
      <x:c r="H442" s="50" t="n">
        <x:v>5</x:v>
      </x:c>
      <x:c r="I442" s="44" t="str">
        <x:v>04.05</x:v>
      </x:c>
      <x:c r="J442" s="33" t="str">
        <x:v>Mob Street</x:v>
      </x:c>
      <x:c r="K442" s="33" t="str"/>
      <x:c r="L442" s="33" t="str"/>
      <x:c r="M442" s="44" t="str"/>
      <x:c r="N442" s="50" t="n">
        <x:v>44</x:v>
      </x:c>
      <x:c r="O442" s="53" t="str">
        <x:v>The detectives go undercover on Wall Street to foil a stock-manipulation scheme.</x:v>
      </x:c>
      <x:c r="P442" s="53" t="str">
        <x:v>Wolf-produced New York police drama; crossover-adjacent to the Law &amp; Order era</x:v>
      </x:c>
      <x:c r="Q442" s="17" t="str">
        <x:v>291067</x:v>
      </x:c>
      <x:c r="R442" s="17" t="str"/>
      <x:c r="S442" s="17" t="str">
        <x:v>298</x:v>
      </x:c>
    </x:row>
    <x:row r="443">
      <x:c r="A443" s="43" t="n">
        <x:v>439</x:v>
      </x:c>
      <x:c r="B443" s="44" t="str">
        <x:v>Not Started</x:v>
      </x:c>
      <x:c r="C443" s="45" t="n">
        <x:v>35851</x:v>
      </x:c>
      <x:c r="D443" s="33" t="str">
        <x:v>Law &amp; Order</x:v>
      </x:c>
      <x:c r="E443" s="33" t="str">
        <x:v>Law &amp; Order</x:v>
      </x:c>
      <x:c r="F443" s="33" t="str">
        <x:v>core</x:v>
      </x:c>
      <x:c r="G443" s="50" t="n">
        <x:v>8</x:v>
      </x:c>
      <x:c r="H443" s="50" t="n">
        <x:v>15</x:v>
      </x:c>
      <x:c r="I443" s="44" t="str">
        <x:v>08.15</x:v>
      </x:c>
      <x:c r="J443" s="33" t="str">
        <x:v>Faccia a Faccia</x:v>
      </x:c>
      <x:c r="K443" s="33" t="str"/>
      <x:c r="L443" s="33" t="str"/>
      <x:c r="M443" s="44" t="str"/>
      <x:c r="N443" s="50" t="n">
        <x:v>47</x:v>
      </x:c>
      <x:c r="O443" s="53" t="str">
        <x:v>Taking on an apparent mafia murder, Detectives Briscoe and Curtis are stymied by a dead witness and a seemingly incoherent mob boss.</x:v>
      </x:c>
      <x:c r="P443" s="53" t="str">
        <x:v>Core Law &amp; Order franchise</x:v>
      </x:c>
      <x:c r="Q443" s="17" t="str">
        <x:v>34226</x:v>
      </x:c>
      <x:c r="R443" s="17" t="str">
        <x:v>tt0629260</x:v>
      </x:c>
      <x:c r="S443" s="17" t="str">
        <x:v>299</x:v>
      </x:c>
    </x:row>
    <x:row r="444">
      <x:c r="A444" s="43" t="n">
        <x:v>440</x:v>
      </x:c>
      <x:c r="B444" s="44" t="str">
        <x:v>Not Started</x:v>
      </x:c>
      <x:c r="C444" s="45" t="n">
        <x:v>35858</x:v>
      </x:c>
      <x:c r="D444" s="33" t="str">
        <x:v>Law &amp; Order</x:v>
      </x:c>
      <x:c r="E444" s="33" t="str">
        <x:v>Law &amp; Order</x:v>
      </x:c>
      <x:c r="F444" s="33" t="str">
        <x:v>core</x:v>
      </x:c>
      <x:c r="G444" s="50" t="n">
        <x:v>8</x:v>
      </x:c>
      <x:c r="H444" s="50" t="n">
        <x:v>16</x:v>
      </x:c>
      <x:c r="I444" s="44" t="str">
        <x:v>08.16</x:v>
      </x:c>
      <x:c r="J444" s="33" t="str">
        <x:v>Divorce</x:v>
      </x:c>
      <x:c r="K444" s="33" t="str"/>
      <x:c r="L444" s="33" t="str"/>
      <x:c r="M444" s="44" t="str"/>
      <x:c r="N444" s="50" t="n">
        <x:v>47</x:v>
      </x:c>
      <x:c r="O444" s="53" t="str">
        <x:v>The stabbing death of a psychologist draws Detectives Briscoe and Curtis into a heated divorce case and pits McCoy and Ross against a manipulative attorney.</x:v>
      </x:c>
      <x:c r="P444" s="53" t="str">
        <x:v>Core Law &amp; Order franchise</x:v>
      </x:c>
      <x:c r="Q444" s="17" t="str">
        <x:v>34227</x:v>
      </x:c>
      <x:c r="R444" s="17" t="str">
        <x:v>tt0629242</x:v>
      </x:c>
      <x:c r="S444" s="17" t="str">
        <x:v>300</x:v>
      </x:c>
    </x:row>
    <x:row r="445">
      <x:c r="A445" s="43" t="n">
        <x:v>441</x:v>
      </x:c>
      <x:c r="B445" s="44" t="str">
        <x:v>Not Started</x:v>
      </x:c>
      <x:c r="C445" s="45" t="n">
        <x:v>35860</x:v>
      </x:c>
      <x:c r="D445" s="33" t="str">
        <x:v>Players</x:v>
      </x:c>
      <x:c r="E445" s="33" t="str">
        <x:v>Crossover Adjacent</x:v>
      </x:c>
      <x:c r="F445" s="33" t="str">
        <x:v>complete</x:v>
      </x:c>
      <x:c r="G445" s="50" t="n">
        <x:v>1</x:v>
      </x:c>
      <x:c r="H445" s="50" t="n">
        <x:v>12</x:v>
      </x:c>
      <x:c r="I445" s="44" t="str">
        <x:v>01.12</x:v>
      </x:c>
      <x:c r="J445" s="33" t="str">
        <x:v>Continental</x:v>
      </x:c>
      <x:c r="K445" s="33" t="str"/>
      <x:c r="L445" s="33" t="str"/>
      <x:c r="M445" s="44" t="str"/>
      <x:c r="N445" s="50" t="n">
        <x:v>60</x:v>
      </x:c>
      <x:c r="O445" s="53" t="str"/>
      <x:c r="P445" s="53" t="str">
        <x:v>Dick Wolf crime drama</x:v>
      </x:c>
      <x:c r="Q445" s="17" t="str">
        <x:v>1617945</x:v>
      </x:c>
      <x:c r="R445" s="17" t="str"/>
      <x:c r="S445" s="17" t="str"/>
    </x:row>
    <x:row r="446">
      <x:c r="A446" s="43" t="n">
        <x:v>442</x:v>
      </x:c>
      <x:c r="B446" s="44" t="str">
        <x:v>Not Started</x:v>
      </x:c>
      <x:c r="C446" s="45" t="n">
        <x:v>35860</x:v>
      </x:c>
      <x:c r="D446" s="33" t="str">
        <x:v>Homicide: Life on the Street</x:v>
      </x:c>
      <x:c r="E446" s="33" t="str">
        <x:v>Law &amp; Order</x:v>
      </x:c>
      <x:c r="F446" s="33" t="str">
        <x:v>connected</x:v>
      </x:c>
      <x:c r="G446" s="50" t="n">
        <x:v>6</x:v>
      </x:c>
      <x:c r="H446" s="50" t="n">
        <x:v>14</x:v>
      </x:c>
      <x:c r="I446" s="44" t="str">
        <x:v>06.14</x:v>
      </x:c>
      <x:c r="J446" s="33" t="str">
        <x:v>Lies and Other Truths</x:v>
      </x:c>
      <x:c r="K446" s="33" t="str"/>
      <x:c r="L446" s="33" t="str"/>
      <x:c r="M446" s="44" t="str"/>
      <x:c r="N446" s="50" t="n">
        <x:v>45</x:v>
      </x:c>
      <x:c r="O446" s="53" t="str">
        <x:v>A slightly intoxicated man (driving with his wife) aggressively whips his car around a state-owned truck; the offended truck driver rams their car; their aggression results in a collision where both drivers die. The man's wife is in serious condition. Kellerman and Munch investigate this case. Falsone gets prepared for the final hearing in his bid for custody of his son. Meanwhile, the other detectives investigate the death of a man who made a mobile phone call from the coffin in which he had been buried alive. The coffin was buried in the parade ground of an old spy school. The victim might have remained alive if the lid hadn't been sabotaged to collapse. In the car / truck collision case, Cox's boss wants her to ""verify"" the results of the car driver's blood alcohol level to help protect the state from serious litigation. An old Russian friend of Gee's furnishes them with information that leads the detectives to the discovery of a group of men who couldn't make it as spies. (They cal</x:v>
      </x:c>
      <x:c r="P446" s="53" t="str">
        <x:v>Direct crossover with Law &amp; Order; Munch bridge to SVU</x:v>
      </x:c>
      <x:c r="Q446" s="17" t="str">
        <x:v>320068</x:v>
      </x:c>
      <x:c r="R446" s="17" t="str">
        <x:v>tt0604393</x:v>
      </x:c>
      <x:c r="S446" s="17" t="str">
        <x:v>301</x:v>
      </x:c>
    </x:row>
    <x:row r="447">
      <x:c r="A447" s="43" t="n">
        <x:v>443</x:v>
      </x:c>
      <x:c r="B447" s="44" t="str">
        <x:v>Not Started</x:v>
      </x:c>
      <x:c r="C447" s="45" t="n">
        <x:v>35866</x:v>
      </x:c>
      <x:c r="D447" s="33" t="str">
        <x:v>New York Undercover</x:v>
      </x:c>
      <x:c r="E447" s="33" t="str">
        <x:v>Law &amp; Order</x:v>
      </x:c>
      <x:c r="F447" s="33" t="str">
        <x:v>connected</x:v>
      </x:c>
      <x:c r="G447" s="50" t="n">
        <x:v>4</x:v>
      </x:c>
      <x:c r="H447" s="50" t="n">
        <x:v>6</x:v>
      </x:c>
      <x:c r="I447" s="44" t="str">
        <x:v>04.06</x:v>
      </x:c>
      <x:c r="J447" s="33" t="str">
        <x:v>Rat Trap</x:v>
      </x:c>
      <x:c r="K447" s="33" t="str"/>
      <x:c r="L447" s="33" t="str"/>
      <x:c r="M447" s="44" t="str"/>
      <x:c r="N447" s="50" t="n">
        <x:v>45</x:v>
      </x:c>
      <x:c r="O447" s="53" t="str">
        <x:v>The unit probes mysterious fires in the garment district.</x:v>
      </x:c>
      <x:c r="P447" s="53" t="str">
        <x:v>Wolf-produced New York police drama; crossover-adjacent to the Law &amp; Order era</x:v>
      </x:c>
      <x:c r="Q447" s="17" t="str">
        <x:v>291068</x:v>
      </x:c>
      <x:c r="R447" s="17" t="str"/>
      <x:c r="S447" s="17" t="str">
        <x:v>302</x:v>
      </x:c>
    </x:row>
    <x:row r="448">
      <x:c r="A448" s="43" t="n">
        <x:v>444</x:v>
      </x:c>
      <x:c r="B448" s="44" t="str">
        <x:v>Not Started</x:v>
      </x:c>
      <x:c r="C448" s="45" t="n">
        <x:v>35867</x:v>
      </x:c>
      <x:c r="D448" s="33" t="str">
        <x:v>Players</x:v>
      </x:c>
      <x:c r="E448" s="33" t="str">
        <x:v>Crossover Adjacent</x:v>
      </x:c>
      <x:c r="F448" s="33" t="str">
        <x:v>complete</x:v>
      </x:c>
      <x:c r="G448" s="50" t="n">
        <x:v>1</x:v>
      </x:c>
      <x:c r="H448" s="50" t="n">
        <x:v>13</x:v>
      </x:c>
      <x:c r="I448" s="44" t="str">
        <x:v>01.13</x:v>
      </x:c>
      <x:c r="J448" s="33" t="str">
        <x:v>Wrath of Con</x:v>
      </x:c>
      <x:c r="K448" s="33" t="str"/>
      <x:c r="L448" s="33" t="str"/>
      <x:c r="M448" s="44" t="str"/>
      <x:c r="N448" s="50" t="n">
        <x:v>60</x:v>
      </x:c>
      <x:c r="O448" s="53" t="str"/>
      <x:c r="P448" s="53" t="str">
        <x:v>Dick Wolf crime drama</x:v>
      </x:c>
      <x:c r="Q448" s="17" t="str">
        <x:v>1617946</x:v>
      </x:c>
      <x:c r="R448" s="17" t="str"/>
      <x:c r="S448" s="17" t="str"/>
    </x:row>
    <x:row r="449">
      <x:c r="A449" s="43" t="n">
        <x:v>445</x:v>
      </x:c>
      <x:c r="B449" s="44" t="str">
        <x:v>Not Started</x:v>
      </x:c>
      <x:c r="C449" s="45" t="n">
        <x:v>35867</x:v>
      </x:c>
      <x:c r="D449" s="33" t="str">
        <x:v>Homicide: Life on the Street</x:v>
      </x:c>
      <x:c r="E449" s="33" t="str">
        <x:v>Law &amp; Order</x:v>
      </x:c>
      <x:c r="F449" s="33" t="str">
        <x:v>connected</x:v>
      </x:c>
      <x:c r="G449" s="50" t="n">
        <x:v>6</x:v>
      </x:c>
      <x:c r="H449" s="50" t="n">
        <x:v>15</x:v>
      </x:c>
      <x:c r="I449" s="44" t="str">
        <x:v>06.15</x:v>
      </x:c>
      <x:c r="J449" s="33" t="str">
        <x:v>Pit Bull Sessions</x:v>
      </x:c>
      <x:c r="K449" s="33" t="str"/>
      <x:c r="L449" s="33" t="str"/>
      <x:c r="M449" s="44" t="str"/>
      <x:c r="N449" s="50" t="n">
        <x:v>45</x:v>
      </x:c>
      <x:c r="O449" s="53" t="str">
        <x:v>Pembleton and Falsone look into the death of an elderly man who might have been killed by the pit bulls owned by his grandson. The other detectives hang out at the Waterfront and tell stories about stupid criminals they have met. The judge in the wrongful death suit of Luther Mahoney decides there is enough evidence to turn the suit into a jury trial. Kellerman suspects there might be something up, so he tries to go and see the judge.</x:v>
      </x:c>
      <x:c r="P449" s="53" t="str">
        <x:v>Direct crossover with Law &amp; Order; Munch bridge to SVU</x:v>
      </x:c>
      <x:c r="Q449" s="17" t="str">
        <x:v>320069</x:v>
      </x:c>
      <x:c r="R449" s="17" t="str">
        <x:v>tt0604403</x:v>
      </x:c>
      <x:c r="S449" s="17" t="str">
        <x:v>303</x:v>
      </x:c>
    </x:row>
    <x:row r="450">
      <x:c r="A450" s="43" t="n">
        <x:v>446</x:v>
      </x:c>
      <x:c r="B450" s="44" t="str">
        <x:v>Not Started</x:v>
      </x:c>
      <x:c r="C450" s="45" t="n">
        <x:v>35873</x:v>
      </x:c>
      <x:c r="D450" s="33" t="str">
        <x:v>New York Undercover</x:v>
      </x:c>
      <x:c r="E450" s="33" t="str">
        <x:v>Law &amp; Order</x:v>
      </x:c>
      <x:c r="F450" s="33" t="str">
        <x:v>connected</x:v>
      </x:c>
      <x:c r="G450" s="50" t="n">
        <x:v>4</x:v>
      </x:c>
      <x:c r="H450" s="50" t="n">
        <x:v>7</x:v>
      </x:c>
      <x:c r="I450" s="44" t="str">
        <x:v>04.07</x:v>
      </x:c>
      <x:c r="J450" s="33" t="str">
        <x:v>Quid Pro Quo</x:v>
      </x:c>
      <x:c r="K450" s="33" t="str"/>
      <x:c r="L450" s="33" t="str"/>
      <x:c r="M450" s="44" t="str"/>
      <x:c r="N450" s="50" t="n">
        <x:v>45</x:v>
      </x:c>
      <x:c r="O450" s="53" t="str">
        <x:v>The detectives discover that the CIA is involved in a money-laundering scheme at a bank in a Cuban neighborhood.</x:v>
      </x:c>
      <x:c r="P450" s="53" t="str">
        <x:v>Wolf-produced New York police drama; crossover-adjacent to the Law &amp; Order era</x:v>
      </x:c>
      <x:c r="Q450" s="17" t="str">
        <x:v>291069</x:v>
      </x:c>
      <x:c r="R450" s="17" t="str"/>
      <x:c r="S450" s="17" t="str">
        <x:v>304</x:v>
      </x:c>
    </x:row>
    <x:row r="451">
      <x:c r="A451" s="43" t="n">
        <x:v>447</x:v>
      </x:c>
      <x:c r="B451" s="44" t="str">
        <x:v>Not Started</x:v>
      </x:c>
      <x:c r="C451" s="45" t="n">
        <x:v>35874</x:v>
      </x:c>
      <x:c r="D451" s="33" t="str">
        <x:v>Players</x:v>
      </x:c>
      <x:c r="E451" s="33" t="str">
        <x:v>Crossover Adjacent</x:v>
      </x:c>
      <x:c r="F451" s="33" t="str">
        <x:v>complete</x:v>
      </x:c>
      <x:c r="G451" s="50" t="n">
        <x:v>1</x:v>
      </x:c>
      <x:c r="H451" s="50" t="n">
        <x:v>14</x:v>
      </x:c>
      <x:c r="I451" s="44" t="str">
        <x:v>01.14</x:v>
      </x:c>
      <x:c r="J451" s="33" t="str">
        <x:v>Constrained</x:v>
      </x:c>
      <x:c r="K451" s="33" t="str"/>
      <x:c r="L451" s="33" t="str"/>
      <x:c r="M451" s="44" t="str"/>
      <x:c r="N451" s="50" t="n">
        <x:v>60</x:v>
      </x:c>
      <x:c r="O451" s="53" t="str"/>
      <x:c r="P451" s="53" t="str">
        <x:v>Dick Wolf crime drama</x:v>
      </x:c>
      <x:c r="Q451" s="17" t="str">
        <x:v>1617950</x:v>
      </x:c>
      <x:c r="R451" s="17" t="str"/>
      <x:c r="S451" s="17" t="str"/>
    </x:row>
    <x:row r="452">
      <x:c r="A452" s="43" t="n">
        <x:v>448</x:v>
      </x:c>
      <x:c r="B452" s="44" t="str">
        <x:v>Not Started</x:v>
      </x:c>
      <x:c r="C452" s="45" t="n">
        <x:v>35874</x:v>
      </x:c>
      <x:c r="D452" s="33" t="str">
        <x:v>Homicide: Life on the Street</x:v>
      </x:c>
      <x:c r="E452" s="33" t="str">
        <x:v>Law &amp; Order</x:v>
      </x:c>
      <x:c r="F452" s="33" t="str">
        <x:v>connected</x:v>
      </x:c>
      <x:c r="G452" s="50" t="n">
        <x:v>6</x:v>
      </x:c>
      <x:c r="H452" s="50" t="n">
        <x:v>16</x:v>
      </x:c>
      <x:c r="I452" s="44" t="str">
        <x:v>06.16</x:v>
      </x:c>
      <x:c r="J452" s="33" t="str">
        <x:v>Mercy</x:v>
      </x:c>
      <x:c r="K452" s="33" t="str"/>
      <x:c r="L452" s="33" t="str"/>
      <x:c r="M452" s="44" t="str"/>
      <x:c r="N452" s="50" t="n">
        <x:v>45</x:v>
      </x:c>
      <x:c r="O452" s="53" t="str">
        <x:v>Homicide is called in when a woman is distressed at the fact the Dr. Turner helped her brother stop suffering from his colon cancer by injecting him with a lethal dose of morphine. Other members of her family were comfortable with the way he died. Pembleton and Bayliss investigate the issue of murder or mercy. Ballard and Gharty spot their city goats at a shopping mall, where Gharty was using Ballard as a consultant in his purchase of a gift. Stivers and Falsone catch a case where a schoolgirl and the owner of a pizza parlor are murdered during the holdup of the pizza parlor. Kellerman confronts Judge Gibbons and tapes their conversation about his ruling in making the wrongful death suit a jury case. Ballard and Gharty round up their city goats after they confront their mother. Gee warns the rookie homicide detectives, Stivers and Falsone about the baggage that comes with working their first case involving the death of a child. Pembleton and Bayliss' investigation of Dr. Turner's pract</x:v>
      </x:c>
      <x:c r="P452" s="53" t="str">
        <x:v>Direct crossover with Law &amp; Order; Munch bridge to SVU</x:v>
      </x:c>
      <x:c r="Q452" s="17" t="str">
        <x:v>320070</x:v>
      </x:c>
      <x:c r="R452" s="17" t="str">
        <x:v>tt0604397</x:v>
      </x:c>
      <x:c r="S452" s="17" t="str">
        <x:v>305</x:v>
      </x:c>
    </x:row>
    <x:row r="453">
      <x:c r="A453" s="43" t="n">
        <x:v>449</x:v>
      </x:c>
      <x:c r="B453" s="44" t="str">
        <x:v>Not Started</x:v>
      </x:c>
      <x:c r="C453" s="45" t="n">
        <x:v>35880</x:v>
      </x:c>
      <x:c r="D453" s="33" t="str">
        <x:v>New York Undercover</x:v>
      </x:c>
      <x:c r="E453" s="33" t="str">
        <x:v>Law &amp; Order</x:v>
      </x:c>
      <x:c r="F453" s="33" t="str">
        <x:v>connected</x:v>
      </x:c>
      <x:c r="G453" s="50" t="n">
        <x:v>4</x:v>
      </x:c>
      <x:c r="H453" s="50" t="n">
        <x:v>8</x:v>
      </x:c>
      <x:c r="I453" s="44" t="str">
        <x:v>04.08</x:v>
      </x:c>
      <x:c r="J453" s="33" t="str">
        <x:v>Capital Punishment</x:v>
      </x:c>
      <x:c r="K453" s="33" t="str"/>
      <x:c r="L453" s="33" t="str"/>
      <x:c r="M453" s="44" t="str"/>
      <x:c r="N453" s="50" t="n">
        <x:v>45</x:v>
      </x:c>
      <x:c r="O453" s="53" t="str">
        <x:v>A serial killer gives male victims tainted drugs.</x:v>
      </x:c>
      <x:c r="P453" s="53" t="str">
        <x:v>Wolf-produced New York police drama; crossover-adjacent to the Law &amp; Order era</x:v>
      </x:c>
      <x:c r="Q453" s="17" t="str">
        <x:v>291070</x:v>
      </x:c>
      <x:c r="R453" s="17" t="str"/>
      <x:c r="S453" s="17" t="str">
        <x:v>306</x:v>
      </x:c>
    </x:row>
    <x:row r="454">
      <x:c r="A454" s="43" t="n">
        <x:v>450</x:v>
      </x:c>
      <x:c r="B454" s="44" t="str">
        <x:v>Not Started</x:v>
      </x:c>
      <x:c r="C454" s="45" t="n">
        <x:v>35881</x:v>
      </x:c>
      <x:c r="D454" s="33" t="str">
        <x:v>Players</x:v>
      </x:c>
      <x:c r="E454" s="33" t="str">
        <x:v>Crossover Adjacent</x:v>
      </x:c>
      <x:c r="F454" s="33" t="str">
        <x:v>complete</x:v>
      </x:c>
      <x:c r="G454" s="50" t="n">
        <x:v>1</x:v>
      </x:c>
      <x:c r="H454" s="50" t="n">
        <x:v>15</x:v>
      </x:c>
      <x:c r="I454" s="44" t="str">
        <x:v>01.15</x:v>
      </x:c>
      <x:c r="J454" s="33" t="str">
        <x:v>Conspiracy</x:v>
      </x:c>
      <x:c r="K454" s="33" t="str"/>
      <x:c r="L454" s="33" t="str"/>
      <x:c r="M454" s="44" t="str"/>
      <x:c r="N454" s="50" t="n">
        <x:v>60</x:v>
      </x:c>
      <x:c r="O454" s="53" t="str"/>
      <x:c r="P454" s="53" t="str">
        <x:v>Dick Wolf crime drama</x:v>
      </x:c>
      <x:c r="Q454" s="17" t="str">
        <x:v>1617959</x:v>
      </x:c>
      <x:c r="R454" s="17" t="str"/>
      <x:c r="S454" s="17" t="str"/>
    </x:row>
    <x:row r="455">
      <x:c r="A455" s="43" t="n">
        <x:v>451</x:v>
      </x:c>
      <x:c r="B455" s="44" t="str">
        <x:v>Not Started</x:v>
      </x:c>
      <x:c r="C455" s="45" t="n">
        <x:v>35881</x:v>
      </x:c>
      <x:c r="D455" s="33" t="str">
        <x:v>Homicide: Life on the Street</x:v>
      </x:c>
      <x:c r="E455" s="33" t="str">
        <x:v>Law &amp; Order</x:v>
      </x:c>
      <x:c r="F455" s="33" t="str">
        <x:v>connected</x:v>
      </x:c>
      <x:c r="G455" s="50" t="n">
        <x:v>6</x:v>
      </x:c>
      <x:c r="H455" s="50" t="n">
        <x:v>17</x:v>
      </x:c>
      <x:c r="I455" s="44" t="str">
        <x:v>06.17</x:v>
      </x:c>
      <x:c r="J455" s="33" t="str">
        <x:v>Abduction</x:v>
      </x:c>
      <x:c r="K455" s="33" t="str"/>
      <x:c r="L455" s="33" t="str"/>
      <x:c r="M455" s="44" t="str"/>
      <x:c r="N455" s="50" t="n">
        <x:v>45</x:v>
      </x:c>
      <x:c r="O455" s="53" t="str">
        <x:v>A four-year-old boy is abducted while riding a merry-go-round in the park under the supervision of his mother. The Homicide unit, which helps in the investigation of all child abductions, is called in and Falsone is the primary. When the boy's father has an alibi that checks out, the detectives beginning to check on known pedophiles and later they receive a call from the possible kidnapper. When that doesn't pan out, they start over. The host of a nationwide television program, This Weeks Wanted, suggests that they hypnotize the little girl who was riding on the horse next to the boy. Hypnosis reveals a partial plate number and that leads to a lucky break. Ballard and Stivers discuss motherhood and Falsone checks on his son.</x:v>
      </x:c>
      <x:c r="P455" s="53" t="str">
        <x:v>Direct crossover with Law &amp; Order; Munch bridge to SVU</x:v>
      </x:c>
      <x:c r="Q455" s="17" t="str">
        <x:v>320071</x:v>
      </x:c>
      <x:c r="R455" s="17" t="str">
        <x:v>tt0604334</x:v>
      </x:c>
      <x:c r="S455" s="17" t="str">
        <x:v>307</x:v>
      </x:c>
    </x:row>
    <x:row r="456">
      <x:c r="A456" s="43" t="n">
        <x:v>452</x:v>
      </x:c>
      <x:c r="B456" s="44" t="str">
        <x:v>Not Started</x:v>
      </x:c>
      <x:c r="C456" s="45" t="n">
        <x:v>35886</x:v>
      </x:c>
      <x:c r="D456" s="33" t="str">
        <x:v>Law &amp; Order</x:v>
      </x:c>
      <x:c r="E456" s="33" t="str">
        <x:v>Law &amp; Order</x:v>
      </x:c>
      <x:c r="F456" s="33" t="str">
        <x:v>core</x:v>
      </x:c>
      <x:c r="G456" s="50" t="n">
        <x:v>8</x:v>
      </x:c>
      <x:c r="H456" s="50" t="n">
        <x:v>17</x:v>
      </x:c>
      <x:c r="I456" s="44" t="str">
        <x:v>08.17</x:v>
      </x:c>
      <x:c r="J456" s="33" t="str">
        <x:v>Carrier</x:v>
      </x:c>
      <x:c r="K456" s="33" t="str"/>
      <x:c r="L456" s="33" t="str"/>
      <x:c r="M456" s="44" t="str"/>
      <x:c r="N456" s="50" t="n">
        <x:v>46</x:v>
      </x:c>
      <x:c r="O456" s="53" t="str">
        <x:v>The death of a college student leads to a case involving an HIV-positive male who's seeking to infect as many young women as possible. McCoy, testing right-to-privacy ethics, wants to charge him with murder.</x:v>
      </x:c>
      <x:c r="P456" s="53" t="str">
        <x:v>Core Law &amp; Order franchise</x:v>
      </x:c>
      <x:c r="Q456" s="17" t="str">
        <x:v>34228</x:v>
      </x:c>
      <x:c r="R456" s="17" t="str">
        <x:v>tt0629198</x:v>
      </x:c>
      <x:c r="S456" s="17" t="str">
        <x:v>308</x:v>
      </x:c>
    </x:row>
    <x:row r="457">
      <x:c r="A457" s="43" t="n">
        <x:v>453</x:v>
      </x:c>
      <x:c r="B457" s="44" t="str">
        <x:v>Not Started</x:v>
      </x:c>
      <x:c r="C457" s="45" t="n">
        <x:v>35888</x:v>
      </x:c>
      <x:c r="D457" s="33" t="str">
        <x:v>Players</x:v>
      </x:c>
      <x:c r="E457" s="33" t="str">
        <x:v>Crossover Adjacent</x:v>
      </x:c>
      <x:c r="F457" s="33" t="str">
        <x:v>complete</x:v>
      </x:c>
      <x:c r="G457" s="50" t="n">
        <x:v>1</x:v>
      </x:c>
      <x:c r="H457" s="50" t="n">
        <x:v>16</x:v>
      </x:c>
      <x:c r="I457" s="44" t="str">
        <x:v>01.16</x:v>
      </x:c>
      <x:c r="J457" s="33" t="str">
        <x:v>Contamination</x:v>
      </x:c>
      <x:c r="K457" s="33" t="str"/>
      <x:c r="L457" s="33" t="str"/>
      <x:c r="M457" s="44" t="str"/>
      <x:c r="N457" s="50" t="n">
        <x:v>60</x:v>
      </x:c>
      <x:c r="O457" s="53" t="str"/>
      <x:c r="P457" s="53" t="str">
        <x:v>Dick Wolf crime drama</x:v>
      </x:c>
      <x:c r="Q457" s="17" t="str">
        <x:v>1617967</x:v>
      </x:c>
      <x:c r="R457" s="17" t="str"/>
      <x:c r="S457" s="17" t="str"/>
    </x:row>
    <x:row r="458">
      <x:c r="A458" s="43" t="n">
        <x:v>454</x:v>
      </x:c>
      <x:c r="B458" s="44" t="str">
        <x:v>Not Started</x:v>
      </x:c>
      <x:c r="C458" s="45" t="n">
        <x:v>35888</x:v>
      </x:c>
      <x:c r="D458" s="33" t="str">
        <x:v>Homicide: Life on the Street</x:v>
      </x:c>
      <x:c r="E458" s="33" t="str">
        <x:v>Law &amp; Order</x:v>
      </x:c>
      <x:c r="F458" s="33" t="str">
        <x:v>connected</x:v>
      </x:c>
      <x:c r="G458" s="50" t="n">
        <x:v>6</x:v>
      </x:c>
      <x:c r="H458" s="50" t="n">
        <x:v>18</x:v>
      </x:c>
      <x:c r="I458" s="44" t="str">
        <x:v>06.18</x:v>
      </x:c>
      <x:c r="J458" s="33" t="str">
        <x:v>Full Court Press</x:v>
      </x:c>
      <x:c r="K458" s="33" t="str"/>
      <x:c r="L458" s="33" t="str"/>
      <x:c r="M458" s="44" t="str"/>
      <x:c r="N458" s="50" t="n">
        <x:v>45</x:v>
      </x:c>
      <x:c r="O458" s="53" t="str">
        <x:v>Munch and Gharty probe the death of a high-school athlete who appeared to have everything going for him. Pembleton and Bayliss have only one lead to a potential suspect, a pager number; however, Bayliss has a plan that should lead to the apprehension of their suspect. Kellerman and Ballard get a case with a drug dealer that Kellerman is less than enthusiastic to work. The victim is one of Georgia Rae Mahoney's lieutenants and there are four other unsolved murders in the last two weeks where the victims were members of the Mahoney organization. Pembleton and Bayliss apprehend the wrong suspect, but the fact the suspect was trafficking 200 Kg of narcotics gets them a commendation. Meanwhile, using the information provided to him by Falsone, Lewis has had members of the Mahoney organization under surveillance. Is Lewis involved in these murders? Kellerman receives some good news for a change; passing a tape of his conversation with Judge Gibbons onto the FBI won't be necessary. The FBI is</x:v>
      </x:c>
      <x:c r="P458" s="53" t="str">
        <x:v>Direct crossover with Law &amp; Order; Munch bridge to SVU</x:v>
      </x:c>
      <x:c r="Q458" s="17" t="str">
        <x:v>320072</x:v>
      </x:c>
      <x:c r="R458" s="17" t="str">
        <x:v>tt0604372</x:v>
      </x:c>
      <x:c r="S458" s="17" t="str">
        <x:v>309</x:v>
      </x:c>
    </x:row>
    <x:row r="459">
      <x:c r="A459" s="43" t="n">
        <x:v>455</x:v>
      </x:c>
      <x:c r="B459" s="44" t="str">
        <x:v>Not Started</x:v>
      </x:c>
      <x:c r="C459" s="45" t="n">
        <x:v>35895</x:v>
      </x:c>
      <x:c r="D459" s="33" t="str">
        <x:v>Players</x:v>
      </x:c>
      <x:c r="E459" s="33" t="str">
        <x:v>Crossover Adjacent</x:v>
      </x:c>
      <x:c r="F459" s="33" t="str">
        <x:v>complete</x:v>
      </x:c>
      <x:c r="G459" s="50" t="n">
        <x:v>1</x:v>
      </x:c>
      <x:c r="H459" s="50" t="n">
        <x:v>17</x:v>
      </x:c>
      <x:c r="I459" s="44" t="str">
        <x:v>01.17</x:v>
      </x:c>
      <x:c r="J459" s="33" t="str">
        <x:v>Conundrum</x:v>
      </x:c>
      <x:c r="K459" s="33" t="str"/>
      <x:c r="L459" s="33" t="str"/>
      <x:c r="M459" s="44" t="str"/>
      <x:c r="N459" s="50" t="n">
        <x:v>60</x:v>
      </x:c>
      <x:c r="O459" s="53" t="str"/>
      <x:c r="P459" s="53" t="str">
        <x:v>Dick Wolf crime drama</x:v>
      </x:c>
      <x:c r="Q459" s="17" t="str">
        <x:v>1617973</x:v>
      </x:c>
      <x:c r="R459" s="17" t="str"/>
      <x:c r="S459" s="17" t="str"/>
    </x:row>
    <x:row r="460">
      <x:c r="A460" s="43" t="n">
        <x:v>456</x:v>
      </x:c>
      <x:c r="B460" s="44" t="str">
        <x:v>Not Started</x:v>
      </x:c>
      <x:c r="C460" s="45" t="n">
        <x:v>35895</x:v>
      </x:c>
      <x:c r="D460" s="33" t="str">
        <x:v>Homicide: Life on the Street</x:v>
      </x:c>
      <x:c r="E460" s="33" t="str">
        <x:v>Law &amp; Order</x:v>
      </x:c>
      <x:c r="F460" s="33" t="str">
        <x:v>connected</x:v>
      </x:c>
      <x:c r="G460" s="50" t="n">
        <x:v>6</x:v>
      </x:c>
      <x:c r="H460" s="50" t="n">
        <x:v>19</x:v>
      </x:c>
      <x:c r="I460" s="44" t="str">
        <x:v>06.19</x:v>
      </x:c>
      <x:c r="J460" s="33" t="str">
        <x:v>Strangled, Not Stirred</x:v>
      </x:c>
      <x:c r="K460" s="33" t="str"/>
      <x:c r="L460" s="33" t="str"/>
      <x:c r="M460" s="44" t="str"/>
      <x:c r="N460" s="50" t="n">
        <x:v>45</x:v>
      </x:c>
      <x:c r="O460" s="53" t="str">
        <x:v>Ballard and Gharty investigate the deaths of two single women who were bought drinks by a married couple. The victims were stunned and then strangled. The other detectives receive detailed information that helps them close the open Mahoney drug shootings. Their helpful informant turns out to be Lewis, who has a hearing coming up Ballard and Gharty get their suspect in the box and he claims to be the one to stun the victims, but his wife actually did the strangulation. Ballard is skeptical about the woman's involvement, but the evidence points to the couple.</x:v>
      </x:c>
      <x:c r="P460" s="53" t="str">
        <x:v>Direct crossover with Law &amp; Order; Munch bridge to SVU</x:v>
      </x:c>
      <x:c r="Q460" s="17" t="str">
        <x:v>320073</x:v>
      </x:c>
      <x:c r="R460" s="17" t="str">
        <x:v>tt0604424</x:v>
      </x:c>
      <x:c r="S460" s="17" t="str">
        <x:v>310</x:v>
      </x:c>
    </x:row>
    <x:row r="461">
      <x:c r="A461" s="43" t="n">
        <x:v>457</x:v>
      </x:c>
      <x:c r="B461" s="44" t="str">
        <x:v>Not Started</x:v>
      </x:c>
      <x:c r="C461" s="45" t="n">
        <x:v>35900</x:v>
      </x:c>
      <x:c r="D461" s="33" t="str">
        <x:v>Law &amp; Order</x:v>
      </x:c>
      <x:c r="E461" s="33" t="str">
        <x:v>Law &amp; Order</x:v>
      </x:c>
      <x:c r="F461" s="33" t="str">
        <x:v>core</x:v>
      </x:c>
      <x:c r="G461" s="50" t="n">
        <x:v>8</x:v>
      </x:c>
      <x:c r="H461" s="50" t="n">
        <x:v>18</x:v>
      </x:c>
      <x:c r="I461" s="44" t="str">
        <x:v>08.18</x:v>
      </x:c>
      <x:c r="J461" s="33" t="str">
        <x:v>Stalker</x:v>
      </x:c>
      <x:c r="K461" s="33" t="str"/>
      <x:c r="L461" s="33" t="str"/>
      <x:c r="M461" s="44" t="str"/>
      <x:c r="N461" s="50" t="n">
        <x:v>46</x:v>
      </x:c>
      <x:c r="O461" s="53" t="str">
        <x:v>When a woman is found unconscious at the bottom of her apartment stairs, Briscoe and Curtis must figure out what happened -- before it's too late. In order to make his case, McCoy pits the two detectives against each other in the courtroom.</x:v>
      </x:c>
      <x:c r="P461" s="53" t="str">
        <x:v>Core Law &amp; Order franchise</x:v>
      </x:c>
      <x:c r="Q461" s="17" t="str">
        <x:v>34229</x:v>
      </x:c>
      <x:c r="R461" s="17" t="str">
        <x:v>tt0629433</x:v>
      </x:c>
      <x:c r="S461" s="17" t="str">
        <x:v>311</x:v>
      </x:c>
    </x:row>
    <x:row r="462">
      <x:c r="A462" s="43" t="n">
        <x:v>458</x:v>
      </x:c>
      <x:c r="B462" s="44" t="str">
        <x:v>Not Started</x:v>
      </x:c>
      <x:c r="C462" s="45" t="n">
        <x:v>35902</x:v>
      </x:c>
      <x:c r="D462" s="33" t="str">
        <x:v>Players</x:v>
      </x:c>
      <x:c r="E462" s="33" t="str">
        <x:v>Crossover Adjacent</x:v>
      </x:c>
      <x:c r="F462" s="33" t="str">
        <x:v>complete</x:v>
      </x:c>
      <x:c r="G462" s="50" t="n">
        <x:v>1</x:v>
      </x:c>
      <x:c r="H462" s="50" t="n">
        <x:v>18</x:v>
      </x:c>
      <x:c r="I462" s="44" t="str">
        <x:v>01.18</x:v>
      </x:c>
      <x:c r="J462" s="33" t="str">
        <x:v>Con Vivants</x:v>
      </x:c>
      <x:c r="K462" s="33" t="str"/>
      <x:c r="L462" s="33" t="str"/>
      <x:c r="M462" s="44" t="str"/>
      <x:c r="N462" s="50" t="n">
        <x:v>60</x:v>
      </x:c>
      <x:c r="O462" s="53" t="str"/>
      <x:c r="P462" s="53" t="str">
        <x:v>Dick Wolf crime drama</x:v>
      </x:c>
      <x:c r="Q462" s="17" t="str">
        <x:v>1617977</x:v>
      </x:c>
      <x:c r="R462" s="17" t="str"/>
      <x:c r="S462" s="17" t="str"/>
    </x:row>
    <x:row r="463">
      <x:c r="A463" s="43" t="n">
        <x:v>459</x:v>
      </x:c>
      <x:c r="B463" s="44" t="str">
        <x:v>Not Started</x:v>
      </x:c>
      <x:c r="C463" s="45" t="n">
        <x:v>35902</x:v>
      </x:c>
      <x:c r="D463" s="33" t="str">
        <x:v>Homicide: Life on the Street</x:v>
      </x:c>
      <x:c r="E463" s="33" t="str">
        <x:v>Law &amp; Order</x:v>
      </x:c>
      <x:c r="F463" s="33" t="str">
        <x:v>connected</x:v>
      </x:c>
      <x:c r="G463" s="50" t="n">
        <x:v>6</x:v>
      </x:c>
      <x:c r="H463" s="50" t="n">
        <x:v>20</x:v>
      </x:c>
      <x:c r="I463" s="44" t="str">
        <x:v>06.20</x:v>
      </x:c>
      <x:c r="J463" s="33" t="str">
        <x:v>Secrets</x:v>
      </x:c>
      <x:c r="K463" s="33" t="str"/>
      <x:c r="L463" s="33" t="str"/>
      <x:c r="M463" s="44" t="str"/>
      <x:c r="N463" s="50" t="n">
        <x:v>45</x:v>
      </x:c>
      <x:c r="O463" s="53" t="str">
        <x:v>Ballard and Munch catch a case involving the death of a prominent businesswoman. Pembleton and Bayliss catch a similar case. Both deaths might be the suicides they appear to be, but as the detectives begin their investigations the facts reveal otherwise. Lewis attends his disciplinary hearing and receives his punishment and is allowed to return to duty in the Homicide unit. Falsone and Lewis investigate another Mahoney related death. The situation within the Mahoney organization may be getting out of control as jury selection begins in the civil suit. The judge dismisses the civil suit, just as he told Kellerman tbat he would. Kellerman confronts him after the trial about the FBI's investigation in front of several witnesses. Bayliss joins Ballard for dinner and he reveals some of his secrets.</x:v>
      </x:c>
      <x:c r="P463" s="53" t="str">
        <x:v>Direct crossover with Law &amp; Order; Munch bridge to SVU</x:v>
      </x:c>
      <x:c r="Q463" s="17" t="str">
        <x:v>320074</x:v>
      </x:c>
      <x:c r="R463" s="17" t="str">
        <x:v>tt0604409</x:v>
      </x:c>
      <x:c r="S463" s="17" t="str">
        <x:v>312</x:v>
      </x:c>
    </x:row>
    <x:row r="464">
      <x:c r="A464" s="43" t="n">
        <x:v>460</x:v>
      </x:c>
      <x:c r="B464" s="44" t="str">
        <x:v>Not Started</x:v>
      </x:c>
      <x:c r="C464" s="45" t="n">
        <x:v>35907</x:v>
      </x:c>
      <x:c r="D464" s="33" t="str">
        <x:v>Law &amp; Order</x:v>
      </x:c>
      <x:c r="E464" s="33" t="str">
        <x:v>Law &amp; Order</x:v>
      </x:c>
      <x:c r="F464" s="33" t="str">
        <x:v>core</x:v>
      </x:c>
      <x:c r="G464" s="50" t="n">
        <x:v>8</x:v>
      </x:c>
      <x:c r="H464" s="50" t="n">
        <x:v>19</x:v>
      </x:c>
      <x:c r="I464" s="44" t="str">
        <x:v>08.19</x:v>
      </x:c>
      <x:c r="J464" s="33" t="str">
        <x:v>Disappeared</x:v>
      </x:c>
      <x:c r="K464" s="33" t="str"/>
      <x:c r="L464" s="33" t="str"/>
      <x:c r="M464" s="44" t="str"/>
      <x:c r="N464" s="50" t="n">
        <x:v>46</x:v>
      </x:c>
      <x:c r="O464" s="53" t="str">
        <x:v>A defendant refuses to allow his lawyer to raise the issue of insanity, this complicating matters for the brother who turned him in with hopes of securing medical treatment for him.</x:v>
      </x:c>
      <x:c r="P464" s="53" t="str">
        <x:v>Core Law &amp; Order franchise</x:v>
      </x:c>
      <x:c r="Q464" s="17" t="str">
        <x:v>34230</x:v>
      </x:c>
      <x:c r="R464" s="17" t="str">
        <x:v>tt0629238</x:v>
      </x:c>
      <x:c r="S464" s="17" t="str">
        <x:v>313</x:v>
      </x:c>
    </x:row>
    <x:row r="465">
      <x:c r="A465" s="43" t="n">
        <x:v>461</x:v>
      </x:c>
      <x:c r="B465" s="44" t="str">
        <x:v>Not Started</x:v>
      </x:c>
      <x:c r="C465" s="45" t="n">
        <x:v>35909</x:v>
      </x:c>
      <x:c r="D465" s="33" t="str">
        <x:v>Homicide: Life on the Street</x:v>
      </x:c>
      <x:c r="E465" s="33" t="str">
        <x:v>Law &amp; Order</x:v>
      </x:c>
      <x:c r="F465" s="33" t="str">
        <x:v>connected</x:v>
      </x:c>
      <x:c r="G465" s="50" t="n">
        <x:v>6</x:v>
      </x:c>
      <x:c r="H465" s="50" t="n">
        <x:v>21</x:v>
      </x:c>
      <x:c r="I465" s="44" t="str">
        <x:v>06.21</x:v>
      </x:c>
      <x:c r="J465" s="33" t="str">
        <x:v>Finnegan's Wake</x:v>
      </x:c>
      <x:c r="K465" s="33" t="str"/>
      <x:c r="L465" s="33" t="str"/>
      <x:c r="M465" s="44" t="str"/>
      <x:c r="N465" s="50" t="n">
        <x:v>45</x:v>
      </x:c>
      <x:c r="O465" s="53" t="str">
        <x:v>Bayliss suffers from a recurring dream about the Adena Watson, his first homicide case and one that remains unsolved. An elderly man comes to the Homicide unit to confess to Bayliss that his father had committed a murder 66 years ago. Falsone is assigned to the case, only the case file is missing and found to be in the possession of retired homicide detective, Thomas Finnegan. Gee allows Finnegan's request to participate in the reopened investigation. Questioning the elderly man leads to the recovery of the gun that might close the case. Falsone, Finnegan, Lewis and Kellerman celebrate their potential victory as Bayliss recontemplates the Watson case.</x:v>
      </x:c>
      <x:c r="P465" s="53" t="str">
        <x:v>Direct crossover with Law &amp; Order; Munch bridge to SVU</x:v>
      </x:c>
      <x:c r="Q465" s="17" t="str">
        <x:v>320075</x:v>
      </x:c>
      <x:c r="R465" s="17" t="str">
        <x:v>tt0604366</x:v>
      </x:c>
      <x:c r="S465" s="17" t="str">
        <x:v>315</x:v>
      </x:c>
    </x:row>
    <x:row r="466">
      <x:c r="A466" s="43" t="n">
        <x:v>462</x:v>
      </x:c>
      <x:c r="B466" s="44" t="str">
        <x:v>Not Started</x:v>
      </x:c>
      <x:c r="C466" s="45" t="n">
        <x:v>35909</x:v>
      </x:c>
      <x:c r="D466" s="33" t="str">
        <x:v>Law &amp; Order</x:v>
      </x:c>
      <x:c r="E466" s="33" t="str">
        <x:v>Law &amp; Order</x:v>
      </x:c>
      <x:c r="F466" s="33" t="str">
        <x:v>core</x:v>
      </x:c>
      <x:c r="G466" s="50" t="n">
        <x:v>8</x:v>
      </x:c>
      <x:c r="H466" s="50" t="n">
        <x:v>20</x:v>
      </x:c>
      <x:c r="I466" s="44" t="str">
        <x:v>08.20</x:v>
      </x:c>
      <x:c r="J466" s="33" t="str">
        <x:v>Burden</x:v>
      </x:c>
      <x:c r="K466" s="33" t="str"/>
      <x:c r="L466" s="33" t="str"/>
      <x:c r="M466" s="44" t="str"/>
      <x:c r="N466" s="50" t="n">
        <x:v>47</x:v>
      </x:c>
      <x:c r="O466" s="53" t="str">
        <x:v>After a 12-year-old quadriplegic dies at home in his bed, paramedics claim that he was suffocated and the suspects include the boy's parents and sister.</x:v>
      </x:c>
      <x:c r="P466" s="53" t="str">
        <x:v>Core Law &amp; Order franchise</x:v>
      </x:c>
      <x:c r="Q466" s="17" t="str">
        <x:v>34231</x:v>
      </x:c>
      <x:c r="R466" s="17" t="str">
        <x:v>tt0629192</x:v>
      </x:c>
      <x:c r="S466" s="17" t="str">
        <x:v>314</x:v>
      </x:c>
    </x:row>
    <x:row r="467">
      <x:c r="A467" s="43" t="n">
        <x:v>463</x:v>
      </x:c>
      <x:c r="B467" s="44" t="str">
        <x:v>Not Started</x:v>
      </x:c>
      <x:c r="C467" s="45" t="n">
        <x:v>35914</x:v>
      </x:c>
      <x:c r="D467" s="33" t="str">
        <x:v>Law &amp; Order</x:v>
      </x:c>
      <x:c r="E467" s="33" t="str">
        <x:v>Law &amp; Order</x:v>
      </x:c>
      <x:c r="F467" s="33" t="str">
        <x:v>core</x:v>
      </x:c>
      <x:c r="G467" s="50" t="n">
        <x:v>8</x:v>
      </x:c>
      <x:c r="H467" s="50" t="n">
        <x:v>21</x:v>
      </x:c>
      <x:c r="I467" s="44" t="str">
        <x:v>08.21</x:v>
      </x:c>
      <x:c r="J467" s="33" t="str">
        <x:v>Bad Girl</x:v>
      </x:c>
      <x:c r="K467" s="33" t="str"/>
      <x:c r="L467" s="33" t="str"/>
      <x:c r="M467" s="44" t="str"/>
      <x:c r="N467" s="50" t="n">
        <x:v>47</x:v>
      </x:c>
      <x:c r="O467" s="53" t="str">
        <x:v>Schiff's re-election may hinge on the stabbing death of a police officer; Briscoe's daughter is arrested for dealing drugs.</x:v>
      </x:c>
      <x:c r="P467" s="53" t="str">
        <x:v>Core Law &amp; Order franchise</x:v>
      </x:c>
      <x:c r="Q467" s="17" t="str">
        <x:v>34232</x:v>
      </x:c>
      <x:c r="R467" s="17" t="str">
        <x:v>tt0629169</x:v>
      </x:c>
      <x:c r="S467" s="17" t="str">
        <x:v>316</x:v>
      </x:c>
    </x:row>
    <x:row r="468">
      <x:c r="A468" s="43" t="n">
        <x:v>464</x:v>
      </x:c>
      <x:c r="B468" s="44" t="str">
        <x:v>Not Started</x:v>
      </x:c>
      <x:c r="C468" s="45" t="n">
        <x:v>35916</x:v>
      </x:c>
      <x:c r="D468" s="33" t="str">
        <x:v>Homicide: Life on the Street</x:v>
      </x:c>
      <x:c r="E468" s="33" t="str">
        <x:v>Law &amp; Order</x:v>
      </x:c>
      <x:c r="F468" s="33" t="str">
        <x:v>connected</x:v>
      </x:c>
      <x:c r="G468" s="50" t="n">
        <x:v>6</x:v>
      </x:c>
      <x:c r="H468" s="50" t="n">
        <x:v>22</x:v>
      </x:c>
      <x:c r="I468" s="44" t="str">
        <x:v>06.22</x:v>
      </x:c>
      <x:c r="J468" s="33" t="str">
        <x:v>Fallen Heroes (1)</x:v>
      </x:c>
      <x:c r="K468" s="33" t="str"/>
      <x:c r="L468" s="33" t="str"/>
      <x:c r="M468" s="44" t="str"/>
      <x:c r="N468" s="50" t="n">
        <x:v>45</x:v>
      </x:c>
      <x:c r="O468" s="53" t="str">
        <x:v>Judge Gibbons has been stabbed. On their way to the crime scene, Bayliss and Pembleton talk about a book that Bayliss is reading, then Pembleton wonders if anyone would ever write a book about their Homicide unit. A probation officer is murdered in a drive-by shooting. The FBI gets involved with investigation of the Gibbons death. Agent Bauer mentions to Bayliss that Kellerman's confrontation with Gibbons probably got the judge killed. He wants Kellerman clear of the case. A fingerprint lifted from the Gibbons' crime scene points to Georgia Rae's son, Junior Bunk. Falsone and Stivers get a lead on their probation officer shooting case. As Junior Bunk is brought in for questioning, he eyeballs a handgun being put in a drawer. Pembleton and Bayliss get Junior in the box and he is no longer able to be intimidated. While waiting to be transferred to central booking, Kellerman, Lewis &amp; Gharty harass Junior. Slightly freed up to make a phone call, Junior gets the gun out of the desk and begi</x:v>
      </x:c>
      <x:c r="P468" s="53" t="str">
        <x:v>Direct crossover with Law &amp; Order; Munch bridge to SVU</x:v>
      </x:c>
      <x:c r="Q468" s="17" t="str">
        <x:v>320076</x:v>
      </x:c>
      <x:c r="R468" s="17" t="str">
        <x:v>tt0604364</x:v>
      </x:c>
      <x:c r="S468" s="17" t="str">
        <x:v>317</x:v>
      </x:c>
    </x:row>
    <x:row r="469">
      <x:c r="A469" s="43" t="n">
        <x:v>465</x:v>
      </x:c>
      <x:c r="B469" s="44" t="str">
        <x:v>Not Started</x:v>
      </x:c>
      <x:c r="C469" s="45" t="n">
        <x:v>35921</x:v>
      </x:c>
      <x:c r="D469" s="33" t="str">
        <x:v>Law &amp; Order</x:v>
      </x:c>
      <x:c r="E469" s="33" t="str">
        <x:v>Law &amp; Order</x:v>
      </x:c>
      <x:c r="F469" s="33" t="str">
        <x:v>core</x:v>
      </x:c>
      <x:c r="G469" s="50" t="n">
        <x:v>8</x:v>
      </x:c>
      <x:c r="H469" s="50" t="n">
        <x:v>22</x:v>
      </x:c>
      <x:c r="I469" s="44" t="str">
        <x:v>08.22</x:v>
      </x:c>
      <x:c r="J469" s="33" t="str">
        <x:v>Damaged</x:v>
      </x:c>
      <x:c r="K469" s="33" t="str"/>
      <x:c r="L469" s="33" t="str"/>
      <x:c r="M469" s="44" t="str"/>
      <x:c r="N469" s="50" t="n">
        <x:v>47</x:v>
      </x:c>
      <x:c r="O469" s="53" t="str">
        <x:v>The case of a teacher's shooting uncovers a vendetta involving the rape of a mentally challenged coed by three students, whose attorney claims they weren't aware of her condition.</x:v>
      </x:c>
      <x:c r="P469" s="53" t="str">
        <x:v>Core Law &amp; Order franchise</x:v>
      </x:c>
      <x:c r="Q469" s="17" t="str">
        <x:v>34233</x:v>
      </x:c>
      <x:c r="R469" s="17" t="str">
        <x:v>tt0629229</x:v>
      </x:c>
      <x:c r="S469" s="17" t="str">
        <x:v>318</x:v>
      </x:c>
    </x:row>
    <x:row r="470">
      <x:c r="A470" s="43" t="n">
        <x:v>466</x:v>
      </x:c>
      <x:c r="B470" s="44" t="str">
        <x:v>Not Started</x:v>
      </x:c>
      <x:c r="C470" s="45" t="n">
        <x:v>35923</x:v>
      </x:c>
      <x:c r="D470" s="33" t="str">
        <x:v>Homicide: Life on the Street</x:v>
      </x:c>
      <x:c r="E470" s="33" t="str">
        <x:v>Law &amp; Order</x:v>
      </x:c>
      <x:c r="F470" s="33" t="str">
        <x:v>connected</x:v>
      </x:c>
      <x:c r="G470" s="50" t="n">
        <x:v>6</x:v>
      </x:c>
      <x:c r="H470" s="50" t="n">
        <x:v>23</x:v>
      </x:c>
      <x:c r="I470" s="44" t="str">
        <x:v>06.23</x:v>
      </x:c>
      <x:c r="J470" s="33" t="str">
        <x:v>Fallen Heroes (2)</x:v>
      </x:c>
      <x:c r="K470" s="33" t="str"/>
      <x:c r="L470" s="33" t="str"/>
      <x:c r="M470" s="44" t="str"/>
      <x:c r="N470" s="50" t="n">
        <x:v>45</x:v>
      </x:c>
      <x:c r="O470" s="53" t="str">
        <x:v>The search for Georgia Rae and the war against her organization begin. Stivers, uncomfortable with the whole situation tells Gee about the Luther Mahoney shooting. Ballard and Gharty begin to deal with their recovery. A lead on Georgia Rae's whereabouts is uncovered. During the assault on the building, Georgia Rae's body is found and Bayliss takes a bullet that would have hit Pembleton. Gee asks Pembleton to get to heart of the Luther Mahoney shooting that started it all. Pembleton and Falsone start with Lewis and then they move onto Kellerman. The truth about the shooting comes out and Kellerman claims sole responsibility, Pembleton asks him for his badge. To protect Stivers and Lewis from prosecution, Kellerman resigns. Feeling remorse for the hesitation that caused Bayliss to take a bullet for him and with Gee's plans to cover-up the truth about the Luther Mahoney shooting, Pembleton decides it is time to resign.</x:v>
      </x:c>
      <x:c r="P470" s="53" t="str">
        <x:v>Direct crossover with Law &amp; Order; Munch bridge to SVU</x:v>
      </x:c>
      <x:c r="Q470" s="17" t="str">
        <x:v>320077</x:v>
      </x:c>
      <x:c r="R470" s="17" t="str">
        <x:v>tt0604365</x:v>
      </x:c>
      <x:c r="S470" s="17" t="str">
        <x:v>319</x:v>
      </x:c>
    </x:row>
    <x:row r="471">
      <x:c r="A471" s="43" t="n">
        <x:v>467</x:v>
      </x:c>
      <x:c r="B471" s="44" t="str">
        <x:v>Not Started</x:v>
      </x:c>
      <x:c r="C471" s="45" t="n">
        <x:v>35928</x:v>
      </x:c>
      <x:c r="D471" s="33" t="str">
        <x:v>Law &amp; Order</x:v>
      </x:c>
      <x:c r="E471" s="33" t="str">
        <x:v>Law &amp; Order</x:v>
      </x:c>
      <x:c r="F471" s="33" t="str">
        <x:v>core</x:v>
      </x:c>
      <x:c r="G471" s="50" t="n">
        <x:v>8</x:v>
      </x:c>
      <x:c r="H471" s="50" t="n">
        <x:v>23</x:v>
      </x:c>
      <x:c r="I471" s="44" t="str">
        <x:v>08.23</x:v>
      </x:c>
      <x:c r="J471" s="33" t="str">
        <x:v>Tabloid</x:v>
      </x:c>
      <x:c r="K471" s="33" t="str"/>
      <x:c r="L471" s="33" t="str"/>
      <x:c r="M471" s="44" t="str"/>
      <x:c r="N471" s="50" t="n">
        <x:v>45</x:v>
      </x:c>
      <x:c r="O471" s="53" t="str">
        <x:v>Tabloid journalism comes under scrutiny during the investigations into the deaths of a gossip columnist and a celebrity target he pursued.</x:v>
      </x:c>
      <x:c r="P471" s="53" t="str">
        <x:v>Core Law &amp; Order franchise</x:v>
      </x:c>
      <x:c r="Q471" s="17" t="str">
        <x:v>34234</x:v>
      </x:c>
      <x:c r="R471" s="17" t="str">
        <x:v>tt0629447</x:v>
      </x:c>
      <x:c r="S471" s="17" t="str">
        <x:v>320</x:v>
      </x:c>
    </x:row>
    <x:row r="472">
      <x:c r="A472" s="43" t="n">
        <x:v>468</x:v>
      </x:c>
      <x:c r="B472" s="44" t="str">
        <x:v>Not Started</x:v>
      </x:c>
      <x:c r="C472" s="45" t="n">
        <x:v>35935</x:v>
      </x:c>
      <x:c r="D472" s="33" t="str">
        <x:v>Law &amp; Order</x:v>
      </x:c>
      <x:c r="E472" s="33" t="str">
        <x:v>Law &amp; Order</x:v>
      </x:c>
      <x:c r="F472" s="33" t="str">
        <x:v>core</x:v>
      </x:c>
      <x:c r="G472" s="50" t="n">
        <x:v>8</x:v>
      </x:c>
      <x:c r="H472" s="50" t="n">
        <x:v>24</x:v>
      </x:c>
      <x:c r="I472" s="44" t="str">
        <x:v>08.24</x:v>
      </x:c>
      <x:c r="J472" s="33" t="str">
        <x:v>Monster</x:v>
      </x:c>
      <x:c r="K472" s="33" t="str"/>
      <x:c r="L472" s="33" t="str"/>
      <x:c r="M472" s="44" t="str"/>
      <x:c r="N472" s="50" t="n">
        <x:v>47</x:v>
      </x:c>
      <x:c r="O472" s="53" t="str">
        <x:v>During the search for a pedophile who raped a 10-year-old, a snitch offers Briscoe a chance to avenge his daughter's death. Meanwhile, Van Buren learns that her job is in jeopardy; McCoy is ordered to appear before a disciplinary committee because of his conduct in a DUI case; and the increasingly political Schiff worries that the rape case may adversely impact his reelection bid.</x:v>
      </x:c>
      <x:c r="P472" s="53" t="str">
        <x:v>Core Law &amp; Order franchise</x:v>
      </x:c>
      <x:c r="Q472" s="17" t="str">
        <x:v>34235</x:v>
      </x:c>
      <x:c r="R472" s="17" t="str">
        <x:v>tt0629345</x:v>
      </x:c>
      <x:c r="S472" s="17" t="str">
        <x:v>321</x:v>
      </x:c>
    </x:row>
    <x:row r="473">
      <x:c r="A473" s="43" t="n">
        <x:v>469</x:v>
      </x:c>
      <x:c r="B473" s="44" t="str">
        <x:v>Not Started</x:v>
      </x:c>
      <x:c r="C473" s="45" t="n">
        <x:v>35943</x:v>
      </x:c>
      <x:c r="D473" s="33" t="str">
        <x:v>New York Undercover</x:v>
      </x:c>
      <x:c r="E473" s="33" t="str">
        <x:v>Law &amp; Order</x:v>
      </x:c>
      <x:c r="F473" s="33" t="str">
        <x:v>connected</x:v>
      </x:c>
      <x:c r="G473" s="50" t="n">
        <x:v>4</x:v>
      </x:c>
      <x:c r="H473" s="50" t="n">
        <x:v>9</x:v>
      </x:c>
      <x:c r="I473" s="44" t="str">
        <x:v>04.09</x:v>
      </x:c>
      <x:c r="J473" s="33" t="str">
        <x:v>The Unusual Suspects</x:v>
      </x:c>
      <x:c r="K473" s="33" t="str"/>
      <x:c r="L473" s="33" t="str"/>
      <x:c r="M473" s="44" t="str"/>
      <x:c r="N473" s="50" t="n">
        <x:v>44</x:v>
      </x:c>
      <x:c r="O473" s="53" t="str">
        <x:v>Nell's ex husband comes back and ask's Nell for protection from the mob. Nina and J.C. become close.</x:v>
      </x:c>
      <x:c r="P473" s="53" t="str">
        <x:v>Wolf-produced New York police drama; crossover-adjacent to the Law &amp; Order era</x:v>
      </x:c>
      <x:c r="Q473" s="17" t="str">
        <x:v>291071</x:v>
      </x:c>
      <x:c r="R473" s="17" t="str"/>
      <x:c r="S473" s="17" t="str">
        <x:v>322</x:v>
      </x:c>
    </x:row>
    <x:row r="474">
      <x:c r="A474" s="43" t="n">
        <x:v>470</x:v>
      </x:c>
      <x:c r="B474" s="44" t="str">
        <x:v>Not Started</x:v>
      </x:c>
      <x:c r="C474" s="45" t="n">
        <x:v>35947</x:v>
      </x:c>
      <x:c r="D474" s="33" t="str">
        <x:v>The Invisible Man</x:v>
      </x:c>
      <x:c r="E474" s="33" t="str">
        <x:v>Wolf Specials</x:v>
      </x:c>
      <x:c r="F474" s="33" t="str">
        <x:v>complete</x:v>
      </x:c>
      <x:c r="G474" s="50" t="n">
        <x:v>0</x:v>
      </x:c>
      <x:c r="H474" s="50" t="n">
        <x:v>1</x:v>
      </x:c>
      <x:c r="I474" s="44" t="str">
        <x:v>MOVIE</x:v>
      </x:c>
      <x:c r="J474" s="33" t="str">
        <x:v>The Invisible Man</x:v>
      </x:c>
      <x:c r="K474" s="33" t="str">
        <x:v>Unaired pilot</x:v>
      </x:c>
      <x:c r="L474" s="33" t="str">
        <x:v>Unproduced-series pilot</x:v>
      </x:c>
      <x:c r="M474" s="44" t="str"/>
      <x:c r="N474" s="50" t="n">
        <x:v>45</x:v>
      </x:c>
      <x:c r="O474" s="53" t="str">
        <x:v>A government agent becomes invisible after an experimental accident and is drawn into a covert case.</x:v>
      </x:c>
      <x:c r="P474" s="53" t="str">
        <x:v>1998 Dick Wolf-produced television movie / unaired pilot; the unrelated 2000 series is excluded.</x:v>
      </x:c>
      <x:c r="Q474" s="17" t="str">
        <x:v>1228600</x:v>
      </x:c>
      <x:c r="R474" s="17" t="str">
        <x:v>tt0275427</x:v>
      </x:c>
      <x:c r="S474" s="17" t="str">
        <x:v>https://variety.com/1998/voices/columns/wolf-s-disappearing-act-two-hour-sein-off-1117467116/</x:v>
      </x:c>
    </x:row>
    <x:row r="475">
      <x:c r="A475" s="43" t="n">
        <x:v>471</x:v>
      </x:c>
      <x:c r="B475" s="44" t="str">
        <x:v>Not Started</x:v>
      </x:c>
      <x:c r="C475" s="45" t="n">
        <x:v>35950</x:v>
      </x:c>
      <x:c r="D475" s="33" t="str">
        <x:v>New York Undercover</x:v>
      </x:c>
      <x:c r="E475" s="33" t="str">
        <x:v>Law &amp; Order</x:v>
      </x:c>
      <x:c r="F475" s="33" t="str">
        <x:v>connected</x:v>
      </x:c>
      <x:c r="G475" s="50" t="n">
        <x:v>4</x:v>
      </x:c>
      <x:c r="H475" s="50" t="n">
        <x:v>10</x:v>
      </x:c>
      <x:c r="I475" s="44" t="str">
        <x:v>04.10</x:v>
      </x:c>
      <x:c r="J475" s="33" t="str">
        <x:v>Sign o' the Times</x:v>
      </x:c>
      <x:c r="K475" s="33" t="str"/>
      <x:c r="L475" s="33" t="str"/>
      <x:c r="M475" s="44" t="str"/>
      <x:c r="N475" s="50" t="n">
        <x:v>45</x:v>
      </x:c>
      <x:c r="O475" s="53" t="str">
        <x:v>Lt. Barker gets involved in a bank robery.  G cathes Nina and J.C. in bed together.</x:v>
      </x:c>
      <x:c r="P475" s="53" t="str">
        <x:v>Wolf-produced New York police drama; crossover-adjacent to the Law &amp; Order era</x:v>
      </x:c>
      <x:c r="Q475" s="17" t="str">
        <x:v>291072</x:v>
      </x:c>
      <x:c r="R475" s="17" t="str">
        <x:v>tt0659837</x:v>
      </x:c>
      <x:c r="S475" s="17" t="str">
        <x:v>323</x:v>
      </x:c>
    </x:row>
    <x:row r="476">
      <x:c r="A476" s="43" t="n">
        <x:v>472</x:v>
      </x:c>
      <x:c r="B476" s="44" t="str">
        <x:v>Not Started</x:v>
      </x:c>
      <x:c r="C476" s="45" t="n">
        <x:v>35957</x:v>
      </x:c>
      <x:c r="D476" s="33" t="str">
        <x:v>New York Undercover</x:v>
      </x:c>
      <x:c r="E476" s="33" t="str">
        <x:v>Law &amp; Order</x:v>
      </x:c>
      <x:c r="F476" s="33" t="str">
        <x:v>connected</x:v>
      </x:c>
      <x:c r="G476" s="50" t="n">
        <x:v>4</x:v>
      </x:c>
      <x:c r="H476" s="50" t="n">
        <x:v>11</x:v>
      </x:c>
      <x:c r="I476" s="44" t="str">
        <x:v>04.11</x:v>
      </x:c>
      <x:c r="J476" s="33" t="str">
        <x:v>Going Native</x:v>
      </x:c>
      <x:c r="K476" s="33" t="str"/>
      <x:c r="L476" s="33" t="str"/>
      <x:c r="M476" s="44" t="str"/>
      <x:c r="N476" s="50" t="n">
        <x:v>45</x:v>
      </x:c>
      <x:c r="O476" s="53" t="str">
        <x:v>Nina and Stone go undercover as owners of a garbage company.  Nina and J.C. deal with their emotions of sleeping together and G catching them.</x:v>
      </x:c>
      <x:c r="P476" s="53" t="str">
        <x:v>Wolf-produced New York police drama; crossover-adjacent to the Law &amp; Order era</x:v>
      </x:c>
      <x:c r="Q476" s="17" t="str">
        <x:v>291073</x:v>
      </x:c>
      <x:c r="R476" s="17" t="str">
        <x:v>tt0659808</x:v>
      </x:c>
      <x:c r="S476" s="17" t="str">
        <x:v>324</x:v>
      </x:c>
    </x:row>
    <x:row r="477">
      <x:c r="A477" s="43" t="n">
        <x:v>473</x:v>
      </x:c>
      <x:c r="B477" s="44" t="str">
        <x:v>Not Started</x:v>
      </x:c>
      <x:c r="C477" s="45" t="n">
        <x:v>35971</x:v>
      </x:c>
      <x:c r="D477" s="33" t="str">
        <x:v>New York Undercover</x:v>
      </x:c>
      <x:c r="E477" s="33" t="str">
        <x:v>Law &amp; Order</x:v>
      </x:c>
      <x:c r="F477" s="33" t="str">
        <x:v>connected</x:v>
      </x:c>
      <x:c r="G477" s="50" t="n">
        <x:v>4</x:v>
      </x:c>
      <x:c r="H477" s="50" t="n">
        <x:v>12</x:v>
      </x:c>
      <x:c r="I477" s="44" t="str">
        <x:v>04.12</x:v>
      </x:c>
      <x:c r="J477" s="33" t="str">
        <x:v>The Troubles</x:v>
      </x:c>
      <x:c r="K477" s="33" t="str"/>
      <x:c r="L477" s="33" t="str"/>
      <x:c r="M477" s="44" t="str"/>
      <x:c r="N477" s="50" t="n">
        <x:v>45</x:v>
      </x:c>
      <x:c r="O477" s="53" t="str">
        <x:v>When a woman becomes a fugitive, Nina uses her only resource to help find her, her daughter.  Stone's life becomes threatened.</x:v>
      </x:c>
      <x:c r="P477" s="53" t="str">
        <x:v>Wolf-produced New York police drama; crossover-adjacent to the Law &amp; Order era</x:v>
      </x:c>
      <x:c r="Q477" s="17" t="str">
        <x:v>291074</x:v>
      </x:c>
      <x:c r="R477" s="17" t="str">
        <x:v>tt0659855</x:v>
      </x:c>
      <x:c r="S477" s="17" t="str">
        <x:v>325</x:v>
      </x:c>
    </x:row>
    <x:row r="478">
      <x:c r="A478" s="43" t="n">
        <x:v>474</x:v>
      </x:c>
      <x:c r="B478" s="44" t="str">
        <x:v>Not Started</x:v>
      </x:c>
      <x:c r="C478" s="45" t="n">
        <x:v>36061</x:v>
      </x:c>
      <x:c r="D478" s="33" t="str">
        <x:v>Law &amp; Order</x:v>
      </x:c>
      <x:c r="E478" s="33" t="str">
        <x:v>Law &amp; Order</x:v>
      </x:c>
      <x:c r="F478" s="33" t="str">
        <x:v>core</x:v>
      </x:c>
      <x:c r="G478" s="50" t="n">
        <x:v>9</x:v>
      </x:c>
      <x:c r="H478" s="50" t="n">
        <x:v>1</x:v>
      </x:c>
      <x:c r="I478" s="44" t="str">
        <x:v>09.01</x:v>
      </x:c>
      <x:c r="J478" s="33" t="str">
        <x:v>Cherished</x:v>
      </x:c>
      <x:c r="K478" s="33" t="str"/>
      <x:c r="L478" s="33" t="str"/>
      <x:c r="M478" s="44" t="str"/>
      <x:c r="N478" s="50" t="n">
        <x:v>46</x:v>
      </x:c>
      <x:c r="O478" s="53" t="str">
        <x:v>The investigation into a girl's death reveals secrets the adoptive family was desperately trying to hide.</x:v>
      </x:c>
      <x:c r="P478" s="53" t="str">
        <x:v>Core Law &amp; Order franchise</x:v>
      </x:c>
      <x:c r="Q478" s="17" t="str">
        <x:v>34236</x:v>
      </x:c>
      <x:c r="R478" s="17" t="str">
        <x:v>tt0629204</x:v>
      </x:c>
      <x:c r="S478" s="17" t="str">
        <x:v>327</x:v>
      </x:c>
    </x:row>
    <x:row r="479">
      <x:c r="A479" s="43" t="n">
        <x:v>475</x:v>
      </x:c>
      <x:c r="B479" s="44" t="str">
        <x:v>Not Started</x:v>
      </x:c>
      <x:c r="C479" s="45" t="n">
        <x:v>36063</x:v>
      </x:c>
      <x:c r="D479" s="33" t="str">
        <x:v>Homicide: Life on the Street</x:v>
      </x:c>
      <x:c r="E479" s="33" t="str">
        <x:v>Law &amp; Order</x:v>
      </x:c>
      <x:c r="F479" s="33" t="str">
        <x:v>connected</x:v>
      </x:c>
      <x:c r="G479" s="50" t="n">
        <x:v>7</x:v>
      </x:c>
      <x:c r="H479" s="50" t="n">
        <x:v>1</x:v>
      </x:c>
      <x:c r="I479" s="44" t="str">
        <x:v>07.01</x:v>
      </x:c>
      <x:c r="J479" s="33" t="str">
        <x:v>La Famiglia</x:v>
      </x:c>
      <x:c r="K479" s="33" t="str"/>
      <x:c r="L479" s="33" t="str"/>
      <x:c r="M479" s="44" t="str"/>
      <x:c r="N479" s="50" t="n">
        <x:v>45</x:v>
      </x:c>
      <x:c r="O479" s="53" t="str">
        <x:v>Bayliss returns to duty to discover the bosses have renovated the squad room in an attempt to make everyone forget the tragedy of last May. Gharty and Ballard have also returned and Ballard debates about whether she should ask Falsone to the Lodge party. New detective, Rene Sheppard, tells her just to go for it. Seizing the opportunity, Lewis goes for it and asks Sheppard to the party; it seems that he and Barbara have separated and are on their way to divorce. Meanwhile, Falsone speculates if he should ask Sheppard to the party. The first case Bayliss catches, now partnered with Munch, involves the dismembered body of Angelo Faltislo, a friend of Gee's cousin, Mario Giardello. Stivers and Falsone's case is similar: Leo Grimaldi, another friend of Mario, is also found dead. When Gee goes to question cousin Mario, he finds Mario's body in the same condition as that of his friends. Gee's estranged son, Mike Giardello, an FBI agent in Arizona, returns for the funeral. Mike asks Falsone (w</x:v>
      </x:c>
      <x:c r="P479" s="53" t="str">
        <x:v>Direct crossover with Law &amp; Order; Munch bridge to SVU</x:v>
      </x:c>
      <x:c r="Q479" s="17" t="str">
        <x:v>320078</x:v>
      </x:c>
      <x:c r="R479" s="17" t="str">
        <x:v>tt0604391</x:v>
      </x:c>
      <x:c r="S479" s="17" t="str">
        <x:v>328</x:v>
      </x:c>
    </x:row>
    <x:row r="480">
      <x:c r="A480" s="43" t="n">
        <x:v>476</x:v>
      </x:c>
      <x:c r="B480" s="44" t="str">
        <x:v>Not Started</x:v>
      </x:c>
      <x:c r="C480" s="45" t="n">
        <x:v>36075</x:v>
      </x:c>
      <x:c r="D480" s="33" t="str">
        <x:v>Law &amp; Order</x:v>
      </x:c>
      <x:c r="E480" s="33" t="str">
        <x:v>Law &amp; Order</x:v>
      </x:c>
      <x:c r="F480" s="33" t="str">
        <x:v>core</x:v>
      </x:c>
      <x:c r="G480" s="50" t="n">
        <x:v>9</x:v>
      </x:c>
      <x:c r="H480" s="50" t="n">
        <x:v>2</x:v>
      </x:c>
      <x:c r="I480" s="44" t="str">
        <x:v>09.02</x:v>
      </x:c>
      <x:c r="J480" s="33" t="str">
        <x:v>DWB</x:v>
      </x:c>
      <x:c r="K480" s="33" t="str"/>
      <x:c r="L480" s="33" t="str"/>
      <x:c r="M480" s="44" t="str"/>
      <x:c r="N480" s="50" t="n">
        <x:v>46</x:v>
      </x:c>
      <x:c r="O480" s="53" t="str">
        <x:v>Detectives discover a shocking twist involving unlikely suspects when they investigate the brutal beating of a black man dumped near the highway.</x:v>
      </x:c>
      <x:c r="P480" s="53" t="str">
        <x:v>Core Law &amp; Order franchise</x:v>
      </x:c>
      <x:c r="Q480" s="17" t="str">
        <x:v>34237</x:v>
      </x:c>
      <x:c r="R480" s="17" t="str">
        <x:v>tt0629228</x:v>
      </x:c>
      <x:c r="S480" s="17" t="str">
        <x:v>329</x:v>
      </x:c>
    </x:row>
    <x:row r="481">
      <x:c r="A481" s="43" t="n">
        <x:v>477</x:v>
      </x:c>
      <x:c r="B481" s="44" t="str">
        <x:v>Not Started</x:v>
      </x:c>
      <x:c r="C481" s="45" t="n">
        <x:v>36082</x:v>
      </x:c>
      <x:c r="D481" s="33" t="str">
        <x:v>Law &amp; Order</x:v>
      </x:c>
      <x:c r="E481" s="33" t="str">
        <x:v>Law &amp; Order</x:v>
      </x:c>
      <x:c r="F481" s="33" t="str">
        <x:v>core</x:v>
      </x:c>
      <x:c r="G481" s="50" t="n">
        <x:v>9</x:v>
      </x:c>
      <x:c r="H481" s="50" t="n">
        <x:v>3</x:v>
      </x:c>
      <x:c r="I481" s="44" t="str">
        <x:v>09.03</x:v>
      </x:c>
      <x:c r="J481" s="33" t="str">
        <x:v>Bait</x:v>
      </x:c>
      <x:c r="K481" s="33" t="str"/>
      <x:c r="L481" s="33" t="str"/>
      <x:c r="M481" s="44" t="str"/>
      <x:c r="N481" s="50" t="n">
        <x:v>46</x:v>
      </x:c>
      <x:c r="O481" s="53" t="str">
        <x:v>The investigation into how a teen got wounded leads to a case involving a young woman's murder and a drug operation.</x:v>
      </x:c>
      <x:c r="P481" s="53" t="str">
        <x:v>Core Law &amp; Order franchise</x:v>
      </x:c>
      <x:c r="Q481" s="17" t="str">
        <x:v>34238</x:v>
      </x:c>
      <x:c r="R481" s="17" t="str">
        <x:v>tt0629170</x:v>
      </x:c>
      <x:c r="S481" s="17" t="str">
        <x:v>330</x:v>
      </x:c>
    </x:row>
    <x:row r="482">
      <x:c r="A482" s="43" t="n">
        <x:v>478</x:v>
      </x:c>
      <x:c r="B482" s="44" t="str">
        <x:v>Not Started</x:v>
      </x:c>
      <x:c r="C482" s="45" t="n">
        <x:v>36084</x:v>
      </x:c>
      <x:c r="D482" s="33" t="str">
        <x:v>Homicide: Life on the Street</x:v>
      </x:c>
      <x:c r="E482" s="33" t="str">
        <x:v>Law &amp; Order</x:v>
      </x:c>
      <x:c r="F482" s="33" t="str">
        <x:v>connected</x:v>
      </x:c>
      <x:c r="G482" s="50" t="n">
        <x:v>7</x:v>
      </x:c>
      <x:c r="H482" s="50" t="n">
        <x:v>2</x:v>
      </x:c>
      <x:c r="I482" s="44" t="str">
        <x:v>07.02</x:v>
      </x:c>
      <x:c r="J482" s="33" t="str">
        <x:v>Brotherly Love</x:v>
      </x:c>
      <x:c r="K482" s="33" t="str"/>
      <x:c r="L482" s="33" t="str"/>
      <x:c r="M482" s="44" t="str"/>
      <x:c r="N482" s="50" t="n">
        <x:v>45</x:v>
      </x:c>
      <x:c r="O482" s="53" t="str">
        <x:v>Sheppard and Lewis investigate the death of a man who has a twin brother. Gharty talks about wanting to live his life; he and Ballard go to the hospital to investigate the death of a teenager. Bayliss has interest in Sheppard; later he seeks advice from Stivers, who tells him to get in line behind Lewis and Falsone. Lewis and Sheppard interview the remaining twin and his mother; she confirms his story and they try to point to the dead twin's girlfriend. Meanwhile the friend of the teenage victim in Ballard and Gharty's case confesses that his friend wasn't shot in Baltimore, but rather D.C.; he drove his friend back to Baltimore so their parent's wouldn't ""kill them"" for buying drugs in D.C. Gee hopes to get the case moved to D.C. Mike Giardello puts in for his FBI transfer, but the only openings they have in the area are for liaisons to local police departments. He interviews with Gaffney, who is so open to the idea, he can't wait to tell Gee. That's something Mike was going to wait f</x:v>
      </x:c>
      <x:c r="P482" s="53" t="str">
        <x:v>Direct crossover with Law &amp; Order; Munch bridge to SVU</x:v>
      </x:c>
      <x:c r="Q482" s="17" t="str">
        <x:v>320079</x:v>
      </x:c>
      <x:c r="R482" s="17" t="str">
        <x:v>tt0604350</x:v>
      </x:c>
      <x:c r="S482" s="17" t="str">
        <x:v>331</x:v>
      </x:c>
    </x:row>
    <x:row r="483">
      <x:c r="A483" s="43" t="n">
        <x:v>479</x:v>
      </x:c>
      <x:c r="B483" s="44" t="str">
        <x:v>Not Started</x:v>
      </x:c>
      <x:c r="C483" s="45" t="n">
        <x:v>36089</x:v>
      </x:c>
      <x:c r="D483" s="33" t="str">
        <x:v>Law &amp; Order</x:v>
      </x:c>
      <x:c r="E483" s="33" t="str">
        <x:v>Law &amp; Order</x:v>
      </x:c>
      <x:c r="F483" s="33" t="str">
        <x:v>core</x:v>
      </x:c>
      <x:c r="G483" s="50" t="n">
        <x:v>9</x:v>
      </x:c>
      <x:c r="H483" s="50" t="n">
        <x:v>4</x:v>
      </x:c>
      <x:c r="I483" s="44" t="str">
        <x:v>09.04</x:v>
      </x:c>
      <x:c r="J483" s="33" t="str">
        <x:v>Flight</x:v>
      </x:c>
      <x:c r="K483" s="33" t="str"/>
      <x:c r="L483" s="33" t="str"/>
      <x:c r="M483" s="44" t="str"/>
      <x:c r="N483" s="50" t="n">
        <x:v>45</x:v>
      </x:c>
      <x:c r="O483" s="53" t="str">
        <x:v>After a child in a day-care center dies of a virus, Briscoe and Curtis try to find the source of the infection, leading to a case involving an extramarital affair, embezzlement and a drug manufacturer.</x:v>
      </x:c>
      <x:c r="P483" s="53" t="str">
        <x:v>Core Law &amp; Order franchise</x:v>
      </x:c>
      <x:c r="Q483" s="17" t="str">
        <x:v>34239</x:v>
      </x:c>
      <x:c r="R483" s="17" t="str">
        <x:v>tt0629266</x:v>
      </x:c>
      <x:c r="S483" s="17" t="str">
        <x:v>332</x:v>
      </x:c>
    </x:row>
    <x:row r="484">
      <x:c r="A484" s="43" t="n">
        <x:v>480</x:v>
      </x:c>
      <x:c r="B484" s="44" t="str">
        <x:v>Not Started</x:v>
      </x:c>
      <x:c r="C484" s="45" t="n">
        <x:v>36091</x:v>
      </x:c>
      <x:c r="D484" s="33" t="str">
        <x:v>Homicide: Life on the Street</x:v>
      </x:c>
      <x:c r="E484" s="33" t="str">
        <x:v>Law &amp; Order</x:v>
      </x:c>
      <x:c r="F484" s="33" t="str">
        <x:v>connected</x:v>
      </x:c>
      <x:c r="G484" s="50" t="n">
        <x:v>7</x:v>
      </x:c>
      <x:c r="H484" s="50" t="n">
        <x:v>3</x:v>
      </x:c>
      <x:c r="I484" s="44" t="str">
        <x:v>07.03</x:v>
      </x:c>
      <x:c r="J484" s="33" t="str">
        <x:v>Just an Old Fashioned Love Song</x:v>
      </x:c>
      <x:c r="K484" s="33" t="str"/>
      <x:c r="L484" s="33" t="str"/>
      <x:c r="M484" s="44" t="str"/>
      <x:c r="N484" s="50" t="n">
        <x:v>45</x:v>
      </x:c>
      <x:c r="O484" s="53" t="str">
        <x:v>MGee (Mike Giardello) and Ballard investigate a double shooting at the home of a prominent sports doctor and his wife, a dermatologist. The doctor (who was wounded) did not realize the deceased (thought to be a prowler) was his sister-in-law. Munch contends with the IRS; his Waterfront partners want him to make sure that his cousin, their accountant, has been paying their taxes. The Waterfront needs a loan to pay for some improvements. Gharty has taken the day off, to take care of personal matters, like his recent separation from Flora. Munch has his hearing with the IRS; he owes $30,000 in back taxes. Bayliss and Sheppard discuss his sexuality and the possibility of a date. Falsone takes MGee and Ballard to meet an old fight man who knew their doctor. Ballard becomes excited while watching Falsone spar in the ring. MGee and Ballard's investigation lead them right back to the doctor's house, where his wife may be guilty of conspiracy to commit homicide. Gharty stops by the Waterfront t</x:v>
      </x:c>
      <x:c r="P484" s="53" t="str">
        <x:v>Direct crossover with Law &amp; Order; Munch bridge to SVU</x:v>
      </x:c>
      <x:c r="Q484" s="17" t="str">
        <x:v>320080</x:v>
      </x:c>
      <x:c r="R484" s="17" t="str">
        <x:v>tt0604385</x:v>
      </x:c>
      <x:c r="S484" s="17" t="str">
        <x:v>333</x:v>
      </x:c>
    </x:row>
    <x:row r="485">
      <x:c r="A485" s="43" t="n">
        <x:v>481</x:v>
      </x:c>
      <x:c r="B485" s="44" t="str">
        <x:v>Not Started</x:v>
      </x:c>
      <x:c r="C485" s="45" t="n">
        <x:v>36098</x:v>
      </x:c>
      <x:c r="D485" s="33" t="str">
        <x:v>Homicide: Life on the Street</x:v>
      </x:c>
      <x:c r="E485" s="33" t="str">
        <x:v>Law &amp; Order</x:v>
      </x:c>
      <x:c r="F485" s="33" t="str">
        <x:v>connected</x:v>
      </x:c>
      <x:c r="G485" s="50" t="n">
        <x:v>7</x:v>
      </x:c>
      <x:c r="H485" s="50" t="n">
        <x:v>4</x:v>
      </x:c>
      <x:c r="I485" s="44" t="str">
        <x:v>07.04</x:v>
      </x:c>
      <x:c r="J485" s="33" t="str">
        <x:v>The Twenty Percent Solution</x:v>
      </x:c>
      <x:c r="K485" s="33" t="str"/>
      <x:c r="L485" s="33" t="str"/>
      <x:c r="M485" s="44" t="str"/>
      <x:c r="N485" s="50" t="n">
        <x:v>45</x:v>
      </x:c>
      <x:c r="O485" s="53" t="str">
        <x:v>A woman brings to the homicide unit her mystery-writer husband's videotaped declaration that his literary agent is responsible for his murder. Ballard and Gharty catch the case -- only there is no body or crime scene. Meanwhile, Munch and Bayliss investigate the death of an elderly woman that occurred during a break-in -- was it a homicide? Munch would rather leave for his weekend rendezvous with Billie Lou. Ballard and Gharty's investigation becomes a red-ball as they find evidence in the writer's office that a crime was committed. A break leads to the arrest of the literary agent and his accomplice, although Danvers can't guarantee a conviction. Falsone asks Ballard if she would like to go out Saturday night; just then the jury comes back. And a sharp-eyed juror insures that justice is done.</x:v>
      </x:c>
      <x:c r="P485" s="53" t="str">
        <x:v>Direct crossover with Law &amp; Order; Munch bridge to SVU</x:v>
      </x:c>
      <x:c r="Q485" s="17" t="str">
        <x:v>320081</x:v>
      </x:c>
      <x:c r="R485" s="17" t="str">
        <x:v>tt0604437</x:v>
      </x:c>
      <x:c r="S485" s="17" t="str">
        <x:v>334</x:v>
      </x:c>
    </x:row>
    <x:row r="486">
      <x:c r="A486" s="43" t="n">
        <x:v>482</x:v>
      </x:c>
      <x:c r="B486" s="44" t="str">
        <x:v>Not Started</x:v>
      </x:c>
      <x:c r="C486" s="45" t="n">
        <x:v>36103</x:v>
      </x:c>
      <x:c r="D486" s="33" t="str">
        <x:v>Law &amp; Order</x:v>
      </x:c>
      <x:c r="E486" s="33" t="str">
        <x:v>Law &amp; Order</x:v>
      </x:c>
      <x:c r="F486" s="33" t="str">
        <x:v>core</x:v>
      </x:c>
      <x:c r="G486" s="50" t="n">
        <x:v>9</x:v>
      </x:c>
      <x:c r="H486" s="50" t="n">
        <x:v>5</x:v>
      </x:c>
      <x:c r="I486" s="44" t="str">
        <x:v>09.05</x:v>
      </x:c>
      <x:c r="J486" s="33" t="str">
        <x:v>Agony</x:v>
      </x:c>
      <x:c r="K486" s="33" t="str"/>
      <x:c r="L486" s="33" t="str"/>
      <x:c r="M486" s="44" t="str"/>
      <x:c r="N486" s="50" t="n">
        <x:v>46</x:v>
      </x:c>
      <x:c r="O486" s="53" t="str">
        <x:v>After the detectives find a murdered postman and a woman who was left for dead in her apartment, the investigation leads to a serial killer and a surprise.</x:v>
      </x:c>
      <x:c r="P486" s="53" t="str">
        <x:v>Core Law &amp; Order franchise</x:v>
      </x:c>
      <x:c r="Q486" s="17" t="str">
        <x:v>34240</x:v>
      </x:c>
      <x:c r="R486" s="17" t="str">
        <x:v>tt0629149</x:v>
      </x:c>
      <x:c r="S486" s="17" t="str">
        <x:v>335</x:v>
      </x:c>
    </x:row>
    <x:row r="487">
      <x:c r="A487" s="43" t="n">
        <x:v>483</x:v>
      </x:c>
      <x:c r="B487" s="44" t="str">
        <x:v>Not Started</x:v>
      </x:c>
      <x:c r="C487" s="45" t="n">
        <x:v>36104</x:v>
      </x:c>
      <x:c r="D487" s="33" t="str">
        <x:v>Homicide: Life on the Street</x:v>
      </x:c>
      <x:c r="E487" s="33" t="str">
        <x:v>Law &amp; Order</x:v>
      </x:c>
      <x:c r="F487" s="33" t="str">
        <x:v>connected</x:v>
      </x:c>
      <x:c r="G487" s="50" t="n">
        <x:v>0</x:v>
      </x:c>
      <x:c r="H487" s="50" t="n">
        <x:v>3</x:v>
      </x:c>
      <x:c r="I487" s="44" t="str">
        <x:v>S00.03</x:v>
      </x:c>
      <x:c r="J487" s="33" t="str">
        <x:v>Anatomy of a 'Homicide: Life on the Street'</x:v>
      </x:c>
      <x:c r="K487" s="33" t="str"/>
      <x:c r="L487" s="33" t="str"/>
      <x:c r="M487" s="44" t="str"/>
      <x:c r="N487" s="50" t="n">
        <x:v>45</x:v>
      </x:c>
      <x:c r="O487" s="53" t="str">
        <x:v>A brief look at the history of "Homicide: Life on the Street", one of the best shows on television and its ratings history as well as some of the people on the show, as well as behind the camera. The primary focus of this PBS documentary is the "Subway" episode which aired on December 5, 1997 on NBC. This two-hour documentary follows the "Subway" episode from conception to award nominations.</x:v>
      </x:c>
      <x:c r="P487" s="53" t="str">
        <x:v>Direct crossover with Law &amp; Order; Munch bridge to SVU</x:v>
      </x:c>
      <x:c r="Q487" s="17" t="str">
        <x:v>5386040</x:v>
      </x:c>
      <x:c r="R487" s="17" t="str">
        <x:v>tt0629167</x:v>
      </x:c>
      <x:c r="S487" s="17" t="str"/>
    </x:row>
    <x:row r="488">
      <x:c r="A488" s="43" t="n">
        <x:v>484</x:v>
      </x:c>
      <x:c r="B488" s="44" t="str">
        <x:v>Not Started</x:v>
      </x:c>
      <x:c r="C488" s="45" t="n">
        <x:v>36105</x:v>
      </x:c>
      <x:c r="D488" s="33" t="str">
        <x:v>Homicide: Life on the Street</x:v>
      </x:c>
      <x:c r="E488" s="33" t="str">
        <x:v>Law &amp; Order</x:v>
      </x:c>
      <x:c r="F488" s="33" t="str">
        <x:v>connected</x:v>
      </x:c>
      <x:c r="G488" s="50" t="n">
        <x:v>7</x:v>
      </x:c>
      <x:c r="H488" s="50" t="n">
        <x:v>5</x:v>
      </x:c>
      <x:c r="I488" s="44" t="str">
        <x:v>07.05</x:v>
      </x:c>
      <x:c r="J488" s="33" t="str">
        <x:v>Red, Red Wine</x:v>
      </x:c>
      <x:c r="K488" s="33" t="str"/>
      <x:c r="L488" s="33" t="str"/>
      <x:c r="M488" s="44" t="str"/>
      <x:c r="N488" s="50" t="n">
        <x:v>45</x:v>
      </x:c>
      <x:c r="O488" s="53" t="str">
        <x:v>Ballard is annoyed when she finds out that the fact that she had a date with Falsone is around the squad room. Munch has a doctor's appointment and he's not talking about it. Dr. Griscom calls on the homicide unit when he sees a number of deaths that are related by a poison named phosphozine. The FBI steps in on the poisonings and they put MGee in charge of a task force; they consider it an act of domestic terrorism. One of the victims was a priest; two others were his parishioners. Gharty suspects the communion wine. Following this idea, wine bottles are collected from churches around the city. A needle hole is found through one of the corks. A citywide canvassing of all places where wine can be purchased is launched. Gee disagrees with the bureau's policy of keep information from the public. One possible suspect is captured; however, strange as he is, he's not the one. Through an internal leak, the media is alerted and warns the public, sparking chaos. MGee suspects the source of the</x:v>
      </x:c>
      <x:c r="P488" s="53" t="str">
        <x:v>Direct crossover with Law &amp; Order; Munch bridge to SVU</x:v>
      </x:c>
      <x:c r="Q488" s="17" t="str">
        <x:v>320082</x:v>
      </x:c>
      <x:c r="R488" s="17" t="str">
        <x:v>tt0604405</x:v>
      </x:c>
      <x:c r="S488" s="17" t="str">
        <x:v>336</x:v>
      </x:c>
    </x:row>
    <x:row r="489">
      <x:c r="A489" s="43" t="n">
        <x:v>485</x:v>
      </x:c>
      <x:c r="B489" s="44" t="str">
        <x:v>Not Started</x:v>
      </x:c>
      <x:c r="C489" s="45" t="n">
        <x:v>36107</x:v>
      </x:c>
      <x:c r="D489" s="33" t="str">
        <x:v>Exiled: A Law &amp; Order Movie</x:v>
      </x:c>
      <x:c r="E489" s="33" t="str">
        <x:v>Wolf Specials</x:v>
      </x:c>
      <x:c r="F489" s="33" t="str">
        <x:v>connected</x:v>
      </x:c>
      <x:c r="G489" s="50" t="n">
        <x:v>0</x:v>
      </x:c>
      <x:c r="H489" s="50" t="n">
        <x:v>1</x:v>
      </x:c>
      <x:c r="I489" s="44" t="str">
        <x:v>MOVIE</x:v>
      </x:c>
      <x:c r="J489" s="33" t="str">
        <x:v>Exiled: A Law &amp; Order Movie</x:v>
      </x:c>
      <x:c r="K489" s="33" t="str">
        <x:v>Series continuation</x:v>
      </x:c>
      <x:c r="L489" s="33" t="str">
        <x:v>Mike Logan continuation</x:v>
      </x:c>
      <x:c r="M489" s="44" t="str"/>
      <x:c r="N489" s="50" t="n">
        <x:v>84</x:v>
      </x:c>
      <x:c r="O489" s="53" t="str">
        <x:v>Former Manhattan detective Mike Logan investigates a murder while trying to earn his way back from exile on Staten Island.</x:v>
      </x:c>
      <x:c r="P489" s="53" t="str">
        <x:v>Direct Law &amp; Order television movie continuing Mike Logan's story.</x:v>
      </x:c>
      <x:c r="Q489" s="17" t="str"/>
      <x:c r="R489" s="17" t="str">
        <x:v>tt0164023</x:v>
      </x:c>
      <x:c r="S489" s="17" t="str">
        <x:v>https://one-chicago-fbi.fandom.com/wiki/Wolf_Universe</x:v>
      </x:c>
    </x:row>
    <x:row r="490">
      <x:c r="A490" s="43" t="n">
        <x:v>486</x:v>
      </x:c>
      <x:c r="B490" s="44" t="str">
        <x:v>Not Started</x:v>
      </x:c>
      <x:c r="C490" s="45" t="n">
        <x:v>36108</x:v>
      </x:c>
      <x:c r="D490" s="33" t="str">
        <x:v>Law &amp; Order</x:v>
      </x:c>
      <x:c r="E490" s="33" t="str">
        <x:v>Law &amp; Order</x:v>
      </x:c>
      <x:c r="F490" s="33" t="str">
        <x:v>core</x:v>
      </x:c>
      <x:c r="G490" s="50" t="n">
        <x:v>0</x:v>
      </x:c>
      <x:c r="H490" s="50" t="n">
        <x:v>8</x:v>
      </x:c>
      <x:c r="I490" s="44" t="str">
        <x:v>S00.08</x:v>
      </x:c>
      <x:c r="J490" s="33" t="str">
        <x:v>Exiled: A Law &amp; Order Movie</x:v>
      </x:c>
      <x:c r="K490" s="33" t="str"/>
      <x:c r="L490" s="33" t="str"/>
      <x:c r="M490" s="44" t="str"/>
      <x:c r="N490" s="50" t="n">
        <x:v>45</x:v>
      </x:c>
      <x:c r="O490" s="53" t="str">
        <x:v>Since he has been sent to Staten Island after attacking a city councilman, Detective Logan is trying to earn a spot back with the NYPD. Logan finds out about a case involving a prostitute's murder and he figures this could be his ticket back. His lieutenant reluctantly assigns him to the case and is teamed up with Detective Frankie Silvera. During the case they come across a mob figure and father while learning that there is a dirty cop in Logan's old precinct.</x:v>
      </x:c>
      <x:c r="P490" s="53" t="str">
        <x:v>Core Law &amp; Order franchise</x:v>
      </x:c>
      <x:c r="Q490" s="17" t="str">
        <x:v>34048</x:v>
      </x:c>
      <x:c r="R490" s="17" t="str"/>
      <x:c r="S490" s="17" t="str"/>
    </x:row>
    <x:row r="491">
      <x:c r="A491" s="43" t="n">
        <x:v>487</x:v>
      </x:c>
      <x:c r="B491" s="44" t="str">
        <x:v>Not Started</x:v>
      </x:c>
      <x:c r="C491" s="45" t="n">
        <x:v>36110</x:v>
      </x:c>
      <x:c r="D491" s="33" t="str">
        <x:v>Law &amp; Order</x:v>
      </x:c>
      <x:c r="E491" s="33" t="str">
        <x:v>Law &amp; Order</x:v>
      </x:c>
      <x:c r="F491" s="33" t="str">
        <x:v>core</x:v>
      </x:c>
      <x:c r="G491" s="50" t="n">
        <x:v>9</x:v>
      </x:c>
      <x:c r="H491" s="50" t="n">
        <x:v>6</x:v>
      </x:c>
      <x:c r="I491" s="44" t="str">
        <x:v>09.06</x:v>
      </x:c>
      <x:c r="J491" s="33" t="str">
        <x:v>Scrambled</x:v>
      </x:c>
      <x:c r="K491" s="33" t="str"/>
      <x:c r="L491" s="33" t="str"/>
      <x:c r="M491" s="44" t="str"/>
      <x:c r="N491" s="50" t="n">
        <x:v>44</x:v>
      </x:c>
      <x:c r="O491" s="53" t="str">
        <x:v>The murder of an employee at a fertility clinic leads to a case involving a dead man's first and second wives.</x:v>
      </x:c>
      <x:c r="P491" s="53" t="str">
        <x:v>Core Law &amp; Order franchise</x:v>
      </x:c>
      <x:c r="Q491" s="17" t="str">
        <x:v>34241</x:v>
      </x:c>
      <x:c r="R491" s="17" t="str">
        <x:v>tt0629409</x:v>
      </x:c>
      <x:c r="S491" s="17" t="str">
        <x:v>337</x:v>
      </x:c>
    </x:row>
    <x:row r="492">
      <x:c r="A492" s="43" t="n">
        <x:v>488</x:v>
      </x:c>
      <x:c r="B492" s="44" t="str">
        <x:v>Not Started</x:v>
      </x:c>
      <x:c r="C492" s="45" t="n">
        <x:v>36112</x:v>
      </x:c>
      <x:c r="D492" s="33" t="str">
        <x:v>Homicide: Life on the Street</x:v>
      </x:c>
      <x:c r="E492" s="33" t="str">
        <x:v>Law &amp; Order</x:v>
      </x:c>
      <x:c r="F492" s="33" t="str">
        <x:v>connected</x:v>
      </x:c>
      <x:c r="G492" s="50" t="n">
        <x:v>7</x:v>
      </x:c>
      <x:c r="H492" s="50" t="n">
        <x:v>6</x:v>
      </x:c>
      <x:c r="I492" s="44" t="str">
        <x:v>07.06</x:v>
      </x:c>
      <x:c r="J492" s="33" t="str">
        <x:v>Wanted Dead or Alive (1)</x:v>
      </x:c>
      <x:c r="K492" s="33" t="str"/>
      <x:c r="L492" s="33" t="str"/>
      <x:c r="M492" s="44" t="str"/>
      <x:c r="N492" s="50" t="n">
        <x:v>45</x:v>
      </x:c>
      <x:c r="O492" s="53" t="str">
        <x:v>Bounty hunters shoot, killing the wrong man, as they enter a building where their fugitive---a man named Joe Errico---has shot at them (and subsequently gotten away). Gharty has vague memories of a drinking binge from the night before. Falsone and Stivers catch the bounty-hunter case. Sheppard, during her days with the fugitive squad, had dealings with the head bounty hunter. Gaffney stops Gee and MGee on their way in, Baltimore magazine wants to do a father and son piece, using the wine case as a focal point. Gee is not interested, especially about the use of the wine case. Gharty struggles as he tries to reconstruct the events of the night before. Munch is bothered by Gharty's stories of Vietnam and each grows to dislike the other - perhaps some competitiveness over Billie Lou is beginning to brew here. Bounty hunter P.J. Johnson, who was identified as the triggerman, is charged and placed in one of the holding cells, near some of his previously captured quarry. Within an hour his ba</x:v>
      </x:c>
      <x:c r="P492" s="53" t="str">
        <x:v>Direct crossover with Law &amp; Order; Munch bridge to SVU</x:v>
      </x:c>
      <x:c r="Q492" s="17" t="str">
        <x:v>320083</x:v>
      </x:c>
      <x:c r="R492" s="17" t="str">
        <x:v>tt0604444</x:v>
      </x:c>
      <x:c r="S492" s="17" t="str">
        <x:v>338</x:v>
      </x:c>
    </x:row>
    <x:row r="493">
      <x:c r="A493" s="43" t="n">
        <x:v>489</x:v>
      </x:c>
      <x:c r="B493" s="44" t="str">
        <x:v>Not Started</x:v>
      </x:c>
      <x:c r="C493" s="45" t="n">
        <x:v>36117</x:v>
      </x:c>
      <x:c r="D493" s="33" t="str">
        <x:v>Law &amp; Order</x:v>
      </x:c>
      <x:c r="E493" s="33" t="str">
        <x:v>Law &amp; Order</x:v>
      </x:c>
      <x:c r="F493" s="33" t="str">
        <x:v>core</x:v>
      </x:c>
      <x:c r="G493" s="50" t="n">
        <x:v>9</x:v>
      </x:c>
      <x:c r="H493" s="50" t="n">
        <x:v>7</x:v>
      </x:c>
      <x:c r="I493" s="44" t="str">
        <x:v>09.07</x:v>
      </x:c>
      <x:c r="J493" s="33" t="str">
        <x:v>Venom</x:v>
      </x:c>
      <x:c r="K493" s="33" t="str"/>
      <x:c r="L493" s="33" t="str"/>
      <x:c r="M493" s="44" t="str"/>
      <x:c r="N493" s="50" t="n">
        <x:v>46</x:v>
      </x:c>
      <x:c r="O493" s="53" t="str">
        <x:v>The killing of a professional escort leads to a case involving the relationships between a young man and two older women.</x:v>
      </x:c>
      <x:c r="P493" s="53" t="str">
        <x:v>Core Law &amp; Order franchise</x:v>
      </x:c>
      <x:c r="Q493" s="17" t="str">
        <x:v>34242</x:v>
      </x:c>
      <x:c r="R493" s="17" t="str">
        <x:v>tt0629487</x:v>
      </x:c>
      <x:c r="S493" s="17" t="str">
        <x:v>339</x:v>
      </x:c>
    </x:row>
    <x:row r="494">
      <x:c r="A494" s="43" t="n">
        <x:v>490</x:v>
      </x:c>
      <x:c r="B494" s="44" t="str">
        <x:v>Not Started</x:v>
      </x:c>
      <x:c r="C494" s="45" t="n">
        <x:v>36119</x:v>
      </x:c>
      <x:c r="D494" s="33" t="str">
        <x:v>Homicide: Life on the Street</x:v>
      </x:c>
      <x:c r="E494" s="33" t="str">
        <x:v>Law &amp; Order</x:v>
      </x:c>
      <x:c r="F494" s="33" t="str">
        <x:v>connected</x:v>
      </x:c>
      <x:c r="G494" s="50" t="n">
        <x:v>7</x:v>
      </x:c>
      <x:c r="H494" s="50" t="n">
        <x:v>7</x:v>
      </x:c>
      <x:c r="I494" s="44" t="str">
        <x:v>07.07</x:v>
      </x:c>
      <x:c r="J494" s="33" t="str">
        <x:v>Wanted Dead or Alive (2)</x:v>
      </x:c>
      <x:c r="K494" s="33" t="str"/>
      <x:c r="L494" s="33" t="str"/>
      <x:c r="M494" s="44" t="str"/>
      <x:c r="N494" s="50" t="n">
        <x:v>45</x:v>
      </x:c>
      <x:c r="O494" s="53" t="str">
        <x:v>Lewis is transported to the hospital, as is the passenger of the car that MGee hit. Gharty is worked up about women and finances, because he and Flora and their lawyers are going to be working out the financial details of their divorce. Gee &amp; MGee are not interested in cooperating with the bounty hunters; however, Knoll is the only one who can get any information on the whereabouts of Errico from Errico's mother. She has promised to page Knoll when her son calls. (Joe Errico has gone south to Miami.) Knoll offers to pay the expenses of having homicide detectives go to Miami and work with him, but Gee declines that generous offer and sends his detectives separately. In Miami, Bayliss and MGee work with Knoll to capture Errico. Knoll offers to split the huge bounty with the homicide detectives, which they of course refuse. MGee decides that the best use for the bounty might be for the man whose wife had died from the injuries she sustained in the car accident.</x:v>
      </x:c>
      <x:c r="P494" s="53" t="str">
        <x:v>Direct crossover with Law &amp; Order; Munch bridge to SVU</x:v>
      </x:c>
      <x:c r="Q494" s="17" t="str">
        <x:v>320084</x:v>
      </x:c>
      <x:c r="R494" s="17" t="str">
        <x:v>tt0604445</x:v>
      </x:c>
      <x:c r="S494" s="17" t="str">
        <x:v>340</x:v>
      </x:c>
    </x:row>
    <x:row r="495">
      <x:c r="A495" s="43" t="n">
        <x:v>491</x:v>
      </x:c>
      <x:c r="B495" s="44" t="str">
        <x:v>Not Started</x:v>
      </x:c>
      <x:c r="C495" s="45" t="n">
        <x:v>36124</x:v>
      </x:c>
      <x:c r="D495" s="33" t="str">
        <x:v>Law &amp; Order</x:v>
      </x:c>
      <x:c r="E495" s="33" t="str">
        <x:v>Law &amp; Order</x:v>
      </x:c>
      <x:c r="F495" s="33" t="str">
        <x:v>core</x:v>
      </x:c>
      <x:c r="G495" s="50" t="n">
        <x:v>9</x:v>
      </x:c>
      <x:c r="H495" s="50" t="n">
        <x:v>8</x:v>
      </x:c>
      <x:c r="I495" s="44" t="str">
        <x:v>09.08</x:v>
      </x:c>
      <x:c r="J495" s="33" t="str">
        <x:v>Punk</x:v>
      </x:c>
      <x:c r="K495" s="33" t="str"/>
      <x:c r="L495" s="33" t="str"/>
      <x:c r="M495" s="44" t="str"/>
      <x:c r="N495" s="50" t="n">
        <x:v>46</x:v>
      </x:c>
      <x:c r="O495" s="53" t="str">
        <x:v>The murder of a corrections officer leads detectives to a women's prison where a guard was linked to an inmate Carmichael put away on drug charges and a confrontation with defense attorney Danielle Melnick.</x:v>
      </x:c>
      <x:c r="P495" s="53" t="str">
        <x:v>Core Law &amp; Order franchise</x:v>
      </x:c>
      <x:c r="Q495" s="17" t="str">
        <x:v>34243</x:v>
      </x:c>
      <x:c r="R495" s="17" t="str">
        <x:v>tt0629391</x:v>
      </x:c>
      <x:c r="S495" s="17" t="str">
        <x:v>341</x:v>
      </x:c>
    </x:row>
    <x:row r="496">
      <x:c r="A496" s="43" t="n">
        <x:v>492</x:v>
      </x:c>
      <x:c r="B496" s="44" t="str">
        <x:v>Not Started</x:v>
      </x:c>
      <x:c r="C496" s="45" t="n">
        <x:v>36133</x:v>
      </x:c>
      <x:c r="D496" s="33" t="str">
        <x:v>Homicide: Life on the Street</x:v>
      </x:c>
      <x:c r="E496" s="33" t="str">
        <x:v>Law &amp; Order</x:v>
      </x:c>
      <x:c r="F496" s="33" t="str">
        <x:v>connected</x:v>
      </x:c>
      <x:c r="G496" s="50" t="n">
        <x:v>7</x:v>
      </x:c>
      <x:c r="H496" s="50" t="n">
        <x:v>8</x:v>
      </x:c>
      <x:c r="I496" s="44" t="str">
        <x:v>07.08</x:v>
      </x:c>
      <x:c r="J496" s="33" t="str">
        <x:v>Kellerman, P.I. (1)</x:v>
      </x:c>
      <x:c r="K496" s="33" t="str"/>
      <x:c r="L496" s="33" t="str"/>
      <x:c r="M496" s="44" t="str"/>
      <x:c r="N496" s="50" t="n">
        <x:v>45</x:v>
      </x:c>
      <x:c r="O496" s="53" t="str">
        <x:v>Mike Kellerman's new vocation is private investigation, where the majority of the work involves catching cheating spouses. Falsone and Stivers catch a case where a newborn baby's body is found buried behind a motel. A young couple had checked into the room where the baby was delivered. The room was paid for using the girl's credit card. When they locate the girl (Debbie at home with her parents), she collapses and is brought to the hospital. The boy, Craig, is also located. Both say that the baby was stillborn; however, the autopsy reveals that the baby took a breath after it was born, so the death is ruled a homicide. Falsone notes that of the two, only the boy Craig seems to show any compassion for the baby. Kellerman meets Sheppard for a beer and tries to ask her about Falsone's baby case, later he asks around the squad room. Kellerman is hired to conduct his own investigation by the girl's defense team. Gee demands that Falsone and Stivers find convicting evidence before Kellerman</x:v>
      </x:c>
      <x:c r="P496" s="53" t="str">
        <x:v>Direct crossover with Law &amp; Order; Munch bridge to SVU</x:v>
      </x:c>
      <x:c r="Q496" s="17" t="str">
        <x:v>320085</x:v>
      </x:c>
      <x:c r="R496" s="17" t="str">
        <x:v>tt0604389</x:v>
      </x:c>
      <x:c r="S496" s="17" t="str">
        <x:v>342</x:v>
      </x:c>
    </x:row>
    <x:row r="497">
      <x:c r="A497" s="43" t="n">
        <x:v>493</x:v>
      </x:c>
      <x:c r="B497" s="44" t="str">
        <x:v>Not Started</x:v>
      </x:c>
      <x:c r="C497" s="45" t="n">
        <x:v>36138</x:v>
      </x:c>
      <x:c r="D497" s="33" t="str">
        <x:v>Law &amp; Order</x:v>
      </x:c>
      <x:c r="E497" s="33" t="str">
        <x:v>Law &amp; Order</x:v>
      </x:c>
      <x:c r="F497" s="33" t="str">
        <x:v>core</x:v>
      </x:c>
      <x:c r="G497" s="50" t="n">
        <x:v>9</x:v>
      </x:c>
      <x:c r="H497" s="50" t="n">
        <x:v>9</x:v>
      </x:c>
      <x:c r="I497" s="44" t="str">
        <x:v>09.09</x:v>
      </x:c>
      <x:c r="J497" s="33" t="str">
        <x:v>True North</x:v>
      </x:c>
      <x:c r="K497" s="33" t="str"/>
      <x:c r="L497" s="33" t="str"/>
      <x:c r="M497" s="44" t="str"/>
      <x:c r="N497" s="50" t="n">
        <x:v>46</x:v>
      </x:c>
      <x:c r="O497" s="53" t="str">
        <x:v>The double murder of a wealthy man and his daughter leads the detectives to the wife and stepmother of the deceased. However, Canada's objection to the death penalty hampers McCoy and Carmichael in seeking crucial evidence for obtaining a conviction.</x:v>
      </x:c>
      <x:c r="P497" s="53" t="str">
        <x:v>Core Law &amp; Order franchise</x:v>
      </x:c>
      <x:c r="Q497" s="17" t="str">
        <x:v>34244</x:v>
      </x:c>
      <x:c r="R497" s="17" t="str">
        <x:v>tt0629477</x:v>
      </x:c>
      <x:c r="S497" s="17" t="str">
        <x:v>343</x:v>
      </x:c>
    </x:row>
    <x:row r="498">
      <x:c r="A498" s="43" t="n">
        <x:v>494</x:v>
      </x:c>
      <x:c r="B498" s="44" t="str">
        <x:v>Not Started</x:v>
      </x:c>
      <x:c r="C498" s="45" t="n">
        <x:v>36140</x:v>
      </x:c>
      <x:c r="D498" s="33" t="str">
        <x:v>Homicide: Life on the Street</x:v>
      </x:c>
      <x:c r="E498" s="33" t="str">
        <x:v>Law &amp; Order</x:v>
      </x:c>
      <x:c r="F498" s="33" t="str">
        <x:v>connected</x:v>
      </x:c>
      <x:c r="G498" s="50" t="n">
        <x:v>7</x:v>
      </x:c>
      <x:c r="H498" s="50" t="n">
        <x:v>9</x:v>
      </x:c>
      <x:c r="I498" s="44" t="str">
        <x:v>07.09</x:v>
      </x:c>
      <x:c r="J498" s="33" t="str">
        <x:v>Kellerman, P.I. (2)</x:v>
      </x:c>
      <x:c r="K498" s="33" t="str"/>
      <x:c r="L498" s="33" t="str"/>
      <x:c r="M498" s="44" t="str"/>
      <x:c r="N498" s="50" t="n">
        <x:v>45</x:v>
      </x:c>
      <x:c r="O498" s="53" t="str">
        <x:v>Debbie Straub signs the plea agreement, pointing to Craig as the killer of the baby. Falsone wants more time to work on the case. Danvers reminds Kellerman there was a time when the truth mattered more than his paycheck. Gharty goes off when Sheppard and MGee ask to many questions about Kellerman's leaving of the homicide unit. Kellerman appears to begin doing the right thing, but doesn't pass anything on to anyone who might be able to do anything with it. Craig believes that Debbie isn't going to let him down and he has no plans to testify on his own behalf. Ballard searches for a dinner date when Falsone leaves a message he won't be joining her. When she sees him in the Waterfront later, she lets him know how she feels about his method of communication. The case goes to trial, Debbie testifies that Craig killed the baby; with no evidence to the contrary, the jury finds Craig guilty. Falsone talks with Craig about what really happened; however, it is all to no avail as the following m</x:v>
      </x:c>
      <x:c r="P498" s="53" t="str">
        <x:v>Direct crossover with Law &amp; Order; Munch bridge to SVU</x:v>
      </x:c>
      <x:c r="Q498" s="17" t="str">
        <x:v>320086</x:v>
      </x:c>
      <x:c r="R498" s="17" t="str">
        <x:v>tt0604390</x:v>
      </x:c>
      <x:c r="S498" s="17" t="str">
        <x:v>344</x:v>
      </x:c>
    </x:row>
    <x:row r="499">
      <x:c r="A499" s="43" t="n">
        <x:v>495</x:v>
      </x:c>
      <x:c r="B499" s="44" t="str">
        <x:v>Not Started</x:v>
      </x:c>
      <x:c r="C499" s="45" t="n">
        <x:v>36166</x:v>
      </x:c>
      <x:c r="D499" s="33" t="str">
        <x:v>Law &amp; Order</x:v>
      </x:c>
      <x:c r="E499" s="33" t="str">
        <x:v>Law &amp; Order</x:v>
      </x:c>
      <x:c r="F499" s="33" t="str">
        <x:v>core</x:v>
      </x:c>
      <x:c r="G499" s="50" t="n">
        <x:v>9</x:v>
      </x:c>
      <x:c r="H499" s="50" t="n">
        <x:v>10</x:v>
      </x:c>
      <x:c r="I499" s="44" t="str">
        <x:v>09.10</x:v>
      </x:c>
      <x:c r="J499" s="33" t="str">
        <x:v>Hate</x:v>
      </x:c>
      <x:c r="K499" s="33" t="str"/>
      <x:c r="L499" s="33" t="str"/>
      <x:c r="M499" s="44" t="str"/>
      <x:c r="N499" s="50" t="n">
        <x:v>46</x:v>
      </x:c>
      <x:c r="O499" s="53" t="str">
        <x:v>Evidence points the detectives in the direction of a fascist youth gathering after the brutal beating and murder of a high school girl.</x:v>
      </x:c>
      <x:c r="P499" s="53" t="str">
        <x:v>Core Law &amp; Order franchise</x:v>
      </x:c>
      <x:c r="Q499" s="17" t="str">
        <x:v>34245</x:v>
      </x:c>
      <x:c r="R499" s="17" t="str">
        <x:v>tt0629291</x:v>
      </x:c>
      <x:c r="S499" s="17" t="str">
        <x:v>345</x:v>
      </x:c>
    </x:row>
    <x:row r="500">
      <x:c r="A500" s="43" t="n">
        <x:v>496</x:v>
      </x:c>
      <x:c r="B500" s="44" t="str">
        <x:v>Not Started</x:v>
      </x:c>
      <x:c r="C500" s="45" t="n">
        <x:v>36168</x:v>
      </x:c>
      <x:c r="D500" s="33" t="str">
        <x:v>Homicide: Life on the Street</x:v>
      </x:c>
      <x:c r="E500" s="33" t="str">
        <x:v>Law &amp; Order</x:v>
      </x:c>
      <x:c r="F500" s="33" t="str">
        <x:v>connected</x:v>
      </x:c>
      <x:c r="G500" s="50" t="n">
        <x:v>7</x:v>
      </x:c>
      <x:c r="H500" s="50" t="n">
        <x:v>10</x:v>
      </x:c>
      <x:c r="I500" s="44" t="str">
        <x:v>07.10</x:v>
      </x:c>
      <x:c r="J500" s="33" t="str">
        <x:v>Shades of Gray</x:v>
      </x:c>
      <x:c r="K500" s="33" t="str"/>
      <x:c r="L500" s="33" t="str"/>
      <x:c r="M500" s="44" t="str"/>
      <x:c r="N500" s="50" t="n">
        <x:v>45</x:v>
      </x:c>
      <x:c r="O500" s="53" t="str">
        <x:v>A white bus driver striking a black female pedestrian sparks a riot. The driver is killed, and some distance away from the riot another body is found. MGee and Gharty look into the death of the driver while Lewis and Sheppard look into death of the other body. Lewis finds a clue at the scene, a button (later discovered to be missing from a police uniform). Gharty and MGee actively debate whether race was the motivation for the driver's beating death; MGee suspects the incident wasn't racially motivated. The bus riders are interviewed to find out what they know. Lewis and Sheppard approach a house looking for their witness (without backup). For her trouble Sheppard keeps hold of her suspect, but loses her gun and is severely beaten. Ballard is recalled from her hiking vacation. Lewis lays down the law for the residents of ""Little Jamaica""; he wants Sheppard's gun returned tonight. The witness Sheppard caught identifies Hellriegel as the murderer, and the men who beat the driver to death</x:v>
      </x:c>
      <x:c r="P500" s="53" t="str">
        <x:v>Direct crossover with Law &amp; Order; Munch bridge to SVU</x:v>
      </x:c>
      <x:c r="Q500" s="17" t="str">
        <x:v>320087</x:v>
      </x:c>
      <x:c r="R500" s="17" t="str">
        <x:v>tt0604412</x:v>
      </x:c>
      <x:c r="S500" s="17" t="str">
        <x:v>346</x:v>
      </x:c>
    </x:row>
    <x:row r="501">
      <x:c r="A501" s="43" t="n">
        <x:v>497</x:v>
      </x:c>
      <x:c r="B501" s="44" t="str">
        <x:v>Not Started</x:v>
      </x:c>
      <x:c r="C501" s="45" t="n">
        <x:v>36173</x:v>
      </x:c>
      <x:c r="D501" s="33" t="str">
        <x:v>Law &amp; Order</x:v>
      </x:c>
      <x:c r="E501" s="33" t="str">
        <x:v>Law &amp; Order</x:v>
      </x:c>
      <x:c r="F501" s="33" t="str">
        <x:v>core</x:v>
      </x:c>
      <x:c r="G501" s="50" t="n">
        <x:v>9</x:v>
      </x:c>
      <x:c r="H501" s="50" t="n">
        <x:v>11</x:v>
      </x:c>
      <x:c r="I501" s="44" t="str">
        <x:v>09.11</x:v>
      </x:c>
      <x:c r="J501" s="33" t="str">
        <x:v>Ramparts</x:v>
      </x:c>
      <x:c r="K501" s="33" t="str"/>
      <x:c r="L501" s="33" t="str"/>
      <x:c r="M501" s="44" t="str"/>
      <x:c r="N501" s="50" t="n">
        <x:v>46</x:v>
      </x:c>
      <x:c r="O501" s="53" t="str">
        <x:v>Briscoe and Curtis reopen a case that was closed in the '60s when a vehicle is dredged from the Hudson River containing the remains of a murdered man.</x:v>
      </x:c>
      <x:c r="P501" s="53" t="str">
        <x:v>Core Law &amp; Order franchise</x:v>
      </x:c>
      <x:c r="Q501" s="17" t="str">
        <x:v>34246</x:v>
      </x:c>
      <x:c r="R501" s="17" t="str">
        <x:v>tt0629394</x:v>
      </x:c>
      <x:c r="S501" s="17" t="str">
        <x:v>347</x:v>
      </x:c>
    </x:row>
    <x:row r="502">
      <x:c r="A502" s="43" t="n">
        <x:v>498</x:v>
      </x:c>
      <x:c r="B502" s="44" t="str">
        <x:v>Not Started</x:v>
      </x:c>
      <x:c r="C502" s="45" t="n">
        <x:v>36175</x:v>
      </x:c>
      <x:c r="D502" s="33" t="str">
        <x:v>Homicide: Life on the Street</x:v>
      </x:c>
      <x:c r="E502" s="33" t="str">
        <x:v>Law &amp; Order</x:v>
      </x:c>
      <x:c r="F502" s="33" t="str">
        <x:v>connected</x:v>
      </x:c>
      <x:c r="G502" s="50" t="n">
        <x:v>7</x:v>
      </x:c>
      <x:c r="H502" s="50" t="n">
        <x:v>11</x:v>
      </x:c>
      <x:c r="I502" s="44" t="str">
        <x:v>07.11</x:v>
      </x:c>
      <x:c r="J502" s="33" t="str">
        <x:v>Bones of Contention</x:v>
      </x:c>
      <x:c r="K502" s="33" t="str"/>
      <x:c r="L502" s="33" t="str"/>
      <x:c r="M502" s="44" t="str"/>
      <x:c r="N502" s="50" t="n">
        <x:v>45</x:v>
      </x:c>
      <x:c r="O502" s="53" t="str">
        <x:v>A body buried for 6 - 20 years is uncovered at a construction site. Munch and Lewis begin the process of trying to solve this old crime. Falsone and Ballard's relationship has heated up, and that fact becomes apparent to their fellow detectives. Sheppard returns to work, but is discouraged when Gee assigns her to desk duty. Gharty tells Billie Lou that he'll attend her bass-playing concert. Munch &amp; Lewis with help from the ME and MGee, identify the body and then begin to piece together what happened to her. Gee lays down the law to Ballard &amp; Falsone: they have to knock it off if they want to stay working on the same shift; they agree.</x:v>
      </x:c>
      <x:c r="P502" s="53" t="str">
        <x:v>Direct crossover with Law &amp; Order; Munch bridge to SVU</x:v>
      </x:c>
      <x:c r="Q502" s="17" t="str">
        <x:v>320088</x:v>
      </x:c>
      <x:c r="R502" s="17" t="str">
        <x:v>tt0604348</x:v>
      </x:c>
      <x:c r="S502" s="17" t="str">
        <x:v>348</x:v>
      </x:c>
    </x:row>
    <x:row r="503">
      <x:c r="A503" s="43" t="n">
        <x:v>499</x:v>
      </x:c>
      <x:c r="B503" s="44" t="str">
        <x:v>Not Started</x:v>
      </x:c>
      <x:c r="C503" s="45" t="n">
        <x:v>36189</x:v>
      </x:c>
      <x:c r="D503" s="33" t="str">
        <x:v>Homicide: Life on the Street</x:v>
      </x:c>
      <x:c r="E503" s="33" t="str">
        <x:v>Law &amp; Order</x:v>
      </x:c>
      <x:c r="F503" s="33" t="str">
        <x:v>connected</x:v>
      </x:c>
      <x:c r="G503" s="50" t="n">
        <x:v>7</x:v>
      </x:c>
      <x:c r="H503" s="50" t="n">
        <x:v>12</x:v>
      </x:c>
      <x:c r="I503" s="44" t="str">
        <x:v>07.12</x:v>
      </x:c>
      <x:c r="J503" s="33" t="str">
        <x:v>The Same Coin</x:v>
      </x:c>
      <x:c r="K503" s="33" t="str"/>
      <x:c r="L503" s="33" t="str"/>
      <x:c r="M503" s="44" t="str"/>
      <x:c r="N503" s="50" t="n">
        <x:v>45</x:v>
      </x:c>
      <x:c r="O503" s="53" t="str">
        <x:v>Gharty has a Vietnam flashback. Sheppard is placed back into rotation. Lewis asks Falsone to switch cases, as Lewis is still unsure about Sheppard's ability to be back on the street in the part of town where their call lies. Munch and MGee work a case where the victim was hit and run. One of the victim's possessions is a knife that has some meaning for Gharty, who later is able to recognize the tattoo found on the victim. Sheppard confronts Lewis about the case switch. She and Stivers talk more... after Stivers, working with Falsone, sees him ""go off"" on a potential witness... Munch and MGee find their hit and run vehicle, a rental SUV, whose renter claims to know nothing of the incident and says he had filed a stolen-vehicle report. Munch pulls the victim's DOD file and---for good measure---Gharty's! Munch, begins to spread doubts with the other detectives about Gharty's Vietnam experience, because the file tells him that Gharty had a less than honorable discharge. A kid, who had stol</x:v>
      </x:c>
      <x:c r="P503" s="53" t="str">
        <x:v>Direct crossover with Law &amp; Order; Munch bridge to SVU</x:v>
      </x:c>
      <x:c r="Q503" s="17" t="str">
        <x:v>320089</x:v>
      </x:c>
      <x:c r="R503" s="17" t="str">
        <x:v>tt0604434</x:v>
      </x:c>
      <x:c r="S503" s="17" t="str">
        <x:v>349</x:v>
      </x:c>
    </x:row>
    <x:row r="504">
      <x:c r="A504" s="43" t="n">
        <x:v>500</x:v>
      </x:c>
      <x:c r="B504" s="44" t="str">
        <x:v>Not Started</x:v>
      </x:c>
      <x:c r="C504" s="45" t="n">
        <x:v>36196</x:v>
      </x:c>
      <x:c r="D504" s="33" t="str">
        <x:v>Homicide: Life on the Street</x:v>
      </x:c>
      <x:c r="E504" s="33" t="str">
        <x:v>Law &amp; Order</x:v>
      </x:c>
      <x:c r="F504" s="33" t="str">
        <x:v>connected</x:v>
      </x:c>
      <x:c r="G504" s="50" t="n">
        <x:v>7</x:v>
      </x:c>
      <x:c r="H504" s="50" t="n">
        <x:v>13</x:v>
      </x:c>
      <x:c r="I504" s="44" t="str">
        <x:v>07.13</x:v>
      </x:c>
      <x:c r="J504" s="33" t="str">
        <x:v>Homicide.com</x:v>
      </x:c>
      <x:c r="K504" s="33" t="str"/>
      <x:c r="L504" s="33" t="str"/>
      <x:c r="M504" s="44" t="str"/>
      <x:c r="N504" s="50" t="n">
        <x:v>45</x:v>
      </x:c>
      <x:c r="O504" s="53" t="str">
        <x:v>The Internet is stage for a ritual murder, which was staged -- which was staged, or was it? The body is found the following morning and Sheppard takes the call, her first since the beating. Since Lewis can't be found, she partners with Bayliss. Second shift detectives Bonaventura and Austin catch word of the day shift's case. It seems the victim in Sheppard's case was a witness they had interviewed the day before about an online murder hoax. The detectives are informed about another murder that is scheduled for midnight. It's a red ball. The detectives try to put the clues together, but come up with nothing and must wait until the netcast begins before they can trace the killer. The trace is successful, but when they arrive at the scene, the killer has left them a computer with the words ""Ha Ha Fooled You."" Barnfather wants Bayliss reassigned as primary if something doesn't turn up soon. Sheppard goes online to flush out the killer. He advertises another murder will take place at www.i</x:v>
      </x:c>
      <x:c r="P504" s="53" t="str">
        <x:v>Direct crossover with Law &amp; Order; Munch bridge to SVU</x:v>
      </x:c>
      <x:c r="Q504" s="17" t="str">
        <x:v>320090</x:v>
      </x:c>
      <x:c r="R504" s="17" t="str">
        <x:v>tt0604379</x:v>
      </x:c>
      <x:c r="S504" s="17" t="str">
        <x:v>350</x:v>
      </x:c>
    </x:row>
    <x:row r="505">
      <x:c r="A505" s="43" t="n">
        <x:v>501</x:v>
      </x:c>
      <x:c r="B505" s="44" t="str">
        <x:v>Not Started</x:v>
      </x:c>
      <x:c r="C505" s="45" t="n">
        <x:v>36201</x:v>
      </x:c>
      <x:c r="D505" s="33" t="str">
        <x:v>Law &amp; Order</x:v>
      </x:c>
      <x:c r="E505" s="33" t="str">
        <x:v>Law &amp; Order</x:v>
      </x:c>
      <x:c r="F505" s="33" t="str">
        <x:v>core</x:v>
      </x:c>
      <x:c r="G505" s="50" t="n">
        <x:v>9</x:v>
      </x:c>
      <x:c r="H505" s="50" t="n">
        <x:v>12</x:v>
      </x:c>
      <x:c r="I505" s="44" t="str">
        <x:v>09.12</x:v>
      </x:c>
      <x:c r="J505" s="33" t="str">
        <x:v>Haven</x:v>
      </x:c>
      <x:c r="K505" s="33" t="str"/>
      <x:c r="L505" s="33" t="str"/>
      <x:c r="M505" s="44" t="str"/>
      <x:c r="N505" s="50" t="n">
        <x:v>46</x:v>
      </x:c>
      <x:c r="O505" s="53" t="str">
        <x:v>Briscoe and Curtis probe the murder of a popular Harlem community leader while McCoy and Carmichael struggle to prevent a chaotic situation.</x:v>
      </x:c>
      <x:c r="P505" s="53" t="str">
        <x:v>Core Law &amp; Order franchise</x:v>
      </x:c>
      <x:c r="Q505" s="17" t="str">
        <x:v>34247</x:v>
      </x:c>
      <x:c r="R505" s="17" t="str">
        <x:v>tt0629292</x:v>
      </x:c>
      <x:c r="S505" s="17" t="str">
        <x:v>351</x:v>
      </x:c>
    </x:row>
    <x:row r="506">
      <x:c r="A506" s="43" t="n">
        <x:v>502</x:v>
      </x:c>
      <x:c r="B506" s="44" t="str">
        <x:v>Not Started</x:v>
      </x:c>
      <x:c r="C506" s="45" t="n">
        <x:v>36201</x:v>
      </x:c>
      <x:c r="D506" s="33" t="str">
        <x:v>Law &amp; Order</x:v>
      </x:c>
      <x:c r="E506" s="33" t="str">
        <x:v>Law &amp; Order</x:v>
      </x:c>
      <x:c r="F506" s="33" t="str">
        <x:v>core</x:v>
      </x:c>
      <x:c r="G506" s="50" t="n">
        <x:v>9</x:v>
      </x:c>
      <x:c r="H506" s="50" t="n">
        <x:v>13</x:v>
      </x:c>
      <x:c r="I506" s="44" t="str">
        <x:v>09.13</x:v>
      </x:c>
      <x:c r="J506" s="33" t="str">
        <x:v>Hunters</x:v>
      </x:c>
      <x:c r="K506" s="33" t="str"/>
      <x:c r="L506" s="33" t="str"/>
      <x:c r="M506" s="44" t="str"/>
      <x:c r="N506" s="50" t="n">
        <x:v>45</x:v>
      </x:c>
      <x:c r="O506" s="53" t="str">
        <x:v>Briscoe and Curtis race against time to find the killer of a parolee before two bounty hunters find the suspected murderer.</x:v>
      </x:c>
      <x:c r="P506" s="53" t="str">
        <x:v>Core Law &amp; Order franchise</x:v>
      </x:c>
      <x:c r="Q506" s="17" t="str">
        <x:v>34248</x:v>
      </x:c>
      <x:c r="R506" s="17" t="str">
        <x:v>tt0629306</x:v>
      </x:c>
      <x:c r="S506" s="17" t="str">
        <x:v>352</x:v>
      </x:c>
    </x:row>
    <x:row r="507">
      <x:c r="A507" s="43" t="n">
        <x:v>503</x:v>
      </x:c>
      <x:c r="B507" s="44" t="str">
        <x:v>Not Started</x:v>
      </x:c>
      <x:c r="C507" s="45" t="n">
        <x:v>36202</x:v>
      </x:c>
      <x:c r="D507" s="33" t="str">
        <x:v>New York Undercover</x:v>
      </x:c>
      <x:c r="E507" s="33" t="str">
        <x:v>Law &amp; Order</x:v>
      </x:c>
      <x:c r="F507" s="33" t="str">
        <x:v>connected</x:v>
      </x:c>
      <x:c r="G507" s="50" t="n">
        <x:v>4</x:v>
      </x:c>
      <x:c r="H507" s="50" t="n">
        <x:v>13</x:v>
      </x:c>
      <x:c r="I507" s="44" t="str">
        <x:v>04.13</x:v>
      </x:c>
      <x:c r="J507" s="33" t="str">
        <x:v>Catharsis</x:v>
      </x:c>
      <x:c r="K507" s="33" t="str"/>
      <x:c r="L507" s="33" t="str"/>
      <x:c r="M507" s="44" t="str"/>
      <x:c r="N507" s="50" t="n">
        <x:v>45</x:v>
      </x:c>
      <x:c r="O507" s="53" t="str">
        <x:v>A radical group kidnaps a child for bargaining purposes; Moreno gets even for the death of her husband and her partner when she meets Jordan in prison.</x:v>
      </x:c>
      <x:c r="P507" s="53" t="str">
        <x:v>Wolf-produced New York police drama; crossover-adjacent to the Law &amp; Order era</x:v>
      </x:c>
      <x:c r="Q507" s="17" t="str">
        <x:v>291075</x:v>
      </x:c>
      <x:c r="R507" s="17" t="str">
        <x:v>tt0659792</x:v>
      </x:c>
      <x:c r="S507" s="17" t="str"/>
    </x:row>
    <x:row r="508">
      <x:c r="A508" s="43" t="n">
        <x:v>504</x:v>
      </x:c>
      <x:c r="B508" s="44" t="str">
        <x:v>Not Started</x:v>
      </x:c>
      <x:c r="C508" s="45" t="n">
        <x:v>36203</x:v>
      </x:c>
      <x:c r="D508" s="33" t="str">
        <x:v>Homicide: Life on the Street</x:v>
      </x:c>
      <x:c r="E508" s="33" t="str">
        <x:v>Law &amp; Order</x:v>
      </x:c>
      <x:c r="F508" s="33" t="str">
        <x:v>connected</x:v>
      </x:c>
      <x:c r="G508" s="50" t="n">
        <x:v>7</x:v>
      </x:c>
      <x:c r="H508" s="50" t="n">
        <x:v>14</x:v>
      </x:c>
      <x:c r="I508" s="44" t="str">
        <x:v>07.14</x:v>
      </x:c>
      <x:c r="J508" s="33" t="str">
        <x:v>A Case of Do or Die</x:v>
      </x:c>
      <x:c r="K508" s="33" t="str"/>
      <x:c r="L508" s="33" t="str"/>
      <x:c r="M508" s="44" t="str"/>
      <x:c r="N508" s="50" t="n">
        <x:v>45</x:v>
      </x:c>
      <x:c r="O508" s="53" t="str">
        <x:v>Ballard and Bayliss are called to the scene of the mysterious death of a woman, whose body is found at the bottom of a forty-foot cliff. This victim was to be married the following morning. The two detectives work to determine whether the death was accidental or intentional (via murder or suicide). Meanwhile Sheppard and MGee begin investigating the death of a movie patron, whose body was discovered after the show ended and the theater cleared out. MGee mentions to Sheppard that his sister is about to have a baby, which means Gee is about to become a grandfather. Their investigation reveals that the movie patron was regularly loud and obnoxious and thus bad for business. When an overdose of a sedative is found in his bloodstream, the detectives question the theater owner, who was currently in litigation with the victim. Unfortunately for Ballard and Bayliss, their case remains unsolved.</x:v>
      </x:c>
      <x:c r="P508" s="53" t="str">
        <x:v>Direct crossover with Law &amp; Order; Munch bridge to SVU</x:v>
      </x:c>
      <x:c r="Q508" s="17" t="str">
        <x:v>320091</x:v>
      </x:c>
      <x:c r="R508" s="17" t="str">
        <x:v>tt0604328</x:v>
      </x:c>
      <x:c r="S508" s="17" t="str">
        <x:v>353</x:v>
      </x:c>
    </x:row>
    <x:row r="509">
      <x:c r="A509" s="43" t="n">
        <x:v>505</x:v>
      </x:c>
      <x:c r="B509" s="44" t="str">
        <x:v>Not Started</x:v>
      </x:c>
      <x:c r="C509" s="45" t="n">
        <x:v>36208</x:v>
      </x:c>
      <x:c r="D509" s="33" t="str">
        <x:v>Law &amp; Order</x:v>
      </x:c>
      <x:c r="E509" s="33" t="str">
        <x:v>Law &amp; Order</x:v>
      </x:c>
      <x:c r="F509" s="33" t="str">
        <x:v>core</x:v>
      </x:c>
      <x:c r="G509" s="50" t="n">
        <x:v>9</x:v>
      </x:c>
      <x:c r="H509" s="50" t="n">
        <x:v>14</x:v>
      </x:c>
      <x:c r="I509" s="44" t="str">
        <x:v>09.14</x:v>
      </x:c>
      <x:c r="J509" s="33" t="str">
        <x:v>Sideshow (I)</x:v>
      </x:c>
      <x:c r="K509" s="33" t="str">
        <x:v>Crossover</x:v>
      </x:c>
      <x:c r="L509" s="33" t="str">
        <x:v>Sideshow</x:v>
      </x:c>
      <x:c r="M509" s="44" t="str">
        <x:v>1/2</x:v>
      </x:c>
      <x:c r="N509" s="50" t="n">
        <x:v>46</x:v>
      </x:c>
      <x:c r="O509" s="53" t="str">
        <x:v>When Briscoe and Curtis discover that a high-level federal official found murdered was recently transferred from Baltimore, they re-team with Baltimore homicide detectives. The joint investigation reveals that the victim was involved in an affair with a high-level government official whose career will be destroyed if it becomes public. The independent counsel summons McCoy and Ed Danvers to Washington to demand McCoy reveal his source or be jailed for contempt.
This crossover continues on Homicide: Life on the Street S07E15 Sideshow (II).</x:v>
      </x:c>
      <x:c r="P509" s="53" t="str">
        <x:v>Core Law &amp; Order franchise</x:v>
      </x:c>
      <x:c r="Q509" s="17" t="str">
        <x:v>34249</x:v>
      </x:c>
      <x:c r="R509" s="17" t="str">
        <x:v>tt0629422</x:v>
      </x:c>
      <x:c r="S509" s="17" t="str">
        <x:v>https://one-chicago-fbi.fandom.com/wiki/Crossovers_and_Milestones</x:v>
      </x:c>
    </x:row>
    <x:row r="510">
      <x:c r="A510" s="43" t="n">
        <x:v>506</x:v>
      </x:c>
      <x:c r="B510" s="44" t="str">
        <x:v>Not Started</x:v>
      </x:c>
      <x:c r="C510" s="45" t="n">
        <x:v>36210</x:v>
      </x:c>
      <x:c r="D510" s="33" t="str">
        <x:v>Homicide: Life on the Street</x:v>
      </x:c>
      <x:c r="E510" s="33" t="str">
        <x:v>Law &amp; Order</x:v>
      </x:c>
      <x:c r="F510" s="33" t="str">
        <x:v>connected</x:v>
      </x:c>
      <x:c r="G510" s="50" t="n">
        <x:v>7</x:v>
      </x:c>
      <x:c r="H510" s="50" t="n">
        <x:v>15</x:v>
      </x:c>
      <x:c r="I510" s="44" t="str">
        <x:v>07.15</x:v>
      </x:c>
      <x:c r="J510" s="33" t="str">
        <x:v>Sideshow (II)</x:v>
      </x:c>
      <x:c r="K510" s="33" t="str">
        <x:v>Crossover</x:v>
      </x:c>
      <x:c r="L510" s="33" t="str">
        <x:v>Sideshow</x:v>
      </x:c>
      <x:c r="M510" s="44" t="str">
        <x:v>2/2</x:v>
      </x:c>
      <x:c r="N510" s="50" t="n">
        <x:v>45</x:v>
      </x:c>
      <x:c r="O510" s="53" t="str">
        <x:v>Danvers brings news of his appointment to the District Court bench as the investigation of a government official named Janine McBride continues in New York. Their prime suspect Chesley Purcell is dead and her shooter is in the hands of the Feds. The Baltimore detectives investigate the background of Chesley Purcell and it turns up the name of a man in prison who still appears to be running his organization.
This crossover starts on Law and Order S09E14 Sideshow (I).</x:v>
      </x:c>
      <x:c r="P510" s="53" t="str">
        <x:v>Direct crossover with Law &amp; Order; Munch bridge to SVU</x:v>
      </x:c>
      <x:c r="Q510" s="17" t="str">
        <x:v>320092</x:v>
      </x:c>
      <x:c r="R510" s="17" t="str">
        <x:v>tt0604414</x:v>
      </x:c>
      <x:c r="S510" s="17" t="str">
        <x:v>https://one-chicago-fbi.fandom.com/wiki/Crossovers_and_Milestones</x:v>
      </x:c>
    </x:row>
    <x:row r="511">
      <x:c r="A511" s="43" t="n">
        <x:v>507</x:v>
      </x:c>
      <x:c r="B511" s="44" t="str">
        <x:v>Not Started</x:v>
      </x:c>
      <x:c r="C511" s="45" t="n">
        <x:v>36211</x:v>
      </x:c>
      <x:c r="D511" s="33" t="str">
        <x:v>Law &amp; Order</x:v>
      </x:c>
      <x:c r="E511" s="33" t="str">
        <x:v>Law &amp; Order</x:v>
      </x:c>
      <x:c r="F511" s="33" t="str">
        <x:v>core</x:v>
      </x:c>
      <x:c r="G511" s="50" t="n">
        <x:v>0</x:v>
      </x:c>
      <x:c r="H511" s="50" t="n">
        <x:v>11</x:v>
      </x:c>
      <x:c r="I511" s="44" t="str">
        <x:v>S00.11</x:v>
      </x:c>
      <x:c r="J511" s="33" t="str">
        <x:v>Sideshow (2)</x:v>
      </x:c>
      <x:c r="K511" s="33" t="str"/>
      <x:c r="L511" s="33" t="str"/>
      <x:c r="M511" s="44" t="str"/>
      <x:c r="N511" s="50" t="n">
        <x:v>45</x:v>
      </x:c>
      <x:c r="O511" s="53" t="str">
        <x:v>Danvers brings news of his appointment to the District Court bench as the investigation of a government official named Janine McBride, begun on Law &amp; Order continues in New York. Their prime suspect, Chesley Purcell, is dead and her shooter, Ned Burks, is in the hands of the Feds. What was her connection back to Washington? Gee expresses his anger with MGee over letting his ""ham fisted"" bosses at the FBI know what was going on, since they in turn had informed Wm. Dell, the Independent Counsel. Burks is given a limited amount of immunity for his testimony to Dell, but McCoy and Danvers get an order that allows them to be present at his questioning; but neither the Independent Counsel nor McCoy and Danvers get anything useful. Meanwhile, the Baltimore detectives investigate the background of Chesley Purcell and it turns up the name of a man in prison who still appears to be running his organization. So there could be no more leaks, MGee asks to be kept out of the investigation. (Sideshow (1) aired on Law &amp; Order, season 9, episode 14.)</x:v>
      </x:c>
      <x:c r="P511" s="53" t="str">
        <x:v>Core Law &amp; Order franchise</x:v>
      </x:c>
      <x:c r="Q511" s="17" t="str">
        <x:v>34050</x:v>
      </x:c>
      <x:c r="R511" s="17" t="str"/>
      <x:c r="S511" s="17" t="str"/>
    </x:row>
    <x:row r="512">
      <x:c r="A512" s="43" t="n">
        <x:v>508</x:v>
      </x:c>
      <x:c r="B512" s="44" t="str">
        <x:v>Not Started</x:v>
      </x:c>
      <x:c r="C512" s="45" t="n">
        <x:v>36211</x:v>
      </x:c>
      <x:c r="D512" s="33" t="str">
        <x:v>Law &amp; Order</x:v>
      </x:c>
      <x:c r="E512" s="33" t="str">
        <x:v>Law &amp; Order</x:v>
      </x:c>
      <x:c r="F512" s="33" t="str">
        <x:v>core</x:v>
      </x:c>
      <x:c r="G512" s="50" t="n">
        <x:v>0</x:v>
      </x:c>
      <x:c r="H512" s="50" t="n">
        <x:v>13</x:v>
      </x:c>
      <x:c r="I512" s="44" t="str">
        <x:v>S00.13</x:v>
      </x:c>
      <x:c r="J512" s="33" t="str">
        <x:v>Sideshow (2) (Homicide: Life on the Street)</x:v>
      </x:c>
      <x:c r="K512" s="33" t="str"/>
      <x:c r="L512" s="33" t="str"/>
      <x:c r="M512" s="44" t="str"/>
      <x:c r="N512" s="50" t="n">
        <x:v>45</x:v>
      </x:c>
      <x:c r="O512" s="53" t="str">
        <x:v>Danvers brings news of his appointment to the District Court bench as the investigation of a government official named Janine McBride, begun on Law &amp; Order continues in New York. Their prime suspect, Chesley Purcell, is dead and her shooter, Ned Burks, is in the hands of the Feds. What was her connection back to Washington? Gee expresses his anger with MGee over letting his ""ham fisted"" bosses at the FBI know what was going on, since they in turn had informed Wm. Dell, the Independent Counsel. Burks is given a limited amount of immunity for his testimony to Dell, but McCoy and Danvers get an order that allows them to be present at his questioning; but neither the Independent Counsel nor McCoy and Danvers get anything useful. Meanwhile, the Baltimore detectives investigate the background of Chesley Purcell and it turns up the name of a man in prison who still appears to be running his organization. So there could be no more leaks, MGee asks to be kept out of the investigation. (Aired on season 7, episode 15.)
</x:v>
      </x:c>
      <x:c r="P512" s="53" t="str">
        <x:v>Core Law &amp; Order franchise</x:v>
      </x:c>
      <x:c r="Q512" s="17" t="str">
        <x:v>34052</x:v>
      </x:c>
      <x:c r="R512" s="17" t="str"/>
      <x:c r="S512" s="17" t="str"/>
    </x:row>
    <x:row r="513">
      <x:c r="A513" s="43" t="n">
        <x:v>509</x:v>
      </x:c>
      <x:c r="B513" s="44" t="str">
        <x:v>Not Started</x:v>
      </x:c>
      <x:c r="C513" s="45" t="n">
        <x:v>36215</x:v>
      </x:c>
      <x:c r="D513" s="33" t="str">
        <x:v>Law &amp; Order</x:v>
      </x:c>
      <x:c r="E513" s="33" t="str">
        <x:v>Law &amp; Order</x:v>
      </x:c>
      <x:c r="F513" s="33" t="str">
        <x:v>core</x:v>
      </x:c>
      <x:c r="G513" s="50" t="n">
        <x:v>9</x:v>
      </x:c>
      <x:c r="H513" s="50" t="n">
        <x:v>15</x:v>
      </x:c>
      <x:c r="I513" s="44" t="str">
        <x:v>09.15</x:v>
      </x:c>
      <x:c r="J513" s="33" t="str">
        <x:v>Disciple</x:v>
      </x:c>
      <x:c r="K513" s="33" t="str"/>
      <x:c r="L513" s="33" t="str"/>
      <x:c r="M513" s="44" t="str"/>
      <x:c r="N513" s="50" t="n">
        <x:v>46</x:v>
      </x:c>
      <x:c r="O513" s="53" t="str">
        <x:v>After a teen is found dead in the emergency room, the investigation leads to a case involving a religious ritual and a defendant who claims that the action taken was dictated by a saint's voice.</x:v>
      </x:c>
      <x:c r="P513" s="53" t="str">
        <x:v>Core Law &amp; Order franchise</x:v>
      </x:c>
      <x:c r="Q513" s="17" t="str">
        <x:v>34250</x:v>
      </x:c>
      <x:c r="R513" s="17" t="str">
        <x:v>tt0629239</x:v>
      </x:c>
      <x:c r="S513" s="17" t="str">
        <x:v>356</x:v>
      </x:c>
    </x:row>
    <x:row r="514">
      <x:c r="A514" s="43" t="n">
        <x:v>510</x:v>
      </x:c>
      <x:c r="B514" s="44" t="str">
        <x:v>Not Started</x:v>
      </x:c>
      <x:c r="C514" s="45" t="n">
        <x:v>36222</x:v>
      </x:c>
      <x:c r="D514" s="33" t="str">
        <x:v>Law &amp; Order</x:v>
      </x:c>
      <x:c r="E514" s="33" t="str">
        <x:v>Law &amp; Order</x:v>
      </x:c>
      <x:c r="F514" s="33" t="str">
        <x:v>core</x:v>
      </x:c>
      <x:c r="G514" s="50" t="n">
        <x:v>9</x:v>
      </x:c>
      <x:c r="H514" s="50" t="n">
        <x:v>16</x:v>
      </x:c>
      <x:c r="I514" s="44" t="str">
        <x:v>09.16</x:v>
      </x:c>
      <x:c r="J514" s="33" t="str">
        <x:v>Harm</x:v>
      </x:c>
      <x:c r="K514" s="33" t="str"/>
      <x:c r="L514" s="33" t="str"/>
      <x:c r="M514" s="44" t="str"/>
      <x:c r="N514" s="50" t="n">
        <x:v>46</x:v>
      </x:c>
      <x:c r="O514" s="53" t="str">
        <x:v>Briscoe and Curtis investigate a possible homicide while probing the assault of a retired divorce attorney.</x:v>
      </x:c>
      <x:c r="P514" s="53" t="str">
        <x:v>Core Law &amp; Order franchise</x:v>
      </x:c>
      <x:c r="Q514" s="17" t="str">
        <x:v>34251</x:v>
      </x:c>
      <x:c r="R514" s="17" t="str">
        <x:v>tt0629289</x:v>
      </x:c>
      <x:c r="S514" s="17" t="str">
        <x:v>357</x:v>
      </x:c>
    </x:row>
    <x:row r="515">
      <x:c r="A515" s="43" t="n">
        <x:v>511</x:v>
      </x:c>
      <x:c r="B515" s="44" t="str">
        <x:v>Not Started</x:v>
      </x:c>
      <x:c r="C515" s="45" t="n">
        <x:v>36243</x:v>
      </x:c>
      <x:c r="D515" s="33" t="str">
        <x:v>Law &amp; Order</x:v>
      </x:c>
      <x:c r="E515" s="33" t="str">
        <x:v>Law &amp; Order</x:v>
      </x:c>
      <x:c r="F515" s="33" t="str">
        <x:v>core</x:v>
      </x:c>
      <x:c r="G515" s="50" t="n">
        <x:v>9</x:v>
      </x:c>
      <x:c r="H515" s="50" t="n">
        <x:v>17</x:v>
      </x:c>
      <x:c r="I515" s="44" t="str">
        <x:v>09.17</x:v>
      </x:c>
      <x:c r="J515" s="33" t="str">
        <x:v>Shield</x:v>
      </x:c>
      <x:c r="K515" s="33" t="str"/>
      <x:c r="L515" s="33" t="str"/>
      <x:c r="M515" s="44" t="str"/>
      <x:c r="N515" s="50" t="n">
        <x:v>45</x:v>
      </x:c>
      <x:c r="O515" s="53" t="str">
        <x:v>Briscoe and Curtis investigate the murder of a police officer who was shot while on an undercover stakeout.</x:v>
      </x:c>
      <x:c r="P515" s="53" t="str">
        <x:v>Core Law &amp; Order franchise</x:v>
      </x:c>
      <x:c r="Q515" s="17" t="str">
        <x:v>34252</x:v>
      </x:c>
      <x:c r="R515" s="17" t="str">
        <x:v>tt0629420</x:v>
      </x:c>
      <x:c r="S515" s="17" t="str">
        <x:v>358</x:v>
      </x:c>
    </x:row>
    <x:row r="516">
      <x:c r="A516" s="43" t="n">
        <x:v>512</x:v>
      </x:c>
      <x:c r="B516" s="44" t="str">
        <x:v>Not Started</x:v>
      </x:c>
      <x:c r="C516" s="45" t="n">
        <x:v>36245</x:v>
      </x:c>
      <x:c r="D516" s="33" t="str">
        <x:v>Homicide: Life on the Street</x:v>
      </x:c>
      <x:c r="E516" s="33" t="str">
        <x:v>Law &amp; Order</x:v>
      </x:c>
      <x:c r="F516" s="33" t="str">
        <x:v>connected</x:v>
      </x:c>
      <x:c r="G516" s="50" t="n">
        <x:v>7</x:v>
      </x:c>
      <x:c r="H516" s="50" t="n">
        <x:v>16</x:v>
      </x:c>
      <x:c r="I516" s="44" t="str">
        <x:v>07.16</x:v>
      </x:c>
      <x:c r="J516" s="33" t="str">
        <x:v>Truth Will Out</x:v>
      </x:c>
      <x:c r="K516" s="33" t="str"/>
      <x:c r="L516" s="33" t="str"/>
      <x:c r="M516" s="44" t="str"/>
      <x:c r="N516" s="50" t="n">
        <x:v>45</x:v>
      </x:c>
      <x:c r="O516" s="53" t="str">
        <x:v>A woman comes looking for Falsone, knowing that he solved a real old case, wants him to look into a case for her from 1972. Her parents told her that she was responsible for her younger brother's death. Despite being three years old at the time, the woman has doubts about her parents' story. So Falsone and Stivers reopen this case, which was closed by Gee when he was a new detective. The reopening of the case makes Gee think that he may not have been totally focused on the case at the time. Their investigation reveals the woman's mother used her as a scapegoat for the mother's crime. Bayliss and Ballard's case involves a body that was shot, but the victim was already dead from a drug overdose. The male sergeant at the scene piques Bayliss's interest, so they get together for drinks. Their relationship doesn't develop, because word is spreading about Bayliss being the owner of the ""In Plain Site"" web site. Bayliss begins feeling pressure about his being different and considers celibacy.</x:v>
      </x:c>
      <x:c r="P516" s="53" t="str">
        <x:v>Direct crossover with Law &amp; Order; Munch bridge to SVU</x:v>
      </x:c>
      <x:c r="Q516" s="17" t="str">
        <x:v>320093</x:v>
      </x:c>
      <x:c r="R516" s="17" t="str">
        <x:v>tt0604442</x:v>
      </x:c>
      <x:c r="S516" s="17" t="str">
        <x:v>359</x:v>
      </x:c>
    </x:row>
    <x:row r="517">
      <x:c r="A517" s="43" t="n">
        <x:v>513</x:v>
      </x:c>
      <x:c r="B517" s="44" t="str">
        <x:v>Not Started</x:v>
      </x:c>
      <x:c r="C517" s="45" t="n">
        <x:v>36252</x:v>
      </x:c>
      <x:c r="D517" s="33" t="str">
        <x:v>Homicide: Life on the Street</x:v>
      </x:c>
      <x:c r="E517" s="33" t="str">
        <x:v>Law &amp; Order</x:v>
      </x:c>
      <x:c r="F517" s="33" t="str">
        <x:v>connected</x:v>
      </x:c>
      <x:c r="G517" s="50" t="n">
        <x:v>7</x:v>
      </x:c>
      <x:c r="H517" s="50" t="n">
        <x:v>17</x:v>
      </x:c>
      <x:c r="I517" s="44" t="str">
        <x:v>07.17</x:v>
      </x:c>
      <x:c r="J517" s="33" t="str">
        <x:v>Zen and the Art of Murder</x:v>
      </x:c>
      <x:c r="K517" s="33" t="str"/>
      <x:c r="L517" s="33" t="str"/>
      <x:c r="M517" s="44" t="str"/>
      <x:c r="N517" s="50" t="n">
        <x:v>45</x:v>
      </x:c>
      <x:c r="O517" s="53" t="str">
        <x:v>Lewis and Munch begin to investigate the death of a Buddhist monk beaten to death. Lewis isn't interested in working the case with Bayliss, whom he feels, may become too emotionally involved. Ballard and Falsone agree to call their relationship quits. Ballard and Gharty's case involves a man who was shot down in the street; the three witnesses that saw the shooter all have different recollections of his appearance. As a result, their prime suspect cannot be charged. Gee asks for Bayliss's assistance in the Buddhist murder and to Lewis's dismay, Munch abdicates his position in the investigation to Bayliss. Lewis and Bayliss take different approaches to the investigation. Bayliss's approach leads him to the man who committed the crime, but cornering his suspect leads to a showdown with guns and Bayliss fires a fatal shot. Later Bayliss tries to reconcile the shooting with his own feelings about being a Buddhist and being a cop.</x:v>
      </x:c>
      <x:c r="P517" s="53" t="str">
        <x:v>Direct crossover with Law &amp; Order; Munch bridge to SVU</x:v>
      </x:c>
      <x:c r="Q517" s="17" t="str">
        <x:v>320094</x:v>
      </x:c>
      <x:c r="R517" s="17" t="str">
        <x:v>tt0604449</x:v>
      </x:c>
      <x:c r="S517" s="17" t="str">
        <x:v>360</x:v>
      </x:c>
    </x:row>
    <x:row r="518">
      <x:c r="A518" s="43" t="n">
        <x:v>514</x:v>
      </x:c>
      <x:c r="B518" s="44" t="str">
        <x:v>Not Started</x:v>
      </x:c>
      <x:c r="C518" s="45" t="n">
        <x:v>36259</x:v>
      </x:c>
      <x:c r="D518" s="33" t="str">
        <x:v>Homicide: Life on the Street</x:v>
      </x:c>
      <x:c r="E518" s="33" t="str">
        <x:v>Law &amp; Order</x:v>
      </x:c>
      <x:c r="F518" s="33" t="str">
        <x:v>connected</x:v>
      </x:c>
      <x:c r="G518" s="50" t="n">
        <x:v>7</x:v>
      </x:c>
      <x:c r="H518" s="50" t="n">
        <x:v>18</x:v>
      </x:c>
      <x:c r="I518" s="44" t="str">
        <x:v>07.18</x:v>
      </x:c>
      <x:c r="J518" s="33" t="str">
        <x:v>Self Defense</x:v>
      </x:c>
      <x:c r="K518" s="33" t="str"/>
      <x:c r="L518" s="33" t="str"/>
      <x:c r="M518" s="44" t="str"/>
      <x:c r="N518" s="50" t="n">
        <x:v>45</x:v>
      </x:c>
      <x:c r="O518" s="53" t="str">
        <x:v>In Stivers and Falsone's case, a man is found shot dead in his bed, with no signs of a struggle. Gee lobbies Barnfather to find a way to get them the ability to have some control over their FBI liaison, so they don't experience the same problems they had with the Janine McBride case. Barnfather lets Gee know that there is Captain's position opening up and he should be inline for it with no catches. Lewis lets Ballard accompany him on a bar stabbing, when she accuses him of being afraid to work with a female, since the incident with Sheppard. While she does get to help him with the initial investigation, Lewis manages to work the rest of the case on his own, leaving her to handle the details. Meanwhile, Ballard's usual partner Gharty spends a ""mental health day"" at the Waterfront Bar, drinking and proposing to Billie Lou. Stivers and Falsone discover their victim had a bad breakup with his ex-wife Eleanor Burke, and she admits to committing the crime; however, as an assistant US attorne</x:v>
      </x:c>
      <x:c r="P518" s="53" t="str">
        <x:v>Direct crossover with Law &amp; Order; Munch bridge to SVU</x:v>
      </x:c>
      <x:c r="Q518" s="17" t="str">
        <x:v>320095</x:v>
      </x:c>
      <x:c r="R518" s="17" t="str">
        <x:v>tt0604411</x:v>
      </x:c>
      <x:c r="S518" s="17" t="str">
        <x:v>361</x:v>
      </x:c>
    </x:row>
    <x:row r="519">
      <x:c r="A519" s="43" t="n">
        <x:v>515</x:v>
      </x:c>
      <x:c r="B519" s="44" t="str">
        <x:v>Not Started</x:v>
      </x:c>
      <x:c r="C519" s="45" t="n">
        <x:v>36264</x:v>
      </x:c>
      <x:c r="D519" s="33" t="str">
        <x:v>Law &amp; Order</x:v>
      </x:c>
      <x:c r="E519" s="33" t="str">
        <x:v>Law &amp; Order</x:v>
      </x:c>
      <x:c r="F519" s="33" t="str">
        <x:v>core</x:v>
      </x:c>
      <x:c r="G519" s="50" t="n">
        <x:v>9</x:v>
      </x:c>
      <x:c r="H519" s="50" t="n">
        <x:v>18</x:v>
      </x:c>
      <x:c r="I519" s="44" t="str">
        <x:v>09.18</x:v>
      </x:c>
      <x:c r="J519" s="33" t="str">
        <x:v>Juvenile</x:v>
      </x:c>
      <x:c r="K519" s="33" t="str"/>
      <x:c r="L519" s="33" t="str"/>
      <x:c r="M519" s="44" t="str"/>
      <x:c r="N519" s="50" t="n">
        <x:v>45</x:v>
      </x:c>
      <x:c r="O519" s="53" t="str">
        <x:v>The investigation into the shooting of a newspaper columnist leads to a murder case from two decades earlier and involves a suspect who at that time had been a juvenile.</x:v>
      </x:c>
      <x:c r="P519" s="53" t="str">
        <x:v>Core Law &amp; Order franchise</x:v>
      </x:c>
      <x:c r="Q519" s="17" t="str">
        <x:v>34253</x:v>
      </x:c>
      <x:c r="R519" s="17" t="str">
        <x:v>tt0629321</x:v>
      </x:c>
      <x:c r="S519" s="17" t="str">
        <x:v>362</x:v>
      </x:c>
    </x:row>
    <x:row r="520">
      <x:c r="A520" s="43" t="n">
        <x:v>516</x:v>
      </x:c>
      <x:c r="B520" s="44" t="str">
        <x:v>Not Started</x:v>
      </x:c>
      <x:c r="C520" s="45" t="n">
        <x:v>36271</x:v>
      </x:c>
      <x:c r="D520" s="33" t="str">
        <x:v>Law &amp; Order</x:v>
      </x:c>
      <x:c r="E520" s="33" t="str">
        <x:v>Law &amp; Order</x:v>
      </x:c>
      <x:c r="F520" s="33" t="str">
        <x:v>core</x:v>
      </x:c>
      <x:c r="G520" s="50" t="n">
        <x:v>9</x:v>
      </x:c>
      <x:c r="H520" s="50" t="n">
        <x:v>19</x:v>
      </x:c>
      <x:c r="I520" s="44" t="str">
        <x:v>09.19</x:v>
      </x:c>
      <x:c r="J520" s="33" t="str">
        <x:v>Tabula Rasa</x:v>
      </x:c>
      <x:c r="K520" s="33" t="str"/>
      <x:c r="L520" s="33" t="str"/>
      <x:c r="M520" s="44" t="str"/>
      <x:c r="N520" s="50" t="n">
        <x:v>46</x:v>
      </x:c>
      <x:c r="O520" s="53" t="str">
        <x:v>After a philosophy professor is pushed in front of a subway and killed, the investigation leads to a suspect who, following a divorce, changed his identity and disappeared with his daughters.</x:v>
      </x:c>
      <x:c r="P520" s="53" t="str">
        <x:v>Core Law &amp; Order franchise</x:v>
      </x:c>
      <x:c r="Q520" s="17" t="str">
        <x:v>34254</x:v>
      </x:c>
      <x:c r="R520" s="17" t="str">
        <x:v>tt0629448</x:v>
      </x:c>
      <x:c r="S520" s="17" t="str">
        <x:v>363</x:v>
      </x:c>
    </x:row>
    <x:row r="521">
      <x:c r="A521" s="43" t="n">
        <x:v>517</x:v>
      </x:c>
      <x:c r="B521" s="44" t="str">
        <x:v>Not Started</x:v>
      </x:c>
      <x:c r="C521" s="45" t="n">
        <x:v>36281</x:v>
      </x:c>
      <x:c r="D521" s="33" t="str">
        <x:v>Homicide: Life on the Street</x:v>
      </x:c>
      <x:c r="E521" s="33" t="str">
        <x:v>Law &amp; Order</x:v>
      </x:c>
      <x:c r="F521" s="33" t="str">
        <x:v>connected</x:v>
      </x:c>
      <x:c r="G521" s="50" t="n">
        <x:v>7</x:v>
      </x:c>
      <x:c r="H521" s="50" t="n">
        <x:v>19</x:v>
      </x:c>
      <x:c r="I521" s="44" t="str">
        <x:v>07.19</x:v>
      </x:c>
      <x:c r="J521" s="33" t="str">
        <x:v>Identity Crisis</x:v>
      </x:c>
      <x:c r="K521" s="33" t="str"/>
      <x:c r="L521" s="33" t="str"/>
      <x:c r="M521" s="44" t="str"/>
      <x:c r="N521" s="50" t="n">
        <x:v>45</x:v>
      </x:c>
      <x:c r="O521" s="53" t="str">
        <x:v>Falsone and Lewis investigate the murder of a man in his own backyard. The victim's nose was removed from his body. Ballard and Gharty investigate the murder of a bartender at a strip club. Canvassing the neighbors, Falsone feels that one of the neighbors isn't what she appears to be. Later when they interview her husband, he gets the same feeling. The MEs complete a record setting day of completing autopsies, but find themselves with one unidentified extra body. Munch and Bayliss get the call, but insist that until they can get a crime scene to go to, the problem isn't theirs. Griscom finds the crime scene in the morgue freezer. Ballard mentions to Gharty that he might want to consider stopping his drinking. Falsone's theory about the victim's neighbors proves true when MGee checks into the Witness Protection program. MGee's phone call puts the wheels in motion to get the family moved. Falsone and Lewis arrive just in time to take their suspect into custody and away from the Feds. The</x:v>
      </x:c>
      <x:c r="P521" s="53" t="str">
        <x:v>Direct crossover with Law &amp; Order; Munch bridge to SVU</x:v>
      </x:c>
      <x:c r="Q521" s="17" t="str">
        <x:v>320096</x:v>
      </x:c>
      <x:c r="R521" s="17" t="str">
        <x:v>tt0604383</x:v>
      </x:c>
      <x:c r="S521" s="17" t="str"/>
    </x:row>
    <x:row r="522">
      <x:c r="A522" s="43" t="n">
        <x:v>518</x:v>
      </x:c>
      <x:c r="B522" s="44" t="str">
        <x:v>Not Started</x:v>
      </x:c>
      <x:c r="C522" s="45" t="n">
        <x:v>36285</x:v>
      </x:c>
      <x:c r="D522" s="33" t="str">
        <x:v>Law &amp; Order</x:v>
      </x:c>
      <x:c r="E522" s="33" t="str">
        <x:v>Law &amp; Order</x:v>
      </x:c>
      <x:c r="F522" s="33" t="str">
        <x:v>core</x:v>
      </x:c>
      <x:c r="G522" s="50" t="n">
        <x:v>9</x:v>
      </x:c>
      <x:c r="H522" s="50" t="n">
        <x:v>20</x:v>
      </x:c>
      <x:c r="I522" s="44" t="str">
        <x:v>09.20</x:v>
      </x:c>
      <x:c r="J522" s="33" t="str">
        <x:v>Empire</x:v>
      </x:c>
      <x:c r="K522" s="33" t="str"/>
      <x:c r="L522" s="33" t="str"/>
      <x:c r="M522" s="44" t="str"/>
      <x:c r="N522" s="50" t="n">
        <x:v>46</x:v>
      </x:c>
      <x:c r="O522" s="53" t="str">
        <x:v>The death of a corporate mogul caused by an overdose of a sexual performance-enhancing drug leads to a case with a witness that puts Curtis in a compromising position.</x:v>
      </x:c>
      <x:c r="P522" s="53" t="str">
        <x:v>Core Law &amp; Order franchise</x:v>
      </x:c>
      <x:c r="Q522" s="17" t="str">
        <x:v>34255</x:v>
      </x:c>
      <x:c r="R522" s="17" t="str">
        <x:v>tt0629248</x:v>
      </x:c>
      <x:c r="S522" s="17" t="str">
        <x:v>365</x:v>
      </x:c>
    </x:row>
    <x:row r="523">
      <x:c r="A523" s="43" t="n">
        <x:v>519</x:v>
      </x:c>
      <x:c r="B523" s="44" t="str">
        <x:v>Not Started</x:v>
      </x:c>
      <x:c r="C523" s="45" t="n">
        <x:v>36288</x:v>
      </x:c>
      <x:c r="D523" s="33" t="str">
        <x:v>Homicide: Life on the Street</x:v>
      </x:c>
      <x:c r="E523" s="33" t="str">
        <x:v>Law &amp; Order</x:v>
      </x:c>
      <x:c r="F523" s="33" t="str">
        <x:v>connected</x:v>
      </x:c>
      <x:c r="G523" s="50" t="n">
        <x:v>7</x:v>
      </x:c>
      <x:c r="H523" s="50" t="n">
        <x:v>20</x:v>
      </x:c>
      <x:c r="I523" s="44" t="str">
        <x:v>07.20</x:v>
      </x:c>
      <x:c r="J523" s="33" t="str">
        <x:v>Lines of Fire</x:v>
      </x:c>
      <x:c r="K523" s="33" t="str"/>
      <x:c r="L523" s="33" t="str"/>
      <x:c r="M523" s="44" t="str"/>
      <x:c r="N523" s="50" t="n">
        <x:v>45</x:v>
      </x:c>
      <x:c r="O523" s="53" t="str">
        <x:v>Emmet Carey is holding his two children hostage in the apartment of his wife's sister. He sees MGee on television and decides that he will talk only to him and occasionally Gharty who is also on the scene. The wife also shows up on the scene and gets past the security. Her screaming sets of Emmet, who fires two shots out that window that strike his wife dead. MGee has to keep the information from him as they continue to negotiate. The crisis ends when Emmet releases his stepdaughter, but makes a deadly choice for himself and his son.</x:v>
      </x:c>
      <x:c r="P523" s="53" t="str">
        <x:v>Direct crossover with Law &amp; Order; Munch bridge to SVU</x:v>
      </x:c>
      <x:c r="Q523" s="17" t="str">
        <x:v>320097</x:v>
      </x:c>
      <x:c r="R523" s="17" t="str">
        <x:v>tt0604394</x:v>
      </x:c>
      <x:c r="S523" s="17" t="str"/>
    </x:row>
    <x:row r="524">
      <x:c r="A524" s="43" t="n">
        <x:v>520</x:v>
      </x:c>
      <x:c r="B524" s="44" t="str">
        <x:v>Not Started</x:v>
      </x:c>
      <x:c r="C524" s="45" t="n">
        <x:v>36292</x:v>
      </x:c>
      <x:c r="D524" s="33" t="str">
        <x:v>Law &amp; Order</x:v>
      </x:c>
      <x:c r="E524" s="33" t="str">
        <x:v>Law &amp; Order</x:v>
      </x:c>
      <x:c r="F524" s="33" t="str">
        <x:v>core</x:v>
      </x:c>
      <x:c r="G524" s="50" t="n">
        <x:v>9</x:v>
      </x:c>
      <x:c r="H524" s="50" t="n">
        <x:v>21</x:v>
      </x:c>
      <x:c r="I524" s="44" t="str">
        <x:v>09.21</x:v>
      </x:c>
      <x:c r="J524" s="33" t="str">
        <x:v>Ambitious</x:v>
      </x:c>
      <x:c r="K524" s="33" t="str"/>
      <x:c r="L524" s="33" t="str"/>
      <x:c r="M524" s="44" t="str"/>
      <x:c r="N524" s="50" t="n">
        <x:v>46</x:v>
      </x:c>
      <x:c r="O524" s="53" t="str">
        <x:v>The murder of an audio installation salesman leads the detectives to a case with connections to the mafia.</x:v>
      </x:c>
      <x:c r="P524" s="53" t="str">
        <x:v>Core Law &amp; Order franchise</x:v>
      </x:c>
      <x:c r="Q524" s="17" t="str">
        <x:v>34256</x:v>
      </x:c>
      <x:c r="R524" s="17" t="str">
        <x:v>tt0629153</x:v>
      </x:c>
      <x:c r="S524" s="17" t="str">
        <x:v>367</x:v>
      </x:c>
    </x:row>
    <x:row r="525">
      <x:c r="A525" s="43" t="n">
        <x:v>521</x:v>
      </x:c>
      <x:c r="B525" s="44" t="str">
        <x:v>Not Started</x:v>
      </x:c>
      <x:c r="C525" s="45" t="n">
        <x:v>36295</x:v>
      </x:c>
      <x:c r="D525" s="33" t="str">
        <x:v>Homicide: Life on the Street</x:v>
      </x:c>
      <x:c r="E525" s="33" t="str">
        <x:v>Law &amp; Order</x:v>
      </x:c>
      <x:c r="F525" s="33" t="str">
        <x:v>connected</x:v>
      </x:c>
      <x:c r="G525" s="50" t="n">
        <x:v>7</x:v>
      </x:c>
      <x:c r="H525" s="50" t="n">
        <x:v>21</x:v>
      </x:c>
      <x:c r="I525" s="44" t="str">
        <x:v>07.21</x:v>
      </x:c>
      <x:c r="J525" s="33" t="str">
        <x:v>The Why Chromosome</x:v>
      </x:c>
      <x:c r="K525" s="33" t="str"/>
      <x:c r="L525" s="33" t="str"/>
      <x:c r="M525" s="44" t="str"/>
      <x:c r="N525" s="50" t="n">
        <x:v>45</x:v>
      </x:c>
      <x:c r="O525" s="53" t="str">
        <x:v>When the men are nowhere to be found, Sheppard and Ballard team up to investigate the death of young girl, who's a teenage gang member. With the wedding one week away, Billie Lou asks for Munch's help with her neighbor's abusive boyfriend. After Munch approaches him strongly, the boyfriend retaliates by coming to the Waterfront and slamming Billie Lou's head on the bar. Munch claims he came on strong with the guy, because his ""testosterone riddled behavior"" was due to the celibacy Billie Lou imposed on him, to make their wedding night more special. Billie Lou wants to delay the wedding until the welt on her forehead goes away in about 3 weeks. After Sheppard and Ballard solve their case, Sheppard reminds Lewis that his problem with her is not going to keep her from doing her job.</x:v>
      </x:c>
      <x:c r="P525" s="53" t="str">
        <x:v>Direct crossover with Law &amp; Order; Munch bridge to SVU</x:v>
      </x:c>
      <x:c r="Q525" s="17" t="str">
        <x:v>320098</x:v>
      </x:c>
      <x:c r="R525" s="17" t="str">
        <x:v>tt0604439</x:v>
      </x:c>
      <x:c r="S525" s="17" t="str"/>
    </x:row>
    <x:row r="526">
      <x:c r="A526" s="43" t="n">
        <x:v>522</x:v>
      </x:c>
      <x:c r="B526" s="44" t="str">
        <x:v>Not Started</x:v>
      </x:c>
      <x:c r="C526" s="45" t="n">
        <x:v>36299</x:v>
      </x:c>
      <x:c r="D526" s="33" t="str">
        <x:v>Law &amp; Order</x:v>
      </x:c>
      <x:c r="E526" s="33" t="str">
        <x:v>Law &amp; Order</x:v>
      </x:c>
      <x:c r="F526" s="33" t="str">
        <x:v>core</x:v>
      </x:c>
      <x:c r="G526" s="50" t="n">
        <x:v>9</x:v>
      </x:c>
      <x:c r="H526" s="50" t="n">
        <x:v>22</x:v>
      </x:c>
      <x:c r="I526" s="44" t="str">
        <x:v>09.22</x:v>
      </x:c>
      <x:c r="J526" s="33" t="str">
        <x:v>Admissions</x:v>
      </x:c>
      <x:c r="K526" s="33" t="str"/>
      <x:c r="L526" s="33" t="str"/>
      <x:c r="M526" s="44" t="str"/>
      <x:c r="N526" s="50" t="n">
        <x:v>45</x:v>
      </x:c>
      <x:c r="O526" s="53" t="str">
        <x:v>A coed's killing leads to a case involving the deceased's relationship with a professor and two male students who vouch for each other's whereabouts on the night of the murder.</x:v>
      </x:c>
      <x:c r="P526" s="53" t="str">
        <x:v>Core Law &amp; Order franchise</x:v>
      </x:c>
      <x:c r="Q526" s="17" t="str">
        <x:v>34257</x:v>
      </x:c>
      <x:c r="R526" s="17" t="str">
        <x:v>tt0629146</x:v>
      </x:c>
      <x:c r="S526" s="17" t="str">
        <x:v>369</x:v>
      </x:c>
    </x:row>
    <x:row r="527">
      <x:c r="A527" s="43" t="n">
        <x:v>523</x:v>
      </x:c>
      <x:c r="B527" s="44" t="str">
        <x:v>Not Started</x:v>
      </x:c>
      <x:c r="C527" s="45" t="n">
        <x:v>36301</x:v>
      </x:c>
      <x:c r="D527" s="33" t="str">
        <x:v>Homicide: Life on the Street</x:v>
      </x:c>
      <x:c r="E527" s="33" t="str">
        <x:v>Law &amp; Order</x:v>
      </x:c>
      <x:c r="F527" s="33" t="str">
        <x:v>connected</x:v>
      </x:c>
      <x:c r="G527" s="50" t="n">
        <x:v>7</x:v>
      </x:c>
      <x:c r="H527" s="50" t="n">
        <x:v>22</x:v>
      </x:c>
      <x:c r="I527" s="44" t="str">
        <x:v>07.22</x:v>
      </x:c>
      <x:c r="J527" s="33" t="str">
        <x:v>Forgive Us Our Trespasses</x:v>
      </x:c>
      <x:c r="K527" s="33" t="str"/>
      <x:c r="L527" s="33" t="str"/>
      <x:c r="M527" s="44" t="str"/>
      <x:c r="N527" s="50" t="n">
        <x:v>45</x:v>
      </x:c>
      <x:c r="O527" s="53" t="str">
        <x:v>Sheppard and Bayliss await the trial of Luke Ryland, the Internet killer. A number of delays keep the hearing from being held; the last time it is because Danvers can't make it due to being held up in another trial. Because of a technicality in the law, Ryland is set free. Bayliss is outraged and winds up pushing Danvers, who later threatens to put Bayliss up on charges. Gee's daughter Teresa arrives, to help with the celebration of her father's promotion. Gee asks Bayliss to apologize to Danvers and Bayliss declines. Lewis and Falsone look into the murder of a drug addict whose husband looks like the most probable suspect. The victim's mother-in-law isn't very cooperative and her sister is a nun who thinks her brother-in-law is an architect. Gee worries about whether or not he will be able to perform in his new role as Captain of the property crimes division, later he turns down the promotion. Bayliss and Lewis have words about the way each other handle their memories of the past.</x:v>
      </x:c>
      <x:c r="P527" s="53" t="str">
        <x:v>Direct crossover with Law &amp; Order; Munch bridge to SVU</x:v>
      </x:c>
      <x:c r="Q527" s="17" t="str">
        <x:v>320099</x:v>
      </x:c>
      <x:c r="R527" s="17" t="str">
        <x:v>tt0604371</x:v>
      </x:c>
      <x:c r="S527" s="17" t="str">
        <x:v>370</x:v>
      </x:c>
    </x:row>
    <x:row r="528">
      <x:c r="A528" s="43" t="n">
        <x:v>524</x:v>
      </x:c>
      <x:c r="B528" s="44" t="str">
        <x:v>Not Started</x:v>
      </x:c>
      <x:c r="C528" s="45" t="n">
        <x:v>36306</x:v>
      </x:c>
      <x:c r="D528" s="33" t="str">
        <x:v>Law &amp; Order</x:v>
      </x:c>
      <x:c r="E528" s="33" t="str">
        <x:v>Law &amp; Order</x:v>
      </x:c>
      <x:c r="F528" s="33" t="str">
        <x:v>core</x:v>
      </x:c>
      <x:c r="G528" s="50" t="n">
        <x:v>9</x:v>
      </x:c>
      <x:c r="H528" s="50" t="n">
        <x:v>23</x:v>
      </x:c>
      <x:c r="I528" s="44" t="str">
        <x:v>09.23</x:v>
      </x:c>
      <x:c r="J528" s="33" t="str">
        <x:v>Refuge (1)</x:v>
      </x:c>
      <x:c r="K528" s="33" t="str"/>
      <x:c r="L528" s="33" t="str"/>
      <x:c r="M528" s="44" t="str"/>
      <x:c r="N528" s="50" t="n">
        <x:v>46</x:v>
      </x:c>
      <x:c r="O528" s="53" t="str">
        <x:v>A shootout between a motorist and the police leads to the discovery of a gruesome Russian mob killing --- and a traumatized boy who was an eyewitness to the murder.</x:v>
      </x:c>
      <x:c r="P528" s="53" t="str">
        <x:v>Core Law &amp; Order franchise</x:v>
      </x:c>
      <x:c r="Q528" s="17" t="str">
        <x:v>34258</x:v>
      </x:c>
      <x:c r="R528" s="17" t="str">
        <x:v>tt0629397</x:v>
      </x:c>
      <x:c r="S528" s="17" t="str">
        <x:v>371</x:v>
      </x:c>
    </x:row>
    <x:row r="529">
      <x:c r="A529" s="43" t="n">
        <x:v>525</x:v>
      </x:c>
      <x:c r="B529" s="44" t="str">
        <x:v>Not Started</x:v>
      </x:c>
      <x:c r="C529" s="45" t="n">
        <x:v>36306</x:v>
      </x:c>
      <x:c r="D529" s="33" t="str">
        <x:v>Law &amp; Order</x:v>
      </x:c>
      <x:c r="E529" s="33" t="str">
        <x:v>Law &amp; Order</x:v>
      </x:c>
      <x:c r="F529" s="33" t="str">
        <x:v>core</x:v>
      </x:c>
      <x:c r="G529" s="50" t="n">
        <x:v>9</x:v>
      </x:c>
      <x:c r="H529" s="50" t="n">
        <x:v>24</x:v>
      </x:c>
      <x:c r="I529" s="44" t="str">
        <x:v>09.24</x:v>
      </x:c>
      <x:c r="J529" s="33" t="str">
        <x:v>Refuge (2)</x:v>
      </x:c>
      <x:c r="K529" s="33" t="str"/>
      <x:c r="L529" s="33" t="str"/>
      <x:c r="M529" s="44" t="str"/>
      <x:c r="N529" s="50" t="n">
        <x:v>47</x:v>
      </x:c>
      <x:c r="O529" s="53" t="str">
        <x:v>McCoy and Carmichael risk violating the civil liberties of witnesses when they are forced to jail them in order to safely continue their investigation.</x:v>
      </x:c>
      <x:c r="P529" s="53" t="str">
        <x:v>Core Law &amp; Order franchise</x:v>
      </x:c>
      <x:c r="Q529" s="17" t="str">
        <x:v>34259</x:v>
      </x:c>
      <x:c r="R529" s="17" t="str">
        <x:v>tt0629398</x:v>
      </x:c>
      <x:c r="S529" s="17" t="str">
        <x:v>372</x:v>
      </x:c>
    </x:row>
    <x:row r="530">
      <x:c r="A530" s="43" t="n">
        <x:v>526</x:v>
      </x:c>
      <x:c r="B530" s="44" t="str">
        <x:v>Watched</x:v>
      </x:c>
      <x:c r="C530" s="45" t="n">
        <x:v>36423</x:v>
      </x:c>
      <x:c r="D530" s="33" t="str">
        <x:v>Law &amp; Order: Special Victims Unit</x:v>
      </x:c>
      <x:c r="E530" s="33" t="str">
        <x:v>Law &amp; Order</x:v>
      </x:c>
      <x:c r="F530" s="33" t="str">
        <x:v>core</x:v>
      </x:c>
      <x:c r="G530" s="50" t="n">
        <x:v>1</x:v>
      </x:c>
      <x:c r="H530" s="50" t="n">
        <x:v>1</x:v>
      </x:c>
      <x:c r="I530" s="44" t="str">
        <x:v>01.01</x:v>
      </x:c>
      <x:c r="J530" s="33" t="str">
        <x:v>Payback</x:v>
      </x:c>
      <x:c r="K530" s="33" t="str"/>
      <x:c r="L530" s="33" t="str"/>
      <x:c r="M530" s="44" t="str"/>
      <x:c r="N530" s="50" t="n">
        <x:v>44</x:v>
      </x:c>
      <x:c r="O530" s="53" t="str">
        <x:v>Detectives Stabler and Benson investigate the murder and dismemberment of a taxi driver; the team discovers that he may have been a vicious Serbian war criminal living in the United States under a false identity.</x:v>
      </x:c>
      <x:c r="P530" s="53" t="str">
        <x:v>Core Law &amp; Order franchise</x:v>
      </x:c>
      <x:c r="Q530" s="17" t="str">
        <x:v>224941</x:v>
      </x:c>
      <x:c r="R530" s="17" t="str">
        <x:v>tt0629700</x:v>
      </x:c>
      <x:c r="S530" s="17" t="str">
        <x:v>373</x:v>
      </x:c>
    </x:row>
    <x:row r="531">
      <x:c r="A531" s="43" t="n">
        <x:v>527</x:v>
      </x:c>
      <x:c r="B531" s="44" t="str">
        <x:v>Not Started</x:v>
      </x:c>
      <x:c r="C531" s="45" t="n">
        <x:v>36425</x:v>
      </x:c>
      <x:c r="D531" s="33" t="str">
        <x:v>Law &amp; Order</x:v>
      </x:c>
      <x:c r="E531" s="33" t="str">
        <x:v>Law &amp; Order</x:v>
      </x:c>
      <x:c r="F531" s="33" t="str">
        <x:v>core</x:v>
      </x:c>
      <x:c r="G531" s="50" t="n">
        <x:v>10</x:v>
      </x:c>
      <x:c r="H531" s="50" t="n">
        <x:v>1</x:v>
      </x:c>
      <x:c r="I531" s="44" t="str">
        <x:v>10.01</x:v>
      </x:c>
      <x:c r="J531" s="33" t="str">
        <x:v>Gunshow</x:v>
      </x:c>
      <x:c r="K531" s="33" t="str"/>
      <x:c r="L531" s="33" t="str"/>
      <x:c r="M531" s="44" t="str"/>
      <x:c r="N531" s="50" t="n">
        <x:v>46</x:v>
      </x:c>
      <x:c r="O531" s="53" t="str">
        <x:v>A murderer's shooting spree in Central Park prompts Briscoe and his new partner, Detective Eddie Green, to trace the murder weapon's origination; McCoy makes it his mission to punish the killer and the gun manufacturer.</x:v>
      </x:c>
      <x:c r="P531" s="53" t="str">
        <x:v>Core Law &amp; Order franchise</x:v>
      </x:c>
      <x:c r="Q531" s="17" t="str">
        <x:v>34260</x:v>
      </x:c>
      <x:c r="R531" s="17" t="str">
        <x:v>tt0629286</x:v>
      </x:c>
      <x:c r="S531" s="17" t="str">
        <x:v>374</x:v>
      </x:c>
    </x:row>
    <x:row r="532">
      <x:c r="A532" s="43" t="n">
        <x:v>528</x:v>
      </x:c>
      <x:c r="B532" s="44" t="str">
        <x:v>Watched</x:v>
      </x:c>
      <x:c r="C532" s="45" t="n">
        <x:v>36430</x:v>
      </x:c>
      <x:c r="D532" s="33" t="str">
        <x:v>Law &amp; Order: Special Victims Unit</x:v>
      </x:c>
      <x:c r="E532" s="33" t="str">
        <x:v>Law &amp; Order</x:v>
      </x:c>
      <x:c r="F532" s="33" t="str">
        <x:v>core</x:v>
      </x:c>
      <x:c r="G532" s="50" t="n">
        <x:v>1</x:v>
      </x:c>
      <x:c r="H532" s="50" t="n">
        <x:v>2</x:v>
      </x:c>
      <x:c r="I532" s="44" t="str">
        <x:v>01.02</x:v>
      </x:c>
      <x:c r="J532" s="33" t="str">
        <x:v>A Single Life</x:v>
      </x:c>
      <x:c r="K532" s="33" t="str"/>
      <x:c r="L532" s="33" t="str"/>
      <x:c r="M532" s="44" t="str"/>
      <x:c r="N532" s="50" t="n">
        <x:v>43</x:v>
      </x:c>
      <x:c r="O532" s="53" t="str">
        <x:v>Benson and Stabler run into multiple dead ends while investigating the case of a woman who plummeted six stories to her death clad only in a slip.</x:v>
      </x:c>
      <x:c r="P532" s="53" t="str">
        <x:v>Core Law &amp; Order franchise</x:v>
      </x:c>
      <x:c r="Q532" s="17" t="str">
        <x:v>224942</x:v>
      </x:c>
      <x:c r="R532" s="17" t="str">
        <x:v>tt0629606</x:v>
      </x:c>
      <x:c r="S532" s="17" t="str">
        <x:v>375</x:v>
      </x:c>
    </x:row>
    <x:row r="533">
      <x:c r="A533" s="43" t="n">
        <x:v>529</x:v>
      </x:c>
      <x:c r="B533" s="44" t="str">
        <x:v>Not Started</x:v>
      </x:c>
      <x:c r="C533" s="45" t="n">
        <x:v>36432</x:v>
      </x:c>
      <x:c r="D533" s="33" t="str">
        <x:v>Law &amp; Order</x:v>
      </x:c>
      <x:c r="E533" s="33" t="str">
        <x:v>Law &amp; Order</x:v>
      </x:c>
      <x:c r="F533" s="33" t="str">
        <x:v>core</x:v>
      </x:c>
      <x:c r="G533" s="50" t="n">
        <x:v>10</x:v>
      </x:c>
      <x:c r="H533" s="50" t="n">
        <x:v>2</x:v>
      </x:c>
      <x:c r="I533" s="44" t="str">
        <x:v>10.02</x:v>
      </x:c>
      <x:c r="J533" s="33" t="str">
        <x:v>Killerz</x:v>
      </x:c>
      <x:c r="K533" s="33" t="str"/>
      <x:c r="L533" s="33" t="str"/>
      <x:c r="M533" s="44" t="str"/>
      <x:c r="N533" s="50" t="n">
        <x:v>45</x:v>
      </x:c>
      <x:c r="O533" s="53" t="str">
        <x:v>Briscoe and Green believe a 10-year-old is responsible for a child's death, and McCoy wants her isolated to stop any future fatalities.</x:v>
      </x:c>
      <x:c r="P533" s="53" t="str">
        <x:v>Core Law &amp; Order franchise</x:v>
      </x:c>
      <x:c r="Q533" s="17" t="str">
        <x:v>34261</x:v>
      </x:c>
      <x:c r="R533" s="17" t="str">
        <x:v>tt0629324</x:v>
      </x:c>
      <x:c r="S533" s="17" t="str">
        <x:v>376</x:v>
      </x:c>
    </x:row>
    <x:row r="534">
      <x:c r="A534" s="43" t="n">
        <x:v>530</x:v>
      </x:c>
      <x:c r="B534" s="44" t="str">
        <x:v>Watched</x:v>
      </x:c>
      <x:c r="C534" s="45" t="n">
        <x:v>36437</x:v>
      </x:c>
      <x:c r="D534" s="33" t="str">
        <x:v>Law &amp; Order: Special Victims Unit</x:v>
      </x:c>
      <x:c r="E534" s="33" t="str">
        <x:v>Law &amp; Order</x:v>
      </x:c>
      <x:c r="F534" s="33" t="str">
        <x:v>core</x:v>
      </x:c>
      <x:c r="G534" s="50" t="n">
        <x:v>1</x:v>
      </x:c>
      <x:c r="H534" s="50" t="n">
        <x:v>3</x:v>
      </x:c>
      <x:c r="I534" s="44" t="str">
        <x:v>01.03</x:v>
      </x:c>
      <x:c r="J534" s="33" t="str">
        <x:v>...Or Just Look Like One</x:v>
      </x:c>
      <x:c r="K534" s="33" t="str"/>
      <x:c r="L534" s="33" t="str"/>
      <x:c r="M534" s="44" t="str"/>
      <x:c r="N534" s="50" t="n">
        <x:v>43</x:v>
      </x:c>
      <x:c r="O534" s="53" t="str">
        <x:v>When a teen model is murdered and another is left for dead at a hospital emergency room, the team uncovers an insidious drug and sex conspiracy in the world of high fashion. Benson and Stabler enter into a modeling underworld of thoughtless parents, drug-dealing doctors and a trendy agency executive.</x:v>
      </x:c>
      <x:c r="P534" s="53" t="str">
        <x:v>Core Law &amp; Order franchise</x:v>
      </x:c>
      <x:c r="Q534" s="17" t="str">
        <x:v>224943</x:v>
      </x:c>
      <x:c r="R534" s="17" t="str">
        <x:v>tt0629693</x:v>
      </x:c>
      <x:c r="S534" s="17" t="str">
        <x:v>377</x:v>
      </x:c>
    </x:row>
    <x:row r="535">
      <x:c r="A535" s="43" t="n">
        <x:v>531</x:v>
      </x:c>
      <x:c r="B535" s="44" t="str">
        <x:v>Not Started</x:v>
      </x:c>
      <x:c r="C535" s="45" t="n">
        <x:v>36439</x:v>
      </x:c>
      <x:c r="D535" s="33" t="str">
        <x:v>Law &amp; Order</x:v>
      </x:c>
      <x:c r="E535" s="33" t="str">
        <x:v>Law &amp; Order</x:v>
      </x:c>
      <x:c r="F535" s="33" t="str">
        <x:v>core</x:v>
      </x:c>
      <x:c r="G535" s="50" t="n">
        <x:v>10</x:v>
      </x:c>
      <x:c r="H535" s="50" t="n">
        <x:v>3</x:v>
      </x:c>
      <x:c r="I535" s="44" t="str">
        <x:v>10.03</x:v>
      </x:c>
      <x:c r="J535" s="33" t="str">
        <x:v>DNR</x:v>
      </x:c>
      <x:c r="K535" s="33" t="str"/>
      <x:c r="L535" s="33" t="str"/>
      <x:c r="M535" s="44" t="str"/>
      <x:c r="N535" s="50" t="n">
        <x:v>45</x:v>
      </x:c>
      <x:c r="O535" s="53" t="str">
        <x:v>As Briscoe and Green investigate the shooting of judge, suspicion quickly points to her husband as the person who ordered the hit, but McCoy's case is hindered when she refuses to implicate her husband during the trial.</x:v>
      </x:c>
      <x:c r="P535" s="53" t="str">
        <x:v>Core Law &amp; Order franchise</x:v>
      </x:c>
      <x:c r="Q535" s="17" t="str">
        <x:v>34262</x:v>
      </x:c>
      <x:c r="R535" s="17" t="str">
        <x:v>tt0629226</x:v>
      </x:c>
      <x:c r="S535" s="17" t="str">
        <x:v>378</x:v>
      </x:c>
    </x:row>
    <x:row r="536">
      <x:c r="A536" s="43" t="n">
        <x:v>532</x:v>
      </x:c>
      <x:c r="B536" s="44" t="str">
        <x:v>Watched</x:v>
      </x:c>
      <x:c r="C536" s="45" t="n">
        <x:v>36444</x:v>
      </x:c>
      <x:c r="D536" s="33" t="str">
        <x:v>Law &amp; Order: Special Victims Unit</x:v>
      </x:c>
      <x:c r="E536" s="33" t="str">
        <x:v>Law &amp; Order</x:v>
      </x:c>
      <x:c r="F536" s="33" t="str">
        <x:v>core</x:v>
      </x:c>
      <x:c r="G536" s="50" t="n">
        <x:v>1</x:v>
      </x:c>
      <x:c r="H536" s="50" t="n">
        <x:v>4</x:v>
      </x:c>
      <x:c r="I536" s="44" t="str">
        <x:v>01.04</x:v>
      </x:c>
      <x:c r="J536" s="33" t="str">
        <x:v>Hysteria</x:v>
      </x:c>
      <x:c r="K536" s="33" t="str"/>
      <x:c r="L536" s="33" t="str"/>
      <x:c r="M536" s="44" t="str"/>
      <x:c r="N536" s="50" t="n">
        <x:v>43</x:v>
      </x:c>
      <x:c r="O536" s="53" t="str">
        <x:v>When a young African-American woman is found dead, she is initially believed to be a prostitute and the latest in a long line of victims, but when looking into her home life Benson and Stabler realize that she does not fit the pattern, and may not be connected to the other deaths after all, but the other deaths have a connection no one anticipated.</x:v>
      </x:c>
      <x:c r="P536" s="53" t="str">
        <x:v>Core Law &amp; Order franchise</x:v>
      </x:c>
      <x:c r="Q536" s="17" t="str">
        <x:v>224944</x:v>
      </x:c>
      <x:c r="R536" s="17" t="str">
        <x:v>tt0629669</x:v>
      </x:c>
      <x:c r="S536" s="17" t="str">
        <x:v>379</x:v>
      </x:c>
    </x:row>
    <x:row r="537">
      <x:c r="A537" s="43" t="n">
        <x:v>533</x:v>
      </x:c>
      <x:c r="B537" s="44" t="str">
        <x:v>Not Started</x:v>
      </x:c>
      <x:c r="C537" s="45" t="n">
        <x:v>36446</x:v>
      </x:c>
      <x:c r="D537" s="33" t="str">
        <x:v>Law &amp; Order</x:v>
      </x:c>
      <x:c r="E537" s="33" t="str">
        <x:v>Law &amp; Order</x:v>
      </x:c>
      <x:c r="F537" s="33" t="str">
        <x:v>core</x:v>
      </x:c>
      <x:c r="G537" s="50" t="n">
        <x:v>10</x:v>
      </x:c>
      <x:c r="H537" s="50" t="n">
        <x:v>4</x:v>
      </x:c>
      <x:c r="I537" s="44" t="str">
        <x:v>10.04</x:v>
      </x:c>
      <x:c r="J537" s="33" t="str">
        <x:v>Merger</x:v>
      </x:c>
      <x:c r="K537" s="33" t="str"/>
      <x:c r="L537" s="33" t="str"/>
      <x:c r="M537" s="44" t="str"/>
      <x:c r="N537" s="50" t="n">
        <x:v>45</x:v>
      </x:c>
      <x:c r="O537" s="53" t="str">
        <x:v>The murder of a drug-laden teen presents the detectives with a host of suspects from her wealthy family.</x:v>
      </x:c>
      <x:c r="P537" s="53" t="str">
        <x:v>Core Law &amp; Order franchise</x:v>
      </x:c>
      <x:c r="Q537" s="17" t="str">
        <x:v>34263</x:v>
      </x:c>
      <x:c r="R537" s="17" t="str">
        <x:v>tt0629342</x:v>
      </x:c>
      <x:c r="S537" s="17" t="str">
        <x:v>380</x:v>
      </x:c>
    </x:row>
    <x:row r="538">
      <x:c r="A538" s="43" t="n">
        <x:v>534</x:v>
      </x:c>
      <x:c r="B538" s="44" t="str">
        <x:v>Watched</x:v>
      </x:c>
      <x:c r="C538" s="45" t="n">
        <x:v>36451</x:v>
      </x:c>
      <x:c r="D538" s="33" t="str">
        <x:v>Law &amp; Order: Special Victims Unit</x:v>
      </x:c>
      <x:c r="E538" s="33" t="str">
        <x:v>Law &amp; Order</x:v>
      </x:c>
      <x:c r="F538" s="33" t="str">
        <x:v>core</x:v>
      </x:c>
      <x:c r="G538" s="50" t="n">
        <x:v>1</x:v>
      </x:c>
      <x:c r="H538" s="50" t="n">
        <x:v>5</x:v>
      </x:c>
      <x:c r="I538" s="44" t="str">
        <x:v>01.05</x:v>
      </x:c>
      <x:c r="J538" s="33" t="str">
        <x:v>Wanderlust</x:v>
      </x:c>
      <x:c r="K538" s="33" t="str"/>
      <x:c r="L538" s="33" t="str"/>
      <x:c r="M538" s="44" t="str"/>
      <x:c r="N538" s="50" t="n">
        <x:v>44</x:v>
      </x:c>
      <x:c r="O538" s="53" t="str">
        <x:v>When a world-traveling author is found dead in a room he rented from an alcoholic woman and her precocious 14-year-old daughter, the detectives are shocked to discover who the murderer is.</x:v>
      </x:c>
      <x:c r="P538" s="53" t="str">
        <x:v>Core Law &amp; Order franchise</x:v>
      </x:c>
      <x:c r="Q538" s="17" t="str">
        <x:v>224945</x:v>
      </x:c>
      <x:c r="R538" s="17" t="str">
        <x:v>tt0629753</x:v>
      </x:c>
      <x:c r="S538" s="17" t="str">
        <x:v>381</x:v>
      </x:c>
    </x:row>
    <x:row r="539">
      <x:c r="A539" s="43" t="n">
        <x:v>535</x:v>
      </x:c>
      <x:c r="B539" s="44" t="str">
        <x:v>Watched</x:v>
      </x:c>
      <x:c r="C539" s="45" t="n">
        <x:v>36458</x:v>
      </x:c>
      <x:c r="D539" s="33" t="str">
        <x:v>Law &amp; Order: Special Victims Unit</x:v>
      </x:c>
      <x:c r="E539" s="33" t="str">
        <x:v>Law &amp; Order</x:v>
      </x:c>
      <x:c r="F539" s="33" t="str">
        <x:v>core</x:v>
      </x:c>
      <x:c r="G539" s="50" t="n">
        <x:v>1</x:v>
      </x:c>
      <x:c r="H539" s="50" t="n">
        <x:v>6</x:v>
      </x:c>
      <x:c r="I539" s="44" t="str">
        <x:v>01.06</x:v>
      </x:c>
      <x:c r="J539" s="33" t="str">
        <x:v>Sophomore Jinx</x:v>
      </x:c>
      <x:c r="K539" s="33" t="str"/>
      <x:c r="L539" s="33" t="str"/>
      <x:c r="M539" s="44" t="str"/>
      <x:c r="N539" s="50" t="n">
        <x:v>43</x:v>
      </x:c>
      <x:c r="O539" s="53" t="str">
        <x:v>A female student at an upper-class university is raped and murdered, and two of the college's basketball stars are suspected. However, the college blocks their investigation at every turn because they are not willing to risk the negative publicity that the investigation could bring to the school and the upcoming championship.</x:v>
      </x:c>
      <x:c r="P539" s="53" t="str">
        <x:v>Core Law &amp; Order franchise</x:v>
      </x:c>
      <x:c r="Q539" s="17" t="str">
        <x:v>224946</x:v>
      </x:c>
      <x:c r="R539" s="17" t="str">
        <x:v>tt0629735</x:v>
      </x:c>
      <x:c r="S539" s="17" t="str">
        <x:v>382</x:v>
      </x:c>
    </x:row>
    <x:row r="540">
      <x:c r="A540" s="43" t="n">
        <x:v>536</x:v>
      </x:c>
      <x:c r="B540" s="44" t="str">
        <x:v>Not Started</x:v>
      </x:c>
      <x:c r="C540" s="45" t="n">
        <x:v>36474</x:v>
      </x:c>
      <x:c r="D540" s="33" t="str">
        <x:v>Law &amp; Order</x:v>
      </x:c>
      <x:c r="E540" s="33" t="str">
        <x:v>Law &amp; Order</x:v>
      </x:c>
      <x:c r="F540" s="33" t="str">
        <x:v>core</x:v>
      </x:c>
      <x:c r="G540" s="50" t="n">
        <x:v>10</x:v>
      </x:c>
      <x:c r="H540" s="50" t="n">
        <x:v>5</x:v>
      </x:c>
      <x:c r="I540" s="44" t="str">
        <x:v>10.05</x:v>
      </x:c>
      <x:c r="J540" s="33" t="str">
        <x:v>Justice</x:v>
      </x:c>
      <x:c r="K540" s="33" t="str"/>
      <x:c r="L540" s="33" t="str"/>
      <x:c r="M540" s="44" t="str"/>
      <x:c r="N540" s="50" t="n">
        <x:v>46</x:v>
      </x:c>
      <x:c r="O540" s="53" t="str">
        <x:v>Jamie Ross returns as a defense attorney to represent a previous client who has key evidence concerning a prisoner on death row.</x:v>
      </x:c>
      <x:c r="P540" s="53" t="str">
        <x:v>Core Law &amp; Order franchise</x:v>
      </x:c>
      <x:c r="Q540" s="17" t="str">
        <x:v>34264</x:v>
      </x:c>
      <x:c r="R540" s="17" t="str">
        <x:v>tt0629320</x:v>
      </x:c>
      <x:c r="S540" s="17" t="str">
        <x:v>383</x:v>
      </x:c>
    </x:row>
    <x:row r="541">
      <x:c r="A541" s="43" t="n">
        <x:v>537</x:v>
      </x:c>
      <x:c r="B541" s="44" t="str">
        <x:v>Watched</x:v>
      </x:c>
      <x:c r="C541" s="45" t="n">
        <x:v>36479</x:v>
      </x:c>
      <x:c r="D541" s="33" t="str">
        <x:v>Law &amp; Order: Special Victims Unit</x:v>
      </x:c>
      <x:c r="E541" s="33" t="str">
        <x:v>Law &amp; Order</x:v>
      </x:c>
      <x:c r="F541" s="33" t="str">
        <x:v>core</x:v>
      </x:c>
      <x:c r="G541" s="50" t="n">
        <x:v>1</x:v>
      </x:c>
      <x:c r="H541" s="50" t="n">
        <x:v>7</x:v>
      </x:c>
      <x:c r="I541" s="44" t="str">
        <x:v>01.07</x:v>
      </x:c>
      <x:c r="J541" s="33" t="str">
        <x:v>Uncivilized</x:v>
      </x:c>
      <x:c r="K541" s="33" t="str"/>
      <x:c r="L541" s="33" t="str"/>
      <x:c r="M541" s="44" t="str"/>
      <x:c r="N541" s="50" t="n">
        <x:v>44</x:v>
      </x:c>
      <x:c r="O541" s="53" t="str">
        <x:v>When a young boy is found raped and murdered in a field, suspicion leads detectives to a recently paroled child molester who lives in the neighborhood.. Although they both hate what the man has done in the past, it is soon obvious to the detectives that the teenagers who initially steered them in the man's direction are hiding secrets of their own.</x:v>
      </x:c>
      <x:c r="P541" s="53" t="str">
        <x:v>Core Law &amp; Order franchise</x:v>
      </x:c>
      <x:c r="Q541" s="17" t="str">
        <x:v>224947</x:v>
      </x:c>
      <x:c r="R541" s="17" t="str">
        <x:v>tt0629750</x:v>
      </x:c>
      <x:c r="S541" s="17" t="str">
        <x:v>384</x:v>
      </x:c>
    </x:row>
    <x:row r="542">
      <x:c r="A542" s="43" t="n">
        <x:v>538</x:v>
      </x:c>
      <x:c r="B542" s="44" t="str">
        <x:v>Not Started</x:v>
      </x:c>
      <x:c r="C542" s="45" t="n">
        <x:v>36481</x:v>
      </x:c>
      <x:c r="D542" s="33" t="str">
        <x:v>Law &amp; Order</x:v>
      </x:c>
      <x:c r="E542" s="33" t="str">
        <x:v>Law &amp; Order</x:v>
      </x:c>
      <x:c r="F542" s="33" t="str">
        <x:v>core</x:v>
      </x:c>
      <x:c r="G542" s="50" t="n">
        <x:v>10</x:v>
      </x:c>
      <x:c r="H542" s="50" t="n">
        <x:v>6</x:v>
      </x:c>
      <x:c r="I542" s="44" t="str">
        <x:v>10.06</x:v>
      </x:c>
      <x:c r="J542" s="33" t="str">
        <x:v>Marathon</x:v>
      </x:c>
      <x:c r="K542" s="33" t="str"/>
      <x:c r="L542" s="33" t="str"/>
      <x:c r="M542" s="44" t="str"/>
      <x:c r="N542" s="50" t="n">
        <x:v>44</x:v>
      </x:c>
      <x:c r="O542" s="53" t="str">
        <x:v>A frustrating investigation of a purse-snatching victim who was fatally shot leads to tension between Briscoe and Green over age and racial innuendoes. Briscoe notices his partner has developed a dangerous habit.</x:v>
      </x:c>
      <x:c r="P542" s="53" t="str">
        <x:v>Core Law &amp; Order franchise</x:v>
      </x:c>
      <x:c r="Q542" s="17" t="str">
        <x:v>34265</x:v>
      </x:c>
      <x:c r="R542" s="17" t="str">
        <x:v>tt0629335</x:v>
      </x:c>
      <x:c r="S542" s="17" t="str">
        <x:v>385</x:v>
      </x:c>
    </x:row>
    <x:row r="543">
      <x:c r="A543" s="43" t="n">
        <x:v>539</x:v>
      </x:c>
      <x:c r="B543" s="44" t="str">
        <x:v>Watched</x:v>
      </x:c>
      <x:c r="C543" s="45" t="n">
        <x:v>36486</x:v>
      </x:c>
      <x:c r="D543" s="33" t="str">
        <x:v>Law &amp; Order: Special Victims Unit</x:v>
      </x:c>
      <x:c r="E543" s="33" t="str">
        <x:v>Law &amp; Order</x:v>
      </x:c>
      <x:c r="F543" s="33" t="str">
        <x:v>core</x:v>
      </x:c>
      <x:c r="G543" s="50" t="n">
        <x:v>1</x:v>
      </x:c>
      <x:c r="H543" s="50" t="n">
        <x:v>8</x:v>
      </x:c>
      <x:c r="I543" s="44" t="str">
        <x:v>01.08</x:v>
      </x:c>
      <x:c r="J543" s="33" t="str">
        <x:v>Stalked</x:v>
      </x:c>
      <x:c r="K543" s="33" t="str"/>
      <x:c r="L543" s="33" t="str"/>
      <x:c r="M543" s="44" t="str"/>
      <x:c r="N543" s="50" t="n">
        <x:v>44</x:v>
      </x:c>
      <x:c r="O543" s="53" t="str">
        <x:v>When an assistant district attorney is found raped and murdered in Central Park, the Special Victims Unit learn that she'd been stalked by a real estate agent whom she'd convicted of date rape. Benson lets her emotions get the best of her as she takes it upon herself to bring the suspected rapist to justice. Stabler tries to get the man's business partner to help him, but Benson may be the one who ends up needing help.</x:v>
      </x:c>
      <x:c r="P543" s="53" t="str">
        <x:v>Core Law &amp; Order franchise</x:v>
      </x:c>
      <x:c r="Q543" s="17" t="str">
        <x:v>224948</x:v>
      </x:c>
      <x:c r="R543" s="17" t="str">
        <x:v>tt0629737</x:v>
      </x:c>
      <x:c r="S543" s="17" t="str">
        <x:v>386</x:v>
      </x:c>
    </x:row>
    <x:row r="544">
      <x:c r="A544" s="43" t="n">
        <x:v>540</x:v>
      </x:c>
      <x:c r="B544" s="44" t="str">
        <x:v>Not Started</x:v>
      </x:c>
      <x:c r="C544" s="45" t="n">
        <x:v>36488</x:v>
      </x:c>
      <x:c r="D544" s="33" t="str">
        <x:v>Law &amp; Order</x:v>
      </x:c>
      <x:c r="E544" s="33" t="str">
        <x:v>Law &amp; Order</x:v>
      </x:c>
      <x:c r="F544" s="33" t="str">
        <x:v>core</x:v>
      </x:c>
      <x:c r="G544" s="50" t="n">
        <x:v>10</x:v>
      </x:c>
      <x:c r="H544" s="50" t="n">
        <x:v>7</x:v>
      </x:c>
      <x:c r="I544" s="44" t="str">
        <x:v>10.07</x:v>
      </x:c>
      <x:c r="J544" s="33" t="str">
        <x:v>Patsy</x:v>
      </x:c>
      <x:c r="K544" s="33" t="str"/>
      <x:c r="L544" s="33" t="str"/>
      <x:c r="M544" s="44" t="str"/>
      <x:c r="N544" s="50" t="n">
        <x:v>45</x:v>
      </x:c>
      <x:c r="O544" s="53" t="str">
        <x:v>The investigation that follows the discovery of a comatose woman in her apartment leads to an unusual case involving murder and a possible frame-up, despite the prosecution having key DNA evidence to the contrary.</x:v>
      </x:c>
      <x:c r="P544" s="53" t="str">
        <x:v>Core Law &amp; Order franchise</x:v>
      </x:c>
      <x:c r="Q544" s="17" t="str">
        <x:v>34266</x:v>
      </x:c>
      <x:c r="R544" s="17" t="str">
        <x:v>tt0629371</x:v>
      </x:c>
      <x:c r="S544" s="17" t="str">
        <x:v>387</x:v>
      </x:c>
    </x:row>
    <x:row r="545">
      <x:c r="A545" s="43" t="n">
        <x:v>541</x:v>
      </x:c>
      <x:c r="B545" s="44" t="str">
        <x:v>Watched</x:v>
      </x:c>
      <x:c r="C545" s="45" t="n">
        <x:v>36493</x:v>
      </x:c>
      <x:c r="D545" s="33" t="str">
        <x:v>Law &amp; Order: Special Victims Unit</x:v>
      </x:c>
      <x:c r="E545" s="33" t="str">
        <x:v>Law &amp; Order</x:v>
      </x:c>
      <x:c r="F545" s="33" t="str">
        <x:v>core</x:v>
      </x:c>
      <x:c r="G545" s="50" t="n">
        <x:v>1</x:v>
      </x:c>
      <x:c r="H545" s="50" t="n">
        <x:v>9</x:v>
      </x:c>
      <x:c r="I545" s="44" t="str">
        <x:v>01.09</x:v>
      </x:c>
      <x:c r="J545" s="33" t="str">
        <x:v>Stocks &amp; Bondage</x:v>
      </x:c>
      <x:c r="K545" s="33" t="str"/>
      <x:c r="L545" s="33" t="str"/>
      <x:c r="M545" s="44" t="str"/>
      <x:c r="N545" s="50" t="n">
        <x:v>44</x:v>
      </x:c>
      <x:c r="O545" s="53" t="str">
        <x:v>An investment analyst is found hanged in her bedroom, and the Special Victims Unit explores her sordid sexual past to uncover her murderer's identity. The team uncovers the world of bondage and sado-masochism where they first investigate the woman's colleagues but are soon on the trail of a host of individuals involved in the world of whips and chains.</x:v>
      </x:c>
      <x:c r="P545" s="53" t="str">
        <x:v>Core Law &amp; Order franchise</x:v>
      </x:c>
      <x:c r="Q545" s="17" t="str">
        <x:v>224949</x:v>
      </x:c>
      <x:c r="R545" s="17" t="str">
        <x:v>tt0629739</x:v>
      </x:c>
      <x:c r="S545" s="17" t="str">
        <x:v>388</x:v>
      </x:c>
    </x:row>
    <x:row r="546">
      <x:c r="A546" s="43" t="n">
        <x:v>542</x:v>
      </x:c>
      <x:c r="B546" s="44" t="str">
        <x:v>Not Started</x:v>
      </x:c>
      <x:c r="C546" s="45" t="n">
        <x:v>36495</x:v>
      </x:c>
      <x:c r="D546" s="33" t="str">
        <x:v>Law &amp; Order</x:v>
      </x:c>
      <x:c r="E546" s="33" t="str">
        <x:v>Law &amp; Order</x:v>
      </x:c>
      <x:c r="F546" s="33" t="str">
        <x:v>core</x:v>
      </x:c>
      <x:c r="G546" s="50" t="n">
        <x:v>10</x:v>
      </x:c>
      <x:c r="H546" s="50" t="n">
        <x:v>8</x:v>
      </x:c>
      <x:c r="I546" s="44" t="str">
        <x:v>10.08</x:v>
      </x:c>
      <x:c r="J546" s="33" t="str">
        <x:v>Blood Money</x:v>
      </x:c>
      <x:c r="K546" s="33" t="str"/>
      <x:c r="L546" s="33" t="str"/>
      <x:c r="M546" s="44" t="str"/>
      <x:c r="N546" s="50" t="n">
        <x:v>46</x:v>
      </x:c>
      <x:c r="O546" s="53" t="str">
        <x:v>A taxi driver finds that his passenger is dead, leading the detectives to a case involving an insurance scam and Holocaust victims.</x:v>
      </x:c>
      <x:c r="P546" s="53" t="str">
        <x:v>Core Law &amp; Order franchise</x:v>
      </x:c>
      <x:c r="Q546" s="17" t="str">
        <x:v>34267</x:v>
      </x:c>
      <x:c r="R546" s="17" t="str">
        <x:v>tt0629183</x:v>
      </x:c>
      <x:c r="S546" s="17" t="str">
        <x:v>389</x:v>
      </x:c>
    </x:row>
    <x:row r="547">
      <x:c r="A547" s="43" t="n">
        <x:v>543</x:v>
      </x:c>
      <x:c r="B547" s="44" t="str">
        <x:v>Not Started</x:v>
      </x:c>
      <x:c r="C547" s="45" t="n">
        <x:v>36509</x:v>
      </x:c>
      <x:c r="D547" s="33" t="str">
        <x:v>Law &amp; Order</x:v>
      </x:c>
      <x:c r="E547" s="33" t="str">
        <x:v>Law &amp; Order</x:v>
      </x:c>
      <x:c r="F547" s="33" t="str">
        <x:v>core</x:v>
      </x:c>
      <x:c r="G547" s="50" t="n">
        <x:v>10</x:v>
      </x:c>
      <x:c r="H547" s="50" t="n">
        <x:v>9</x:v>
      </x:c>
      <x:c r="I547" s="44" t="str">
        <x:v>10.09</x:v>
      </x:c>
      <x:c r="J547" s="33" t="str">
        <x:v>Sundown</x:v>
      </x:c>
      <x:c r="K547" s="33" t="str"/>
      <x:c r="L547" s="33" t="str"/>
      <x:c r="M547" s="44" t="str"/>
      <x:c r="N547" s="50" t="n">
        <x:v>45</x:v>
      </x:c>
      <x:c r="O547" s="53" t="str">
        <x:v>A patient is found beaten to death in a hospital lounge -- and the resulting case involves infidelity, Alzheimer's disease and a ladies' man.</x:v>
      </x:c>
      <x:c r="P547" s="53" t="str">
        <x:v>Core Law &amp; Order franchise</x:v>
      </x:c>
      <x:c r="Q547" s="17" t="str">
        <x:v>34268</x:v>
      </x:c>
      <x:c r="R547" s="17" t="str">
        <x:v>tt0629441</x:v>
      </x:c>
      <x:c r="S547" s="17" t="str">
        <x:v>390</x:v>
      </x:c>
    </x:row>
    <x:row r="548">
      <x:c r="A548" s="43" t="n">
        <x:v>544</x:v>
      </x:c>
      <x:c r="B548" s="44" t="str">
        <x:v>Not Started</x:v>
      </x:c>
      <x:c r="C548" s="45" t="n">
        <x:v>36530</x:v>
      </x:c>
      <x:c r="D548" s="33" t="str">
        <x:v>Law &amp; Order</x:v>
      </x:c>
      <x:c r="E548" s="33" t="str">
        <x:v>Law &amp; Order</x:v>
      </x:c>
      <x:c r="F548" s="33" t="str">
        <x:v>core</x:v>
      </x:c>
      <x:c r="G548" s="50" t="n">
        <x:v>10</x:v>
      </x:c>
      <x:c r="H548" s="50" t="n">
        <x:v>10</x:v>
      </x:c>
      <x:c r="I548" s="44" t="str">
        <x:v>10.10</x:v>
      </x:c>
      <x:c r="J548" s="33" t="str">
        <x:v>Loco Parentis</x:v>
      </x:c>
      <x:c r="K548" s="33" t="str"/>
      <x:c r="L548" s="33" t="str"/>
      <x:c r="M548" s="44" t="str"/>
      <x:c r="N548" s="50" t="n">
        <x:v>46</x:v>
      </x:c>
      <x:c r="O548" s="53" t="str">
        <x:v>After sanitation workers find a teenage boy's body, the investigation leads to a school bully who displays an avid interest in martial-arts weapons, and whose father bought the murder weapon.</x:v>
      </x:c>
      <x:c r="P548" s="53" t="str">
        <x:v>Core Law &amp; Order franchise</x:v>
      </x:c>
      <x:c r="Q548" s="17" t="str">
        <x:v>34269</x:v>
      </x:c>
      <x:c r="R548" s="17" t="str">
        <x:v>tt0629330</x:v>
      </x:c>
      <x:c r="S548" s="17" t="str">
        <x:v>391</x:v>
      </x:c>
    </x:row>
    <x:row r="549">
      <x:c r="A549" s="43" t="n">
        <x:v>545</x:v>
      </x:c>
      <x:c r="B549" s="44" t="str">
        <x:v>Watched</x:v>
      </x:c>
      <x:c r="C549" s="45" t="n">
        <x:v>36532</x:v>
      </x:c>
      <x:c r="D549" s="33" t="str">
        <x:v>Law &amp; Order: Special Victims Unit</x:v>
      </x:c>
      <x:c r="E549" s="33" t="str">
        <x:v>Law &amp; Order</x:v>
      </x:c>
      <x:c r="F549" s="33" t="str">
        <x:v>core</x:v>
      </x:c>
      <x:c r="G549" s="50" t="n">
        <x:v>1</x:v>
      </x:c>
      <x:c r="H549" s="50" t="n">
        <x:v>10</x:v>
      </x:c>
      <x:c r="I549" s="44" t="str">
        <x:v>01.10</x:v>
      </x:c>
      <x:c r="J549" s="33" t="str">
        <x:v>Closure</x:v>
      </x:c>
      <x:c r="K549" s="33" t="str"/>
      <x:c r="L549" s="33" t="str"/>
      <x:c r="M549" s="44" t="str"/>
      <x:c r="N549" s="50" t="n">
        <x:v>44</x:v>
      </x:c>
      <x:c r="O549" s="53" t="str">
        <x:v>When a woman is raped, she turns to the Special Victims Unit for help, but lack of evidence prevents them from apprehending the criminal. When the detectives revisit the case a few months later, they find the woman even less willing to talk about what happened, as she claims she has moved on. Things turn sticky when Benson and Cassidy spend the night together.</x:v>
      </x:c>
      <x:c r="P549" s="53" t="str">
        <x:v>Core Law &amp; Order franchise</x:v>
      </x:c>
      <x:c r="Q549" s="17" t="str">
        <x:v>224950</x:v>
      </x:c>
      <x:c r="R549" s="17" t="str">
        <x:v>tt0629626</x:v>
      </x:c>
      <x:c r="S549" s="17" t="str">
        <x:v>392</x:v>
      </x:c>
    </x:row>
    <x:row r="550">
      <x:c r="A550" s="43" t="n">
        <x:v>546</x:v>
      </x:c>
      <x:c r="B550" s="44" t="str">
        <x:v>Watched</x:v>
      </x:c>
      <x:c r="C550" s="45" t="n">
        <x:v>36539</x:v>
      </x:c>
      <x:c r="D550" s="33" t="str">
        <x:v>Law &amp; Order: Special Victims Unit</x:v>
      </x:c>
      <x:c r="E550" s="33" t="str">
        <x:v>Law &amp; Order</x:v>
      </x:c>
      <x:c r="F550" s="33" t="str">
        <x:v>core</x:v>
      </x:c>
      <x:c r="G550" s="50" t="n">
        <x:v>1</x:v>
      </x:c>
      <x:c r="H550" s="50" t="n">
        <x:v>11</x:v>
      </x:c>
      <x:c r="I550" s="44" t="str">
        <x:v>01.11</x:v>
      </x:c>
      <x:c r="J550" s="33" t="str">
        <x:v>Bad Blood</x:v>
      </x:c>
      <x:c r="K550" s="33" t="str"/>
      <x:c r="L550" s="33" t="str"/>
      <x:c r="M550" s="44" t="str"/>
      <x:c r="N550" s="50" t="n">
        <x:v>44</x:v>
      </x:c>
      <x:c r="O550" s="53" t="str">
        <x:v>A moral coalition leader's gay son is found murdered on the roof of his apartment building. Initially, Benson and Stabler investigate his father, a Conservative well-known for his homophobic viewpoints, but once they start looking into the young man's living arrangements they realize the person they're looking for may be closer than they think. Munch tries to help Benson find the man who raped her mother, and could potentially be her father.</x:v>
      </x:c>
      <x:c r="P550" s="53" t="str">
        <x:v>Core Law &amp; Order franchise</x:v>
      </x:c>
      <x:c r="Q550" s="17" t="str">
        <x:v>224951</x:v>
      </x:c>
      <x:c r="R550" s="17" t="str">
        <x:v>tt0629614</x:v>
      </x:c>
      <x:c r="S550" s="17" t="str">
        <x:v>393</x:v>
      </x:c>
    </x:row>
    <x:row r="551">
      <x:c r="A551" s="43" t="n">
        <x:v>547</x:v>
      </x:c>
      <x:c r="B551" s="44" t="str">
        <x:v>Watched</x:v>
      </x:c>
      <x:c r="C551" s="45" t="n">
        <x:v>36546</x:v>
      </x:c>
      <x:c r="D551" s="33" t="str">
        <x:v>Law &amp; Order: Special Victims Unit</x:v>
      </x:c>
      <x:c r="E551" s="33" t="str">
        <x:v>Law &amp; Order</x:v>
      </x:c>
      <x:c r="F551" s="33" t="str">
        <x:v>core</x:v>
      </x:c>
      <x:c r="G551" s="50" t="n">
        <x:v>1</x:v>
      </x:c>
      <x:c r="H551" s="50" t="n">
        <x:v>12</x:v>
      </x:c>
      <x:c r="I551" s="44" t="str">
        <x:v>01.12</x:v>
      </x:c>
      <x:c r="J551" s="33" t="str">
        <x:v>Russian Love Poem</x:v>
      </x:c>
      <x:c r="K551" s="33" t="str"/>
      <x:c r="L551" s="33" t="str"/>
      <x:c r="M551" s="44" t="str"/>
      <x:c r="N551" s="50" t="n">
        <x:v>44</x:v>
      </x:c>
      <x:c r="O551" s="53" t="str">
        <x:v>When a multi-millionaire is found strangled in his home, Benson and Stabler turn their suspicion to his long list of lovers, which includes both men and women. Detectives discover he was involved with a group of beautiful Russian women that came to the U.S. to take advantage of wealthy Americans.</x:v>
      </x:c>
      <x:c r="P551" s="53" t="str">
        <x:v>Core Law &amp; Order franchise</x:v>
      </x:c>
      <x:c r="Q551" s="17" t="str">
        <x:v>224952</x:v>
      </x:c>
      <x:c r="R551" s="17" t="str">
        <x:v>tt0629725</x:v>
      </x:c>
      <x:c r="S551" s="17" t="str">
        <x:v>394</x:v>
      </x:c>
    </x:row>
    <x:row r="552">
      <x:c r="A552" s="43" t="n">
        <x:v>548</x:v>
      </x:c>
      <x:c r="B552" s="44" t="str">
        <x:v>Not Started</x:v>
      </x:c>
      <x:c r="C552" s="45" t="n">
        <x:v>36551</x:v>
      </x:c>
      <x:c r="D552" s="33" t="str">
        <x:v>Law &amp; Order</x:v>
      </x:c>
      <x:c r="E552" s="33" t="str">
        <x:v>Law &amp; Order</x:v>
      </x:c>
      <x:c r="F552" s="33" t="str">
        <x:v>core</x:v>
      </x:c>
      <x:c r="G552" s="50" t="n">
        <x:v>10</x:v>
      </x:c>
      <x:c r="H552" s="50" t="n">
        <x:v>11</x:v>
      </x:c>
      <x:c r="I552" s="44" t="str">
        <x:v>10.11</x:v>
      </x:c>
      <x:c r="J552" s="33" t="str">
        <x:v>Collision</x:v>
      </x:c>
      <x:c r="K552" s="33" t="str"/>
      <x:c r="L552" s="33" t="str"/>
      <x:c r="M552" s="44" t="str"/>
      <x:c r="N552" s="50" t="n">
        <x:v>45</x:v>
      </x:c>
      <x:c r="O552" s="53" t="str">
        <x:v>The investigation of a schizophrenic woman's death leads to a case involving a homeless man and his right to refuse medication.</x:v>
      </x:c>
      <x:c r="P552" s="53" t="str">
        <x:v>Core Law &amp; Order franchise</x:v>
      </x:c>
      <x:c r="Q552" s="17" t="str">
        <x:v>34270</x:v>
      </x:c>
      <x:c r="R552" s="17" t="str">
        <x:v>tt0629207</x:v>
      </x:c>
      <x:c r="S552" s="17" t="str">
        <x:v>395</x:v>
      </x:c>
    </x:row>
    <x:row r="553">
      <x:c r="A553" s="43" t="n">
        <x:v>549</x:v>
      </x:c>
      <x:c r="B553" s="44" t="str">
        <x:v>Watched</x:v>
      </x:c>
      <x:c r="C553" s="45" t="n">
        <x:v>36560</x:v>
      </x:c>
      <x:c r="D553" s="33" t="str">
        <x:v>Law &amp; Order: Special Victims Unit</x:v>
      </x:c>
      <x:c r="E553" s="33" t="str">
        <x:v>Law &amp; Order</x:v>
      </x:c>
      <x:c r="F553" s="33" t="str">
        <x:v>core</x:v>
      </x:c>
      <x:c r="G553" s="50" t="n">
        <x:v>1</x:v>
      </x:c>
      <x:c r="H553" s="50" t="n">
        <x:v>13</x:v>
      </x:c>
      <x:c r="I553" s="44" t="str">
        <x:v>01.13</x:v>
      </x:c>
      <x:c r="J553" s="33" t="str">
        <x:v>Disrobed</x:v>
      </x:c>
      <x:c r="K553" s="33" t="str"/>
      <x:c r="L553" s="33" t="str"/>
      <x:c r="M553" s="44" t="str"/>
      <x:c r="N553" s="50" t="n">
        <x:v>44</x:v>
      </x:c>
      <x:c r="O553" s="53" t="str">
        <x:v>A judge who fought for the rights of abused women is found shot in his car under sordid circumstances, and the detectives uncover a case of corruption that leads to the state parole board. The team soon turns their eye to a battered wife with a secret.</x:v>
      </x:c>
      <x:c r="P553" s="53" t="str">
        <x:v>Core Law &amp; Order franchise</x:v>
      </x:c>
      <x:c r="Q553" s="17" t="str">
        <x:v>224953</x:v>
      </x:c>
      <x:c r="R553" s="17" t="str">
        <x:v>tt0629646</x:v>
      </x:c>
      <x:c r="S553" s="17" t="str">
        <x:v>396</x:v>
      </x:c>
    </x:row>
    <x:row r="554">
      <x:c r="A554" s="43" t="n">
        <x:v>550</x:v>
      </x:c>
      <x:c r="B554" s="44" t="str">
        <x:v>Not Started</x:v>
      </x:c>
      <x:c r="C554" s="45" t="n">
        <x:v>36565</x:v>
      </x:c>
      <x:c r="D554" s="33" t="str">
        <x:v>Law &amp; Order</x:v>
      </x:c>
      <x:c r="E554" s="33" t="str">
        <x:v>Law &amp; Order</x:v>
      </x:c>
      <x:c r="F554" s="33" t="str">
        <x:v>core</x:v>
      </x:c>
      <x:c r="G554" s="50" t="n">
        <x:v>10</x:v>
      </x:c>
      <x:c r="H554" s="50" t="n">
        <x:v>12</x:v>
      </x:c>
      <x:c r="I554" s="44" t="str">
        <x:v>10.12</x:v>
      </x:c>
      <x:c r="J554" s="33" t="str">
        <x:v>Mother's Milk</x:v>
      </x:c>
      <x:c r="K554" s="33" t="str"/>
      <x:c r="L554" s="33" t="str"/>
      <x:c r="M554" s="44" t="str"/>
      <x:c r="N554" s="50" t="n">
        <x:v>45</x:v>
      </x:c>
      <x:c r="O554" s="53" t="str">
        <x:v>Bloodstains in an apartment that belonged to a young couple with a baby leads to the separated parents, each of whom claims that the other has the infant.</x:v>
      </x:c>
      <x:c r="P554" s="53" t="str">
        <x:v>Core Law &amp; Order franchise</x:v>
      </x:c>
      <x:c r="Q554" s="17" t="str">
        <x:v>34271</x:v>
      </x:c>
      <x:c r="R554" s="17" t="str">
        <x:v>tt0629348</x:v>
      </x:c>
      <x:c r="S554" s="17" t="str">
        <x:v>397</x:v>
      </x:c>
    </x:row>
    <x:row r="555">
      <x:c r="A555" s="43" t="n">
        <x:v>551</x:v>
      </x:c>
      <x:c r="B555" s="44" t="str">
        <x:v>Watched</x:v>
      </x:c>
      <x:c r="C555" s="45" t="n">
        <x:v>36567</x:v>
      </x:c>
      <x:c r="D555" s="33" t="str">
        <x:v>Law &amp; Order: Special Victims Unit</x:v>
      </x:c>
      <x:c r="E555" s="33" t="str">
        <x:v>Law &amp; Order</x:v>
      </x:c>
      <x:c r="F555" s="33" t="str">
        <x:v>core</x:v>
      </x:c>
      <x:c r="G555" s="50" t="n">
        <x:v>1</x:v>
      </x:c>
      <x:c r="H555" s="50" t="n">
        <x:v>14</x:v>
      </x:c>
      <x:c r="I555" s="44" t="str">
        <x:v>01.14</x:v>
      </x:c>
      <x:c r="J555" s="33" t="str">
        <x:v>Limitations</x:v>
      </x:c>
      <x:c r="K555" s="33" t="str"/>
      <x:c r="L555" s="33" t="str"/>
      <x:c r="M555" s="44" t="str"/>
      <x:c r="N555" s="50" t="n">
        <x:v>44</x:v>
      </x:c>
      <x:c r="O555" s="53" t="str">
        <x:v>At the request of a victim, the police commissioner comes to Cragen with a special request -- close the five-year-old case of a serial rapist before the statute of limitations expires. The detectives finally get a lead but the investigation is hindered by one of the victims.</x:v>
      </x:c>
      <x:c r="P555" s="53" t="str">
        <x:v>Core Law &amp; Order franchise</x:v>
      </x:c>
      <x:c r="Q555" s="17" t="str">
        <x:v>224954</x:v>
      </x:c>
      <x:c r="R555" s="17" t="str">
        <x:v>tt0629677</x:v>
      </x:c>
      <x:c r="S555" s="17" t="str">
        <x:v>398</x:v>
      </x:c>
    </x:row>
    <x:row r="556">
      <x:c r="A556" s="43" t="n">
        <x:v>552</x:v>
      </x:c>
      <x:c r="B556" s="44" t="str">
        <x:v>Not Started</x:v>
      </x:c>
      <x:c r="C556" s="45" t="n">
        <x:v>36569</x:v>
      </x:c>
      <x:c r="D556" s="33" t="str">
        <x:v>Homicide: The Movie</x:v>
      </x:c>
      <x:c r="E556" s="33" t="str">
        <x:v>Wolf Specials</x:v>
      </x:c>
      <x:c r="F556" s="33" t="str">
        <x:v>connected</x:v>
      </x:c>
      <x:c r="G556" s="50" t="n">
        <x:v>0</x:v>
      </x:c>
      <x:c r="H556" s="50" t="n">
        <x:v>1</x:v>
      </x:c>
      <x:c r="I556" s="44" t="str">
        <x:v>MOVIE</x:v>
      </x:c>
      <x:c r="J556" s="33" t="str">
        <x:v>Homicide: The Movie</x:v>
      </x:c>
      <x:c r="K556" s="33" t="str">
        <x:v>Series finale</x:v>
      </x:c>
      <x:c r="L556" s="33" t="str">
        <x:v>Homicide finale</x:v>
      </x:c>
      <x:c r="M556" s="44" t="str"/>
      <x:c r="N556" s="50" t="n">
        <x:v>100</x:v>
      </x:c>
      <x:c r="O556" s="53" t="str">
        <x:v>The Baltimore homicide unit reunites after former lieutenant Al Giardello is shot while running for mayor.</x:v>
      </x:c>
      <x:c r="P556" s="53" t="str">
        <x:v>Feature-length continuation and finale for Homicide: Life on the Street; part of the John Munch timeline.</x:v>
      </x:c>
      <x:c r="Q556" s="17" t="str">
        <x:v>19764</x:v>
      </x:c>
      <x:c r="R556" s="17" t="str">
        <x:v>tt0226771</x:v>
      </x:c>
      <x:c r="S556" s="17" t="str">
        <x:v>https://one-chicago-fbi.fandom.com/wiki/Wolf_Universe</x:v>
      </x:c>
    </x:row>
    <x:row r="557">
      <x:c r="A557" s="43" t="n">
        <x:v>553</x:v>
      </x:c>
      <x:c r="B557" s="44" t="str">
        <x:v>Not Started</x:v>
      </x:c>
      <x:c r="C557" s="45" t="n">
        <x:v>36570</x:v>
      </x:c>
      <x:c r="D557" s="33" t="str">
        <x:v>Homicide: Life on the Street</x:v>
      </x:c>
      <x:c r="E557" s="33" t="str">
        <x:v>Law &amp; Order</x:v>
      </x:c>
      <x:c r="F557" s="33" t="str">
        <x:v>connected</x:v>
      </x:c>
      <x:c r="G557" s="50" t="n">
        <x:v>0</x:v>
      </x:c>
      <x:c r="H557" s="50" t="n">
        <x:v>16</x:v>
      </x:c>
      <x:c r="I557" s="44" t="str">
        <x:v>S00.16</x:v>
      </x:c>
      <x:c r="J557" s="33" t="str">
        <x:v>Homicide: The Movie</x:v>
      </x:c>
      <x:c r="K557" s="33" t="str"/>
      <x:c r="L557" s="33" t="str"/>
      <x:c r="M557" s="44" t="str"/>
      <x:c r="N557" s="50" t="n">
        <x:v>87</x:v>
      </x:c>
      <x:c r="O557" s="53" t="str">
        <x:v>Al Giardello is shot and the detectives of the Baltimore Homicide Unit return to work to solve the case, including Howard, Munch, Bayliss, Meldrick, Bolander and Kellerman.</x:v>
      </x:c>
      <x:c r="P557" s="53" t="str">
        <x:v>Direct crossover with Law &amp; Order; Munch bridge to SVU</x:v>
      </x:c>
      <x:c r="Q557" s="17" t="str">
        <x:v>11705961</x:v>
      </x:c>
      <x:c r="R557" s="17" t="str">
        <x:v>tt0226771</x:v>
      </x:c>
      <x:c r="S557" s="17" t="str"/>
    </x:row>
    <x:row r="558">
      <x:c r="A558" s="43" t="n">
        <x:v>554</x:v>
      </x:c>
      <x:c r="B558" s="44" t="str">
        <x:v>Not Started</x:v>
      </x:c>
      <x:c r="C558" s="45" t="n">
        <x:v>36572</x:v>
      </x:c>
      <x:c r="D558" s="33" t="str">
        <x:v>Law &amp; Order</x:v>
      </x:c>
      <x:c r="E558" s="33" t="str">
        <x:v>Law &amp; Order</x:v>
      </x:c>
      <x:c r="F558" s="33" t="str">
        <x:v>core</x:v>
      </x:c>
      <x:c r="G558" s="50" t="n">
        <x:v>10</x:v>
      </x:c>
      <x:c r="H558" s="50" t="n">
        <x:v>13</x:v>
      </x:c>
      <x:c r="I558" s="44" t="str">
        <x:v>10.13</x:v>
      </x:c>
      <x:c r="J558" s="33" t="str">
        <x:v>Panic</x:v>
      </x:c>
      <x:c r="K558" s="33" t="str"/>
      <x:c r="L558" s="33" t="str"/>
      <x:c r="M558" s="44" t="str"/>
      <x:c r="N558" s="50" t="n">
        <x:v>45</x:v>
      </x:c>
      <x:c r="O558" s="53" t="str">
        <x:v>Briscoe and Green investigate the shooting of a best-selling mystery writer and the death of her accountant, with a love triangle as a possible motive for the crime.</x:v>
      </x:c>
      <x:c r="P558" s="53" t="str">
        <x:v>Core Law &amp; Order franchise</x:v>
      </x:c>
      <x:c r="Q558" s="17" t="str">
        <x:v>34272</x:v>
      </x:c>
      <x:c r="R558" s="17" t="str">
        <x:v>tt0629364</x:v>
      </x:c>
      <x:c r="S558" s="17" t="str">
        <x:v>399</x:v>
      </x:c>
    </x:row>
    <x:row r="559">
      <x:c r="A559" s="43" t="n">
        <x:v>555</x:v>
      </x:c>
      <x:c r="B559" s="44" t="str">
        <x:v>Watched</x:v>
      </x:c>
      <x:c r="C559" s="45" t="n">
        <x:v>36574</x:v>
      </x:c>
      <x:c r="D559" s="33" t="str">
        <x:v>Law &amp; Order: Special Victims Unit</x:v>
      </x:c>
      <x:c r="E559" s="33" t="str">
        <x:v>Law &amp; Order</x:v>
      </x:c>
      <x:c r="F559" s="33" t="str">
        <x:v>core</x:v>
      </x:c>
      <x:c r="G559" s="50" t="n">
        <x:v>1</x:v>
      </x:c>
      <x:c r="H559" s="50" t="n">
        <x:v>15</x:v>
      </x:c>
      <x:c r="I559" s="44" t="str">
        <x:v>01.15</x:v>
      </x:c>
      <x:c r="J559" s="33" t="str">
        <x:v>Entitled (I)</x:v>
      </x:c>
      <x:c r="K559" s="33" t="str">
        <x:v>Multi-episode arc</x:v>
      </x:c>
      <x:c r="L559" s="33" t="str">
        <x:v>Entitled</x:v>
      </x:c>
      <x:c r="M559" s="44" t="str"/>
      <x:c r="N559" s="50" t="n">
        <x:v>44</x:v>
      </x:c>
      <x:c r="O559" s="53" t="str">
        <x:v>After a salesman is murdered, the detectives turn their attention to the youngest daughter of a well-known family with some deep connections. But as they join forces with the officers from the two-seven, they realize that their case is connected with a long-unsolved case that Briscoe once handled years ago with his former partner Mike Logan.
The crossover continues in Law &amp; Order S10E14 Entitled (II).</x:v>
      </x:c>
      <x:c r="P559" s="53" t="str">
        <x:v>Core Law &amp; Order franchise</x:v>
      </x:c>
      <x:c r="Q559" s="17" t="str">
        <x:v>224955</x:v>
      </x:c>
      <x:c r="R559" s="17" t="str">
        <x:v>tt0629650</x:v>
      </x:c>
      <x:c r="S559" s="17" t="str">
        <x:v>Canonical episode title notation; editorial inference.</x:v>
      </x:c>
    </x:row>
    <x:row r="560">
      <x:c r="A560" s="43" t="n">
        <x:v>556</x:v>
      </x:c>
      <x:c r="B560" s="44" t="str">
        <x:v>Watched</x:v>
      </x:c>
      <x:c r="C560" s="45" t="n">
        <x:v>36574</x:v>
      </x:c>
      <x:c r="D560" s="33" t="str">
        <x:v>Law &amp; Order</x:v>
      </x:c>
      <x:c r="E560" s="33" t="str">
        <x:v>Law &amp; Order</x:v>
      </x:c>
      <x:c r="F560" s="33" t="str">
        <x:v>core</x:v>
      </x:c>
      <x:c r="G560" s="50" t="n">
        <x:v>10</x:v>
      </x:c>
      <x:c r="H560" s="50" t="n">
        <x:v>14</x:v>
      </x:c>
      <x:c r="I560" s="44" t="str">
        <x:v>10.14</x:v>
      </x:c>
      <x:c r="J560" s="33" t="str">
        <x:v>Entitled (II)</x:v>
      </x:c>
      <x:c r="K560" s="33" t="str">
        <x:v>Multi-episode arc</x:v>
      </x:c>
      <x:c r="L560" s="33" t="str">
        <x:v>Entitled</x:v>
      </x:c>
      <x:c r="M560" s="44" t="str"/>
      <x:c r="N560" s="50" t="n">
        <x:v>45</x:v>
      </x:c>
      <x:c r="O560" s="53" t="str">
        <x:v>The focus of the case returns to a politically influential family and, during the course of the trial, McCoy finds the powerful matriarch to be a formidable opponent.
The crossover starts on Law &amp; Order: Special Victims Unit S01E15 Entitled (I).</x:v>
      </x:c>
      <x:c r="P560" s="53" t="str">
        <x:v>Core Law &amp; Order franchise</x:v>
      </x:c>
      <x:c r="Q560" s="17" t="str">
        <x:v>34273</x:v>
      </x:c>
      <x:c r="R560" s="17" t="str">
        <x:v>tt0629252</x:v>
      </x:c>
      <x:c r="S560" s="17" t="str">
        <x:v>Canonical episode title notation; editorial inference.</x:v>
      </x:c>
    </x:row>
    <x:row r="561">
      <x:c r="A561" s="43" t="n">
        <x:v>557</x:v>
      </x:c>
      <x:c r="B561" s="44" t="str">
        <x:v>Not Started</x:v>
      </x:c>
      <x:c r="C561" s="45" t="n">
        <x:v>36575</x:v>
      </x:c>
      <x:c r="D561" s="33" t="str">
        <x:v>Law &amp; Order</x:v>
      </x:c>
      <x:c r="E561" s="33" t="str">
        <x:v>Law &amp; Order</x:v>
      </x:c>
      <x:c r="F561" s="33" t="str">
        <x:v>core</x:v>
      </x:c>
      <x:c r="G561" s="50" t="n">
        <x:v>0</x:v>
      </x:c>
      <x:c r="H561" s="50" t="n">
        <x:v>14</x:v>
      </x:c>
      <x:c r="I561" s="44" t="str">
        <x:v>S00.14</x:v>
      </x:c>
      <x:c r="J561" s="33" t="str">
        <x:v>Entitled (1) (Law &amp; Order: SVU)</x:v>
      </x:c>
      <x:c r="K561" s="33" t="str"/>
      <x:c r="L561" s="33" t="str"/>
      <x:c r="M561" s="44" t="str"/>
      <x:c r="N561" s="50" t="n">
        <x:v>45</x:v>
      </x:c>
      <x:c r="O561" s="53" t="str">
        <x:v>After a salesman is murdered, the detectives turn their attention to Stephanie Mulroney, the youngest daughter of a well-known family with some deep connections. But as they join forces with the officers from the two-seven, they realise that their case is connected with a long-unsolved case that Briscoe once handled years ago with his former partner, Mike Logan. (Aired on Law &amp; Order: SVU, season 1, episode 15.)</x:v>
      </x:c>
      <x:c r="P561" s="53" t="str">
        <x:v>Core Law &amp; Order franchise</x:v>
      </x:c>
      <x:c r="Q561" s="17" t="str">
        <x:v>34053</x:v>
      </x:c>
      <x:c r="R561" s="17" t="str"/>
      <x:c r="S561" s="17" t="str"/>
    </x:row>
    <x:row r="562">
      <x:c r="A562" s="43" t="n">
        <x:v>558</x:v>
      </x:c>
      <x:c r="B562" s="44" t="str">
        <x:v>Watched</x:v>
      </x:c>
      <x:c r="C562" s="45" t="n">
        <x:v>36579</x:v>
      </x:c>
      <x:c r="D562" s="33" t="str">
        <x:v>Law &amp; Order</x:v>
      </x:c>
      <x:c r="E562" s="33" t="str">
        <x:v>Law &amp; Order</x:v>
      </x:c>
      <x:c r="F562" s="33" t="str">
        <x:v>core</x:v>
      </x:c>
      <x:c r="G562" s="50" t="n">
        <x:v>10</x:v>
      </x:c>
      <x:c r="H562" s="50" t="n">
        <x:v>15</x:v>
      </x:c>
      <x:c r="I562" s="44" t="str">
        <x:v>10.15</x:v>
      </x:c>
      <x:c r="J562" s="33" t="str">
        <x:v>Fools for Love</x:v>
      </x:c>
      <x:c r="K562" s="33" t="str"/>
      <x:c r="L562" s="33" t="str"/>
      <x:c r="M562" s="44" t="str"/>
      <x:c r="N562" s="50" t="n">
        <x:v>46</x:v>
      </x:c>
      <x:c r="O562" s="53" t="str">
        <x:v>After the bodies of two teens are found, the detectives trace their identities and learn that one of them had a sister who was traveling with the girls.</x:v>
      </x:c>
      <x:c r="P562" s="53" t="str">
        <x:v>Core Law &amp; Order franchise</x:v>
      </x:c>
      <x:c r="Q562" s="17" t="str">
        <x:v>34274</x:v>
      </x:c>
      <x:c r="R562" s="17" t="str">
        <x:v>tt0629269</x:v>
      </x:c>
      <x:c r="S562" s="17" t="str">
        <x:v>402</x:v>
      </x:c>
    </x:row>
    <x:row r="563">
      <x:c r="A563" s="43" t="n">
        <x:v>559</x:v>
      </x:c>
      <x:c r="B563" s="44" t="str">
        <x:v>Watched</x:v>
      </x:c>
      <x:c r="C563" s="45" t="n">
        <x:v>36581</x:v>
      </x:c>
      <x:c r="D563" s="33" t="str">
        <x:v>Law &amp; Order: Special Victims Unit</x:v>
      </x:c>
      <x:c r="E563" s="33" t="str">
        <x:v>Law &amp; Order</x:v>
      </x:c>
      <x:c r="F563" s="33" t="str">
        <x:v>core</x:v>
      </x:c>
      <x:c r="G563" s="50" t="n">
        <x:v>1</x:v>
      </x:c>
      <x:c r="H563" s="50" t="n">
        <x:v>16</x:v>
      </x:c>
      <x:c r="I563" s="44" t="str">
        <x:v>01.16</x:v>
      </x:c>
      <x:c r="J563" s="33" t="str">
        <x:v>The Third Guy</x:v>
      </x:c>
      <x:c r="K563" s="33" t="str"/>
      <x:c r="L563" s="33" t="str"/>
      <x:c r="M563" s="44" t="str"/>
      <x:c r="N563" s="50" t="n">
        <x:v>44</x:v>
      </x:c>
      <x:c r="O563" s="53" t="str">
        <x:v>An elderly woman is found tied up and sexually assaulted in her apartment, and suspicion is initially on the young men that had broken into her home and robbed her, but once the detectives are surprised to learn that the rape was committed after the robbery – by someone else.</x:v>
      </x:c>
      <x:c r="P563" s="53" t="str">
        <x:v>Core Law &amp; Order franchise</x:v>
      </x:c>
      <x:c r="Q563" s="17" t="str">
        <x:v>224956</x:v>
      </x:c>
      <x:c r="R563" s="17" t="str">
        <x:v>tt0629747</x:v>
      </x:c>
      <x:c r="S563" s="17" t="str">
        <x:v>403</x:v>
      </x:c>
    </x:row>
    <x:row r="564">
      <x:c r="A564" s="43" t="n">
        <x:v>560</x:v>
      </x:c>
      <x:c r="B564" s="44" t="str">
        <x:v>Not Started</x:v>
      </x:c>
      <x:c r="C564" s="45" t="n">
        <x:v>36586</x:v>
      </x:c>
      <x:c r="D564" s="33" t="str">
        <x:v>Law &amp; Order</x:v>
      </x:c>
      <x:c r="E564" s="33" t="str">
        <x:v>Law &amp; Order</x:v>
      </x:c>
      <x:c r="F564" s="33" t="str">
        <x:v>core</x:v>
      </x:c>
      <x:c r="G564" s="50" t="n">
        <x:v>10</x:v>
      </x:c>
      <x:c r="H564" s="50" t="n">
        <x:v>16</x:v>
      </x:c>
      <x:c r="I564" s="44" t="str">
        <x:v>10.16</x:v>
      </x:c>
      <x:c r="J564" s="33" t="str">
        <x:v>Trade This</x:v>
      </x:c>
      <x:c r="K564" s="33" t="str"/>
      <x:c r="L564" s="33" t="str"/>
      <x:c r="M564" s="44" t="str"/>
      <x:c r="N564" s="50" t="n">
        <x:v>45</x:v>
      </x:c>
      <x:c r="O564" s="53" t="str">
        <x:v>The murder of a stockbroker points to organized crime when a hired hit man kills the prime suspect.</x:v>
      </x:c>
      <x:c r="P564" s="53" t="str">
        <x:v>Core Law &amp; Order franchise</x:v>
      </x:c>
      <x:c r="Q564" s="17" t="str">
        <x:v>34275</x:v>
      </x:c>
      <x:c r="R564" s="17" t="str">
        <x:v>tt0629473</x:v>
      </x:c>
      <x:c r="S564" s="17" t="str">
        <x:v>404</x:v>
      </x:c>
    </x:row>
    <x:row r="565">
      <x:c r="A565" s="43" t="n">
        <x:v>561</x:v>
      </x:c>
      <x:c r="B565" s="44" t="str">
        <x:v>Not Started</x:v>
      </x:c>
      <x:c r="C565" s="45" t="n">
        <x:v>36607</x:v>
      </x:c>
      <x:c r="D565" s="33" t="str">
        <x:v>Law &amp; Order</x:v>
      </x:c>
      <x:c r="E565" s="33" t="str">
        <x:v>Law &amp; Order</x:v>
      </x:c>
      <x:c r="F565" s="33" t="str">
        <x:v>core</x:v>
      </x:c>
      <x:c r="G565" s="50" t="n">
        <x:v>10</x:v>
      </x:c>
      <x:c r="H565" s="50" t="n">
        <x:v>17</x:v>
      </x:c>
      <x:c r="I565" s="44" t="str">
        <x:v>10.17</x:v>
      </x:c>
      <x:c r="J565" s="33" t="str">
        <x:v>Black, White and Blue</x:v>
      </x:c>
      <x:c r="K565" s="33" t="str"/>
      <x:c r="L565" s="33" t="str"/>
      <x:c r="M565" s="44" t="str"/>
      <x:c r="N565" s="50" t="n">
        <x:v>45</x:v>
      </x:c>
      <x:c r="O565" s="53" t="str">
        <x:v>The murder of a white teen-ager in Harlem seems like an open-and-shut case until two patrol officers are implicated in the crime.</x:v>
      </x:c>
      <x:c r="P565" s="53" t="str">
        <x:v>Core Law &amp; Order franchise</x:v>
      </x:c>
      <x:c r="Q565" s="17" t="str">
        <x:v>34276</x:v>
      </x:c>
      <x:c r="R565" s="17" t="str">
        <x:v>tt0629178</x:v>
      </x:c>
      <x:c r="S565" s="17" t="str">
        <x:v>405</x:v>
      </x:c>
    </x:row>
    <x:row r="566">
      <x:c r="A566" s="43" t="n">
        <x:v>562</x:v>
      </x:c>
      <x:c r="B566" s="44" t="str">
        <x:v>Watched</x:v>
      </x:c>
      <x:c r="C566" s="45" t="n">
        <x:v>36616</x:v>
      </x:c>
      <x:c r="D566" s="33" t="str">
        <x:v>Law &amp; Order: Special Victims Unit</x:v>
      </x:c>
      <x:c r="E566" s="33" t="str">
        <x:v>Law &amp; Order</x:v>
      </x:c>
      <x:c r="F566" s="33" t="str">
        <x:v>core</x:v>
      </x:c>
      <x:c r="G566" s="50" t="n">
        <x:v>1</x:v>
      </x:c>
      <x:c r="H566" s="50" t="n">
        <x:v>17</x:v>
      </x:c>
      <x:c r="I566" s="44" t="str">
        <x:v>01.17</x:v>
      </x:c>
      <x:c r="J566" s="33" t="str">
        <x:v>Misleader</x:v>
      </x:c>
      <x:c r="K566" s="33" t="str"/>
      <x:c r="L566" s="33" t="str"/>
      <x:c r="M566" s="44" t="str"/>
      <x:c r="N566" s="50" t="n">
        <x:v>44</x:v>
      </x:c>
      <x:c r="O566" s="53" t="str">
        <x:v>The pregnant daughter-in-law of a Christian College president is murdered in her hotel room, and the detectives discover that the man had been involved in some very unholy activities.</x:v>
      </x:c>
      <x:c r="P566" s="53" t="str">
        <x:v>Core Law &amp; Order franchise</x:v>
      </x:c>
      <x:c r="Q566" s="17" t="str">
        <x:v>224957</x:v>
      </x:c>
      <x:c r="R566" s="17" t="str">
        <x:v>tt0629685</x:v>
      </x:c>
      <x:c r="S566" s="17" t="str">
        <x:v>406</x:v>
      </x:c>
    </x:row>
    <x:row r="567">
      <x:c r="A567" s="43" t="n">
        <x:v>563</x:v>
      </x:c>
      <x:c r="B567" s="44" t="str">
        <x:v>Not Started</x:v>
      </x:c>
      <x:c r="C567" s="45" t="n">
        <x:v>36618</x:v>
      </x:c>
      <x:c r="D567" s="33" t="str">
        <x:v>D.C.</x:v>
      </x:c>
      <x:c r="E567" s="33" t="str">
        <x:v>Crossover Adjacent</x:v>
      </x:c>
      <x:c r="F567" s="33" t="str">
        <x:v>complete</x:v>
      </x:c>
      <x:c r="G567" s="50" t="n">
        <x:v>1</x:v>
      </x:c>
      <x:c r="H567" s="50" t="n">
        <x:v>1</x:v>
      </x:c>
      <x:c r="I567" s="44" t="str">
        <x:v>01.01</x:v>
      </x:c>
      <x:c r="J567" s="33" t="str">
        <x:v>Pilot</x:v>
      </x:c>
      <x:c r="K567" s="33" t="str"/>
      <x:c r="L567" s="33" t="str"/>
      <x:c r="M567" s="44" t="str"/>
      <x:c r="N567" s="50" t="n">
        <x:v>60</x:v>
      </x:c>
      <x:c r="O567" s="53" t="str"/>
      <x:c r="P567" s="53" t="str">
        <x:v>Dick Wolf-created political drama</x:v>
      </x:c>
      <x:c r="Q567" s="17" t="str">
        <x:v>1719895</x:v>
      </x:c>
      <x:c r="R567" s="17" t="str"/>
      <x:c r="S567" s="17" t="str"/>
    </x:row>
    <x:row r="568">
      <x:c r="A568" s="43" t="n">
        <x:v>564</x:v>
      </x:c>
      <x:c r="B568" s="44" t="str">
        <x:v>Not Started</x:v>
      </x:c>
      <x:c r="C568" s="45" t="n">
        <x:v>36621</x:v>
      </x:c>
      <x:c r="D568" s="33" t="str">
        <x:v>Law &amp; Order</x:v>
      </x:c>
      <x:c r="E568" s="33" t="str">
        <x:v>Law &amp; Order</x:v>
      </x:c>
      <x:c r="F568" s="33" t="str">
        <x:v>core</x:v>
      </x:c>
      <x:c r="G568" s="50" t="n">
        <x:v>10</x:v>
      </x:c>
      <x:c r="H568" s="50" t="n">
        <x:v>18</x:v>
      </x:c>
      <x:c r="I568" s="44" t="str">
        <x:v>10.18</x:v>
      </x:c>
      <x:c r="J568" s="33" t="str">
        <x:v>Mega</x:v>
      </x:c>
      <x:c r="K568" s="33" t="str"/>
      <x:c r="L568" s="33" t="str"/>
      <x:c r="M568" s="44" t="str"/>
      <x:c r="N568" s="50" t="n">
        <x:v>44</x:v>
      </x:c>
      <x:c r="O568" s="53" t="str">
        <x:v>The investigation into a helicopter bombing points to a victim's wife and her unconventional financial advisers.</x:v>
      </x:c>
      <x:c r="P568" s="53" t="str">
        <x:v>Core Law &amp; Order franchise</x:v>
      </x:c>
      <x:c r="Q568" s="17" t="str">
        <x:v>34277</x:v>
      </x:c>
      <x:c r="R568" s="17" t="str">
        <x:v>tt0629340</x:v>
      </x:c>
      <x:c r="S568" s="17" t="str">
        <x:v>407</x:v>
      </x:c>
    </x:row>
    <x:row r="569">
      <x:c r="A569" s="43" t="n">
        <x:v>565</x:v>
      </x:c>
      <x:c r="B569" s="44" t="str">
        <x:v>Not Started</x:v>
      </x:c>
      <x:c r="C569" s="45" t="n">
        <x:v>36625</x:v>
      </x:c>
      <x:c r="D569" s="33" t="str">
        <x:v>D.C.</x:v>
      </x:c>
      <x:c r="E569" s="33" t="str">
        <x:v>Crossover Adjacent</x:v>
      </x:c>
      <x:c r="F569" s="33" t="str">
        <x:v>complete</x:v>
      </x:c>
      <x:c r="G569" s="50" t="n">
        <x:v>1</x:v>
      </x:c>
      <x:c r="H569" s="50" t="n">
        <x:v>2</x:v>
      </x:c>
      <x:c r="I569" s="44" t="str">
        <x:v>01.02</x:v>
      </x:c>
      <x:c r="J569" s="33" t="str">
        <x:v>Truth</x:v>
      </x:c>
      <x:c r="K569" s="33" t="str"/>
      <x:c r="L569" s="33" t="str"/>
      <x:c r="M569" s="44" t="str"/>
      <x:c r="N569" s="50" t="n">
        <x:v>60</x:v>
      </x:c>
      <x:c r="O569" s="53" t="str"/>
      <x:c r="P569" s="53" t="str">
        <x:v>Dick Wolf-created political drama</x:v>
      </x:c>
      <x:c r="Q569" s="17" t="str">
        <x:v>1719896</x:v>
      </x:c>
      <x:c r="R569" s="17" t="str"/>
      <x:c r="S569" s="17" t="str"/>
    </x:row>
    <x:row r="570">
      <x:c r="A570" s="43" t="n">
        <x:v>566</x:v>
      </x:c>
      <x:c r="B570" s="44" t="str">
        <x:v>Watched</x:v>
      </x:c>
      <x:c r="C570" s="45" t="n">
        <x:v>36630</x:v>
      </x:c>
      <x:c r="D570" s="33" t="str">
        <x:v>Law &amp; Order: Special Victims Unit</x:v>
      </x:c>
      <x:c r="E570" s="33" t="str">
        <x:v>Law &amp; Order</x:v>
      </x:c>
      <x:c r="F570" s="33" t="str">
        <x:v>core</x:v>
      </x:c>
      <x:c r="G570" s="50" t="n">
        <x:v>1</x:v>
      </x:c>
      <x:c r="H570" s="50" t="n">
        <x:v>18</x:v>
      </x:c>
      <x:c r="I570" s="44" t="str">
        <x:v>01.18</x:v>
      </x:c>
      <x:c r="J570" s="33" t="str">
        <x:v>Chat Room</x:v>
      </x:c>
      <x:c r="K570" s="33" t="str"/>
      <x:c r="L570" s="33" t="str"/>
      <x:c r="M570" s="44" t="str"/>
      <x:c r="N570" s="50" t="n">
        <x:v>43</x:v>
      </x:c>
      <x:c r="O570" s="53" t="str">
        <x:v>When a teenage girl comes into the squad room to tell the detectives that she was raped by a man she met on the Internet, the investigation leads the Special Victims Unit to a network of pedophiles and child pornographers.</x:v>
      </x:c>
      <x:c r="P570" s="53" t="str">
        <x:v>Core Law &amp; Order franchise</x:v>
      </x:c>
      <x:c r="Q570" s="17" t="str">
        <x:v>224958</x:v>
      </x:c>
      <x:c r="R570" s="17" t="str">
        <x:v>tt0629624</x:v>
      </x:c>
      <x:c r="S570" s="17" t="str">
        <x:v>408</x:v>
      </x:c>
    </x:row>
    <x:row r="571">
      <x:c r="A571" s="43" t="n">
        <x:v>567</x:v>
      </x:c>
      <x:c r="B571" s="44" t="str">
        <x:v>Not Started</x:v>
      </x:c>
      <x:c r="C571" s="45" t="n">
        <x:v>36632</x:v>
      </x:c>
      <x:c r="D571" s="33" t="str">
        <x:v>D.C.</x:v>
      </x:c>
      <x:c r="E571" s="33" t="str">
        <x:v>Crossover Adjacent</x:v>
      </x:c>
      <x:c r="F571" s="33" t="str">
        <x:v>complete</x:v>
      </x:c>
      <x:c r="G571" s="50" t="n">
        <x:v>1</x:v>
      </x:c>
      <x:c r="H571" s="50" t="n">
        <x:v>3</x:v>
      </x:c>
      <x:c r="I571" s="44" t="str">
        <x:v>01.03</x:v>
      </x:c>
      <x:c r="J571" s="33" t="str">
        <x:v>Justice</x:v>
      </x:c>
      <x:c r="K571" s="33" t="str"/>
      <x:c r="L571" s="33" t="str"/>
      <x:c r="M571" s="44" t="str"/>
      <x:c r="N571" s="50" t="n">
        <x:v>60</x:v>
      </x:c>
      <x:c r="O571" s="53" t="str"/>
      <x:c r="P571" s="53" t="str">
        <x:v>Dick Wolf-created political drama</x:v>
      </x:c>
      <x:c r="Q571" s="17" t="str">
        <x:v>1719897</x:v>
      </x:c>
      <x:c r="R571" s="17" t="str"/>
      <x:c r="S571" s="17" t="str"/>
    </x:row>
    <x:row r="572">
      <x:c r="A572" s="43" t="n">
        <x:v>568</x:v>
      </x:c>
      <x:c r="B572" s="44" t="str">
        <x:v>Not Started</x:v>
      </x:c>
      <x:c r="C572" s="45" t="n">
        <x:v>36639</x:v>
      </x:c>
      <x:c r="D572" s="33" t="str">
        <x:v>D.C.</x:v>
      </x:c>
      <x:c r="E572" s="33" t="str">
        <x:v>Crossover Adjacent</x:v>
      </x:c>
      <x:c r="F572" s="33" t="str">
        <x:v>complete</x:v>
      </x:c>
      <x:c r="G572" s="50" t="n">
        <x:v>1</x:v>
      </x:c>
      <x:c r="H572" s="50" t="n">
        <x:v>4</x:v>
      </x:c>
      <x:c r="I572" s="44" t="str">
        <x:v>01.04</x:v>
      </x:c>
      <x:c r="J572" s="33" t="str">
        <x:v>Blame</x:v>
      </x:c>
      <x:c r="K572" s="33" t="str"/>
      <x:c r="L572" s="33" t="str"/>
      <x:c r="M572" s="44" t="str"/>
      <x:c r="N572" s="50" t="n">
        <x:v>60</x:v>
      </x:c>
      <x:c r="O572" s="53" t="str"/>
      <x:c r="P572" s="53" t="str">
        <x:v>Dick Wolf-created political drama</x:v>
      </x:c>
      <x:c r="Q572" s="17" t="str">
        <x:v>1719898</x:v>
      </x:c>
      <x:c r="R572" s="17" t="str"/>
      <x:c r="S572" s="17" t="str"/>
    </x:row>
    <x:row r="573">
      <x:c r="A573" s="43" t="n">
        <x:v>569</x:v>
      </x:c>
      <x:c r="B573" s="44" t="str">
        <x:v>Not Started</x:v>
      </x:c>
      <x:c r="C573" s="45" t="n">
        <x:v>36642</x:v>
      </x:c>
      <x:c r="D573" s="33" t="str">
        <x:v>Law &amp; Order</x:v>
      </x:c>
      <x:c r="E573" s="33" t="str">
        <x:v>Law &amp; Order</x:v>
      </x:c>
      <x:c r="F573" s="33" t="str">
        <x:v>core</x:v>
      </x:c>
      <x:c r="G573" s="50" t="n">
        <x:v>10</x:v>
      </x:c>
      <x:c r="H573" s="50" t="n">
        <x:v>19</x:v>
      </x:c>
      <x:c r="I573" s="44" t="str">
        <x:v>10.19</x:v>
      </x:c>
      <x:c r="J573" s="33" t="str">
        <x:v>Surrender Dorothy</x:v>
      </x:c>
      <x:c r="K573" s="33" t="str"/>
      <x:c r="L573" s="33" t="str"/>
      <x:c r="M573" s="44" t="str"/>
      <x:c r="N573" s="50" t="n">
        <x:v>45</x:v>
      </x:c>
      <x:c r="O573" s="53" t="str">
        <x:v>The body of a teacher, suspected of having an affair, is found in a car trunk and the investigation involves husband and father-in-law, both of whom are psychiatrists.</x:v>
      </x:c>
      <x:c r="P573" s="53" t="str">
        <x:v>Core Law &amp; Order franchise</x:v>
      </x:c>
      <x:c r="Q573" s="17" t="str">
        <x:v>34278</x:v>
      </x:c>
      <x:c r="R573" s="17" t="str">
        <x:v>tt0629442</x:v>
      </x:c>
      <x:c r="S573" s="17" t="str">
        <x:v>409</x:v>
      </x:c>
    </x:row>
    <x:row r="574">
      <x:c r="A574" s="43" t="n">
        <x:v>570</x:v>
      </x:c>
      <x:c r="B574" s="44" t="str">
        <x:v>Watched</x:v>
      </x:c>
      <x:c r="C574" s="45" t="n">
        <x:v>36644</x:v>
      </x:c>
      <x:c r="D574" s="33" t="str">
        <x:v>Law &amp; Order: Special Victims Unit</x:v>
      </x:c>
      <x:c r="E574" s="33" t="str">
        <x:v>Law &amp; Order</x:v>
      </x:c>
      <x:c r="F574" s="33" t="str">
        <x:v>core</x:v>
      </x:c>
      <x:c r="G574" s="50" t="n">
        <x:v>1</x:v>
      </x:c>
      <x:c r="H574" s="50" t="n">
        <x:v>19</x:v>
      </x:c>
      <x:c r="I574" s="44" t="str">
        <x:v>01.19</x:v>
      </x:c>
      <x:c r="J574" s="33" t="str">
        <x:v>Contact</x:v>
      </x:c>
      <x:c r="K574" s="33" t="str"/>
      <x:c r="L574" s="33" t="str"/>
      <x:c r="M574" s="44" t="str"/>
      <x:c r="N574" s="50" t="n">
        <x:v>42</x:v>
      </x:c>
      <x:c r="O574" s="53" t="str">
        <x:v>After seven young women in a six month time span are raped by a flash and dash assailant on the city subways, the brass calls in a psychiatrist to help the team get into the head of the perp. When he is caught, he possesses the driver's license of a new victim who could put him away.</x:v>
      </x:c>
      <x:c r="P574" s="53" t="str">
        <x:v>Core Law &amp; Order franchise</x:v>
      </x:c>
      <x:c r="Q574" s="17" t="str">
        <x:v>224959</x:v>
      </x:c>
      <x:c r="R574" s="17" t="str">
        <x:v>tt0629632</x:v>
      </x:c>
      <x:c r="S574" s="17" t="str">
        <x:v>410</x:v>
      </x:c>
    </x:row>
    <x:row r="575">
      <x:c r="A575" s="43" t="n">
        <x:v>571</x:v>
      </x:c>
      <x:c r="B575" s="44" t="str">
        <x:v>Not Started</x:v>
      </x:c>
      <x:c r="C575" s="45" t="n">
        <x:v>36646</x:v>
      </x:c>
      <x:c r="D575" s="33" t="str">
        <x:v>D.C.</x:v>
      </x:c>
      <x:c r="E575" s="33" t="str">
        <x:v>Crossover Adjacent</x:v>
      </x:c>
      <x:c r="F575" s="33" t="str">
        <x:v>complete</x:v>
      </x:c>
      <x:c r="G575" s="50" t="n">
        <x:v>1</x:v>
      </x:c>
      <x:c r="H575" s="50" t="n">
        <x:v>5</x:v>
      </x:c>
      <x:c r="I575" s="44" t="str">
        <x:v>01.05</x:v>
      </x:c>
      <x:c r="J575" s="33" t="str">
        <x:v>Guns 'n' roses</x:v>
      </x:c>
      <x:c r="K575" s="33" t="str"/>
      <x:c r="L575" s="33" t="str"/>
      <x:c r="M575" s="44" t="str"/>
      <x:c r="N575" s="50" t="n">
        <x:v>60</x:v>
      </x:c>
      <x:c r="O575" s="53" t="str"/>
      <x:c r="P575" s="53" t="str">
        <x:v>Dick Wolf-created political drama</x:v>
      </x:c>
      <x:c r="Q575" s="17" t="str">
        <x:v>1719899</x:v>
      </x:c>
      <x:c r="R575" s="17" t="str"/>
      <x:c r="S575" s="17" t="str"/>
    </x:row>
    <x:row r="576">
      <x:c r="A576" s="43" t="n">
        <x:v>572</x:v>
      </x:c>
      <x:c r="B576" s="44" t="str">
        <x:v>Not Started</x:v>
      </x:c>
      <x:c r="C576" s="45" t="n">
        <x:v>36649</x:v>
      </x:c>
      <x:c r="D576" s="33" t="str">
        <x:v>Law &amp; Order</x:v>
      </x:c>
      <x:c r="E576" s="33" t="str">
        <x:v>Law &amp; Order</x:v>
      </x:c>
      <x:c r="F576" s="33" t="str">
        <x:v>core</x:v>
      </x:c>
      <x:c r="G576" s="50" t="n">
        <x:v>10</x:v>
      </x:c>
      <x:c r="H576" s="50" t="n">
        <x:v>20</x:v>
      </x:c>
      <x:c r="I576" s="44" t="str">
        <x:v>10.20</x:v>
      </x:c>
      <x:c r="J576" s="33" t="str">
        <x:v>Untitled</x:v>
      </x:c>
      <x:c r="K576" s="33" t="str"/>
      <x:c r="L576" s="33" t="str"/>
      <x:c r="M576" s="44" t="str"/>
      <x:c r="N576" s="50" t="n">
        <x:v>46</x:v>
      </x:c>
      <x:c r="O576" s="53" t="str">
        <x:v>A wealthy woman, who is a patron of the arts, is found dead in her apartment and the ensuing investigation leads to a suspect whose violence was spurred by a painting similar to the crime scene.</x:v>
      </x:c>
      <x:c r="P576" s="53" t="str">
        <x:v>Core Law &amp; Order franchise</x:v>
      </x:c>
      <x:c r="Q576" s="17" t="str">
        <x:v>34279</x:v>
      </x:c>
      <x:c r="R576" s="17" t="str">
        <x:v>tt0629483</x:v>
      </x:c>
      <x:c r="S576" s="17" t="str">
        <x:v>411</x:v>
      </x:c>
    </x:row>
    <x:row r="577">
      <x:c r="A577" s="43" t="n">
        <x:v>573</x:v>
      </x:c>
      <x:c r="B577" s="44" t="str">
        <x:v>Watched</x:v>
      </x:c>
      <x:c r="C577" s="45" t="n">
        <x:v>36651</x:v>
      </x:c>
      <x:c r="D577" s="33" t="str">
        <x:v>Law &amp; Order: Special Victims Unit</x:v>
      </x:c>
      <x:c r="E577" s="33" t="str">
        <x:v>Law &amp; Order</x:v>
      </x:c>
      <x:c r="F577" s="33" t="str">
        <x:v>core</x:v>
      </x:c>
      <x:c r="G577" s="50" t="n">
        <x:v>1</x:v>
      </x:c>
      <x:c r="H577" s="50" t="n">
        <x:v>20</x:v>
      </x:c>
      <x:c r="I577" s="44" t="str">
        <x:v>01.20</x:v>
      </x:c>
      <x:c r="J577" s="33" t="str">
        <x:v>Remorse</x:v>
      </x:c>
      <x:c r="K577" s="33" t="str"/>
      <x:c r="L577" s="33" t="str"/>
      <x:c r="M577" s="44" t="str"/>
      <x:c r="N577" s="50" t="n">
        <x:v>44</x:v>
      </x:c>
      <x:c r="O577" s="53" t="str">
        <x:v>A female television news reporter decides to go public with her story when she attacked and raped by two men, but the decision proves to be fatal.</x:v>
      </x:c>
      <x:c r="P577" s="53" t="str">
        <x:v>Core Law &amp; Order franchise</x:v>
      </x:c>
      <x:c r="Q577" s="17" t="str">
        <x:v>224960</x:v>
      </x:c>
      <x:c r="R577" s="17" t="str">
        <x:v>tt0629714</x:v>
      </x:c>
      <x:c r="S577" s="17" t="str">
        <x:v>412</x:v>
      </x:c>
    </x:row>
    <x:row r="578">
      <x:c r="A578" s="43" t="n">
        <x:v>574</x:v>
      </x:c>
      <x:c r="B578" s="44" t="str">
        <x:v>Not Started</x:v>
      </x:c>
      <x:c r="C578" s="45" t="n">
        <x:v>36656</x:v>
      </x:c>
      <x:c r="D578" s="33" t="str">
        <x:v>Law &amp; Order</x:v>
      </x:c>
      <x:c r="E578" s="33" t="str">
        <x:v>Law &amp; Order</x:v>
      </x:c>
      <x:c r="F578" s="33" t="str">
        <x:v>core</x:v>
      </x:c>
      <x:c r="G578" s="50" t="n">
        <x:v>10</x:v>
      </x:c>
      <x:c r="H578" s="50" t="n">
        <x:v>21</x:v>
      </x:c>
      <x:c r="I578" s="44" t="str">
        <x:v>10.21</x:v>
      </x:c>
      <x:c r="J578" s="33" t="str">
        <x:v>Narcosis</x:v>
      </x:c>
      <x:c r="K578" s="33" t="str"/>
      <x:c r="L578" s="33" t="str"/>
      <x:c r="M578" s="44" t="str"/>
      <x:c r="N578" s="50" t="n">
        <x:v>45</x:v>
      </x:c>
      <x:c r="O578" s="53" t="str">
        <x:v>The discovery of a strangled prostitute's body leads to a case involving illegal immigrants and the events have an impact on a family.</x:v>
      </x:c>
      <x:c r="P578" s="53" t="str">
        <x:v>Core Law &amp; Order franchise</x:v>
      </x:c>
      <x:c r="Q578" s="17" t="str">
        <x:v>34280</x:v>
      </x:c>
      <x:c r="R578" s="17" t="str">
        <x:v>tt0629351</x:v>
      </x:c>
      <x:c r="S578" s="17" t="str">
        <x:v>413</x:v>
      </x:c>
    </x:row>
    <x:row r="579">
      <x:c r="A579" s="43" t="n">
        <x:v>575</x:v>
      </x:c>
      <x:c r="B579" s="44" t="str">
        <x:v>Watched</x:v>
      </x:c>
      <x:c r="C579" s="45" t="n">
        <x:v>36658</x:v>
      </x:c>
      <x:c r="D579" s="33" t="str">
        <x:v>Law &amp; Order: Special Victims Unit</x:v>
      </x:c>
      <x:c r="E579" s="33" t="str">
        <x:v>Law &amp; Order</x:v>
      </x:c>
      <x:c r="F579" s="33" t="str">
        <x:v>core</x:v>
      </x:c>
      <x:c r="G579" s="50" t="n">
        <x:v>1</x:v>
      </x:c>
      <x:c r="H579" s="50" t="n">
        <x:v>21</x:v>
      </x:c>
      <x:c r="I579" s="44" t="str">
        <x:v>01.21</x:v>
      </x:c>
      <x:c r="J579" s="33" t="str">
        <x:v>Nocturne</x:v>
      </x:c>
      <x:c r="K579" s="33" t="str"/>
      <x:c r="L579" s="33" t="str"/>
      <x:c r="M579" s="44" t="str"/>
      <x:c r="N579" s="50" t="n">
        <x:v>43</x:v>
      </x:c>
      <x:c r="O579" s="53" t="str">
        <x:v>After a pharmacy turns over some disturbing photos of a young boy, a beloved neighborhood piano teacher is suspected of being a sexual predator who takes advantage of his innocent young students.</x:v>
      </x:c>
      <x:c r="P579" s="53" t="str">
        <x:v>Core Law &amp; Order franchise</x:v>
      </x:c>
      <x:c r="Q579" s="17" t="str">
        <x:v>224961</x:v>
      </x:c>
      <x:c r="R579" s="17" t="str">
        <x:v>tt0629690</x:v>
      </x:c>
      <x:c r="S579" s="17" t="str">
        <x:v>414</x:v>
      </x:c>
    </x:row>
    <x:row r="580">
      <x:c r="A580" s="43" t="n">
        <x:v>576</x:v>
      </x:c>
      <x:c r="B580" s="44" t="str">
        <x:v>Not Started</x:v>
      </x:c>
      <x:c r="C580" s="45" t="n">
        <x:v>36663</x:v>
      </x:c>
      <x:c r="D580" s="33" t="str">
        <x:v>Law &amp; Order</x:v>
      </x:c>
      <x:c r="E580" s="33" t="str">
        <x:v>Law &amp; Order</x:v>
      </x:c>
      <x:c r="F580" s="33" t="str">
        <x:v>core</x:v>
      </x:c>
      <x:c r="G580" s="50" t="n">
        <x:v>10</x:v>
      </x:c>
      <x:c r="H580" s="50" t="n">
        <x:v>22</x:v>
      </x:c>
      <x:c r="I580" s="44" t="str">
        <x:v>10.22</x:v>
      </x:c>
      <x:c r="J580" s="33" t="str">
        <x:v>High &amp; Low</x:v>
      </x:c>
      <x:c r="K580" s="33" t="str"/>
      <x:c r="L580" s="33" t="str"/>
      <x:c r="M580" s="44" t="str"/>
      <x:c r="N580" s="50" t="n">
        <x:v>45</x:v>
      </x:c>
      <x:c r="O580" s="53" t="str">
        <x:v>Detectives Briscoe and Green probe the strangulation of a college coed who moonlighted as a stripper, and while they believe a pair of drug-dealing skinheads committed the murder, they struggle to determine the motive of the strip club owner who paid them for the hit. However, as they work their way up the ladder of complicity, the cops learn that the slaying is keyed to an insider trading scam that forces Assistant D.A. McCoy to connect a former porn star with a businessman.</x:v>
      </x:c>
      <x:c r="P580" s="53" t="str">
        <x:v>Core Law &amp; Order franchise</x:v>
      </x:c>
      <x:c r="Q580" s="17" t="str">
        <x:v>34281</x:v>
      </x:c>
      <x:c r="R580" s="17" t="str">
        <x:v>tt0629296</x:v>
      </x:c>
      <x:c r="S580" s="17" t="str">
        <x:v>415</x:v>
      </x:c>
    </x:row>
    <x:row r="581">
      <x:c r="A581" s="43" t="n">
        <x:v>577</x:v>
      </x:c>
      <x:c r="B581" s="44" t="str">
        <x:v>Watched</x:v>
      </x:c>
      <x:c r="C581" s="45" t="n">
        <x:v>36668</x:v>
      </x:c>
      <x:c r="D581" s="33" t="str">
        <x:v>Law &amp; Order: Special Victims Unit</x:v>
      </x:c>
      <x:c r="E581" s="33" t="str">
        <x:v>Law &amp; Order</x:v>
      </x:c>
      <x:c r="F581" s="33" t="str">
        <x:v>core</x:v>
      </x:c>
      <x:c r="G581" s="50" t="n">
        <x:v>1</x:v>
      </x:c>
      <x:c r="H581" s="50" t="n">
        <x:v>22</x:v>
      </x:c>
      <x:c r="I581" s="44" t="str">
        <x:v>01.22</x:v>
      </x:c>
      <x:c r="J581" s="33" t="str">
        <x:v>Slaves</x:v>
      </x:c>
      <x:c r="K581" s="33" t="str"/>
      <x:c r="L581" s="33" t="str"/>
      <x:c r="M581" s="44" t="str"/>
      <x:c r="N581" s="50" t="n">
        <x:v>44</x:v>
      </x:c>
      <x:c r="O581" s="53" t="str">
        <x:v>A Romanian immigrant is being held as a psychological prisoner by her abusive employer and his wife, who is also traumatized by years of abuse and is willing to commit murder to protect her husband. A forensic psychologist analyzes the team, and presents disturbing findings to Cragen, suggesting that one of the detectives be removed from the team.</x:v>
      </x:c>
      <x:c r="P581" s="53" t="str">
        <x:v>Core Law &amp; Order franchise</x:v>
      </x:c>
      <x:c r="Q581" s="17" t="str">
        <x:v>224962</x:v>
      </x:c>
      <x:c r="R581" s="17" t="str">
        <x:v>tt0629734</x:v>
      </x:c>
      <x:c r="S581" s="17" t="str">
        <x:v>416</x:v>
      </x:c>
    </x:row>
    <x:row r="582">
      <x:c r="A582" s="43" t="n">
        <x:v>578</x:v>
      </x:c>
      <x:c r="B582" s="44" t="str">
        <x:v>Not Started</x:v>
      </x:c>
      <x:c r="C582" s="45" t="n">
        <x:v>36670</x:v>
      </x:c>
      <x:c r="D582" s="33" t="str">
        <x:v>Law &amp; Order</x:v>
      </x:c>
      <x:c r="E582" s="33" t="str">
        <x:v>Law &amp; Order</x:v>
      </x:c>
      <x:c r="F582" s="33" t="str">
        <x:v>core</x:v>
      </x:c>
      <x:c r="G582" s="50" t="n">
        <x:v>10</x:v>
      </x:c>
      <x:c r="H582" s="50" t="n">
        <x:v>23</x:v>
      </x:c>
      <x:c r="I582" s="44" t="str">
        <x:v>10.23</x:v>
      </x:c>
      <x:c r="J582" s="33" t="str">
        <x:v>Stiff</x:v>
      </x:c>
      <x:c r="K582" s="33" t="str"/>
      <x:c r="L582" s="33" t="str"/>
      <x:c r="M582" s="44" t="str"/>
      <x:c r="N582" s="50" t="n">
        <x:v>44</x:v>
      </x:c>
      <x:c r="O582" s="53" t="str">
        <x:v>The detectives' investigation into why a wealthy woman is comatose involves her husband, daughter and doctor.</x:v>
      </x:c>
      <x:c r="P582" s="53" t="str">
        <x:v>Core Law &amp; Order franchise</x:v>
      </x:c>
      <x:c r="Q582" s="17" t="str">
        <x:v>34282</x:v>
      </x:c>
      <x:c r="R582" s="17" t="str">
        <x:v>tt0629437</x:v>
      </x:c>
      <x:c r="S582" s="17" t="str">
        <x:v>417</x:v>
      </x:c>
    </x:row>
    <x:row r="583">
      <x:c r="A583" s="43" t="n">
        <x:v>579</x:v>
      </x:c>
      <x:c r="B583" s="44" t="str">
        <x:v>Not Started</x:v>
      </x:c>
      <x:c r="C583" s="45" t="n">
        <x:v>36670</x:v>
      </x:c>
      <x:c r="D583" s="33" t="str">
        <x:v>Law &amp; Order</x:v>
      </x:c>
      <x:c r="E583" s="33" t="str">
        <x:v>Law &amp; Order</x:v>
      </x:c>
      <x:c r="F583" s="33" t="str">
        <x:v>core</x:v>
      </x:c>
      <x:c r="G583" s="50" t="n">
        <x:v>10</x:v>
      </x:c>
      <x:c r="H583" s="50" t="n">
        <x:v>24</x:v>
      </x:c>
      <x:c r="I583" s="44" t="str">
        <x:v>10.24</x:v>
      </x:c>
      <x:c r="J583" s="33" t="str">
        <x:v>Vaya Con Dios</x:v>
      </x:c>
      <x:c r="K583" s="33" t="str"/>
      <x:c r="L583" s="33" t="str"/>
      <x:c r="M583" s="44" t="str"/>
      <x:c r="N583" s="50" t="n">
        <x:v>46</x:v>
      </x:c>
      <x:c r="O583" s="53" t="str">
        <x:v>The death of an elderly man trying to find who was responsible for the torture killing of his son in 1973 Chile leads to a high-level foreign colonel who is now in a Manhattan hospital.</x:v>
      </x:c>
      <x:c r="P583" s="53" t="str">
        <x:v>Core Law &amp; Order franchise</x:v>
      </x:c>
      <x:c r="Q583" s="17" t="str">
        <x:v>34283</x:v>
      </x:c>
      <x:c r="R583" s="17" t="str">
        <x:v>tt0629484</x:v>
      </x:c>
      <x:c r="S583" s="17" t="str">
        <x:v>418</x:v>
      </x:c>
    </x:row>
    <x:row r="584">
      <x:c r="A584" s="43" t="n">
        <x:v>580</x:v>
      </x:c>
      <x:c r="B584" s="44" t="str">
        <x:v>Not Started</x:v>
      </x:c>
      <x:c r="C584" s="45" t="n">
        <x:v>36801</x:v>
      </x:c>
      <x:c r="D584" s="33" t="str">
        <x:v>Deadline</x:v>
      </x:c>
      <x:c r="E584" s="33" t="str">
        <x:v>Law &amp; Order</x:v>
      </x:c>
      <x:c r="F584" s="33" t="str">
        <x:v>connected</x:v>
      </x:c>
      <x:c r="G584" s="50" t="n">
        <x:v>1</x:v>
      </x:c>
      <x:c r="H584" s="50" t="n">
        <x:v>1</x:v>
      </x:c>
      <x:c r="I584" s="44" t="str">
        <x:v>01.01</x:v>
      </x:c>
      <x:c r="J584" s="33" t="str">
        <x:v>Pilot</x:v>
      </x:c>
      <x:c r="K584" s="33" t="str"/>
      <x:c r="L584" s="33" t="str"/>
      <x:c r="M584" s="44" t="str"/>
      <x:c r="N584" s="50" t="n">
        <x:v>60</x:v>
      </x:c>
      <x:c r="O584" s="53" t="str">
        <x:v>A Pulitzer Prize-winning investigative journalist recruits college students to assist in uncovering headline stories.</x:v>
      </x:c>
      <x:c r="P584" s="53" t="str">
        <x:v>Dick Wolf New York newspaper/legal-adjacent drama</x:v>
      </x:c>
      <x:c r="Q584" s="17" t="str">
        <x:v>201461</x:v>
      </x:c>
      <x:c r="R584" s="17" t="str">
        <x:v>tt0556261</x:v>
      </x:c>
      <x:c r="S584" s="17" t="str">
        <x:v>419</x:v>
      </x:c>
    </x:row>
    <x:row r="585">
      <x:c r="A585" s="43" t="n">
        <x:v>581</x:v>
      </x:c>
      <x:c r="B585" s="44" t="str">
        <x:v>Not Started</x:v>
      </x:c>
      <x:c r="C585" s="45" t="n">
        <x:v>36808</x:v>
      </x:c>
      <x:c r="D585" s="33" t="str">
        <x:v>Arrest &amp; Trial</x:v>
      </x:c>
      <x:c r="E585" s="33" t="str">
        <x:v>Crossover Adjacent</x:v>
      </x:c>
      <x:c r="F585" s="33" t="str">
        <x:v>complete</x:v>
      </x:c>
      <x:c r="G585" s="50" t="n">
        <x:v>1</x:v>
      </x:c>
      <x:c r="H585" s="50" t="n">
        <x:v>1</x:v>
      </x:c>
      <x:c r="I585" s="44" t="str">
        <x:v>01.01</x:v>
      </x:c>
      <x:c r="J585" s="33" t="str">
        <x:v>Best Friend</x:v>
      </x:c>
      <x:c r="K585" s="33" t="str"/>
      <x:c r="L585" s="33" t="str"/>
      <x:c r="M585" s="44" t="str"/>
      <x:c r="N585" s="50" t="n">
        <x:v>30</x:v>
      </x:c>
      <x:c r="O585" s="53" t="str"/>
      <x:c r="P585" s="53" t="str">
        <x:v>Dick Wolf reality/legal anthology</x:v>
      </x:c>
      <x:c r="Q585" s="17" t="str">
        <x:v>4464040</x:v>
      </x:c>
      <x:c r="R585" s="17" t="str"/>
      <x:c r="S585" s="17" t="str"/>
    </x:row>
    <x:row r="586">
      <x:c r="A586" s="43" t="n">
        <x:v>582</x:v>
      </x:c>
      <x:c r="B586" s="44" t="str">
        <x:v>Not Started</x:v>
      </x:c>
      <x:c r="C586" s="45" t="n">
        <x:v>36808</x:v>
      </x:c>
      <x:c r="D586" s="33" t="str">
        <x:v>Deadline</x:v>
      </x:c>
      <x:c r="E586" s="33" t="str">
        <x:v>Law &amp; Order</x:v>
      </x:c>
      <x:c r="F586" s="33" t="str">
        <x:v>connected</x:v>
      </x:c>
      <x:c r="G586" s="50" t="n">
        <x:v>1</x:v>
      </x:c>
      <x:c r="H586" s="50" t="n">
        <x:v>2</x:v>
      </x:c>
      <x:c r="I586" s="44" t="str">
        <x:v>01.02</x:v>
      </x:c>
      <x:c r="J586" s="33" t="str">
        <x:v>Lovers and Madmen</x:v>
      </x:c>
      <x:c r="K586" s="33" t="str"/>
      <x:c r="L586" s="33" t="str"/>
      <x:c r="M586" s="44" t="str"/>
      <x:c r="N586" s="50" t="n">
        <x:v>60</x:v>
      </x:c>
      <x:c r="O586" s="53" t="str">
        <x:v>Benton investigates a renowned classical pianist who becomes romantically involved with Benton's estranged wife.</x:v>
      </x:c>
      <x:c r="P586" s="53" t="str">
        <x:v>Dick Wolf New York newspaper/legal-adjacent drama</x:v>
      </x:c>
      <x:c r="Q586" s="17" t="str">
        <x:v>201462</x:v>
      </x:c>
      <x:c r="R586" s="17" t="str">
        <x:v>tt0556259</x:v>
      </x:c>
      <x:c r="S586" s="17" t="str">
        <x:v>420</x:v>
      </x:c>
    </x:row>
    <x:row r="587">
      <x:c r="A587" s="43" t="n">
        <x:v>583</x:v>
      </x:c>
      <x:c r="B587" s="44" t="str">
        <x:v>Not Started</x:v>
      </x:c>
      <x:c r="C587" s="45" t="n">
        <x:v>36809</x:v>
      </x:c>
      <x:c r="D587" s="33" t="str">
        <x:v>Arrest &amp; Trial</x:v>
      </x:c>
      <x:c r="E587" s="33" t="str">
        <x:v>Crossover Adjacent</x:v>
      </x:c>
      <x:c r="F587" s="33" t="str">
        <x:v>complete</x:v>
      </x:c>
      <x:c r="G587" s="50" t="n">
        <x:v>1</x:v>
      </x:c>
      <x:c r="H587" s="50" t="n">
        <x:v>3</x:v>
      </x:c>
      <x:c r="I587" s="44" t="str">
        <x:v>01.03</x:v>
      </x:c>
      <x:c r="J587" s="33" t="str">
        <x:v>Episode 3</x:v>
      </x:c>
      <x:c r="K587" s="33" t="str"/>
      <x:c r="L587" s="33" t="str"/>
      <x:c r="M587" s="44" t="str"/>
      <x:c r="N587" s="50" t="n">
        <x:v>30</x:v>
      </x:c>
      <x:c r="O587" s="53" t="str"/>
      <x:c r="P587" s="53" t="str">
        <x:v>Dick Wolf reality/legal anthology</x:v>
      </x:c>
      <x:c r="Q587" s="17" t="str">
        <x:v>6853453</x:v>
      </x:c>
      <x:c r="R587" s="17" t="str"/>
      <x:c r="S587" s="17" t="str"/>
    </x:row>
    <x:row r="588">
      <x:c r="A588" s="43" t="n">
        <x:v>584</x:v>
      </x:c>
      <x:c r="B588" s="44" t="str">
        <x:v>Not Started</x:v>
      </x:c>
      <x:c r="C588" s="45" t="n">
        <x:v>36809</x:v>
      </x:c>
      <x:c r="D588" s="33" t="str">
        <x:v>Arrest &amp; Trial</x:v>
      </x:c>
      <x:c r="E588" s="33" t="str">
        <x:v>Crossover Adjacent</x:v>
      </x:c>
      <x:c r="F588" s="33" t="str">
        <x:v>complete</x:v>
      </x:c>
      <x:c r="G588" s="50" t="n">
        <x:v>1</x:v>
      </x:c>
      <x:c r="H588" s="50" t="n">
        <x:v>4</x:v>
      </x:c>
      <x:c r="I588" s="44" t="str">
        <x:v>01.04</x:v>
      </x:c>
      <x:c r="J588" s="33" t="str">
        <x:v>Sailing, Sailing</x:v>
      </x:c>
      <x:c r="K588" s="33" t="str"/>
      <x:c r="L588" s="33" t="str"/>
      <x:c r="M588" s="44" t="str"/>
      <x:c r="N588" s="50" t="n">
        <x:v>30</x:v>
      </x:c>
      <x:c r="O588" s="53" t="str"/>
      <x:c r="P588" s="53" t="str">
        <x:v>Dick Wolf reality/legal anthology</x:v>
      </x:c>
      <x:c r="Q588" s="17" t="str">
        <x:v>6853456</x:v>
      </x:c>
      <x:c r="R588" s="17" t="str"/>
      <x:c r="S588" s="17" t="str"/>
    </x:row>
    <x:row r="589">
      <x:c r="A589" s="43" t="n">
        <x:v>585</x:v>
      </x:c>
      <x:c r="B589" s="44" t="str">
        <x:v>Not Started</x:v>
      </x:c>
      <x:c r="C589" s="45" t="n">
        <x:v>36810</x:v>
      </x:c>
      <x:c r="D589" s="33" t="str">
        <x:v>Arrest &amp; Trial</x:v>
      </x:c>
      <x:c r="E589" s="33" t="str">
        <x:v>Crossover Adjacent</x:v>
      </x:c>
      <x:c r="F589" s="33" t="str">
        <x:v>complete</x:v>
      </x:c>
      <x:c r="G589" s="50" t="n">
        <x:v>1</x:v>
      </x:c>
      <x:c r="H589" s="50" t="n">
        <x:v>5</x:v>
      </x:c>
      <x:c r="I589" s="44" t="str">
        <x:v>01.05</x:v>
      </x:c>
      <x:c r="J589" s="33" t="str">
        <x:v>Pillow Pyro</x:v>
      </x:c>
      <x:c r="K589" s="33" t="str"/>
      <x:c r="L589" s="33" t="str"/>
      <x:c r="M589" s="44" t="str"/>
      <x:c r="N589" s="50" t="n">
        <x:v>30</x:v>
      </x:c>
      <x:c r="O589" s="53" t="str"/>
      <x:c r="P589" s="53" t="str">
        <x:v>Dick Wolf reality/legal anthology</x:v>
      </x:c>
      <x:c r="Q589" s="17" t="str">
        <x:v>6853480</x:v>
      </x:c>
      <x:c r="R589" s="17" t="str"/>
      <x:c r="S589" s="17" t="str"/>
    </x:row>
    <x:row r="590">
      <x:c r="A590" s="43" t="n">
        <x:v>586</x:v>
      </x:c>
      <x:c r="B590" s="44" t="str">
        <x:v>Not Started</x:v>
      </x:c>
      <x:c r="C590" s="45" t="n">
        <x:v>36810</x:v>
      </x:c>
      <x:c r="D590" s="33" t="str">
        <x:v>Arrest &amp; Trial</x:v>
      </x:c>
      <x:c r="E590" s="33" t="str">
        <x:v>Crossover Adjacent</x:v>
      </x:c>
      <x:c r="F590" s="33" t="str">
        <x:v>complete</x:v>
      </x:c>
      <x:c r="G590" s="50" t="n">
        <x:v>1</x:v>
      </x:c>
      <x:c r="H590" s="50" t="n">
        <x:v>6</x:v>
      </x:c>
      <x:c r="I590" s="44" t="str">
        <x:v>01.06</x:v>
      </x:c>
      <x:c r="J590" s="33" t="str">
        <x:v>Frat Rats</x:v>
      </x:c>
      <x:c r="K590" s="33" t="str"/>
      <x:c r="L590" s="33" t="str"/>
      <x:c r="M590" s="44" t="str"/>
      <x:c r="N590" s="50" t="n">
        <x:v>30</x:v>
      </x:c>
      <x:c r="O590" s="53" t="str"/>
      <x:c r="P590" s="53" t="str">
        <x:v>Dick Wolf reality/legal anthology</x:v>
      </x:c>
      <x:c r="Q590" s="17" t="str">
        <x:v>6853459</x:v>
      </x:c>
      <x:c r="R590" s="17" t="str"/>
      <x:c r="S590" s="17" t="str"/>
    </x:row>
    <x:row r="591">
      <x:c r="A591" s="43" t="n">
        <x:v>587</x:v>
      </x:c>
      <x:c r="B591" s="44" t="str">
        <x:v>Not Started</x:v>
      </x:c>
      <x:c r="C591" s="45" t="n">
        <x:v>36811</x:v>
      </x:c>
      <x:c r="D591" s="33" t="str">
        <x:v>Arrest &amp; Trial</x:v>
      </x:c>
      <x:c r="E591" s="33" t="str">
        <x:v>Crossover Adjacent</x:v>
      </x:c>
      <x:c r="F591" s="33" t="str">
        <x:v>complete</x:v>
      </x:c>
      <x:c r="G591" s="50" t="n">
        <x:v>1</x:v>
      </x:c>
      <x:c r="H591" s="50" t="n">
        <x:v>7</x:v>
      </x:c>
      <x:c r="I591" s="44" t="str">
        <x:v>01.07</x:v>
      </x:c>
      <x:c r="J591" s="33" t="str">
        <x:v>Three in a Hole: Buried Alive</x:v>
      </x:c>
      <x:c r="K591" s="33" t="str"/>
      <x:c r="L591" s="33" t="str"/>
      <x:c r="M591" s="44" t="str"/>
      <x:c r="N591" s="50" t="n">
        <x:v>30</x:v>
      </x:c>
      <x:c r="O591" s="53" t="str"/>
      <x:c r="P591" s="53" t="str">
        <x:v>Dick Wolf reality/legal anthology</x:v>
      </x:c>
      <x:c r="Q591" s="17" t="str">
        <x:v>6853460</x:v>
      </x:c>
      <x:c r="R591" s="17" t="str"/>
      <x:c r="S591" s="17" t="str"/>
    </x:row>
    <x:row r="592">
      <x:c r="A592" s="43" t="n">
        <x:v>588</x:v>
      </x:c>
      <x:c r="B592" s="44" t="str">
        <x:v>Not Started</x:v>
      </x:c>
      <x:c r="C592" s="45" t="n">
        <x:v>36811</x:v>
      </x:c>
      <x:c r="D592" s="33" t="str">
        <x:v>Arrest &amp; Trial</x:v>
      </x:c>
      <x:c r="E592" s="33" t="str">
        <x:v>Crossover Adjacent</x:v>
      </x:c>
      <x:c r="F592" s="33" t="str">
        <x:v>complete</x:v>
      </x:c>
      <x:c r="G592" s="50" t="n">
        <x:v>1</x:v>
      </x:c>
      <x:c r="H592" s="50" t="n">
        <x:v>8</x:v>
      </x:c>
      <x:c r="I592" s="44" t="str">
        <x:v>01.08</x:v>
      </x:c>
      <x:c r="J592" s="33" t="str">
        <x:v>Wrong Man</x:v>
      </x:c>
      <x:c r="K592" s="33" t="str"/>
      <x:c r="L592" s="33" t="str"/>
      <x:c r="M592" s="44" t="str"/>
      <x:c r="N592" s="50" t="n">
        <x:v>30</x:v>
      </x:c>
      <x:c r="O592" s="53" t="str"/>
      <x:c r="P592" s="53" t="str">
        <x:v>Dick Wolf reality/legal anthology</x:v>
      </x:c>
      <x:c r="Q592" s="17" t="str">
        <x:v>6853464</x:v>
      </x:c>
      <x:c r="R592" s="17" t="str"/>
      <x:c r="S592" s="17" t="str"/>
    </x:row>
    <x:row r="593">
      <x:c r="A593" s="43" t="n">
        <x:v>589</x:v>
      </x:c>
      <x:c r="B593" s="44" t="str">
        <x:v>Not Started</x:v>
      </x:c>
      <x:c r="C593" s="45" t="n">
        <x:v>36812</x:v>
      </x:c>
      <x:c r="D593" s="33" t="str">
        <x:v>Arrest &amp; Trial</x:v>
      </x:c>
      <x:c r="E593" s="33" t="str">
        <x:v>Crossover Adjacent</x:v>
      </x:c>
      <x:c r="F593" s="33" t="str">
        <x:v>complete</x:v>
      </x:c>
      <x:c r="G593" s="50" t="n">
        <x:v>1</x:v>
      </x:c>
      <x:c r="H593" s="50" t="n">
        <x:v>9</x:v>
      </x:c>
      <x:c r="I593" s="44" t="str">
        <x:v>01.09</x:v>
      </x:c>
      <x:c r="J593" s="33" t="str">
        <x:v>Mall Murders</x:v>
      </x:c>
      <x:c r="K593" s="33" t="str"/>
      <x:c r="L593" s="33" t="str"/>
      <x:c r="M593" s="44" t="str"/>
      <x:c r="N593" s="50" t="n">
        <x:v>30</x:v>
      </x:c>
      <x:c r="O593" s="53" t="str"/>
      <x:c r="P593" s="53" t="str">
        <x:v>Dick Wolf reality/legal anthology</x:v>
      </x:c>
      <x:c r="Q593" s="17" t="str">
        <x:v>6853482</x:v>
      </x:c>
      <x:c r="R593" s="17" t="str"/>
      <x:c r="S593" s="17" t="str"/>
    </x:row>
    <x:row r="594">
      <x:c r="A594" s="43" t="n">
        <x:v>590</x:v>
      </x:c>
      <x:c r="B594" s="44" t="str">
        <x:v>Not Started</x:v>
      </x:c>
      <x:c r="C594" s="45" t="n">
        <x:v>36813</x:v>
      </x:c>
      <x:c r="D594" s="33" t="str">
        <x:v>Arrest &amp; Trial</x:v>
      </x:c>
      <x:c r="E594" s="33" t="str">
        <x:v>Crossover Adjacent</x:v>
      </x:c>
      <x:c r="F594" s="33" t="str">
        <x:v>complete</x:v>
      </x:c>
      <x:c r="G594" s="50" t="n">
        <x:v>1</x:v>
      </x:c>
      <x:c r="H594" s="50" t="n">
        <x:v>10</x:v>
      </x:c>
      <x:c r="I594" s="44" t="str">
        <x:v>01.10</x:v>
      </x:c>
      <x:c r="J594" s="33" t="str">
        <x:v>Episode 10</x:v>
      </x:c>
      <x:c r="K594" s="33" t="str"/>
      <x:c r="L594" s="33" t="str"/>
      <x:c r="M594" s="44" t="str"/>
      <x:c r="N594" s="50" t="n">
        <x:v>30</x:v>
      </x:c>
      <x:c r="O594" s="53" t="str"/>
      <x:c r="P594" s="53" t="str">
        <x:v>Dick Wolf reality/legal anthology</x:v>
      </x:c>
      <x:c r="Q594" s="17" t="str">
        <x:v>6853486</x:v>
      </x:c>
      <x:c r="R594" s="17" t="str"/>
      <x:c r="S594" s="17" t="str"/>
    </x:row>
    <x:row r="595">
      <x:c r="A595" s="43" t="n">
        <x:v>591</x:v>
      </x:c>
      <x:c r="B595" s="44" t="str">
        <x:v>Not Started</x:v>
      </x:c>
      <x:c r="C595" s="45" t="n">
        <x:v>36815</x:v>
      </x:c>
      <x:c r="D595" s="33" t="str">
        <x:v>Deadline</x:v>
      </x:c>
      <x:c r="E595" s="33" t="str">
        <x:v>Law &amp; Order</x:v>
      </x:c>
      <x:c r="F595" s="33" t="str">
        <x:v>connected</x:v>
      </x:c>
      <x:c r="G595" s="50" t="n">
        <x:v>1</x:v>
      </x:c>
      <x:c r="H595" s="50" t="n">
        <x:v>3</x:v>
      </x:c>
      <x:c r="I595" s="44" t="str">
        <x:v>01.03</x:v>
      </x:c>
      <x:c r="J595" s="33" t="str">
        <x:v>Perception</x:v>
      </x:c>
      <x:c r="K595" s="33" t="str"/>
      <x:c r="L595" s="33" t="str"/>
      <x:c r="M595" s="44" t="str"/>
      <x:c r="N595" s="50" t="n">
        <x:v>60</x:v>
      </x:c>
      <x:c r="O595" s="53" t="str">
        <x:v>Benton uncovers a link between the "accidental" shooting of an off-duty officer and a series of police beatings.</x:v>
      </x:c>
      <x:c r="P595" s="53" t="str">
        <x:v>Dick Wolf New York newspaper/legal-adjacent drama</x:v>
      </x:c>
      <x:c r="Q595" s="17" t="str">
        <x:v>201463</x:v>
      </x:c>
      <x:c r="R595" s="17" t="str">
        <x:v>tt0556260</x:v>
      </x:c>
      <x:c r="S595" s="17" t="str">
        <x:v>421</x:v>
      </x:c>
    </x:row>
    <x:row r="596">
      <x:c r="A596" s="43" t="n">
        <x:v>592</x:v>
      </x:c>
      <x:c r="B596" s="44" t="str">
        <x:v>Not Started</x:v>
      </x:c>
      <x:c r="C596" s="45" t="n">
        <x:v>36815</x:v>
      </x:c>
      <x:c r="D596" s="33" t="str">
        <x:v>Arrest &amp; Trial</x:v>
      </x:c>
      <x:c r="E596" s="33" t="str">
        <x:v>Crossover Adjacent</x:v>
      </x:c>
      <x:c r="F596" s="33" t="str">
        <x:v>complete</x:v>
      </x:c>
      <x:c r="G596" s="50" t="n">
        <x:v>1</x:v>
      </x:c>
      <x:c r="H596" s="50" t="n">
        <x:v>11</x:v>
      </x:c>
      <x:c r="I596" s="44" t="str">
        <x:v>01.11</x:v>
      </x:c>
      <x:c r="J596" s="33" t="str">
        <x:v>Linda Sobek Murder</x:v>
      </x:c>
      <x:c r="K596" s="33" t="str"/>
      <x:c r="L596" s="33" t="str"/>
      <x:c r="M596" s="44" t="str"/>
      <x:c r="N596" s="50" t="n">
        <x:v>30</x:v>
      </x:c>
      <x:c r="O596" s="53" t="str"/>
      <x:c r="P596" s="53" t="str">
        <x:v>Dick Wolf reality/legal anthology</x:v>
      </x:c>
      <x:c r="Q596" s="17" t="str">
        <x:v>6853490</x:v>
      </x:c>
      <x:c r="R596" s="17" t="str"/>
      <x:c r="S596" s="17" t="str"/>
    </x:row>
    <x:row r="597">
      <x:c r="A597" s="43" t="n">
        <x:v>593</x:v>
      </x:c>
      <x:c r="B597" s="44" t="str">
        <x:v>Not Started</x:v>
      </x:c>
      <x:c r="C597" s="45" t="n">
        <x:v>36815</x:v>
      </x:c>
      <x:c r="D597" s="33" t="str">
        <x:v>Arrest &amp; Trial</x:v>
      </x:c>
      <x:c r="E597" s="33" t="str">
        <x:v>Crossover Adjacent</x:v>
      </x:c>
      <x:c r="F597" s="33" t="str">
        <x:v>complete</x:v>
      </x:c>
      <x:c r="G597" s="50" t="n">
        <x:v>1</x:v>
      </x:c>
      <x:c r="H597" s="50" t="n">
        <x:v>12</x:v>
      </x:c>
      <x:c r="I597" s="44" t="str">
        <x:v>01.12</x:v>
      </x:c>
      <x:c r="J597" s="33" t="str">
        <x:v>Family Betrayal</x:v>
      </x:c>
      <x:c r="K597" s="33" t="str"/>
      <x:c r="L597" s="33" t="str"/>
      <x:c r="M597" s="44" t="str"/>
      <x:c r="N597" s="50" t="n">
        <x:v>30</x:v>
      </x:c>
      <x:c r="O597" s="53" t="str"/>
      <x:c r="P597" s="53" t="str">
        <x:v>Dick Wolf reality/legal anthology</x:v>
      </x:c>
      <x:c r="Q597" s="17" t="str">
        <x:v>6853491</x:v>
      </x:c>
      <x:c r="R597" s="17" t="str"/>
      <x:c r="S597" s="17" t="str"/>
    </x:row>
    <x:row r="598">
      <x:c r="A598" s="43" t="n">
        <x:v>594</x:v>
      </x:c>
      <x:c r="B598" s="44" t="str">
        <x:v>Not Started</x:v>
      </x:c>
      <x:c r="C598" s="45" t="n">
        <x:v>36816</x:v>
      </x:c>
      <x:c r="D598" s="33" t="str">
        <x:v>Arrest &amp; Trial</x:v>
      </x:c>
      <x:c r="E598" s="33" t="str">
        <x:v>Crossover Adjacent</x:v>
      </x:c>
      <x:c r="F598" s="33" t="str">
        <x:v>complete</x:v>
      </x:c>
      <x:c r="G598" s="50" t="n">
        <x:v>1</x:v>
      </x:c>
      <x:c r="H598" s="50" t="n">
        <x:v>13</x:v>
      </x:c>
      <x:c r="I598" s="44" t="str">
        <x:v>01.13</x:v>
      </x:c>
      <x:c r="J598" s="33" t="str">
        <x:v>Mystery of King Tut</x:v>
      </x:c>
      <x:c r="K598" s="33" t="str"/>
      <x:c r="L598" s="33" t="str"/>
      <x:c r="M598" s="44" t="str"/>
      <x:c r="N598" s="50" t="n">
        <x:v>30</x:v>
      </x:c>
      <x:c r="O598" s="53" t="str"/>
      <x:c r="P598" s="53" t="str">
        <x:v>Dick Wolf reality/legal anthology</x:v>
      </x:c>
      <x:c r="Q598" s="17" t="str">
        <x:v>6853492</x:v>
      </x:c>
      <x:c r="R598" s="17" t="str"/>
      <x:c r="S598" s="17" t="str"/>
    </x:row>
    <x:row r="599">
      <x:c r="A599" s="43" t="n">
        <x:v>595</x:v>
      </x:c>
      <x:c r="B599" s="44" t="str">
        <x:v>Not Started</x:v>
      </x:c>
      <x:c r="C599" s="45" t="n">
        <x:v>36816</x:v>
      </x:c>
      <x:c r="D599" s="33" t="str">
        <x:v>Arrest &amp; Trial</x:v>
      </x:c>
      <x:c r="E599" s="33" t="str">
        <x:v>Crossover Adjacent</x:v>
      </x:c>
      <x:c r="F599" s="33" t="str">
        <x:v>complete</x:v>
      </x:c>
      <x:c r="G599" s="50" t="n">
        <x:v>1</x:v>
      </x:c>
      <x:c r="H599" s="50" t="n">
        <x:v>14</x:v>
      </x:c>
      <x:c r="I599" s="44" t="str">
        <x:v>01.14</x:v>
      </x:c>
      <x:c r="J599" s="33" t="str">
        <x:v>Sex, Drugs &amp; Rock and Roll?</x:v>
      </x:c>
      <x:c r="K599" s="33" t="str"/>
      <x:c r="L599" s="33" t="str"/>
      <x:c r="M599" s="44" t="str"/>
      <x:c r="N599" s="50" t="n">
        <x:v>30</x:v>
      </x:c>
      <x:c r="O599" s="53" t="str"/>
      <x:c r="P599" s="53" t="str">
        <x:v>Dick Wolf reality/legal anthology</x:v>
      </x:c>
      <x:c r="Q599" s="17" t="str">
        <x:v>6853466</x:v>
      </x:c>
      <x:c r="R599" s="17" t="str"/>
      <x:c r="S599" s="17" t="str"/>
    </x:row>
    <x:row r="600">
      <x:c r="A600" s="43" t="n">
        <x:v>596</x:v>
      </x:c>
      <x:c r="B600" s="44" t="str">
        <x:v>Not Started</x:v>
      </x:c>
      <x:c r="C600" s="45" t="n">
        <x:v>36817</x:v>
      </x:c>
      <x:c r="D600" s="33" t="str">
        <x:v>Arrest &amp; Trial</x:v>
      </x:c>
      <x:c r="E600" s="33" t="str">
        <x:v>Crossover Adjacent</x:v>
      </x:c>
      <x:c r="F600" s="33" t="str">
        <x:v>complete</x:v>
      </x:c>
      <x:c r="G600" s="50" t="n">
        <x:v>1</x:v>
      </x:c>
      <x:c r="H600" s="50" t="n">
        <x:v>15</x:v>
      </x:c>
      <x:c r="I600" s="44" t="str">
        <x:v>01.15</x:v>
      </x:c>
      <x:c r="J600" s="33" t="str">
        <x:v>Mother's Day Murder</x:v>
      </x:c>
      <x:c r="K600" s="33" t="str"/>
      <x:c r="L600" s="33" t="str"/>
      <x:c r="M600" s="44" t="str"/>
      <x:c r="N600" s="50" t="n">
        <x:v>30</x:v>
      </x:c>
      <x:c r="O600" s="53" t="str"/>
      <x:c r="P600" s="53" t="str">
        <x:v>Dick Wolf reality/legal anthology</x:v>
      </x:c>
      <x:c r="Q600" s="17" t="str">
        <x:v>6853495</x:v>
      </x:c>
      <x:c r="R600" s="17" t="str"/>
      <x:c r="S600" s="17" t="str"/>
    </x:row>
    <x:row r="601">
      <x:c r="A601" s="43" t="n">
        <x:v>597</x:v>
      </x:c>
      <x:c r="B601" s="44" t="str">
        <x:v>Not Started</x:v>
      </x:c>
      <x:c r="C601" s="45" t="n">
        <x:v>36817</x:v>
      </x:c>
      <x:c r="D601" s="33" t="str">
        <x:v>Arrest &amp; Trial</x:v>
      </x:c>
      <x:c r="E601" s="33" t="str">
        <x:v>Crossover Adjacent</x:v>
      </x:c>
      <x:c r="F601" s="33" t="str">
        <x:v>complete</x:v>
      </x:c>
      <x:c r="G601" s="50" t="n">
        <x:v>1</x:v>
      </x:c>
      <x:c r="H601" s="50" t="n">
        <x:v>16</x:v>
      </x:c>
      <x:c r="I601" s="44" t="str">
        <x:v>01.16</x:v>
      </x:c>
      <x:c r="J601" s="33" t="str">
        <x:v>Case of the Rubik's Cube</x:v>
      </x:c>
      <x:c r="K601" s="33" t="str"/>
      <x:c r="L601" s="33" t="str"/>
      <x:c r="M601" s="44" t="str"/>
      <x:c r="N601" s="50" t="n">
        <x:v>30</x:v>
      </x:c>
      <x:c r="O601" s="53" t="str"/>
      <x:c r="P601" s="53" t="str">
        <x:v>Dick Wolf reality/legal anthology</x:v>
      </x:c>
      <x:c r="Q601" s="17" t="str">
        <x:v>6853497</x:v>
      </x:c>
      <x:c r="R601" s="17" t="str"/>
      <x:c r="S601" s="17" t="str"/>
    </x:row>
    <x:row r="602">
      <x:c r="A602" s="43" t="n">
        <x:v>598</x:v>
      </x:c>
      <x:c r="B602" s="44" t="str">
        <x:v>Not Started</x:v>
      </x:c>
      <x:c r="C602" s="45" t="n">
        <x:v>36817</x:v>
      </x:c>
      <x:c r="D602" s="33" t="str">
        <x:v>Law &amp; Order</x:v>
      </x:c>
      <x:c r="E602" s="33" t="str">
        <x:v>Law &amp; Order</x:v>
      </x:c>
      <x:c r="F602" s="33" t="str">
        <x:v>core</x:v>
      </x:c>
      <x:c r="G602" s="50" t="n">
        <x:v>11</x:v>
      </x:c>
      <x:c r="H602" s="50" t="n">
        <x:v>1</x:v>
      </x:c>
      <x:c r="I602" s="44" t="str">
        <x:v>11.01</x:v>
      </x:c>
      <x:c r="J602" s="33" t="str">
        <x:v>Endurance</x:v>
      </x:c>
      <x:c r="K602" s="33" t="str"/>
      <x:c r="L602" s="33" t="str"/>
      <x:c r="M602" s="44" t="str"/>
      <x:c r="N602" s="50" t="n">
        <x:v>45</x:v>
      </x:c>
      <x:c r="O602" s="53" t="str">
        <x:v>After a disabled boy dies of smoke inhalation during a fire, his parents and a building tenant with a history of ""accidental"" fires become suspects.</x:v>
      </x:c>
      <x:c r="P602" s="53" t="str">
        <x:v>Core Law &amp; Order franchise</x:v>
      </x:c>
      <x:c r="Q602" s="17" t="str">
        <x:v>34284</x:v>
      </x:c>
      <x:c r="R602" s="17" t="str">
        <x:v>tt0629250</x:v>
      </x:c>
      <x:c r="S602" s="17" t="str">
        <x:v>422</x:v>
      </x:c>
    </x:row>
    <x:row r="603">
      <x:c r="A603" s="43" t="n">
        <x:v>599</x:v>
      </x:c>
      <x:c r="B603" s="44" t="str">
        <x:v>Not Started</x:v>
      </x:c>
      <x:c r="C603" s="45" t="n">
        <x:v>36818</x:v>
      </x:c>
      <x:c r="D603" s="33" t="str">
        <x:v>Arrest &amp; Trial</x:v>
      </x:c>
      <x:c r="E603" s="33" t="str">
        <x:v>Crossover Adjacent</x:v>
      </x:c>
      <x:c r="F603" s="33" t="str">
        <x:v>complete</x:v>
      </x:c>
      <x:c r="G603" s="50" t="n">
        <x:v>1</x:v>
      </x:c>
      <x:c r="H603" s="50" t="n">
        <x:v>17</x:v>
      </x:c>
      <x:c r="I603" s="44" t="str">
        <x:v>01.17</x:v>
      </x:c>
      <x:c r="J603" s="33" t="str">
        <x:v>West Hills Bandits</x:v>
      </x:c>
      <x:c r="K603" s="33" t="str"/>
      <x:c r="L603" s="33" t="str"/>
      <x:c r="M603" s="44" t="str"/>
      <x:c r="N603" s="50" t="n">
        <x:v>30</x:v>
      </x:c>
      <x:c r="O603" s="53" t="str"/>
      <x:c r="P603" s="53" t="str">
        <x:v>Dick Wolf reality/legal anthology</x:v>
      </x:c>
      <x:c r="Q603" s="17" t="str">
        <x:v>6853499</x:v>
      </x:c>
      <x:c r="R603" s="17" t="str"/>
      <x:c r="S603" s="17" t="str"/>
    </x:row>
    <x:row r="604">
      <x:c r="A604" s="43" t="n">
        <x:v>600</x:v>
      </x:c>
      <x:c r="B604" s="44" t="str">
        <x:v>Not Started</x:v>
      </x:c>
      <x:c r="C604" s="45" t="n">
        <x:v>36818</x:v>
      </x:c>
      <x:c r="D604" s="33" t="str">
        <x:v>Arrest &amp; Trial</x:v>
      </x:c>
      <x:c r="E604" s="33" t="str">
        <x:v>Crossover Adjacent</x:v>
      </x:c>
      <x:c r="F604" s="33" t="str">
        <x:v>complete</x:v>
      </x:c>
      <x:c r="G604" s="50" t="n">
        <x:v>1</x:v>
      </x:c>
      <x:c r="H604" s="50" t="n">
        <x:v>18</x:v>
      </x:c>
      <x:c r="I604" s="44" t="str">
        <x:v>01.18</x:v>
      </x:c>
      <x:c r="J604" s="33" t="str">
        <x:v>Evil Soul</x:v>
      </x:c>
      <x:c r="K604" s="33" t="str"/>
      <x:c r="L604" s="33" t="str"/>
      <x:c r="M604" s="44" t="str"/>
      <x:c r="N604" s="50" t="n">
        <x:v>30</x:v>
      </x:c>
      <x:c r="O604" s="53" t="str"/>
      <x:c r="P604" s="53" t="str">
        <x:v>Dick Wolf reality/legal anthology</x:v>
      </x:c>
      <x:c r="Q604" s="17" t="str">
        <x:v>6853470</x:v>
      </x:c>
      <x:c r="R604" s="17" t="str"/>
      <x:c r="S604" s="17" t="str"/>
    </x:row>
    <x:row r="605">
      <x:c r="A605" s="43" t="n">
        <x:v>601</x:v>
      </x:c>
      <x:c r="B605" s="44" t="str">
        <x:v>Not Started</x:v>
      </x:c>
      <x:c r="C605" s="45" t="n">
        <x:v>36819</x:v>
      </x:c>
      <x:c r="D605" s="33" t="str">
        <x:v>Arrest &amp; Trial</x:v>
      </x:c>
      <x:c r="E605" s="33" t="str">
        <x:v>Crossover Adjacent</x:v>
      </x:c>
      <x:c r="F605" s="33" t="str">
        <x:v>complete</x:v>
      </x:c>
      <x:c r="G605" s="50" t="n">
        <x:v>1</x:v>
      </x:c>
      <x:c r="H605" s="50" t="n">
        <x:v>19</x:v>
      </x:c>
      <x:c r="I605" s="44" t="str">
        <x:v>01.19</x:v>
      </x:c>
      <x:c r="J605" s="33" t="str">
        <x:v>For the Love of a Baywatch Babe</x:v>
      </x:c>
      <x:c r="K605" s="33" t="str"/>
      <x:c r="L605" s="33" t="str"/>
      <x:c r="M605" s="44" t="str"/>
      <x:c r="N605" s="50" t="n">
        <x:v>30</x:v>
      </x:c>
      <x:c r="O605" s="53" t="str"/>
      <x:c r="P605" s="53" t="str">
        <x:v>Dick Wolf reality/legal anthology</x:v>
      </x:c>
      <x:c r="Q605" s="17" t="str">
        <x:v>6853477</x:v>
      </x:c>
      <x:c r="R605" s="17" t="str"/>
      <x:c r="S605" s="17" t="str"/>
    </x:row>
    <x:row r="606">
      <x:c r="A606" s="43" t="n">
        <x:v>602</x:v>
      </x:c>
      <x:c r="B606" s="44" t="str">
        <x:v>Not Started</x:v>
      </x:c>
      <x:c r="C606" s="45" t="n">
        <x:v>36819</x:v>
      </x:c>
      <x:c r="D606" s="33" t="str">
        <x:v>Arrest &amp; Trial</x:v>
      </x:c>
      <x:c r="E606" s="33" t="str">
        <x:v>Crossover Adjacent</x:v>
      </x:c>
      <x:c r="F606" s="33" t="str">
        <x:v>complete</x:v>
      </x:c>
      <x:c r="G606" s="50" t="n">
        <x:v>1</x:v>
      </x:c>
      <x:c r="H606" s="50" t="n">
        <x:v>20</x:v>
      </x:c>
      <x:c r="I606" s="44" t="str">
        <x:v>01.20</x:v>
      </x:c>
      <x:c r="J606" s="33" t="str">
        <x:v>Husband Kills; Wife Confesses</x:v>
      </x:c>
      <x:c r="K606" s="33" t="str"/>
      <x:c r="L606" s="33" t="str"/>
      <x:c r="M606" s="44" t="str"/>
      <x:c r="N606" s="50" t="n">
        <x:v>30</x:v>
      </x:c>
      <x:c r="O606" s="53" t="str"/>
      <x:c r="P606" s="53" t="str">
        <x:v>Dick Wolf reality/legal anthology</x:v>
      </x:c>
      <x:c r="Q606" s="17" t="str">
        <x:v>6853503</x:v>
      </x:c>
      <x:c r="R606" s="17" t="str"/>
      <x:c r="S606" s="17" t="str"/>
    </x:row>
    <x:row r="607">
      <x:c r="A607" s="43" t="n">
        <x:v>603</x:v>
      </x:c>
      <x:c r="B607" s="44" t="str">
        <x:v>Watched</x:v>
      </x:c>
      <x:c r="C607" s="45" t="n">
        <x:v>36819</x:v>
      </x:c>
      <x:c r="D607" s="33" t="str">
        <x:v>Law &amp; Order: Special Victims Unit</x:v>
      </x:c>
      <x:c r="E607" s="33" t="str">
        <x:v>Law &amp; Order</x:v>
      </x:c>
      <x:c r="F607" s="33" t="str">
        <x:v>core</x:v>
      </x:c>
      <x:c r="G607" s="50" t="n">
        <x:v>2</x:v>
      </x:c>
      <x:c r="H607" s="50" t="n">
        <x:v>1</x:v>
      </x:c>
      <x:c r="I607" s="44" t="str">
        <x:v>02.01</x:v>
      </x:c>
      <x:c r="J607" s="33" t="str">
        <x:v>Wrong Is Right</x:v>
      </x:c>
      <x:c r="K607" s="33" t="str"/>
      <x:c r="L607" s="33" t="str"/>
      <x:c r="M607" s="44" t="str"/>
      <x:c r="N607" s="50" t="n">
        <x:v>44</x:v>
      </x:c>
      <x:c r="O607" s="53" t="str">
        <x:v>Stabler's daughter bears witness to a horrific crime scene: a rocket scientist found dead with his crotch on fire. The scientist had strong ties to government security and detectives must determine if that had something to do with his demise. The internal investigation into the psyches of the SVU detectives yields interesting results.</x:v>
      </x:c>
      <x:c r="P607" s="53" t="str">
        <x:v>Core Law &amp; Order franchise</x:v>
      </x:c>
      <x:c r="Q607" s="17" t="str">
        <x:v>224963</x:v>
      </x:c>
      <x:c r="R607" s="17" t="str">
        <x:v>tt0629757</x:v>
      </x:c>
      <x:c r="S607" s="17" t="str">
        <x:v>423</x:v>
      </x:c>
    </x:row>
    <x:row r="608">
      <x:c r="A608" s="43" t="n">
        <x:v>604</x:v>
      </x:c>
      <x:c r="B608" s="44" t="str">
        <x:v>Not Started</x:v>
      </x:c>
      <x:c r="C608" s="45" t="n">
        <x:v>36822</x:v>
      </x:c>
      <x:c r="D608" s="33" t="str">
        <x:v>Deadline</x:v>
      </x:c>
      <x:c r="E608" s="33" t="str">
        <x:v>Law &amp; Order</x:v>
      </x:c>
      <x:c r="F608" s="33" t="str">
        <x:v>connected</x:v>
      </x:c>
      <x:c r="G608" s="50" t="n">
        <x:v>1</x:v>
      </x:c>
      <x:c r="H608" s="50" t="n">
        <x:v>4</x:v>
      </x:c>
      <x:c r="I608" s="44" t="str">
        <x:v>01.04</x:v>
      </x:c>
      <x:c r="J608" s="33" t="str">
        <x:v>Daniel in the Lion's Den</x:v>
      </x:c>
      <x:c r="K608" s="33" t="str"/>
      <x:c r="L608" s="33" t="str"/>
      <x:c r="M608" s="44" t="str"/>
      <x:c r="N608" s="50" t="n">
        <x:v>60</x:v>
      </x:c>
      <x:c r="O608" s="53" t="str">
        <x:v>Benton learns that a candidate for city council is a convicted fugitive living under an assumed name.</x:v>
      </x:c>
      <x:c r="P608" s="53" t="str">
        <x:v>Dick Wolf New York newspaper/legal-adjacent drama</x:v>
      </x:c>
      <x:c r="Q608" s="17" t="str">
        <x:v>201464</x:v>
      </x:c>
      <x:c r="R608" s="17" t="str">
        <x:v>tt0556255</x:v>
      </x:c>
      <x:c r="S608" s="17" t="str">
        <x:v>424</x:v>
      </x:c>
    </x:row>
    <x:row r="609">
      <x:c r="A609" s="43" t="n">
        <x:v>605</x:v>
      </x:c>
      <x:c r="B609" s="44" t="str">
        <x:v>Not Started</x:v>
      </x:c>
      <x:c r="C609" s="45" t="n">
        <x:v>36822</x:v>
      </x:c>
      <x:c r="D609" s="33" t="str">
        <x:v>Arrest &amp; Trial</x:v>
      </x:c>
      <x:c r="E609" s="33" t="str">
        <x:v>Crossover Adjacent</x:v>
      </x:c>
      <x:c r="F609" s="33" t="str">
        <x:v>complete</x:v>
      </x:c>
      <x:c r="G609" s="50" t="n">
        <x:v>1</x:v>
      </x:c>
      <x:c r="H609" s="50" t="n">
        <x:v>21</x:v>
      </x:c>
      <x:c r="I609" s="44" t="str">
        <x:v>01.21</x:v>
      </x:c>
      <x:c r="J609" s="33" t="str">
        <x:v>Teenage Prostitutes</x:v>
      </x:c>
      <x:c r="K609" s="33" t="str"/>
      <x:c r="L609" s="33" t="str"/>
      <x:c r="M609" s="44" t="str"/>
      <x:c r="N609" s="50" t="n">
        <x:v>30</x:v>
      </x:c>
      <x:c r="O609" s="53" t="str">
        <x:v>When two teenage girls reported they had been sexually assaulted, police were led to a man who was turning young runaways into prostitutes. The prosecution’s case rested largely on the testimony of several frightened teenagers</x:v>
      </x:c>
      <x:c r="P609" s="53" t="str">
        <x:v>Dick Wolf reality/legal anthology</x:v>
      </x:c>
      <x:c r="Q609" s="17" t="str">
        <x:v>6853504</x:v>
      </x:c>
      <x:c r="R609" s="17" t="str"/>
      <x:c r="S609" s="17" t="str"/>
    </x:row>
    <x:row r="610">
      <x:c r="A610" s="43" t="n">
        <x:v>606</x:v>
      </x:c>
      <x:c r="B610" s="44" t="str">
        <x:v>Not Started</x:v>
      </x:c>
      <x:c r="C610" s="45" t="n">
        <x:v>36822</x:v>
      </x:c>
      <x:c r="D610" s="33" t="str">
        <x:v>Arrest &amp; Trial</x:v>
      </x:c>
      <x:c r="E610" s="33" t="str">
        <x:v>Crossover Adjacent</x:v>
      </x:c>
      <x:c r="F610" s="33" t="str">
        <x:v>complete</x:v>
      </x:c>
      <x:c r="G610" s="50" t="n">
        <x:v>1</x:v>
      </x:c>
      <x:c r="H610" s="50" t="n">
        <x:v>22</x:v>
      </x:c>
      <x:c r="I610" s="44" t="str">
        <x:v>01.22</x:v>
      </x:c>
      <x:c r="J610" s="33" t="str">
        <x:v>Face from Bones</x:v>
      </x:c>
      <x:c r="K610" s="33" t="str"/>
      <x:c r="L610" s="33" t="str"/>
      <x:c r="M610" s="44" t="str"/>
      <x:c r="N610" s="50" t="n">
        <x:v>30</x:v>
      </x:c>
      <x:c r="O610" s="53" t="str">
        <x:v>A tip led investigators to a buried skeleton that revealed a seven-year-old murder. Through forensic reconstruction, the detectives were able to identify the victim and track down the killer -- but the defendant's testimony was very convincing</x:v>
      </x:c>
      <x:c r="P610" s="53" t="str">
        <x:v>Dick Wolf reality/legal anthology</x:v>
      </x:c>
      <x:c r="Q610" s="17" t="str">
        <x:v>6853506</x:v>
      </x:c>
      <x:c r="R610" s="17" t="str"/>
      <x:c r="S610" s="17" t="str"/>
    </x:row>
    <x:row r="611">
      <x:c r="A611" s="43" t="n">
        <x:v>607</x:v>
      </x:c>
      <x:c r="B611" s="44" t="str">
        <x:v>Not Started</x:v>
      </x:c>
      <x:c r="C611" s="45" t="n">
        <x:v>36823</x:v>
      </x:c>
      <x:c r="D611" s="33" t="str">
        <x:v>Arrest &amp; Trial</x:v>
      </x:c>
      <x:c r="E611" s="33" t="str">
        <x:v>Crossover Adjacent</x:v>
      </x:c>
      <x:c r="F611" s="33" t="str">
        <x:v>complete</x:v>
      </x:c>
      <x:c r="G611" s="50" t="n">
        <x:v>1</x:v>
      </x:c>
      <x:c r="H611" s="50" t="n">
        <x:v>23</x:v>
      </x:c>
      <x:c r="I611" s="44" t="str">
        <x:v>01.23</x:v>
      </x:c>
      <x:c r="J611" s="33" t="str">
        <x:v>Vegas Dancer Stalked</x:v>
      </x:c>
      <x:c r="K611" s="33" t="str"/>
      <x:c r="L611" s="33" t="str"/>
      <x:c r="M611" s="44" t="str"/>
      <x:c r="N611" s="50" t="n">
        <x:v>30</x:v>
      </x:c>
      <x:c r="O611" s="53" t="str">
        <x:v>An erotic dancer was shot and survived to name her attacker: an Iowa farmer who had been stalking her. With only circumstantial evidence and the profile of an obsessive mind, it would prove an arduous task to convict the stalker.</x:v>
      </x:c>
      <x:c r="P611" s="53" t="str">
        <x:v>Dick Wolf reality/legal anthology</x:v>
      </x:c>
      <x:c r="Q611" s="17" t="str">
        <x:v>6853509</x:v>
      </x:c>
      <x:c r="R611" s="17" t="str"/>
      <x:c r="S611" s="17" t="str"/>
    </x:row>
    <x:row r="612">
      <x:c r="A612" s="43" t="n">
        <x:v>608</x:v>
      </x:c>
      <x:c r="B612" s="44" t="str">
        <x:v>Not Started</x:v>
      </x:c>
      <x:c r="C612" s="45" t="n">
        <x:v>36823</x:v>
      </x:c>
      <x:c r="D612" s="33" t="str">
        <x:v>Arrest &amp; Trial</x:v>
      </x:c>
      <x:c r="E612" s="33" t="str">
        <x:v>Crossover Adjacent</x:v>
      </x:c>
      <x:c r="F612" s="33" t="str">
        <x:v>complete</x:v>
      </x:c>
      <x:c r="G612" s="50" t="n">
        <x:v>1</x:v>
      </x:c>
      <x:c r="H612" s="50" t="n">
        <x:v>24</x:v>
      </x:c>
      <x:c r="I612" s="44" t="str">
        <x:v>01.24</x:v>
      </x:c>
      <x:c r="J612" s="33" t="str">
        <x:v>Stripping Down Chippendales</x:v>
      </x:c>
      <x:c r="K612" s="33" t="str"/>
      <x:c r="L612" s="33" t="str"/>
      <x:c r="M612" s="44" t="str"/>
      <x:c r="N612" s="50" t="n">
        <x:v>30</x:v>
      </x:c>
      <x:c r="O612" s="53" t="str">
        <x:v>An FBI investigation into a murder-for-hire case uncovered the owner of the famous Chippendales Club at the helm of a plot of arson and murder. The investigation spanned two continents in an overseas sting operation</x:v>
      </x:c>
      <x:c r="P612" s="53" t="str">
        <x:v>Dick Wolf reality/legal anthology</x:v>
      </x:c>
      <x:c r="Q612" s="17" t="str">
        <x:v>6853510</x:v>
      </x:c>
      <x:c r="R612" s="17" t="str"/>
      <x:c r="S612" s="17" t="str"/>
    </x:row>
    <x:row r="613">
      <x:c r="A613" s="43" t="n">
        <x:v>609</x:v>
      </x:c>
      <x:c r="B613" s="44" t="str">
        <x:v>Not Started</x:v>
      </x:c>
      <x:c r="C613" s="45" t="n">
        <x:v>36824</x:v>
      </x:c>
      <x:c r="D613" s="33" t="str">
        <x:v>Arrest &amp; Trial</x:v>
      </x:c>
      <x:c r="E613" s="33" t="str">
        <x:v>Crossover Adjacent</x:v>
      </x:c>
      <x:c r="F613" s="33" t="str">
        <x:v>complete</x:v>
      </x:c>
      <x:c r="G613" s="50" t="n">
        <x:v>1</x:v>
      </x:c>
      <x:c r="H613" s="50" t="n">
        <x:v>25</x:v>
      </x:c>
      <x:c r="I613" s="44" t="str">
        <x:v>01.25</x:v>
      </x:c>
      <x:c r="J613" s="33" t="str">
        <x:v>Closet Killer</x:v>
      </x:c>
      <x:c r="K613" s="33" t="str"/>
      <x:c r="L613" s="33" t="str"/>
      <x:c r="M613" s="44" t="str"/>
      <x:c r="N613" s="50" t="n">
        <x:v>30</x:v>
      </x:c>
      <x:c r="O613" s="53" t="str">
        <x:v>The murder of a San Diego woman, found strangled in her closet, led to a nationwide search for a serial killer suspected of sexually assaulting and murdering five California women in four days</x:v>
      </x:c>
      <x:c r="P613" s="53" t="str">
        <x:v>Dick Wolf reality/legal anthology</x:v>
      </x:c>
      <x:c r="Q613" s="17" t="str">
        <x:v>6853511</x:v>
      </x:c>
      <x:c r="R613" s="17" t="str"/>
      <x:c r="S613" s="17" t="str"/>
    </x:row>
    <x:row r="614">
      <x:c r="A614" s="43" t="n">
        <x:v>610</x:v>
      </x:c>
      <x:c r="B614" s="44" t="str">
        <x:v>Not Started</x:v>
      </x:c>
      <x:c r="C614" s="45" t="n">
        <x:v>36824</x:v>
      </x:c>
      <x:c r="D614" s="33" t="str">
        <x:v>Arrest &amp; Trial</x:v>
      </x:c>
      <x:c r="E614" s="33" t="str">
        <x:v>Crossover Adjacent</x:v>
      </x:c>
      <x:c r="F614" s="33" t="str">
        <x:v>complete</x:v>
      </x:c>
      <x:c r="G614" s="50" t="n">
        <x:v>1</x:v>
      </x:c>
      <x:c r="H614" s="50" t="n">
        <x:v>26</x:v>
      </x:c>
      <x:c r="I614" s="44" t="str">
        <x:v>01.26</x:v>
      </x:c>
      <x:c r="J614" s="33" t="str">
        <x:v>Holtsinger Gunslinger</x:v>
      </x:c>
      <x:c r="K614" s="33" t="str"/>
      <x:c r="L614" s="33" t="str"/>
      <x:c r="M614" s="44" t="str"/>
      <x:c r="N614" s="50" t="n">
        <x:v>30</x:v>
      </x:c>
      <x:c r="O614" s="53" t="str">
        <x:v>A young man was discovered dead in the desert, having been shot repeatedly. Detectives learned that the victim was last seen with two friends from his place of employment: a gun shop. Investigators questioned the two friends until one of them cracked.</x:v>
      </x:c>
      <x:c r="P614" s="53" t="str">
        <x:v>Dick Wolf reality/legal anthology</x:v>
      </x:c>
      <x:c r="Q614" s="17" t="str">
        <x:v>6853514</x:v>
      </x:c>
      <x:c r="R614" s="17" t="str"/>
      <x:c r="S614" s="17" t="str"/>
    </x:row>
    <x:row r="615">
      <x:c r="A615" s="43" t="n">
        <x:v>611</x:v>
      </x:c>
      <x:c r="B615" s="44" t="str">
        <x:v>Not Started</x:v>
      </x:c>
      <x:c r="C615" s="45" t="n">
        <x:v>36824</x:v>
      </x:c>
      <x:c r="D615" s="33" t="str">
        <x:v>Law &amp; Order</x:v>
      </x:c>
      <x:c r="E615" s="33" t="str">
        <x:v>Law &amp; Order</x:v>
      </x:c>
      <x:c r="F615" s="33" t="str">
        <x:v>core</x:v>
      </x:c>
      <x:c r="G615" s="50" t="n">
        <x:v>11</x:v>
      </x:c>
      <x:c r="H615" s="50" t="n">
        <x:v>2</x:v>
      </x:c>
      <x:c r="I615" s="44" t="str">
        <x:v>11.02</x:v>
      </x:c>
      <x:c r="J615" s="33" t="str">
        <x:v>Turnstile Justice</x:v>
      </x:c>
      <x:c r="K615" s="33" t="str"/>
      <x:c r="L615" s="33" t="str"/>
      <x:c r="M615" s="44" t="str"/>
      <x:c r="N615" s="50" t="n">
        <x:v>45</x:v>
      </x:c>
      <x:c r="O615" s="53" t="str">
        <x:v>After a woman's body is found in a subway station, a suspect is arrested, but the resulting case concerns the lack of medication supplied him while in prison.</x:v>
      </x:c>
      <x:c r="P615" s="53" t="str">
        <x:v>Core Law &amp; Order franchise</x:v>
      </x:c>
      <x:c r="Q615" s="17" t="str">
        <x:v>34285</x:v>
      </x:c>
      <x:c r="R615" s="17" t="str">
        <x:v>tt0629479</x:v>
      </x:c>
      <x:c r="S615" s="17" t="str">
        <x:v>425</x:v>
      </x:c>
    </x:row>
    <x:row r="616">
      <x:c r="A616" s="43" t="n">
        <x:v>612</x:v>
      </x:c>
      <x:c r="B616" s="44" t="str">
        <x:v>Not Started</x:v>
      </x:c>
      <x:c r="C616" s="45" t="n">
        <x:v>36825</x:v>
      </x:c>
      <x:c r="D616" s="33" t="str">
        <x:v>Arrest &amp; Trial</x:v>
      </x:c>
      <x:c r="E616" s="33" t="str">
        <x:v>Crossover Adjacent</x:v>
      </x:c>
      <x:c r="F616" s="33" t="str">
        <x:v>complete</x:v>
      </x:c>
      <x:c r="G616" s="50" t="n">
        <x:v>1</x:v>
      </x:c>
      <x:c r="H616" s="50" t="n">
        <x:v>27</x:v>
      </x:c>
      <x:c r="I616" s="44" t="str">
        <x:v>01.27</x:v>
      </x:c>
      <x:c r="J616" s="33" t="str">
        <x:v>Sleepwalking Defense</x:v>
      </x:c>
      <x:c r="K616" s="33" t="str"/>
      <x:c r="L616" s="33" t="str"/>
      <x:c r="M616" s="44" t="str"/>
      <x:c r="N616" s="50" t="n">
        <x:v>30</x:v>
      </x:c>
      <x:c r="O616" s="53" t="str">
        <x:v>A woman was found stabbed to death in her swimming pool. A neighbor witnessed the husband kill his wife, but he claimed to have been sleepwalking throughout the attack. Could the prosecution prove that the husband was awake during his crime?</x:v>
      </x:c>
      <x:c r="P616" s="53" t="str">
        <x:v>Dick Wolf reality/legal anthology</x:v>
      </x:c>
      <x:c r="Q616" s="17" t="str">
        <x:v>6853518</x:v>
      </x:c>
      <x:c r="R616" s="17" t="str"/>
      <x:c r="S616" s="17" t="str"/>
    </x:row>
    <x:row r="617">
      <x:c r="A617" s="43" t="n">
        <x:v>613</x:v>
      </x:c>
      <x:c r="B617" s="44" t="str">
        <x:v>Not Started</x:v>
      </x:c>
      <x:c r="C617" s="45" t="n">
        <x:v>36825</x:v>
      </x:c>
      <x:c r="D617" s="33" t="str">
        <x:v>Arrest &amp; Trial</x:v>
      </x:c>
      <x:c r="E617" s="33" t="str">
        <x:v>Crossover Adjacent</x:v>
      </x:c>
      <x:c r="F617" s="33" t="str">
        <x:v>complete</x:v>
      </x:c>
      <x:c r="G617" s="50" t="n">
        <x:v>1</x:v>
      </x:c>
      <x:c r="H617" s="50" t="n">
        <x:v>28</x:v>
      </x:c>
      <x:c r="I617" s="44" t="str">
        <x:v>01.28</x:v>
      </x:c>
      <x:c r="J617" s="33" t="str">
        <x:v>Scoutmaster Kills Wife</x:v>
      </x:c>
      <x:c r="K617" s="33" t="str"/>
      <x:c r="L617" s="33" t="str"/>
      <x:c r="M617" s="44" t="str"/>
      <x:c r="N617" s="50" t="n">
        <x:v>30</x:v>
      </x:c>
      <x:c r="O617" s="53" t="str">
        <x:v>During a hike, a human skull was discovered in the brush. Through clay facial reconstruction, the victim was identified as the wife of a local scoutmaster. In questioning him, police found numerous inconsistencies in the scoutmaster’s version of events.</x:v>
      </x:c>
      <x:c r="P617" s="53" t="str">
        <x:v>Dick Wolf reality/legal anthology</x:v>
      </x:c>
      <x:c r="Q617" s="17" t="str">
        <x:v>6853520</x:v>
      </x:c>
      <x:c r="R617" s="17" t="str"/>
      <x:c r="S617" s="17" t="str"/>
    </x:row>
    <x:row r="618">
      <x:c r="A618" s="43" t="n">
        <x:v>614</x:v>
      </x:c>
      <x:c r="B618" s="44" t="str">
        <x:v>Not Started</x:v>
      </x:c>
      <x:c r="C618" s="45" t="n">
        <x:v>36826</x:v>
      </x:c>
      <x:c r="D618" s="33" t="str">
        <x:v>Arrest &amp; Trial</x:v>
      </x:c>
      <x:c r="E618" s="33" t="str">
        <x:v>Crossover Adjacent</x:v>
      </x:c>
      <x:c r="F618" s="33" t="str">
        <x:v>complete</x:v>
      </x:c>
      <x:c r="G618" s="50" t="n">
        <x:v>1</x:v>
      </x:c>
      <x:c r="H618" s="50" t="n">
        <x:v>29</x:v>
      </x:c>
      <x:c r="I618" s="44" t="str">
        <x:v>01.29</x:v>
      </x:c>
      <x:c r="J618" s="33" t="str">
        <x:v>Leisurely Leisure</x:v>
      </x:c>
      <x:c r="K618" s="33" t="str"/>
      <x:c r="L618" s="33" t="str"/>
      <x:c r="M618" s="44" t="str"/>
      <x:c r="N618" s="50" t="n">
        <x:v>30</x:v>
      </x:c>
      <x:c r="O618" s="53" t="str">
        <x:v>The investigation into the theft of a luxury yacht triggered the discovery of a murder-for-hire crime ring led by a crooked cop.</x:v>
      </x:c>
      <x:c r="P618" s="53" t="str">
        <x:v>Dick Wolf reality/legal anthology</x:v>
      </x:c>
      <x:c r="Q618" s="17" t="str">
        <x:v>6853521</x:v>
      </x:c>
      <x:c r="R618" s="17" t="str"/>
      <x:c r="S618" s="17" t="str"/>
    </x:row>
    <x:row r="619">
      <x:c r="A619" s="43" t="n">
        <x:v>615</x:v>
      </x:c>
      <x:c r="B619" s="44" t="str">
        <x:v>Not Started</x:v>
      </x:c>
      <x:c r="C619" s="45" t="n">
        <x:v>36826</x:v>
      </x:c>
      <x:c r="D619" s="33" t="str">
        <x:v>Arrest &amp; Trial</x:v>
      </x:c>
      <x:c r="E619" s="33" t="str">
        <x:v>Crossover Adjacent</x:v>
      </x:c>
      <x:c r="F619" s="33" t="str">
        <x:v>complete</x:v>
      </x:c>
      <x:c r="G619" s="50" t="n">
        <x:v>1</x:v>
      </x:c>
      <x:c r="H619" s="50" t="n">
        <x:v>30</x:v>
      </x:c>
      <x:c r="I619" s="44" t="str">
        <x:v>01.30</x:v>
      </x:c>
      <x:c r="J619" s="33" t="str">
        <x:v>Romeo Ramon</x:v>
      </x:c>
      <x:c r="K619" s="33" t="str"/>
      <x:c r="L619" s="33" t="str"/>
      <x:c r="M619" s="44" t="str"/>
      <x:c r="N619" s="50" t="n">
        <x:v>30</x:v>
      </x:c>
      <x:c r="O619" s="53" t="str">
        <x:v>The investigation of a missing person’s report led police to clues that uncovered not only the missing person’s murder, but also two others. The trail of evidence led investigators to three victims who were also close to the suspect.</x:v>
      </x:c>
      <x:c r="P619" s="53" t="str">
        <x:v>Dick Wolf reality/legal anthology</x:v>
      </x:c>
      <x:c r="Q619" s="17" t="str">
        <x:v>6853525</x:v>
      </x:c>
      <x:c r="R619" s="17" t="str"/>
      <x:c r="S619" s="17" t="str"/>
    </x:row>
    <x:row r="620">
      <x:c r="A620" s="43" t="n">
        <x:v>616</x:v>
      </x:c>
      <x:c r="B620" s="44" t="str">
        <x:v>Watched</x:v>
      </x:c>
      <x:c r="C620" s="45" t="n">
        <x:v>36826</x:v>
      </x:c>
      <x:c r="D620" s="33" t="str">
        <x:v>Law &amp; Order: Special Victims Unit</x:v>
      </x:c>
      <x:c r="E620" s="33" t="str">
        <x:v>Law &amp; Order</x:v>
      </x:c>
      <x:c r="F620" s="33" t="str">
        <x:v>core</x:v>
      </x:c>
      <x:c r="G620" s="50" t="n">
        <x:v>2</x:v>
      </x:c>
      <x:c r="H620" s="50" t="n">
        <x:v>2</x:v>
      </x:c>
      <x:c r="I620" s="44" t="str">
        <x:v>02.02</x:v>
      </x:c>
      <x:c r="J620" s="33" t="str">
        <x:v>Honor</x:v>
      </x:c>
      <x:c r="K620" s="33" t="str"/>
      <x:c r="L620" s="33" t="str"/>
      <x:c r="M620" s="44" t="str"/>
      <x:c r="N620" s="50" t="n">
        <x:v>44</x:v>
      </x:c>
      <x:c r="O620" s="53" t="str">
        <x:v>The vicious sexual assault and brutal beating of an Afghan diplomat's daughter uncovers clues that may suggest Taliban traditions justify 'honor killings' when the child defies the wishes of their parents or their culture; the trail leads close to home.</x:v>
      </x:c>
      <x:c r="P620" s="53" t="str">
        <x:v>Core Law &amp; Order franchise</x:v>
      </x:c>
      <x:c r="Q620" s="17" t="str">
        <x:v>224964</x:v>
      </x:c>
      <x:c r="R620" s="17" t="str">
        <x:v>tt0629667</x:v>
      </x:c>
      <x:c r="S620" s="17" t="str">
        <x:v>426</x:v>
      </x:c>
    </x:row>
    <x:row r="621">
      <x:c r="A621" s="43" t="n">
        <x:v>617</x:v>
      </x:c>
      <x:c r="B621" s="44" t="str">
        <x:v>Not Started</x:v>
      </x:c>
      <x:c r="C621" s="45" t="n">
        <x:v>36829</x:v>
      </x:c>
      <x:c r="D621" s="33" t="str">
        <x:v>Deadline</x:v>
      </x:c>
      <x:c r="E621" s="33" t="str">
        <x:v>Law &amp; Order</x:v>
      </x:c>
      <x:c r="F621" s="33" t="str">
        <x:v>connected</x:v>
      </x:c>
      <x:c r="G621" s="50" t="n">
        <x:v>1</x:v>
      </x:c>
      <x:c r="H621" s="50" t="n">
        <x:v>5</x:v>
      </x:c>
      <x:c r="I621" s="44" t="str">
        <x:v>01.05</x:v>
      </x:c>
      <x:c r="J621" s="33" t="str">
        <x:v>Howl</x:v>
      </x:c>
      <x:c r="K621" s="33" t="str"/>
      <x:c r="L621" s="33" t="str"/>
      <x:c r="M621" s="44" t="str"/>
      <x:c r="N621" s="50" t="n">
        <x:v>60</x:v>
      </x:c>
      <x:c r="O621" s="53" t="str">
        <x:v>Benton becomes a suspect in the murder of a gangster's girlfriend after she spent the night at his place.</x:v>
      </x:c>
      <x:c r="P621" s="53" t="str">
        <x:v>Dick Wolf New York newspaper/legal-adjacent drama</x:v>
      </x:c>
      <x:c r="Q621" s="17" t="str">
        <x:v>201465</x:v>
      </x:c>
      <x:c r="R621" s="17" t="str">
        <x:v>tt0556257</x:v>
      </x:c>
      <x:c r="S621" s="17" t="str">
        <x:v>427</x:v>
      </x:c>
    </x:row>
    <x:row r="622">
      <x:c r="A622" s="43" t="n">
        <x:v>618</x:v>
      </x:c>
      <x:c r="B622" s="44" t="str">
        <x:v>Not Started</x:v>
      </x:c>
      <x:c r="C622" s="45" t="n">
        <x:v>36829</x:v>
      </x:c>
      <x:c r="D622" s="33" t="str">
        <x:v>Arrest &amp; Trial</x:v>
      </x:c>
      <x:c r="E622" s="33" t="str">
        <x:v>Crossover Adjacent</x:v>
      </x:c>
      <x:c r="F622" s="33" t="str">
        <x:v>complete</x:v>
      </x:c>
      <x:c r="G622" s="50" t="n">
        <x:v>1</x:v>
      </x:c>
      <x:c r="H622" s="50" t="n">
        <x:v>31</x:v>
      </x:c>
      <x:c r="I622" s="44" t="str">
        <x:v>01.31</x:v>
      </x:c>
      <x:c r="J622" s="33" t="str">
        <x:v>Daddy's Little Girl</x:v>
      </x:c>
      <x:c r="K622" s="33" t="str"/>
      <x:c r="L622" s="33" t="str"/>
      <x:c r="M622" s="44" t="str"/>
      <x:c r="N622" s="50" t="n">
        <x:v>30</x:v>
      </x:c>
      <x:c r="O622" s="53" t="str">
        <x:v>A nefarious father manipulated his 14-year-old daughter into believing she had to kill her stepmother in order to save him. Not only was she convicted, she also spent five years in jail -- until investigators convinced her to tell them the full story.</x:v>
      </x:c>
      <x:c r="P622" s="53" t="str">
        <x:v>Dick Wolf reality/legal anthology</x:v>
      </x:c>
      <x:c r="Q622" s="17" t="str">
        <x:v>6853529</x:v>
      </x:c>
      <x:c r="R622" s="17" t="str"/>
      <x:c r="S622" s="17" t="str"/>
    </x:row>
    <x:row r="623">
      <x:c r="A623" s="43" t="n">
        <x:v>619</x:v>
      </x:c>
      <x:c r="B623" s="44" t="str">
        <x:v>Not Started</x:v>
      </x:c>
      <x:c r="C623" s="45" t="n">
        <x:v>36829</x:v>
      </x:c>
      <x:c r="D623" s="33" t="str">
        <x:v>Arrest &amp; Trial</x:v>
      </x:c>
      <x:c r="E623" s="33" t="str">
        <x:v>Crossover Adjacent</x:v>
      </x:c>
      <x:c r="F623" s="33" t="str">
        <x:v>complete</x:v>
      </x:c>
      <x:c r="G623" s="50" t="n">
        <x:v>1</x:v>
      </x:c>
      <x:c r="H623" s="50" t="n">
        <x:v>32</x:v>
      </x:c>
      <x:c r="I623" s="44" t="str">
        <x:v>01.32</x:v>
      </x:c>
      <x:c r="J623" s="33" t="str">
        <x:v>Bittaker Murders</x:v>
      </x:c>
      <x:c r="K623" s="33" t="str"/>
      <x:c r="L623" s="33" t="str"/>
      <x:c r="M623" s="44" t="str"/>
      <x:c r="N623" s="50" t="n">
        <x:v>30</x:v>
      </x:c>
      <x:c r="O623" s="53" t="str">
        <x:v>A failed kidnapping attempt led police to two suspects, one of whom surprised investigators by confessing to a shocking killing spree. Police had no victims, yet they were left to find evidence based on this bizarre confession.</x:v>
      </x:c>
      <x:c r="P623" s="53" t="str">
        <x:v>Dick Wolf reality/legal anthology</x:v>
      </x:c>
      <x:c r="Q623" s="17" t="str">
        <x:v>6853534</x:v>
      </x:c>
      <x:c r="R623" s="17" t="str"/>
      <x:c r="S623" s="17" t="str"/>
    </x:row>
    <x:row r="624">
      <x:c r="A624" s="43" t="n">
        <x:v>620</x:v>
      </x:c>
      <x:c r="B624" s="44" t="str">
        <x:v>Not Started</x:v>
      </x:c>
      <x:c r="C624" s="45" t="n">
        <x:v>36830</x:v>
      </x:c>
      <x:c r="D624" s="33" t="str">
        <x:v>Arrest &amp; Trial</x:v>
      </x:c>
      <x:c r="E624" s="33" t="str">
        <x:v>Crossover Adjacent</x:v>
      </x:c>
      <x:c r="F624" s="33" t="str">
        <x:v>complete</x:v>
      </x:c>
      <x:c r="G624" s="50" t="n">
        <x:v>1</x:v>
      </x:c>
      <x:c r="H624" s="50" t="n">
        <x:v>33</x:v>
      </x:c>
      <x:c r="I624" s="44" t="str">
        <x:v>01.33</x:v>
      </x:c>
      <x:c r="J624" s="33" t="str">
        <x:v>Greedy Grandsons</x:v>
      </x:c>
      <x:c r="K624" s="33" t="str"/>
      <x:c r="L624" s="33" t="str"/>
      <x:c r="M624" s="44" t="str"/>
      <x:c r="N624" s="50" t="n">
        <x:v>30</x:v>
      </x:c>
      <x:c r="O624" s="53" t="str">
        <x:v>A visiting pen pal became the prime suspect in the murder of his host: a loving grandmother. But a series of unexpected clues sent detectives looking at the victim’s two grandsons as possible double murderers.</x:v>
      </x:c>
      <x:c r="P624" s="53" t="str">
        <x:v>Dick Wolf reality/legal anthology</x:v>
      </x:c>
      <x:c r="Q624" s="17" t="str">
        <x:v>6853537</x:v>
      </x:c>
      <x:c r="R624" s="17" t="str"/>
      <x:c r="S624" s="17" t="str"/>
    </x:row>
    <x:row r="625">
      <x:c r="A625" s="43" t="n">
        <x:v>621</x:v>
      </x:c>
      <x:c r="B625" s="44" t="str">
        <x:v>Not Started</x:v>
      </x:c>
      <x:c r="C625" s="45" t="n">
        <x:v>36830</x:v>
      </x:c>
      <x:c r="D625" s="33" t="str">
        <x:v>Arrest &amp; Trial</x:v>
      </x:c>
      <x:c r="E625" s="33" t="str">
        <x:v>Crossover Adjacent</x:v>
      </x:c>
      <x:c r="F625" s="33" t="str">
        <x:v>complete</x:v>
      </x:c>
      <x:c r="G625" s="50" t="n">
        <x:v>1</x:v>
      </x:c>
      <x:c r="H625" s="50" t="n">
        <x:v>34</x:v>
      </x:c>
      <x:c r="I625" s="44" t="str">
        <x:v>01.34</x:v>
      </x:c>
      <x:c r="J625" s="33" t="str">
        <x:v>Love Gone Wrong</x:v>
      </x:c>
      <x:c r="K625" s="33" t="str"/>
      <x:c r="L625" s="33" t="str"/>
      <x:c r="M625" s="44" t="str"/>
      <x:c r="N625" s="50" t="n">
        <x:v>30</x:v>
      </x:c>
      <x:c r="O625" s="53" t="str">
        <x:v>Evidence in a burglary-turned-homicide quickly pointed to the husband as the suspect in his wife’s murder. The husband had even shot himself in an effort to cover up the crime. But his performance would make it difficult to secure a conviction.</x:v>
      </x:c>
      <x:c r="P625" s="53" t="str">
        <x:v>Dick Wolf reality/legal anthology</x:v>
      </x:c>
      <x:c r="Q625" s="17" t="str">
        <x:v>6853542</x:v>
      </x:c>
      <x:c r="R625" s="17" t="str"/>
      <x:c r="S625" s="17" t="str"/>
    </x:row>
    <x:row r="626">
      <x:c r="A626" s="43" t="n">
        <x:v>622</x:v>
      </x:c>
      <x:c r="B626" s="44" t="str">
        <x:v>Not Started</x:v>
      </x:c>
      <x:c r="C626" s="45" t="n">
        <x:v>36831</x:v>
      </x:c>
      <x:c r="D626" s="33" t="str">
        <x:v>Arrest &amp; Trial</x:v>
      </x:c>
      <x:c r="E626" s="33" t="str">
        <x:v>Crossover Adjacent</x:v>
      </x:c>
      <x:c r="F626" s="33" t="str">
        <x:v>complete</x:v>
      </x:c>
      <x:c r="G626" s="50" t="n">
        <x:v>1</x:v>
      </x:c>
      <x:c r="H626" s="50" t="n">
        <x:v>35</x:v>
      </x:c>
      <x:c r="I626" s="44" t="str">
        <x:v>01.35</x:v>
      </x:c>
      <x:c r="J626" s="33" t="str">
        <x:v>The Wrong Hit</x:v>
      </x:c>
      <x:c r="K626" s="33" t="str"/>
      <x:c r="L626" s="33" t="str"/>
      <x:c r="M626" s="44" t="str"/>
      <x:c r="N626" s="50" t="n">
        <x:v>30</x:v>
      </x:c>
      <x:c r="O626" s="53" t="str">
        <x:v>A Maryland State Trooper was the victim of a murder-for-hire plot when he was shot in an ambush operation by a drug dealer who was attempting to eliminate the state’s only witness against him: the trooper.</x:v>
      </x:c>
      <x:c r="P626" s="53" t="str">
        <x:v>Dick Wolf reality/legal anthology</x:v>
      </x:c>
      <x:c r="Q626" s="17" t="str">
        <x:v>6853546</x:v>
      </x:c>
      <x:c r="R626" s="17" t="str"/>
      <x:c r="S626" s="17" t="str"/>
    </x:row>
    <x:row r="627">
      <x:c r="A627" s="43" t="n">
        <x:v>623</x:v>
      </x:c>
      <x:c r="B627" s="44" t="str">
        <x:v>Not Started</x:v>
      </x:c>
      <x:c r="C627" s="45" t="n">
        <x:v>36831</x:v>
      </x:c>
      <x:c r="D627" s="33" t="str">
        <x:v>Arrest &amp; Trial</x:v>
      </x:c>
      <x:c r="E627" s="33" t="str">
        <x:v>Crossover Adjacent</x:v>
      </x:c>
      <x:c r="F627" s="33" t="str">
        <x:v>complete</x:v>
      </x:c>
      <x:c r="G627" s="50" t="n">
        <x:v>1</x:v>
      </x:c>
      <x:c r="H627" s="50" t="n">
        <x:v>36</x:v>
      </x:c>
      <x:c r="I627" s="44" t="str">
        <x:v>01.36</x:v>
      </x:c>
      <x:c r="J627" s="33" t="str">
        <x:v>Deadly Delivery</x:v>
      </x:c>
      <x:c r="K627" s="33" t="str"/>
      <x:c r="L627" s="33" t="str"/>
      <x:c r="M627" s="44" t="str"/>
      <x:c r="N627" s="50" t="n">
        <x:v>30</x:v>
      </x:c>
      <x:c r="O627" s="53" t="str">
        <x:v>The death of three unrelated infants within hours of their births led investigators to a doctor practicing unlawful medicine in order to cover up insurance fraud. The prosecution had to convince the jury this was a case of murder, not manslaughter</x:v>
      </x:c>
      <x:c r="P627" s="53" t="str">
        <x:v>Dick Wolf reality/legal anthology</x:v>
      </x:c>
      <x:c r="Q627" s="17" t="str">
        <x:v>6853550</x:v>
      </x:c>
      <x:c r="R627" s="17" t="str"/>
      <x:c r="S627" s="17" t="str"/>
    </x:row>
    <x:row r="628">
      <x:c r="A628" s="43" t="n">
        <x:v>624</x:v>
      </x:c>
      <x:c r="B628" s="44" t="str">
        <x:v>Not Started</x:v>
      </x:c>
      <x:c r="C628" s="45" t="n">
        <x:v>36831</x:v>
      </x:c>
      <x:c r="D628" s="33" t="str">
        <x:v>Law &amp; Order</x:v>
      </x:c>
      <x:c r="E628" s="33" t="str">
        <x:v>Law &amp; Order</x:v>
      </x:c>
      <x:c r="F628" s="33" t="str">
        <x:v>core</x:v>
      </x:c>
      <x:c r="G628" s="50" t="n">
        <x:v>11</x:v>
      </x:c>
      <x:c r="H628" s="50" t="n">
        <x:v>3</x:v>
      </x:c>
      <x:c r="I628" s="44" t="str">
        <x:v>11.03</x:v>
      </x:c>
      <x:c r="J628" s="33" t="str">
        <x:v>Dissonance</x:v>
      </x:c>
      <x:c r="K628" s="33" t="str"/>
      <x:c r="L628" s="33" t="str"/>
      <x:c r="M628" s="44" t="str"/>
      <x:c r="N628" s="50" t="n">
        <x:v>45</x:v>
      </x:c>
      <x:c r="O628" s="53" t="str">
        <x:v>The detectives investigate the murder of a young violinist whose fellow musicians resented her rapid rise to fame, in a trial that results in threats exchanged between Lewin and the presiding judge who has a history of bias against McCoy.</x:v>
      </x:c>
      <x:c r="P628" s="53" t="str">
        <x:v>Core Law &amp; Order franchise</x:v>
      </x:c>
      <x:c r="Q628" s="17" t="str">
        <x:v>34286</x:v>
      </x:c>
      <x:c r="R628" s="17" t="str">
        <x:v>tt0629241</x:v>
      </x:c>
      <x:c r="S628" s="17" t="str">
        <x:v>428</x:v>
      </x:c>
    </x:row>
    <x:row r="629">
      <x:c r="A629" s="43" t="n">
        <x:v>625</x:v>
      </x:c>
      <x:c r="B629" s="44" t="str">
        <x:v>Not Started</x:v>
      </x:c>
      <x:c r="C629" s="45" t="n">
        <x:v>36832</x:v>
      </x:c>
      <x:c r="D629" s="33" t="str">
        <x:v>Arrest &amp; Trial</x:v>
      </x:c>
      <x:c r="E629" s="33" t="str">
        <x:v>Crossover Adjacent</x:v>
      </x:c>
      <x:c r="F629" s="33" t="str">
        <x:v>complete</x:v>
      </x:c>
      <x:c r="G629" s="50" t="n">
        <x:v>1</x:v>
      </x:c>
      <x:c r="H629" s="50" t="n">
        <x:v>37</x:v>
      </x:c>
      <x:c r="I629" s="44" t="str">
        <x:v>01.37</x:v>
      </x:c>
      <x:c r="J629" s="33" t="str">
        <x:v>Vampire Cult Killers</x:v>
      </x:c>
      <x:c r="K629" s="33" t="str"/>
      <x:c r="L629" s="33" t="str"/>
      <x:c r="M629" s="44" t="str"/>
      <x:c r="N629" s="50" t="n">
        <x:v>30</x:v>
      </x:c>
      <x:c r="O629" s="53" t="str">
        <x:v>A mother and father are found murdered in their home, and their 15-year-old daughter is missing. Police quickly learned that she was involved in a murderous vampire cult and that she may be on the run with several fellow cult members</x:v>
      </x:c>
      <x:c r="P629" s="53" t="str">
        <x:v>Dick Wolf reality/legal anthology</x:v>
      </x:c>
      <x:c r="Q629" s="17" t="str">
        <x:v>6853554</x:v>
      </x:c>
      <x:c r="R629" s="17" t="str"/>
      <x:c r="S629" s="17" t="str"/>
    </x:row>
    <x:row r="630">
      <x:c r="A630" s="43" t="n">
        <x:v>626</x:v>
      </x:c>
      <x:c r="B630" s="44" t="str">
        <x:v>Not Started</x:v>
      </x:c>
      <x:c r="C630" s="45" t="n">
        <x:v>36832</x:v>
      </x:c>
      <x:c r="D630" s="33" t="str">
        <x:v>Arrest &amp; Trial</x:v>
      </x:c>
      <x:c r="E630" s="33" t="str">
        <x:v>Crossover Adjacent</x:v>
      </x:c>
      <x:c r="F630" s="33" t="str">
        <x:v>complete</x:v>
      </x:c>
      <x:c r="G630" s="50" t="n">
        <x:v>1</x:v>
      </x:c>
      <x:c r="H630" s="50" t="n">
        <x:v>38</x:v>
      </x:c>
      <x:c r="I630" s="44" t="str">
        <x:v>01.38</x:v>
      </x:c>
      <x:c r="J630" s="33" t="str">
        <x:v>Valentine Murders</x:v>
      </x:c>
      <x:c r="K630" s="33" t="str"/>
      <x:c r="L630" s="33" t="str"/>
      <x:c r="M630" s="44" t="str"/>
      <x:c r="N630" s="50" t="n">
        <x:v>30</x:v>
      </x:c>
      <x:c r="O630" s="53" t="str">
        <x:v>After a party at their apartment, two girls were found murdered and sexually assaulted. Police questioned party attendees and arrested a Marine whom they located in the hospital with a severe cut to his hand.</x:v>
      </x:c>
      <x:c r="P630" s="53" t="str">
        <x:v>Dick Wolf reality/legal anthology</x:v>
      </x:c>
      <x:c r="Q630" s="17" t="str">
        <x:v>6853562</x:v>
      </x:c>
      <x:c r="R630" s="17" t="str"/>
      <x:c r="S630" s="17" t="str"/>
    </x:row>
    <x:row r="631">
      <x:c r="A631" s="43" t="n">
        <x:v>627</x:v>
      </x:c>
      <x:c r="B631" s="44" t="str">
        <x:v>Not Started</x:v>
      </x:c>
      <x:c r="C631" s="45" t="n">
        <x:v>36833</x:v>
      </x:c>
      <x:c r="D631" s="33" t="str">
        <x:v>Arrest &amp; Trial</x:v>
      </x:c>
      <x:c r="E631" s="33" t="str">
        <x:v>Crossover Adjacent</x:v>
      </x:c>
      <x:c r="F631" s="33" t="str">
        <x:v>complete</x:v>
      </x:c>
      <x:c r="G631" s="50" t="n">
        <x:v>1</x:v>
      </x:c>
      <x:c r="H631" s="50" t="n">
        <x:v>39</x:v>
      </x:c>
      <x:c r="I631" s="44" t="str">
        <x:v>01.39</x:v>
      </x:c>
      <x:c r="J631" s="33" t="str">
        <x:v>The Burning of Crosses</x:v>
      </x:c>
      <x:c r="K631" s="33" t="str"/>
      <x:c r="L631" s="33" t="str"/>
      <x:c r="M631" s="44" t="str"/>
      <x:c r="N631" s="50" t="n">
        <x:v>30</x:v>
      </x:c>
      <x:c r="O631" s="53" t="str">
        <x:v>Members of various hate groups terrorized a suburban neighborhood. A print reporter had infiltrated one of the white supremacist groups and was asked to document their activity on videotape, which allowed the reporter to gather evidence for prosecution.</x:v>
      </x:c>
      <x:c r="P631" s="53" t="str">
        <x:v>Dick Wolf reality/legal anthology</x:v>
      </x:c>
      <x:c r="Q631" s="17" t="str">
        <x:v>6853567</x:v>
      </x:c>
      <x:c r="R631" s="17" t="str"/>
      <x:c r="S631" s="17" t="str"/>
    </x:row>
    <x:row r="632">
      <x:c r="A632" s="43" t="n">
        <x:v>628</x:v>
      </x:c>
      <x:c r="B632" s="44" t="str">
        <x:v>Watched</x:v>
      </x:c>
      <x:c r="C632" s="45" t="n">
        <x:v>36833</x:v>
      </x:c>
      <x:c r="D632" s="33" t="str">
        <x:v>Law &amp; Order: Special Victims Unit</x:v>
      </x:c>
      <x:c r="E632" s="33" t="str">
        <x:v>Law &amp; Order</x:v>
      </x:c>
      <x:c r="F632" s="33" t="str">
        <x:v>core</x:v>
      </x:c>
      <x:c r="G632" s="50" t="n">
        <x:v>2</x:v>
      </x:c>
      <x:c r="H632" s="50" t="n">
        <x:v>3</x:v>
      </x:c>
      <x:c r="I632" s="44" t="str">
        <x:v>02.03</x:v>
      </x:c>
      <x:c r="J632" s="33" t="str">
        <x:v>Closure (2)</x:v>
      </x:c>
      <x:c r="K632" s="33" t="str"/>
      <x:c r="L632" s="33" t="str"/>
      <x:c r="M632" s="44" t="str"/>
      <x:c r="N632" s="50" t="n">
        <x:v>43</x:v>
      </x:c>
      <x:c r="O632" s="53" t="str">
        <x:v>Stabler and Benson investigate a sexual assault very similar to one they worked six months ago whose victim follows her alleged attacked and reports his activities to the police.</x:v>
      </x:c>
      <x:c r="P632" s="53" t="str">
        <x:v>Core Law &amp; Order franchise</x:v>
      </x:c>
      <x:c r="Q632" s="17" t="str">
        <x:v>224965</x:v>
      </x:c>
      <x:c r="R632" s="17" t="str">
        <x:v>tt0629627</x:v>
      </x:c>
      <x:c r="S632" s="17" t="str">
        <x:v>429</x:v>
      </x:c>
    </x:row>
    <x:row r="633">
      <x:c r="A633" s="43" t="n">
        <x:v>629</x:v>
      </x:c>
      <x:c r="B633" s="44" t="str">
        <x:v>Not Started</x:v>
      </x:c>
      <x:c r="C633" s="45" t="n">
        <x:v>36836</x:v>
      </x:c>
      <x:c r="D633" s="33" t="str">
        <x:v>Arrest &amp; Trial</x:v>
      </x:c>
      <x:c r="E633" s="33" t="str">
        <x:v>Crossover Adjacent</x:v>
      </x:c>
      <x:c r="F633" s="33" t="str">
        <x:v>complete</x:v>
      </x:c>
      <x:c r="G633" s="50" t="n">
        <x:v>1</x:v>
      </x:c>
      <x:c r="H633" s="50" t="n">
        <x:v>40</x:v>
      </x:c>
      <x:c r="I633" s="44" t="str">
        <x:v>01.40</x:v>
      </x:c>
      <x:c r="J633" s="33" t="str">
        <x:v>Baby 'Napping</x:v>
      </x:c>
      <x:c r="K633" s="33" t="str"/>
      <x:c r="L633" s="33" t="str"/>
      <x:c r="M633" s="44" t="str"/>
      <x:c r="N633" s="50" t="n">
        <x:v>30</x:v>
      </x:c>
      <x:c r="O633" s="53" t="str">
        <x:v>Parents of a newborn lived their worst nightmare when their infant daughter was abducted from the hospital by a woman posing as a maternity ward nurse. Police raced against time to find the missing baby</x:v>
      </x:c>
      <x:c r="P633" s="53" t="str">
        <x:v>Dick Wolf reality/legal anthology</x:v>
      </x:c>
      <x:c r="Q633" s="17" t="str">
        <x:v>6853569</x:v>
      </x:c>
      <x:c r="R633" s="17" t="str"/>
      <x:c r="S633" s="17" t="str"/>
    </x:row>
    <x:row r="634">
      <x:c r="A634" s="43" t="n">
        <x:v>630</x:v>
      </x:c>
      <x:c r="B634" s="44" t="str">
        <x:v>Not Started</x:v>
      </x:c>
      <x:c r="C634" s="45" t="n">
        <x:v>36836</x:v>
      </x:c>
      <x:c r="D634" s="33" t="str">
        <x:v>Arrest &amp; Trial</x:v>
      </x:c>
      <x:c r="E634" s="33" t="str">
        <x:v>Crossover Adjacent</x:v>
      </x:c>
      <x:c r="F634" s="33" t="str">
        <x:v>complete</x:v>
      </x:c>
      <x:c r="G634" s="50" t="n">
        <x:v>1</x:v>
      </x:c>
      <x:c r="H634" s="50" t="n">
        <x:v>41</x:v>
      </x:c>
      <x:c r="I634" s="44" t="str">
        <x:v>01.41</x:v>
      </x:c>
      <x:c r="J634" s="33" t="str">
        <x:v>Tequila Sunset</x:v>
      </x:c>
      <x:c r="K634" s="33" t="str"/>
      <x:c r="L634" s="33" t="str"/>
      <x:c r="M634" s="44" t="str"/>
      <x:c r="N634" s="50" t="n">
        <x:v>90</x:v>
      </x:c>
      <x:c r="O634" s="53" t="str">
        <x:v>Paramedics responded to a 911 call and found a young wife unconscious, having slipped into a coma after drinking a shot of tequila. Five days later, she died. Police immediately suspected the victim’s husband due to his lack of concern over her welfare.</x:v>
      </x:c>
      <x:c r="P634" s="53" t="str">
        <x:v>Dick Wolf reality/legal anthology</x:v>
      </x:c>
      <x:c r="Q634" s="17" t="str">
        <x:v>6853572</x:v>
      </x:c>
      <x:c r="R634" s="17" t="str"/>
      <x:c r="S634" s="17" t="str"/>
    </x:row>
    <x:row r="635">
      <x:c r="A635" s="43" t="n">
        <x:v>631</x:v>
      </x:c>
      <x:c r="B635" s="44" t="str">
        <x:v>Not Started</x:v>
      </x:c>
      <x:c r="C635" s="45" t="n">
        <x:v>36837</x:v>
      </x:c>
      <x:c r="D635" s="33" t="str">
        <x:v>Arrest &amp; Trial</x:v>
      </x:c>
      <x:c r="E635" s="33" t="str">
        <x:v>Crossover Adjacent</x:v>
      </x:c>
      <x:c r="F635" s="33" t="str">
        <x:v>complete</x:v>
      </x:c>
      <x:c r="G635" s="50" t="n">
        <x:v>1</x:v>
      </x:c>
      <x:c r="H635" s="50" t="n">
        <x:v>42</x:v>
      </x:c>
      <x:c r="I635" s="44" t="str">
        <x:v>01.42</x:v>
      </x:c>
      <x:c r="J635" s="33" t="str">
        <x:v>Armored Car Murders</x:v>
      </x:c>
      <x:c r="K635" s="33" t="str"/>
      <x:c r="L635" s="33" t="str"/>
      <x:c r="M635" s="44" t="str"/>
      <x:c r="N635" s="50" t="n">
        <x:v>30</x:v>
      </x:c>
      <x:c r="O635" s="53" t="str">
        <x:v>Gang members went on a yearlong robbery spree that left eight people dead. Their leader led a double life: a family man and tow truck driver to his wife… but a vicious predator to his fellow gang members and police</x:v>
      </x:c>
      <x:c r="P635" s="53" t="str">
        <x:v>Dick Wolf reality/legal anthology</x:v>
      </x:c>
      <x:c r="Q635" s="17" t="str">
        <x:v>6853581</x:v>
      </x:c>
      <x:c r="R635" s="17" t="str"/>
      <x:c r="S635" s="17" t="str"/>
    </x:row>
    <x:row r="636">
      <x:c r="A636" s="43" t="n">
        <x:v>632</x:v>
      </x:c>
      <x:c r="B636" s="44" t="str">
        <x:v>Not Started</x:v>
      </x:c>
      <x:c r="C636" s="45" t="n">
        <x:v>36837</x:v>
      </x:c>
      <x:c r="D636" s="33" t="str">
        <x:v>Arrest &amp; Trial</x:v>
      </x:c>
      <x:c r="E636" s="33" t="str">
        <x:v>Crossover Adjacent</x:v>
      </x:c>
      <x:c r="F636" s="33" t="str">
        <x:v>complete</x:v>
      </x:c>
      <x:c r="G636" s="50" t="n">
        <x:v>1</x:v>
      </x:c>
      <x:c r="H636" s="50" t="n">
        <x:v>43</x:v>
      </x:c>
      <x:c r="I636" s="44" t="str">
        <x:v>01.43</x:v>
      </x:c>
      <x:c r="J636" s="33" t="str">
        <x:v>Make-Up Murder</x:v>
      </x:c>
      <x:c r="K636" s="33" t="str"/>
      <x:c r="L636" s="33" t="str"/>
      <x:c r="M636" s="44" t="str"/>
      <x:c r="N636" s="50" t="n">
        <x:v>30</x:v>
      </x:c>
      <x:c r="O636" s="53" t="str">
        <x:v>An elaborate undercover sting operation, which included recruiting a makeup artist to fake a death, was used to capture the victim’s husband who had solicited his wife’s murder</x:v>
      </x:c>
      <x:c r="P636" s="53" t="str">
        <x:v>Dick Wolf reality/legal anthology</x:v>
      </x:c>
      <x:c r="Q636" s="17" t="str">
        <x:v>6853583</x:v>
      </x:c>
      <x:c r="R636" s="17" t="str"/>
      <x:c r="S636" s="17" t="str"/>
    </x:row>
    <x:row r="637">
      <x:c r="A637" s="43" t="n">
        <x:v>633</x:v>
      </x:c>
      <x:c r="B637" s="44" t="str">
        <x:v>Not Started</x:v>
      </x:c>
      <x:c r="C637" s="45" t="n">
        <x:v>36838</x:v>
      </x:c>
      <x:c r="D637" s="33" t="str">
        <x:v>Arrest &amp; Trial</x:v>
      </x:c>
      <x:c r="E637" s="33" t="str">
        <x:v>Crossover Adjacent</x:v>
      </x:c>
      <x:c r="F637" s="33" t="str">
        <x:v>complete</x:v>
      </x:c>
      <x:c r="G637" s="50" t="n">
        <x:v>1</x:v>
      </x:c>
      <x:c r="H637" s="50" t="n">
        <x:v>44</x:v>
      </x:c>
      <x:c r="I637" s="44" t="str">
        <x:v>01.44</x:v>
      </x:c>
      <x:c r="J637" s="33" t="str">
        <x:v>An Eye for an Eye</x:v>
      </x:c>
      <x:c r="K637" s="33" t="str"/>
      <x:c r="L637" s="33" t="str"/>
      <x:c r="M637" s="44" t="str"/>
      <x:c r="N637" s="50" t="n">
        <x:v>30</x:v>
      </x:c>
      <x:c r="O637" s="53" t="str">
        <x:v>A rookie California Highway Patrolman, married and with a baby on the way, was shot and killed during a routine traffic stop. The suspect immediately fled the scene, but a wallet left in his car and a Houston informant’s tip led police to the killer.</x:v>
      </x:c>
      <x:c r="P637" s="53" t="str">
        <x:v>Dick Wolf reality/legal anthology</x:v>
      </x:c>
      <x:c r="Q637" s="17" t="str">
        <x:v>6853589</x:v>
      </x:c>
      <x:c r="R637" s="17" t="str"/>
      <x:c r="S637" s="17" t="str"/>
    </x:row>
    <x:row r="638">
      <x:c r="A638" s="43" t="n">
        <x:v>634</x:v>
      </x:c>
      <x:c r="B638" s="44" t="str">
        <x:v>Not Started</x:v>
      </x:c>
      <x:c r="C638" s="45" t="n">
        <x:v>36838</x:v>
      </x:c>
      <x:c r="D638" s="33" t="str">
        <x:v>Arrest &amp; Trial</x:v>
      </x:c>
      <x:c r="E638" s="33" t="str">
        <x:v>Crossover Adjacent</x:v>
      </x:c>
      <x:c r="F638" s="33" t="str">
        <x:v>complete</x:v>
      </x:c>
      <x:c r="G638" s="50" t="n">
        <x:v>1</x:v>
      </x:c>
      <x:c r="H638" s="50" t="n">
        <x:v>45</x:v>
      </x:c>
      <x:c r="I638" s="44" t="str">
        <x:v>01.45</x:v>
      </x:c>
      <x:c r="J638" s="33" t="str">
        <x:v>Buried in the Backyard</x:v>
      </x:c>
      <x:c r="K638" s="33" t="str"/>
      <x:c r="L638" s="33" t="str"/>
      <x:c r="M638" s="44" t="str"/>
      <x:c r="N638" s="50" t="n">
        <x:v>30</x:v>
      </x:c>
      <x:c r="O638" s="53" t="str">
        <x:v>A beloved mother vanished without a trace. Although her husband was under suspicion from the beginning, it wasn't until four years after her disappearance that investigators were able to locate her body -- buried in her own backyard</x:v>
      </x:c>
      <x:c r="P638" s="53" t="str">
        <x:v>Dick Wolf reality/legal anthology</x:v>
      </x:c>
      <x:c r="Q638" s="17" t="str">
        <x:v>6853593</x:v>
      </x:c>
      <x:c r="R638" s="17" t="str"/>
      <x:c r="S638" s="17" t="str"/>
    </x:row>
    <x:row r="639">
      <x:c r="A639" s="43" t="n">
        <x:v>635</x:v>
      </x:c>
      <x:c r="B639" s="44" t="str">
        <x:v>Not Started</x:v>
      </x:c>
      <x:c r="C639" s="45" t="n">
        <x:v>36838</x:v>
      </x:c>
      <x:c r="D639" s="33" t="str">
        <x:v>Law &amp; Order</x:v>
      </x:c>
      <x:c r="E639" s="33" t="str">
        <x:v>Law &amp; Order</x:v>
      </x:c>
      <x:c r="F639" s="33" t="str">
        <x:v>core</x:v>
      </x:c>
      <x:c r="G639" s="50" t="n">
        <x:v>11</x:v>
      </x:c>
      <x:c r="H639" s="50" t="n">
        <x:v>4</x:v>
      </x:c>
      <x:c r="I639" s="44" t="str">
        <x:v>11.04</x:v>
      </x:c>
      <x:c r="J639" s="33" t="str">
        <x:v>Standoff</x:v>
      </x:c>
      <x:c r="K639" s="33" t="str"/>
      <x:c r="L639" s="33" t="str"/>
      <x:c r="M639" s="44" t="str"/>
      <x:c r="N639" s="50" t="n">
        <x:v>45</x:v>
      </x:c>
      <x:c r="O639" s="53" t="str">
        <x:v>After a prisoner's murder, an investigation leads to a suspect, but the question arises if he acted on his own or on orders from within the prison.</x:v>
      </x:c>
      <x:c r="P639" s="53" t="str">
        <x:v>Core Law &amp; Order franchise</x:v>
      </x:c>
      <x:c r="Q639" s="17" t="str">
        <x:v>34287</x:v>
      </x:c>
      <x:c r="R639" s="17" t="str">
        <x:v>tt0629434</x:v>
      </x:c>
      <x:c r="S639" s="17" t="str">
        <x:v>430</x:v>
      </x:c>
    </x:row>
    <x:row r="640">
      <x:c r="A640" s="43" t="n">
        <x:v>636</x:v>
      </x:c>
      <x:c r="B640" s="44" t="str">
        <x:v>Not Started</x:v>
      </x:c>
      <x:c r="C640" s="45" t="n">
        <x:v>36839</x:v>
      </x:c>
      <x:c r="D640" s="33" t="str">
        <x:v>Arrest &amp; Trial</x:v>
      </x:c>
      <x:c r="E640" s="33" t="str">
        <x:v>Crossover Adjacent</x:v>
      </x:c>
      <x:c r="F640" s="33" t="str">
        <x:v>complete</x:v>
      </x:c>
      <x:c r="G640" s="50" t="n">
        <x:v>1</x:v>
      </x:c>
      <x:c r="H640" s="50" t="n">
        <x:v>46</x:v>
      </x:c>
      <x:c r="I640" s="44" t="str">
        <x:v>01.46</x:v>
      </x:c>
      <x:c r="J640" s="33" t="str">
        <x:v>Cheerleader Murder</x:v>
      </x:c>
      <x:c r="K640" s="33" t="str"/>
      <x:c r="L640" s="33" t="str"/>
      <x:c r="M640" s="44" t="str"/>
      <x:c r="N640" s="50" t="n">
        <x:v>30</x:v>
      </x:c>
      <x:c r="O640" s="53" t="str">
        <x:v>A 15-year-old cheerleader was found sexually assaulted and murdered in her home. Police were left with few clues, but the victim’s mother refused to give up and continued to keep the search for her daughter’s killer in the public’s eye</x:v>
      </x:c>
      <x:c r="P640" s="53" t="str">
        <x:v>Dick Wolf reality/legal anthology</x:v>
      </x:c>
      <x:c r="Q640" s="17" t="str">
        <x:v>6853598</x:v>
      </x:c>
      <x:c r="R640" s="17" t="str"/>
      <x:c r="S640" s="17" t="str"/>
    </x:row>
    <x:row r="641">
      <x:c r="A641" s="43" t="n">
        <x:v>637</x:v>
      </x:c>
      <x:c r="B641" s="44" t="str">
        <x:v>Not Started</x:v>
      </x:c>
      <x:c r="C641" s="45" t="n">
        <x:v>36839</x:v>
      </x:c>
      <x:c r="D641" s="33" t="str">
        <x:v>Arrest &amp; Trial</x:v>
      </x:c>
      <x:c r="E641" s="33" t="str">
        <x:v>Crossover Adjacent</x:v>
      </x:c>
      <x:c r="F641" s="33" t="str">
        <x:v>complete</x:v>
      </x:c>
      <x:c r="G641" s="50" t="n">
        <x:v>1</x:v>
      </x:c>
      <x:c r="H641" s="50" t="n">
        <x:v>47</x:v>
      </x:c>
      <x:c r="I641" s="44" t="str">
        <x:v>01.47</x:v>
      </x:c>
      <x:c r="J641" s="33" t="str">
        <x:v>Angel of Death</x:v>
      </x:c>
      <x:c r="K641" s="33" t="str"/>
      <x:c r="L641" s="33" t="str"/>
      <x:c r="M641" s="44" t="str"/>
      <x:c r="N641" s="50" t="n">
        <x:v>30</x:v>
      </x:c>
      <x:c r="O641" s="53" t="str">
        <x:v>After a six-year-old girl went missing from her father’s yard, investigators were not able to compile enough evidence to make an arrest, nor could they find her body. Years later, an unrelated case provided investigators with an unexpected break.</x:v>
      </x:c>
      <x:c r="P641" s="53" t="str">
        <x:v>Dick Wolf reality/legal anthology</x:v>
      </x:c>
      <x:c r="Q641" s="17" t="str">
        <x:v>6853600</x:v>
      </x:c>
      <x:c r="R641" s="17" t="str"/>
      <x:c r="S641" s="17" t="str"/>
    </x:row>
    <x:row r="642">
      <x:c r="A642" s="43" t="n">
        <x:v>638</x:v>
      </x:c>
      <x:c r="B642" s="44" t="str">
        <x:v>Not Started</x:v>
      </x:c>
      <x:c r="C642" s="45" t="n">
        <x:v>36840</x:v>
      </x:c>
      <x:c r="D642" s="33" t="str">
        <x:v>Arrest &amp; Trial</x:v>
      </x:c>
      <x:c r="E642" s="33" t="str">
        <x:v>Crossover Adjacent</x:v>
      </x:c>
      <x:c r="F642" s="33" t="str">
        <x:v>complete</x:v>
      </x:c>
      <x:c r="G642" s="50" t="n">
        <x:v>1</x:v>
      </x:c>
      <x:c r="H642" s="50" t="n">
        <x:v>48</x:v>
      </x:c>
      <x:c r="I642" s="44" t="str">
        <x:v>01.48</x:v>
      </x:c>
      <x:c r="J642" s="33" t="str">
        <x:v>Hricko Case</x:v>
      </x:c>
      <x:c r="K642" s="33" t="str"/>
      <x:c r="L642" s="33" t="str"/>
      <x:c r="M642" s="44" t="str"/>
      <x:c r="N642" s="50" t="n">
        <x:v>30</x:v>
      </x:c>
      <x:c r="O642" s="53" t="str">
        <x:v>A man is killed in a fire while vacationing with his wife at a mystery dinner theater resort. His wife’s account of events and the state of the crime scene led investigators to question whether the fire was accidental or a homicide.</x:v>
      </x:c>
      <x:c r="P642" s="53" t="str">
        <x:v>Dick Wolf reality/legal anthology</x:v>
      </x:c>
      <x:c r="Q642" s="17" t="str">
        <x:v>6853603</x:v>
      </x:c>
      <x:c r="R642" s="17" t="str"/>
      <x:c r="S642" s="17" t="str"/>
    </x:row>
    <x:row r="643">
      <x:c r="A643" s="43" t="n">
        <x:v>639</x:v>
      </x:c>
      <x:c r="B643" s="44" t="str">
        <x:v>Not Started</x:v>
      </x:c>
      <x:c r="C643" s="45" t="n">
        <x:v>36840</x:v>
      </x:c>
      <x:c r="D643" s="33" t="str">
        <x:v>Arrest &amp; Trial</x:v>
      </x:c>
      <x:c r="E643" s="33" t="str">
        <x:v>Crossover Adjacent</x:v>
      </x:c>
      <x:c r="F643" s="33" t="str">
        <x:v>complete</x:v>
      </x:c>
      <x:c r="G643" s="50" t="n">
        <x:v>1</x:v>
      </x:c>
      <x:c r="H643" s="50" t="n">
        <x:v>49</x:v>
      </x:c>
      <x:c r="I643" s="44" t="str">
        <x:v>01.49</x:v>
      </x:c>
      <x:c r="J643" s="33" t="str">
        <x:v>Attack by Pretense</x:v>
      </x:c>
      <x:c r="K643" s="33" t="str"/>
      <x:c r="L643" s="33" t="str"/>
      <x:c r="M643" s="44" t="str"/>
      <x:c r="N643" s="50" t="n">
        <x:v>30</x:v>
      </x:c>
      <x:c r="O643" s="53" t="str">
        <x:v>What began as an investigation into an isolated attack quickly became a search to find a serial sexual predator. Once arrested, the suspect opted against a jury trial, and the 50 criminal charges against him were heard solely by a judge</x:v>
      </x:c>
      <x:c r="P643" s="53" t="str">
        <x:v>Dick Wolf reality/legal anthology</x:v>
      </x:c>
      <x:c r="Q643" s="17" t="str">
        <x:v>6853605</x:v>
      </x:c>
      <x:c r="R643" s="17" t="str"/>
      <x:c r="S643" s="17" t="str"/>
    </x:row>
    <x:row r="644">
      <x:c r="A644" s="43" t="n">
        <x:v>640</x:v>
      </x:c>
      <x:c r="B644" s="44" t="str">
        <x:v>Watched</x:v>
      </x:c>
      <x:c r="C644" s="45" t="n">
        <x:v>36840</x:v>
      </x:c>
      <x:c r="D644" s="33" t="str">
        <x:v>Law &amp; Order: Special Victims Unit</x:v>
      </x:c>
      <x:c r="E644" s="33" t="str">
        <x:v>Law &amp; Order</x:v>
      </x:c>
      <x:c r="F644" s="33" t="str">
        <x:v>core</x:v>
      </x:c>
      <x:c r="G644" s="50" t="n">
        <x:v>2</x:v>
      </x:c>
      <x:c r="H644" s="50" t="n">
        <x:v>4</x:v>
      </x:c>
      <x:c r="I644" s="44" t="str">
        <x:v>02.04</x:v>
      </x:c>
      <x:c r="J644" s="33" t="str">
        <x:v>Legacy</x:v>
      </x:c>
      <x:c r="K644" s="33" t="str"/>
      <x:c r="L644" s="33" t="str"/>
      <x:c r="M644" s="44" t="str"/>
      <x:c r="N644" s="50" t="n">
        <x:v>44</x:v>
      </x:c>
      <x:c r="O644" s="53" t="str">
        <x:v>An abused 7-year-old girl lays comatose as the detectives investigate members of her dysfunctional family to determine the source of the abuse, in a case that hits close to home for Munch.</x:v>
      </x:c>
      <x:c r="P644" s="53" t="str">
        <x:v>Core Law &amp; Order franchise</x:v>
      </x:c>
      <x:c r="Q644" s="17" t="str">
        <x:v>224966</x:v>
      </x:c>
      <x:c r="R644" s="17" t="str">
        <x:v>tt0629676</x:v>
      </x:c>
      <x:c r="S644" s="17" t="str">
        <x:v>431</x:v>
      </x:c>
    </x:row>
    <x:row r="645">
      <x:c r="A645" s="43" t="n">
        <x:v>641</x:v>
      </x:c>
      <x:c r="B645" s="44" t="str">
        <x:v>Not Started</x:v>
      </x:c>
      <x:c r="C645" s="45" t="n">
        <x:v>36843</x:v>
      </x:c>
      <x:c r="D645" s="33" t="str">
        <x:v>Arrest &amp; Trial</x:v>
      </x:c>
      <x:c r="E645" s="33" t="str">
        <x:v>Crossover Adjacent</x:v>
      </x:c>
      <x:c r="F645" s="33" t="str">
        <x:v>complete</x:v>
      </x:c>
      <x:c r="G645" s="50" t="n">
        <x:v>1</x:v>
      </x:c>
      <x:c r="H645" s="50" t="n">
        <x:v>50</x:v>
      </x:c>
      <x:c r="I645" s="44" t="str">
        <x:v>01.50</x:v>
      </x:c>
      <x:c r="J645" s="33" t="str">
        <x:v>Drug Doctors</x:v>
      </x:c>
      <x:c r="K645" s="33" t="str"/>
      <x:c r="L645" s="33" t="str"/>
      <x:c r="M645" s="44" t="str"/>
      <x:c r="N645" s="50" t="n">
        <x:v>30</x:v>
      </x:c>
      <x:c r="O645" s="53" t="str">
        <x:v>A six-month undercover operation involving a DEA agent who infiltrated the international cocaine syndicate led to the apprehension of two drug-dealing doctors</x:v>
      </x:c>
      <x:c r="P645" s="53" t="str">
        <x:v>Dick Wolf reality/legal anthology</x:v>
      </x:c>
      <x:c r="Q645" s="17" t="str">
        <x:v>6853610</x:v>
      </x:c>
      <x:c r="R645" s="17" t="str"/>
      <x:c r="S645" s="17" t="str"/>
    </x:row>
    <x:row r="646">
      <x:c r="A646" s="43" t="n">
        <x:v>642</x:v>
      </x:c>
      <x:c r="B646" s="44" t="str">
        <x:v>Not Started</x:v>
      </x:c>
      <x:c r="C646" s="45" t="n">
        <x:v>36843</x:v>
      </x:c>
      <x:c r="D646" s="33" t="str">
        <x:v>Arrest &amp; Trial</x:v>
      </x:c>
      <x:c r="E646" s="33" t="str">
        <x:v>Crossover Adjacent</x:v>
      </x:c>
      <x:c r="F646" s="33" t="str">
        <x:v>complete</x:v>
      </x:c>
      <x:c r="G646" s="50" t="n">
        <x:v>1</x:v>
      </x:c>
      <x:c r="H646" s="50" t="n">
        <x:v>51</x:v>
      </x:c>
      <x:c r="I646" s="44" t="str">
        <x:v>01.51</x:v>
      </x:c>
      <x:c r="J646" s="33" t="str">
        <x:v>The Hit from Jail</x:v>
      </x:c>
      <x:c r="K646" s="33" t="str"/>
      <x:c r="L646" s="33" t="str"/>
      <x:c r="M646" s="44" t="str"/>
      <x:c r="N646" s="50" t="n">
        <x:v>30</x:v>
      </x:c>
      <x:c r="O646" s="53" t="str">
        <x:v>As he arrived home from duty, a deputy jailer was gunned down in his driveway. A graffiti mark left on his house led police to four gang members. Their leader, an incarcerated drug dealer, had ordered the hit from a pay phone inside the jail.</x:v>
      </x:c>
      <x:c r="P646" s="53" t="str">
        <x:v>Dick Wolf reality/legal anthology</x:v>
      </x:c>
      <x:c r="Q646" s="17" t="str">
        <x:v>6853611</x:v>
      </x:c>
      <x:c r="R646" s="17" t="str"/>
      <x:c r="S646" s="17" t="str"/>
    </x:row>
    <x:row r="647">
      <x:c r="A647" s="43" t="n">
        <x:v>643</x:v>
      </x:c>
      <x:c r="B647" s="44" t="str">
        <x:v>Not Started</x:v>
      </x:c>
      <x:c r="C647" s="45" t="n">
        <x:v>36844</x:v>
      </x:c>
      <x:c r="D647" s="33" t="str">
        <x:v>Arrest &amp; Trial</x:v>
      </x:c>
      <x:c r="E647" s="33" t="str">
        <x:v>Crossover Adjacent</x:v>
      </x:c>
      <x:c r="F647" s="33" t="str">
        <x:v>complete</x:v>
      </x:c>
      <x:c r="G647" s="50" t="n">
        <x:v>1</x:v>
      </x:c>
      <x:c r="H647" s="50" t="n">
        <x:v>52</x:v>
      </x:c>
      <x:c r="I647" s="44" t="str">
        <x:v>01.52</x:v>
      </x:c>
      <x:c r="J647" s="33" t="str">
        <x:v>Mako</x:v>
      </x:c>
      <x:c r="K647" s="33" t="str"/>
      <x:c r="L647" s="33" t="str"/>
      <x:c r="M647" s="44" t="str"/>
      <x:c r="N647" s="50" t="n">
        <x:v>30</x:v>
      </x:c>
      <x:c r="O647" s="53" t="str">
        <x:v>A drug trafficker in custody and facing a no-win situation reached out to a DEA agent. The two men then worked together to bring a crooked lawyer and an elusive drug dealer to justice.</x:v>
      </x:c>
      <x:c r="P647" s="53" t="str">
        <x:v>Dick Wolf reality/legal anthology</x:v>
      </x:c>
      <x:c r="Q647" s="17" t="str">
        <x:v>6853614</x:v>
      </x:c>
      <x:c r="R647" s="17" t="str"/>
      <x:c r="S647" s="17" t="str"/>
    </x:row>
    <x:row r="648">
      <x:c r="A648" s="43" t="n">
        <x:v>644</x:v>
      </x:c>
      <x:c r="B648" s="44" t="str">
        <x:v>Not Started</x:v>
      </x:c>
      <x:c r="C648" s="45" t="n">
        <x:v>36844</x:v>
      </x:c>
      <x:c r="D648" s="33" t="str">
        <x:v>Arrest &amp; Trial</x:v>
      </x:c>
      <x:c r="E648" s="33" t="str">
        <x:v>Crossover Adjacent</x:v>
      </x:c>
      <x:c r="F648" s="33" t="str">
        <x:v>complete</x:v>
      </x:c>
      <x:c r="G648" s="50" t="n">
        <x:v>1</x:v>
      </x:c>
      <x:c r="H648" s="50" t="n">
        <x:v>53</x:v>
      </x:c>
      <x:c r="I648" s="44" t="str">
        <x:v>01.53</x:v>
      </x:c>
      <x:c r="J648" s="33" t="str">
        <x:v>The Perfect Couple</x:v>
      </x:c>
      <x:c r="K648" s="33" t="str"/>
      <x:c r="L648" s="33" t="str"/>
      <x:c r="M648" s="44" t="str"/>
      <x:c r="N648" s="50" t="n">
        <x:v>30</x:v>
      </x:c>
      <x:c r="O648" s="53" t="str">
        <x:v>A wealthy woman vying to enter the political arena solicited a local trash collector to help arrange the murder of 2 people - one of them, her husband</x:v>
      </x:c>
      <x:c r="P648" s="53" t="str">
        <x:v>Dick Wolf reality/legal anthology</x:v>
      </x:c>
      <x:c r="Q648" s="17" t="str">
        <x:v>6853617</x:v>
      </x:c>
      <x:c r="R648" s="17" t="str"/>
      <x:c r="S648" s="17" t="str"/>
    </x:row>
    <x:row r="649">
      <x:c r="A649" s="43" t="n">
        <x:v>645</x:v>
      </x:c>
      <x:c r="B649" s="44" t="str">
        <x:v>Not Started</x:v>
      </x:c>
      <x:c r="C649" s="45" t="n">
        <x:v>36845</x:v>
      </x:c>
      <x:c r="D649" s="33" t="str">
        <x:v>Arrest &amp; Trial</x:v>
      </x:c>
      <x:c r="E649" s="33" t="str">
        <x:v>Crossover Adjacent</x:v>
      </x:c>
      <x:c r="F649" s="33" t="str">
        <x:v>complete</x:v>
      </x:c>
      <x:c r="G649" s="50" t="n">
        <x:v>1</x:v>
      </x:c>
      <x:c r="H649" s="50" t="n">
        <x:v>54</x:v>
      </x:c>
      <x:c r="I649" s="44" t="str">
        <x:v>01.54</x:v>
      </x:c>
      <x:c r="J649" s="33" t="str">
        <x:v>Tumbe</x:v>
      </x:c>
      <x:c r="K649" s="33" t="str"/>
      <x:c r="L649" s="33" t="str"/>
      <x:c r="M649" s="44" t="str"/>
      <x:c r="N649" s="50" t="n">
        <x:v>30</x:v>
      </x:c>
      <x:c r="O649" s="53" t="str">
        <x:v>A Chicago detective and a DEA agent formed an alliance to apprehend the suspects believed responsible for a murder that was contracted in order to settle a drug debt.</x:v>
      </x:c>
      <x:c r="P649" s="53" t="str">
        <x:v>Dick Wolf reality/legal anthology</x:v>
      </x:c>
      <x:c r="Q649" s="17" t="str">
        <x:v>6853619</x:v>
      </x:c>
      <x:c r="R649" s="17" t="str"/>
      <x:c r="S649" s="17" t="str"/>
    </x:row>
    <x:row r="650">
      <x:c r="A650" s="43" t="n">
        <x:v>646</x:v>
      </x:c>
      <x:c r="B650" s="44" t="str">
        <x:v>Not Started</x:v>
      </x:c>
      <x:c r="C650" s="45" t="n">
        <x:v>36845</x:v>
      </x:c>
      <x:c r="D650" s="33" t="str">
        <x:v>Arrest &amp; Trial</x:v>
      </x:c>
      <x:c r="E650" s="33" t="str">
        <x:v>Crossover Adjacent</x:v>
      </x:c>
      <x:c r="F650" s="33" t="str">
        <x:v>complete</x:v>
      </x:c>
      <x:c r="G650" s="50" t="n">
        <x:v>1</x:v>
      </x:c>
      <x:c r="H650" s="50" t="n">
        <x:v>55</x:v>
      </x:c>
      <x:c r="I650" s="44" t="str">
        <x:v>01.55</x:v>
      </x:c>
      <x:c r="J650" s="33" t="str">
        <x:v>Unusual Voice</x:v>
      </x:c>
      <x:c r="K650" s="33" t="str"/>
      <x:c r="L650" s="33" t="str"/>
      <x:c r="M650" s="44" t="str"/>
      <x:c r="N650" s="50" t="n">
        <x:v>30</x:v>
      </x:c>
      <x:c r="O650" s="53" t="str">
        <x:v>For 18 months, a serial rapist terrorized the residents of a small community in Maryland. A special task force was created and eventually police identified their suspect through surveillance and a "voice line up</x:v>
      </x:c>
      <x:c r="P650" s="53" t="str">
        <x:v>Dick Wolf reality/legal anthology</x:v>
      </x:c>
      <x:c r="Q650" s="17" t="str">
        <x:v>6853621</x:v>
      </x:c>
      <x:c r="R650" s="17" t="str"/>
      <x:c r="S650" s="17" t="str"/>
    </x:row>
    <x:row r="651">
      <x:c r="A651" s="43" t="n">
        <x:v>647</x:v>
      </x:c>
      <x:c r="B651" s="44" t="str">
        <x:v>Not Started</x:v>
      </x:c>
      <x:c r="C651" s="45" t="n">
        <x:v>36845</x:v>
      </x:c>
      <x:c r="D651" s="33" t="str">
        <x:v>Law &amp; Order</x:v>
      </x:c>
      <x:c r="E651" s="33" t="str">
        <x:v>Law &amp; Order</x:v>
      </x:c>
      <x:c r="F651" s="33" t="str">
        <x:v>core</x:v>
      </x:c>
      <x:c r="G651" s="50" t="n">
        <x:v>11</x:v>
      </x:c>
      <x:c r="H651" s="50" t="n">
        <x:v>5</x:v>
      </x:c>
      <x:c r="I651" s="44" t="str">
        <x:v>11.05</x:v>
      </x:c>
      <x:c r="J651" s="33" t="str">
        <x:v>Return</x:v>
      </x:c>
      <x:c r="K651" s="33" t="str"/>
      <x:c r="L651" s="33" t="str"/>
      <x:c r="M651" s="44" t="str"/>
      <x:c r="N651" s="50" t="n">
        <x:v>45</x:v>
      </x:c>
      <x:c r="O651" s="53" t="str">
        <x:v>The murder of a storeowner leads to a case where the suspect flees to Israel and may be protected from extradition by Israel's Law of Return.</x:v>
      </x:c>
      <x:c r="P651" s="53" t="str">
        <x:v>Core Law &amp; Order franchise</x:v>
      </x:c>
      <x:c r="Q651" s="17" t="str">
        <x:v>34288</x:v>
      </x:c>
      <x:c r="R651" s="17" t="str">
        <x:v>tt0629401</x:v>
      </x:c>
      <x:c r="S651" s="17" t="str">
        <x:v>432</x:v>
      </x:c>
    </x:row>
    <x:row r="652">
      <x:c r="A652" s="43" t="n">
        <x:v>648</x:v>
      </x:c>
      <x:c r="B652" s="44" t="str">
        <x:v>Not Started</x:v>
      </x:c>
      <x:c r="C652" s="45" t="n">
        <x:v>36846</x:v>
      </x:c>
      <x:c r="D652" s="33" t="str">
        <x:v>Arrest &amp; Trial</x:v>
      </x:c>
      <x:c r="E652" s="33" t="str">
        <x:v>Crossover Adjacent</x:v>
      </x:c>
      <x:c r="F652" s="33" t="str">
        <x:v>complete</x:v>
      </x:c>
      <x:c r="G652" s="50" t="n">
        <x:v>1</x:v>
      </x:c>
      <x:c r="H652" s="50" t="n">
        <x:v>56</x:v>
      </x:c>
      <x:c r="I652" s="44" t="str">
        <x:v>01.56</x:v>
      </x:c>
      <x:c r="J652" s="33" t="str">
        <x:v>Principal</x:v>
      </x:c>
      <x:c r="K652" s="33" t="str"/>
      <x:c r="L652" s="33" t="str"/>
      <x:c r="M652" s="44" t="str"/>
      <x:c r="N652" s="50" t="n">
        <x:v>30</x:v>
      </x:c>
      <x:c r="O652" s="53" t="str">
        <x:v>A drug trafficker turned informant teamed with a DEA agent to organize a sting operation. Their target... a drug dealing school principal</x:v>
      </x:c>
      <x:c r="P652" s="53" t="str">
        <x:v>Dick Wolf reality/legal anthology</x:v>
      </x:c>
      <x:c r="Q652" s="17" t="str">
        <x:v>6853622</x:v>
      </x:c>
      <x:c r="R652" s="17" t="str"/>
      <x:c r="S652" s="17" t="str"/>
    </x:row>
    <x:row r="653">
      <x:c r="A653" s="43" t="n">
        <x:v>649</x:v>
      </x:c>
      <x:c r="B653" s="44" t="str">
        <x:v>Not Started</x:v>
      </x:c>
      <x:c r="C653" s="45" t="n">
        <x:v>36846</x:v>
      </x:c>
      <x:c r="D653" s="33" t="str">
        <x:v>Arrest &amp; Trial</x:v>
      </x:c>
      <x:c r="E653" s="33" t="str">
        <x:v>Crossover Adjacent</x:v>
      </x:c>
      <x:c r="F653" s="33" t="str">
        <x:v>complete</x:v>
      </x:c>
      <x:c r="G653" s="50" t="n">
        <x:v>1</x:v>
      </x:c>
      <x:c r="H653" s="50" t="n">
        <x:v>57</x:v>
      </x:c>
      <x:c r="I653" s="44" t="str">
        <x:v>01.57</x:v>
      </x:c>
      <x:c r="J653" s="33" t="str">
        <x:v>Deadly Safe</x:v>
      </x:c>
      <x:c r="K653" s="33" t="str"/>
      <x:c r="L653" s="33" t="str"/>
      <x:c r="M653" s="44" t="str"/>
      <x:c r="N653" s="50" t="n">
        <x:v>30</x:v>
      </x:c>
      <x:c r="O653" s="53" t="str">
        <x:v>A convenience store clerk was killed in a brutal stabbing. The case was aired on a cable TV show, leading police to an informant who identified two addicts as suspects. Their motive: the money in the safe, for which the clerk did not have the combination.</x:v>
      </x:c>
      <x:c r="P653" s="53" t="str">
        <x:v>Dick Wolf reality/legal anthology</x:v>
      </x:c>
      <x:c r="Q653" s="17" t="str">
        <x:v>6853625</x:v>
      </x:c>
      <x:c r="R653" s="17" t="str"/>
      <x:c r="S653" s="17" t="str"/>
    </x:row>
    <x:row r="654">
      <x:c r="A654" s="43" t="n">
        <x:v>650</x:v>
      </x:c>
      <x:c r="B654" s="44" t="str">
        <x:v>Not Started</x:v>
      </x:c>
      <x:c r="C654" s="45" t="n">
        <x:v>36847</x:v>
      </x:c>
      <x:c r="D654" s="33" t="str">
        <x:v>Arrest &amp; Trial</x:v>
      </x:c>
      <x:c r="E654" s="33" t="str">
        <x:v>Crossover Adjacent</x:v>
      </x:c>
      <x:c r="F654" s="33" t="str">
        <x:v>complete</x:v>
      </x:c>
      <x:c r="G654" s="50" t="n">
        <x:v>1</x:v>
      </x:c>
      <x:c r="H654" s="50" t="n">
        <x:v>58</x:v>
      </x:c>
      <x:c r="I654" s="44" t="str">
        <x:v>01.58</x:v>
      </x:c>
      <x:c r="J654" s="33" t="str">
        <x:v>Armando Garcia</x:v>
      </x:c>
      <x:c r="K654" s="33" t="str"/>
      <x:c r="L654" s="33" t="str"/>
      <x:c r="M654" s="44" t="str"/>
      <x:c r="N654" s="50" t="n">
        <x:v>30</x:v>
      </x:c>
      <x:c r="O654" s="53" t="str">
        <x:v>The apprehension of a fishing boat used for drug transport gave investigators information on the operations of a notorious drug smuggler. While surveying a potential drop location, law enforcement began a 5-hour, high-speed, air and water pursuit</x:v>
      </x:c>
      <x:c r="P654" s="53" t="str">
        <x:v>Dick Wolf reality/legal anthology</x:v>
      </x:c>
      <x:c r="Q654" s="17" t="str">
        <x:v>6853627</x:v>
      </x:c>
      <x:c r="R654" s="17" t="str"/>
      <x:c r="S654" s="17" t="str"/>
    </x:row>
    <x:row r="655">
      <x:c r="A655" s="43" t="n">
        <x:v>651</x:v>
      </x:c>
      <x:c r="B655" s="44" t="str">
        <x:v>Not Started</x:v>
      </x:c>
      <x:c r="C655" s="45" t="n">
        <x:v>36847</x:v>
      </x:c>
      <x:c r="D655" s="33" t="str">
        <x:v>Arrest &amp; Trial</x:v>
      </x:c>
      <x:c r="E655" s="33" t="str">
        <x:v>Crossover Adjacent</x:v>
      </x:c>
      <x:c r="F655" s="33" t="str">
        <x:v>complete</x:v>
      </x:c>
      <x:c r="G655" s="50" t="n">
        <x:v>1</x:v>
      </x:c>
      <x:c r="H655" s="50" t="n">
        <x:v>59</x:v>
      </x:c>
      <x:c r="I655" s="44" t="str">
        <x:v>01.59</x:v>
      </x:c>
      <x:c r="J655" s="33" t="str">
        <x:v>Bank Robbers in Love</x:v>
      </x:c>
      <x:c r="K655" s="33" t="str"/>
      <x:c r="L655" s="33" t="str"/>
      <x:c r="M655" s="44" t="str"/>
      <x:c r="N655" s="50" t="n">
        <x:v>30</x:v>
      </x:c>
      <x:c r="O655" s="53" t="str">
        <x:v>During a string of 14 bank robberies in Los Angeles, the thieves were nicknamed the Nasty Bandits for their aggressive treatment of bank employees and robbery victims. The first break in the case came when one of the getaway cars was in a traffic accident and the driver was discovered with cash and guns. Traumatized victims found it difficult to face their tormentors and testify during the trial</x:v>
      </x:c>
      <x:c r="P655" s="53" t="str">
        <x:v>Dick Wolf reality/legal anthology</x:v>
      </x:c>
      <x:c r="Q655" s="17" t="str">
        <x:v>6853629</x:v>
      </x:c>
      <x:c r="R655" s="17" t="str"/>
      <x:c r="S655" s="17" t="str"/>
    </x:row>
    <x:row r="656">
      <x:c r="A656" s="43" t="n">
        <x:v>652</x:v>
      </x:c>
      <x:c r="B656" s="44" t="str">
        <x:v>Watched</x:v>
      </x:c>
      <x:c r="C656" s="45" t="n">
        <x:v>36847</x:v>
      </x:c>
      <x:c r="D656" s="33" t="str">
        <x:v>Law &amp; Order: Special Victims Unit</x:v>
      </x:c>
      <x:c r="E656" s="33" t="str">
        <x:v>Law &amp; Order</x:v>
      </x:c>
      <x:c r="F656" s="33" t="str">
        <x:v>core</x:v>
      </x:c>
      <x:c r="G656" s="50" t="n">
        <x:v>2</x:v>
      </x:c>
      <x:c r="H656" s="50" t="n">
        <x:v>5</x:v>
      </x:c>
      <x:c r="I656" s="44" t="str">
        <x:v>02.05</x:v>
      </x:c>
      <x:c r="J656" s="33" t="str">
        <x:v>Baby Killer</x:v>
      </x:c>
      <x:c r="K656" s="33" t="str"/>
      <x:c r="L656" s="33" t="str"/>
      <x:c r="M656" s="44" t="str"/>
      <x:c r="N656" s="50" t="n">
        <x:v>43</x:v>
      </x:c>
      <x:c r="O656" s="53" t="str">
        <x:v>The tragic shooting death of a young girl leads investigators to a little boy, and they soon realize that the gun used has been used in another crime scene and a drug ring using young kids as pawns.</x:v>
      </x:c>
      <x:c r="P656" s="53" t="str">
        <x:v>Core Law &amp; Order franchise</x:v>
      </x:c>
      <x:c r="Q656" s="17" t="str">
        <x:v>224967</x:v>
      </x:c>
      <x:c r="R656" s="17" t="str">
        <x:v>tt0629613</x:v>
      </x:c>
      <x:c r="S656" s="17" t="str">
        <x:v>433</x:v>
      </x:c>
    </x:row>
    <x:row r="657">
      <x:c r="A657" s="43" t="n">
        <x:v>653</x:v>
      </x:c>
      <x:c r="B657" s="44" t="str">
        <x:v>Not Started</x:v>
      </x:c>
      <x:c r="C657" s="45" t="n">
        <x:v>36850</x:v>
      </x:c>
      <x:c r="D657" s="33" t="str">
        <x:v>Arrest &amp; Trial</x:v>
      </x:c>
      <x:c r="E657" s="33" t="str">
        <x:v>Crossover Adjacent</x:v>
      </x:c>
      <x:c r="F657" s="33" t="str">
        <x:v>complete</x:v>
      </x:c>
      <x:c r="G657" s="50" t="n">
        <x:v>1</x:v>
      </x:c>
      <x:c r="H657" s="50" t="n">
        <x:v>60</x:v>
      </x:c>
      <x:c r="I657" s="44" t="str">
        <x:v>01.60</x:v>
      </x:c>
      <x:c r="J657" s="33" t="str">
        <x:v>Family Dishonor</x:v>
      </x:c>
      <x:c r="K657" s="33" t="str"/>
      <x:c r="L657" s="33" t="str"/>
      <x:c r="M657" s="44" t="str"/>
      <x:c r="N657" s="50" t="n">
        <x:v>30</x:v>
      </x:c>
      <x:c r="O657" s="53" t="str">
        <x:v>A young girl was murdered by her parents in what they contended was self-defense and later tried to justify as an "honor killing." Police received a fortuitous break when it was discovered that the girl's murder had been tape recorded during FBI surveillance of the father for his involvement in terrorist activity.</x:v>
      </x:c>
      <x:c r="P657" s="53" t="str">
        <x:v>Dick Wolf reality/legal anthology</x:v>
      </x:c>
      <x:c r="Q657" s="17" t="str">
        <x:v>6853632</x:v>
      </x:c>
      <x:c r="R657" s="17" t="str"/>
      <x:c r="S657" s="17" t="str"/>
    </x:row>
    <x:row r="658">
      <x:c r="A658" s="43" t="n">
        <x:v>654</x:v>
      </x:c>
      <x:c r="B658" s="44" t="str">
        <x:v>Not Started</x:v>
      </x:c>
      <x:c r="C658" s="45" t="n">
        <x:v>36850</x:v>
      </x:c>
      <x:c r="D658" s="33" t="str">
        <x:v>Arrest &amp; Trial</x:v>
      </x:c>
      <x:c r="E658" s="33" t="str">
        <x:v>Crossover Adjacent</x:v>
      </x:c>
      <x:c r="F658" s="33" t="str">
        <x:v>complete</x:v>
      </x:c>
      <x:c r="G658" s="50" t="n">
        <x:v>1</x:v>
      </x:c>
      <x:c r="H658" s="50" t="n">
        <x:v>61</x:v>
      </x:c>
      <x:c r="I658" s="44" t="str">
        <x:v>01.61</x:v>
      </x:c>
      <x:c r="J658" s="33" t="str">
        <x:v>Cowboy Criminal</x:v>
      </x:c>
      <x:c r="K658" s="33" t="str"/>
      <x:c r="L658" s="33" t="str"/>
      <x:c r="M658" s="44" t="str"/>
      <x:c r="N658" s="50" t="n">
        <x:v>30</x:v>
      </x:c>
      <x:c r="O658" s="53" t="str">
        <x:v>Three University of Alabama co-eds were abducted at gunpoint and sexually assaulted</x:v>
      </x:c>
      <x:c r="P658" s="53" t="str">
        <x:v>Dick Wolf reality/legal anthology</x:v>
      </x:c>
      <x:c r="Q658" s="17" t="str">
        <x:v>6853635</x:v>
      </x:c>
      <x:c r="R658" s="17" t="str"/>
      <x:c r="S658" s="17" t="str"/>
    </x:row>
    <x:row r="659">
      <x:c r="A659" s="43" t="n">
        <x:v>655</x:v>
      </x:c>
      <x:c r="B659" s="44" t="str">
        <x:v>Not Started</x:v>
      </x:c>
      <x:c r="C659" s="45" t="n">
        <x:v>36851</x:v>
      </x:c>
      <x:c r="D659" s="33" t="str">
        <x:v>Arrest &amp; Trial</x:v>
      </x:c>
      <x:c r="E659" s="33" t="str">
        <x:v>Crossover Adjacent</x:v>
      </x:c>
      <x:c r="F659" s="33" t="str">
        <x:v>complete</x:v>
      </x:c>
      <x:c r="G659" s="50" t="n">
        <x:v>1</x:v>
      </x:c>
      <x:c r="H659" s="50" t="n">
        <x:v>62</x:v>
      </x:c>
      <x:c r="I659" s="44" t="str">
        <x:v>01.62</x:v>
      </x:c>
      <x:c r="J659" s="33" t="str">
        <x:v>Lords of Chaos</x:v>
      </x:c>
      <x:c r="K659" s="33" t="str"/>
      <x:c r="L659" s="33" t="str"/>
      <x:c r="M659" s="44" t="str"/>
      <x:c r="N659" s="50" t="n">
        <x:v>30</x:v>
      </x:c>
      <x:c r="O659" s="53" t="str">
        <x:v>A high-school teacher was killed by a group of five students calling themselves the Lords of Chaos. Their gang activities initially consisted of vandalism and robbery but escalated to murder when the teacher nearly exposed the gang’s illegal activities.</x:v>
      </x:c>
      <x:c r="P659" s="53" t="str">
        <x:v>Dick Wolf reality/legal anthology</x:v>
      </x:c>
      <x:c r="Q659" s="17" t="str">
        <x:v>6853637</x:v>
      </x:c>
      <x:c r="R659" s="17" t="str"/>
      <x:c r="S659" s="17" t="str"/>
    </x:row>
    <x:row r="660">
      <x:c r="A660" s="43" t="n">
        <x:v>656</x:v>
      </x:c>
      <x:c r="B660" s="44" t="str">
        <x:v>Not Started</x:v>
      </x:c>
      <x:c r="C660" s="45" t="n">
        <x:v>36851</x:v>
      </x:c>
      <x:c r="D660" s="33" t="str">
        <x:v>Arrest &amp; Trial</x:v>
      </x:c>
      <x:c r="E660" s="33" t="str">
        <x:v>Crossover Adjacent</x:v>
      </x:c>
      <x:c r="F660" s="33" t="str">
        <x:v>complete</x:v>
      </x:c>
      <x:c r="G660" s="50" t="n">
        <x:v>1</x:v>
      </x:c>
      <x:c r="H660" s="50" t="n">
        <x:v>63</x:v>
      </x:c>
      <x:c r="I660" s="44" t="str">
        <x:v>01.63</x:v>
      </x:c>
      <x:c r="J660" s="33" t="str">
        <x:v>The Grim Reaper</x:v>
      </x:c>
      <x:c r="K660" s="33" t="str"/>
      <x:c r="L660" s="33" t="str"/>
      <x:c r="M660" s="44" t="str"/>
      <x:c r="N660" s="50" t="n">
        <x:v>30</x:v>
      </x:c>
      <x:c r="O660" s="53" t="str">
        <x:v>When a former Marine died at a Birmingham hospital under suspicious circumstances, police suspected a male nurse whose actions were either those of a dedicated employee or a twisted killer with a hero complex</x:v>
      </x:c>
      <x:c r="P660" s="53" t="str">
        <x:v>Dick Wolf reality/legal anthology</x:v>
      </x:c>
      <x:c r="Q660" s="17" t="str">
        <x:v>6853639</x:v>
      </x:c>
      <x:c r="R660" s="17" t="str"/>
      <x:c r="S660" s="17" t="str"/>
    </x:row>
    <x:row r="661">
      <x:c r="A661" s="43" t="n">
        <x:v>657</x:v>
      </x:c>
      <x:c r="B661" s="44" t="str">
        <x:v>Not Started</x:v>
      </x:c>
      <x:c r="C661" s="45" t="n">
        <x:v>36852</x:v>
      </x:c>
      <x:c r="D661" s="33" t="str">
        <x:v>Arrest &amp; Trial</x:v>
      </x:c>
      <x:c r="E661" s="33" t="str">
        <x:v>Crossover Adjacent</x:v>
      </x:c>
      <x:c r="F661" s="33" t="str">
        <x:v>complete</x:v>
      </x:c>
      <x:c r="G661" s="50" t="n">
        <x:v>1</x:v>
      </x:c>
      <x:c r="H661" s="50" t="n">
        <x:v>64</x:v>
      </x:c>
      <x:c r="I661" s="44" t="str">
        <x:v>01.64</x:v>
      </x:c>
      <x:c r="J661" s="33" t="str">
        <x:v>Overseas Ransom</x:v>
      </x:c>
      <x:c r="K661" s="33" t="str"/>
      <x:c r="L661" s="33" t="str"/>
      <x:c r="M661" s="44" t="str"/>
      <x:c r="N661" s="50" t="n">
        <x:v>30</x:v>
      </x:c>
      <x:c r="O661" s="53" t="str">
        <x:v>The 17-year-old son of a wealthy Chinese couple living in California was kidnapped and held for more than two weeks for a $1.5 million ransom. U.S. and Chinese police joined forces in a coordinated crime-fighting effort to locate the abducted teenager</x:v>
      </x:c>
      <x:c r="P661" s="53" t="str">
        <x:v>Dick Wolf reality/legal anthology</x:v>
      </x:c>
      <x:c r="Q661" s="17" t="str">
        <x:v>6853641</x:v>
      </x:c>
      <x:c r="R661" s="17" t="str"/>
      <x:c r="S661" s="17" t="str"/>
    </x:row>
    <x:row r="662">
      <x:c r="A662" s="43" t="n">
        <x:v>658</x:v>
      </x:c>
      <x:c r="B662" s="44" t="str">
        <x:v>Not Started</x:v>
      </x:c>
      <x:c r="C662" s="45" t="n">
        <x:v>36852</x:v>
      </x:c>
      <x:c r="D662" s="33" t="str">
        <x:v>Arrest &amp; Trial</x:v>
      </x:c>
      <x:c r="E662" s="33" t="str">
        <x:v>Crossover Adjacent</x:v>
      </x:c>
      <x:c r="F662" s="33" t="str">
        <x:v>complete</x:v>
      </x:c>
      <x:c r="G662" s="50" t="n">
        <x:v>1</x:v>
      </x:c>
      <x:c r="H662" s="50" t="n">
        <x:v>65</x:v>
      </x:c>
      <x:c r="I662" s="44" t="str">
        <x:v>01.65</x:v>
      </x:c>
      <x:c r="J662" s="33" t="str">
        <x:v>Operation Hotwheels</x:v>
      </x:c>
      <x:c r="K662" s="33" t="str"/>
      <x:c r="L662" s="33" t="str"/>
      <x:c r="M662" s="44" t="str"/>
      <x:c r="N662" s="50" t="n">
        <x:v>30</x:v>
      </x:c>
      <x:c r="O662" s="53" t="str">
        <x:v>"Operation Hotwheels” was the code name given to an elaborate FBI sting operation set up to bring down three separate SUV car theft rings. For 11 months, two FBI agents went under deep cover as a wealthy businessman and his bodyguard.</x:v>
      </x:c>
      <x:c r="P662" s="53" t="str">
        <x:v>Dick Wolf reality/legal anthology</x:v>
      </x:c>
      <x:c r="Q662" s="17" t="str">
        <x:v>6853643</x:v>
      </x:c>
      <x:c r="R662" s="17" t="str"/>
      <x:c r="S662" s="17" t="str"/>
    </x:row>
    <x:row r="663">
      <x:c r="A663" s="43" t="n">
        <x:v>659</x:v>
      </x:c>
      <x:c r="B663" s="44" t="str">
        <x:v>Not Started</x:v>
      </x:c>
      <x:c r="C663" s="45" t="n">
        <x:v>36852</x:v>
      </x:c>
      <x:c r="D663" s="33" t="str">
        <x:v>Law &amp; Order</x:v>
      </x:c>
      <x:c r="E663" s="33" t="str">
        <x:v>Law &amp; Order</x:v>
      </x:c>
      <x:c r="F663" s="33" t="str">
        <x:v>core</x:v>
      </x:c>
      <x:c r="G663" s="50" t="n">
        <x:v>11</x:v>
      </x:c>
      <x:c r="H663" s="50" t="n">
        <x:v>6</x:v>
      </x:c>
      <x:c r="I663" s="44" t="str">
        <x:v>11.06</x:v>
      </x:c>
      <x:c r="J663" s="33" t="str">
        <x:v>Burn Baby Burn</x:v>
      </x:c>
      <x:c r="K663" s="33" t="str"/>
      <x:c r="L663" s="33" t="str"/>
      <x:c r="M663" s="44" t="str"/>
      <x:c r="N663" s="50" t="n">
        <x:v>45</x:v>
      </x:c>
      <x:c r="O663" s="53" t="str">
        <x:v>A former Black Panther, accused of murdering a Caucasian police officer, questions Green's integrity amidst a politically charged trial.</x:v>
      </x:c>
      <x:c r="P663" s="53" t="str">
        <x:v>Core Law &amp; Order franchise</x:v>
      </x:c>
      <x:c r="Q663" s="17" t="str">
        <x:v>34289</x:v>
      </x:c>
      <x:c r="R663" s="17" t="str">
        <x:v>tt0629193</x:v>
      </x:c>
      <x:c r="S663" s="17" t="str">
        <x:v>434</x:v>
      </x:c>
    </x:row>
    <x:row r="664">
      <x:c r="A664" s="43" t="n">
        <x:v>660</x:v>
      </x:c>
      <x:c r="B664" s="44" t="str">
        <x:v>Not Started</x:v>
      </x:c>
      <x:c r="C664" s="45" t="n">
        <x:v>36853</x:v>
      </x:c>
      <x:c r="D664" s="33" t="str">
        <x:v>Arrest &amp; Trial</x:v>
      </x:c>
      <x:c r="E664" s="33" t="str">
        <x:v>Crossover Adjacent</x:v>
      </x:c>
      <x:c r="F664" s="33" t="str">
        <x:v>complete</x:v>
      </x:c>
      <x:c r="G664" s="50" t="n">
        <x:v>1</x:v>
      </x:c>
      <x:c r="H664" s="50" t="n">
        <x:v>66</x:v>
      </x:c>
      <x:c r="I664" s="44" t="str">
        <x:v>01.66</x:v>
      </x:c>
      <x:c r="J664" s="33" t="str">
        <x:v>Phillips' Fiery Flames</x:v>
      </x:c>
      <x:c r="K664" s="33" t="str"/>
      <x:c r="L664" s="33" t="str"/>
      <x:c r="M664" s="44" t="str"/>
      <x:c r="N664" s="50" t="n">
        <x:v>30</x:v>
      </x:c>
      <x:c r="O664" s="53" t="str">
        <x:v>A serial arsonist eluded authorities for 16 years before he was finally caught on tape in a groundbreaking surveillance operation. He was charged with setting 16 fires.</x:v>
      </x:c>
      <x:c r="P664" s="53" t="str">
        <x:v>Dick Wolf reality/legal anthology</x:v>
      </x:c>
      <x:c r="Q664" s="17" t="str">
        <x:v>6853647</x:v>
      </x:c>
      <x:c r="R664" s="17" t="str"/>
      <x:c r="S664" s="17" t="str"/>
    </x:row>
    <x:row r="665">
      <x:c r="A665" s="43" t="n">
        <x:v>661</x:v>
      </x:c>
      <x:c r="B665" s="44" t="str">
        <x:v>Not Started</x:v>
      </x:c>
      <x:c r="C665" s="45" t="n">
        <x:v>36853</x:v>
      </x:c>
      <x:c r="D665" s="33" t="str">
        <x:v>Arrest &amp; Trial</x:v>
      </x:c>
      <x:c r="E665" s="33" t="str">
        <x:v>Crossover Adjacent</x:v>
      </x:c>
      <x:c r="F665" s="33" t="str">
        <x:v>complete</x:v>
      </x:c>
      <x:c r="G665" s="50" t="n">
        <x:v>1</x:v>
      </x:c>
      <x:c r="H665" s="50" t="n">
        <x:v>67</x:v>
      </x:c>
      <x:c r="I665" s="44" t="str">
        <x:v>01.67</x:v>
      </x:c>
      <x:c r="J665" s="33" t="str">
        <x:v>Chaney Case</x:v>
      </x:c>
      <x:c r="K665" s="33" t="str"/>
      <x:c r="L665" s="33" t="str"/>
      <x:c r="M665" s="44" t="str"/>
      <x:c r="N665" s="50" t="n">
        <x:v>30</x:v>
      </x:c>
      <x:c r="O665" s="53" t="str">
        <x:v>A 12-year-old girl was found dead in a field. She was last seen at her best friend’s home, and investigators soon suspected the friend’s stepfather. The investigation yielded little physical evidence, but particles from the girl’s clothing were key.</x:v>
      </x:c>
      <x:c r="P665" s="53" t="str">
        <x:v>Dick Wolf reality/legal anthology</x:v>
      </x:c>
      <x:c r="Q665" s="17" t="str">
        <x:v>6853649</x:v>
      </x:c>
      <x:c r="R665" s="17" t="str"/>
      <x:c r="S665" s="17" t="str"/>
    </x:row>
    <x:row r="666">
      <x:c r="A666" s="43" t="n">
        <x:v>662</x:v>
      </x:c>
      <x:c r="B666" s="44" t="str">
        <x:v>Not Started</x:v>
      </x:c>
      <x:c r="C666" s="45" t="n">
        <x:v>36854</x:v>
      </x:c>
      <x:c r="D666" s="33" t="str">
        <x:v>Arrest &amp; Trial</x:v>
      </x:c>
      <x:c r="E666" s="33" t="str">
        <x:v>Crossover Adjacent</x:v>
      </x:c>
      <x:c r="F666" s="33" t="str">
        <x:v>complete</x:v>
      </x:c>
      <x:c r="G666" s="50" t="n">
        <x:v>1</x:v>
      </x:c>
      <x:c r="H666" s="50" t="n">
        <x:v>68</x:v>
      </x:c>
      <x:c r="I666" s="44" t="str">
        <x:v>01.68</x:v>
      </x:c>
      <x:c r="J666" s="33" t="str">
        <x:v>Nasty Bandits</x:v>
      </x:c>
      <x:c r="K666" s="33" t="str"/>
      <x:c r="L666" s="33" t="str"/>
      <x:c r="M666" s="44" t="str"/>
      <x:c r="N666" s="50" t="n">
        <x:v>30</x:v>
      </x:c>
      <x:c r="O666" s="53" t="str">
        <x:v>During a string of 14 bank robberies in Los Angeles, the thieves were nicknamed the Nasty Bandits for their treatment of bank employees and robbery victims. The first break in the case came when one of the getaway cars was in a traffic accident.</x:v>
      </x:c>
      <x:c r="P666" s="53" t="str">
        <x:v>Dick Wolf reality/legal anthology</x:v>
      </x:c>
      <x:c r="Q666" s="17" t="str">
        <x:v>6853651</x:v>
      </x:c>
      <x:c r="R666" s="17" t="str"/>
      <x:c r="S666" s="17" t="str"/>
    </x:row>
    <x:row r="667">
      <x:c r="A667" s="43" t="n">
        <x:v>663</x:v>
      </x:c>
      <x:c r="B667" s="44" t="str">
        <x:v>Watched</x:v>
      </x:c>
      <x:c r="C667" s="45" t="n">
        <x:v>36854</x:v>
      </x:c>
      <x:c r="D667" s="33" t="str">
        <x:v>Law &amp; Order: Special Victims Unit</x:v>
      </x:c>
      <x:c r="E667" s="33" t="str">
        <x:v>Law &amp; Order</x:v>
      </x:c>
      <x:c r="F667" s="33" t="str">
        <x:v>core</x:v>
      </x:c>
      <x:c r="G667" s="50" t="n">
        <x:v>2</x:v>
      </x:c>
      <x:c r="H667" s="50" t="n">
        <x:v>6</x:v>
      </x:c>
      <x:c r="I667" s="44" t="str">
        <x:v>02.06</x:v>
      </x:c>
      <x:c r="J667" s="33" t="str">
        <x:v>Noncompliance</x:v>
      </x:c>
      <x:c r="K667" s="33" t="str"/>
      <x:c r="L667" s="33" t="str"/>
      <x:c r="M667" s="44" t="str"/>
      <x:c r="N667" s="50" t="n">
        <x:v>44</x:v>
      </x:c>
      <x:c r="O667" s="53" t="str">
        <x:v>The question of patients' rights surfaces when a schizophrenic man refusing to take his medication is suspected in the rape and stabbing death of an aspiring psychologist, whose body is found in a convenience store.</x:v>
      </x:c>
      <x:c r="P667" s="53" t="str">
        <x:v>Core Law &amp; Order franchise</x:v>
      </x:c>
      <x:c r="Q667" s="17" t="str">
        <x:v>224968</x:v>
      </x:c>
      <x:c r="R667" s="17" t="str">
        <x:v>tt0629691</x:v>
      </x:c>
      <x:c r="S667" s="17" t="str">
        <x:v>435</x:v>
      </x:c>
    </x:row>
    <x:row r="668">
      <x:c r="A668" s="43" t="n">
        <x:v>664</x:v>
      </x:c>
      <x:c r="B668" s="44" t="str">
        <x:v>Not Started</x:v>
      </x:c>
      <x:c r="C668" s="45" t="n">
        <x:v>36857</x:v>
      </x:c>
      <x:c r="D668" s="33" t="str">
        <x:v>Arrest &amp; Trial</x:v>
      </x:c>
      <x:c r="E668" s="33" t="str">
        <x:v>Crossover Adjacent</x:v>
      </x:c>
      <x:c r="F668" s="33" t="str">
        <x:v>complete</x:v>
      </x:c>
      <x:c r="G668" s="50" t="n">
        <x:v>1</x:v>
      </x:c>
      <x:c r="H668" s="50" t="n">
        <x:v>69</x:v>
      </x:c>
      <x:c r="I668" s="44" t="str">
        <x:v>01.69</x:v>
      </x:c>
      <x:c r="J668" s="33" t="str">
        <x:v>Girl Gang Leader</x:v>
      </x:c>
      <x:c r="K668" s="33" t="str"/>
      <x:c r="L668" s="33" t="str"/>
      <x:c r="M668" s="44" t="str"/>
      <x:c r="N668" s="50" t="n">
        <x:v>30</x:v>
      </x:c>
      <x:c r="O668" s="53" t="str">
        <x:v>Police learn that a well-organized street gang responsible for a string of bank robberies that included a vicious murder is led by a woman.</x:v>
      </x:c>
      <x:c r="P668" s="53" t="str">
        <x:v>Dick Wolf reality/legal anthology</x:v>
      </x:c>
      <x:c r="Q668" s="17" t="str">
        <x:v>6853655</x:v>
      </x:c>
      <x:c r="R668" s="17" t="str"/>
      <x:c r="S668" s="17" t="str"/>
    </x:row>
    <x:row r="669">
      <x:c r="A669" s="43" t="n">
        <x:v>665</x:v>
      </x:c>
      <x:c r="B669" s="44" t="str">
        <x:v>Not Started</x:v>
      </x:c>
      <x:c r="C669" s="45" t="n">
        <x:v>36857</x:v>
      </x:c>
      <x:c r="D669" s="33" t="str">
        <x:v>Arrest &amp; Trial</x:v>
      </x:c>
      <x:c r="E669" s="33" t="str">
        <x:v>Crossover Adjacent</x:v>
      </x:c>
      <x:c r="F669" s="33" t="str">
        <x:v>complete</x:v>
      </x:c>
      <x:c r="G669" s="50" t="n">
        <x:v>1</x:v>
      </x:c>
      <x:c r="H669" s="50" t="n">
        <x:v>70</x:v>
      </x:c>
      <x:c r="I669" s="44" t="str">
        <x:v>01.70</x:v>
      </x:c>
      <x:c r="J669" s="33" t="str">
        <x:v>Tractor Trailer Kidnapping</x:v>
      </x:c>
      <x:c r="K669" s="33" t="str"/>
      <x:c r="L669" s="33" t="str"/>
      <x:c r="M669" s="44" t="str"/>
      <x:c r="N669" s="50" t="n">
        <x:v>30</x:v>
      </x:c>
      <x:c r="O669" s="53" t="str">
        <x:v>A college student at a Vermont rest stop is kidnapped and sexually assaulted in June 1989. During the attack, she leaves clues behind that could lead to her attacker. After a series of twists and turns, a joint investigation nabs a suspect.</x:v>
      </x:c>
      <x:c r="P669" s="53" t="str">
        <x:v>Dick Wolf reality/legal anthology</x:v>
      </x:c>
      <x:c r="Q669" s="17" t="str">
        <x:v>6853656</x:v>
      </x:c>
      <x:c r="R669" s="17" t="str"/>
      <x:c r="S669" s="17" t="str"/>
    </x:row>
    <x:row r="670">
      <x:c r="A670" s="43" t="n">
        <x:v>666</x:v>
      </x:c>
      <x:c r="B670" s="44" t="str">
        <x:v>Not Started</x:v>
      </x:c>
      <x:c r="C670" s="45" t="n">
        <x:v>36858</x:v>
      </x:c>
      <x:c r="D670" s="33" t="str">
        <x:v>Arrest &amp; Trial</x:v>
      </x:c>
      <x:c r="E670" s="33" t="str">
        <x:v>Crossover Adjacent</x:v>
      </x:c>
      <x:c r="F670" s="33" t="str">
        <x:v>complete</x:v>
      </x:c>
      <x:c r="G670" s="50" t="n">
        <x:v>1</x:v>
      </x:c>
      <x:c r="H670" s="50" t="n">
        <x:v>71</x:v>
      </x:c>
      <x:c r="I670" s="44" t="str">
        <x:v>01.71</x:v>
      </x:c>
      <x:c r="J670" s="33" t="str">
        <x:v>Night Stalker</x:v>
      </x:c>
      <x:c r="K670" s="33" t="str"/>
      <x:c r="L670" s="33" t="str"/>
      <x:c r="M670" s="44" t="str"/>
      <x:c r="N670" s="50" t="n">
        <x:v>30</x:v>
      </x:c>
      <x:c r="O670" s="53" t="str">
        <x:v>For over six months, the infamous serial killer and sexual predator known as the “Night Stalker” terrorized LA County.</x:v>
      </x:c>
      <x:c r="P670" s="53" t="str">
        <x:v>Dick Wolf reality/legal anthology</x:v>
      </x:c>
      <x:c r="Q670" s="17" t="str">
        <x:v>6853658</x:v>
      </x:c>
      <x:c r="R670" s="17" t="str"/>
      <x:c r="S670" s="17" t="str"/>
    </x:row>
    <x:row r="671">
      <x:c r="A671" s="43" t="n">
        <x:v>667</x:v>
      </x:c>
      <x:c r="B671" s="44" t="str">
        <x:v>Not Started</x:v>
      </x:c>
      <x:c r="C671" s="45" t="n">
        <x:v>36858</x:v>
      </x:c>
      <x:c r="D671" s="33" t="str">
        <x:v>Arrest &amp; Trial</x:v>
      </x:c>
      <x:c r="E671" s="33" t="str">
        <x:v>Crossover Adjacent</x:v>
      </x:c>
      <x:c r="F671" s="33" t="str">
        <x:v>complete</x:v>
      </x:c>
      <x:c r="G671" s="50" t="n">
        <x:v>1</x:v>
      </x:c>
      <x:c r="H671" s="50" t="n">
        <x:v>72</x:v>
      </x:c>
      <x:c r="I671" s="44" t="str">
        <x:v>01.72</x:v>
      </x:c>
      <x:c r="J671" s="33" t="str">
        <x:v>Natural Born Killer</x:v>
      </x:c>
      <x:c r="K671" s="33" t="str"/>
      <x:c r="L671" s="33" t="str"/>
      <x:c r="M671" s="44" t="str"/>
      <x:c r="N671" s="50" t="n">
        <x:v>30</x:v>
      </x:c>
      <x:c r="O671" s="53" t="str">
        <x:v>A San Diego man discovers his wife and young son murdered. Detectives track down a suspect and have him in custody when a strikingly similar crime occurs. The police quickly realize they have the wrong man</x:v>
      </x:c>
      <x:c r="P671" s="53" t="str">
        <x:v>Dick Wolf reality/legal anthology</x:v>
      </x:c>
      <x:c r="Q671" s="17" t="str">
        <x:v>6853659</x:v>
      </x:c>
      <x:c r="R671" s="17" t="str"/>
      <x:c r="S671" s="17" t="str"/>
    </x:row>
    <x:row r="672">
      <x:c r="A672" s="43" t="n">
        <x:v>668</x:v>
      </x:c>
      <x:c r="B672" s="44" t="str">
        <x:v>Not Started</x:v>
      </x:c>
      <x:c r="C672" s="45" t="n">
        <x:v>36859</x:v>
      </x:c>
      <x:c r="D672" s="33" t="str">
        <x:v>Arrest &amp; Trial</x:v>
      </x:c>
      <x:c r="E672" s="33" t="str">
        <x:v>Crossover Adjacent</x:v>
      </x:c>
      <x:c r="F672" s="33" t="str">
        <x:v>complete</x:v>
      </x:c>
      <x:c r="G672" s="50" t="n">
        <x:v>1</x:v>
      </x:c>
      <x:c r="H672" s="50" t="n">
        <x:v>73</x:v>
      </x:c>
      <x:c r="I672" s="44" t="str">
        <x:v>01.73</x:v>
      </x:c>
      <x:c r="J672" s="33" t="str">
        <x:v>Nazi Arms Dealer</x:v>
      </x:c>
      <x:c r="K672" s="33" t="str"/>
      <x:c r="L672" s="33" t="str"/>
      <x:c r="M672" s="44" t="str"/>
      <x:c r="N672" s="50" t="n">
        <x:v>30</x:v>
      </x:c>
      <x:c r="O672" s="53" t="str">
        <x:v>A routine traffic check ended in the murder of a young Missouri State Trooper. An arsenal of weapons was found in the suspect’s van</x:v>
      </x:c>
      <x:c r="P672" s="53" t="str">
        <x:v>Dick Wolf reality/legal anthology</x:v>
      </x:c>
      <x:c r="Q672" s="17" t="str">
        <x:v>6853662</x:v>
      </x:c>
      <x:c r="R672" s="17" t="str"/>
      <x:c r="S672" s="17" t="str"/>
    </x:row>
    <x:row r="673">
      <x:c r="A673" s="43" t="n">
        <x:v>669</x:v>
      </x:c>
      <x:c r="B673" s="44" t="str">
        <x:v>Not Started</x:v>
      </x:c>
      <x:c r="C673" s="45" t="n">
        <x:v>36859</x:v>
      </x:c>
      <x:c r="D673" s="33" t="str">
        <x:v>Arrest &amp; Trial</x:v>
      </x:c>
      <x:c r="E673" s="33" t="str">
        <x:v>Crossover Adjacent</x:v>
      </x:c>
      <x:c r="F673" s="33" t="str">
        <x:v>complete</x:v>
      </x:c>
      <x:c r="G673" s="50" t="n">
        <x:v>1</x:v>
      </x:c>
      <x:c r="H673" s="50" t="n">
        <x:v>74</x:v>
      </x:c>
      <x:c r="I673" s="44" t="str">
        <x:v>01.74</x:v>
      </x:c>
      <x:c r="J673" s="33" t="str">
        <x:v>She Said, They Said</x:v>
      </x:c>
      <x:c r="K673" s="33" t="str"/>
      <x:c r="L673" s="33" t="str"/>
      <x:c r="M673" s="44" t="str"/>
      <x:c r="N673" s="50" t="n">
        <x:v>30</x:v>
      </x:c>
      <x:c r="O673" s="53" t="str">
        <x:v>A stranger persuades a 30-year-old woman with a questionable past to get into a car. After the woman survives a brutal attack, police return to the scene to collect evidence. They are led to a local college football hero and three of his friends.</x:v>
      </x:c>
      <x:c r="P673" s="53" t="str">
        <x:v>Dick Wolf reality/legal anthology</x:v>
      </x:c>
      <x:c r="Q673" s="17" t="str">
        <x:v>6853664</x:v>
      </x:c>
      <x:c r="R673" s="17" t="str"/>
      <x:c r="S673" s="17" t="str"/>
    </x:row>
    <x:row r="674">
      <x:c r="A674" s="43" t="n">
        <x:v>670</x:v>
      </x:c>
      <x:c r="B674" s="44" t="str">
        <x:v>Not Started</x:v>
      </x:c>
      <x:c r="C674" s="45" t="n">
        <x:v>36859</x:v>
      </x:c>
      <x:c r="D674" s="33" t="str">
        <x:v>Law &amp; Order</x:v>
      </x:c>
      <x:c r="E674" s="33" t="str">
        <x:v>Law &amp; Order</x:v>
      </x:c>
      <x:c r="F674" s="33" t="str">
        <x:v>core</x:v>
      </x:c>
      <x:c r="G674" s="50" t="n">
        <x:v>11</x:v>
      </x:c>
      <x:c r="H674" s="50" t="n">
        <x:v>7</x:v>
      </x:c>
      <x:c r="I674" s="44" t="str">
        <x:v>11.07</x:v>
      </x:c>
      <x:c r="J674" s="33" t="str">
        <x:v>Amends</x:v>
      </x:c>
      <x:c r="K674" s="33" t="str"/>
      <x:c r="L674" s="33" t="str"/>
      <x:c r="M674" s="44" t="str"/>
      <x:c r="N674" s="50" t="n">
        <x:v>45</x:v>
      </x:c>
      <x:c r="O674" s="53" t="str">
        <x:v>Under pressure from the department's top brass, a 20-year-old murder case, initally investigated by Briscoe's now retired boss, is reopened involving the slaying of a teen-age girl with the spoiled son of a politically connected family as the prime suspect.</x:v>
      </x:c>
      <x:c r="P674" s="53" t="str">
        <x:v>Core Law &amp; Order franchise</x:v>
      </x:c>
      <x:c r="Q674" s="17" t="str">
        <x:v>34290</x:v>
      </x:c>
      <x:c r="R674" s="17" t="str">
        <x:v>tt0629154</x:v>
      </x:c>
      <x:c r="S674" s="17" t="str">
        <x:v>436</x:v>
      </x:c>
    </x:row>
    <x:row r="675">
      <x:c r="A675" s="43" t="n">
        <x:v>671</x:v>
      </x:c>
      <x:c r="B675" s="44" t="str">
        <x:v>Not Started</x:v>
      </x:c>
      <x:c r="C675" s="45" t="n">
        <x:v>36860</x:v>
      </x:c>
      <x:c r="D675" s="33" t="str">
        <x:v>Arrest &amp; Trial</x:v>
      </x:c>
      <x:c r="E675" s="33" t="str">
        <x:v>Crossover Adjacent</x:v>
      </x:c>
      <x:c r="F675" s="33" t="str">
        <x:v>complete</x:v>
      </x:c>
      <x:c r="G675" s="50" t="n">
        <x:v>1</x:v>
      </x:c>
      <x:c r="H675" s="50" t="n">
        <x:v>75</x:v>
      </x:c>
      <x:c r="I675" s="44" t="str">
        <x:v>01.75</x:v>
      </x:c>
      <x:c r="J675" s="33" t="str">
        <x:v>Candyman</x:v>
      </x:c>
      <x:c r="K675" s="33" t="str"/>
      <x:c r="L675" s="33" t="str"/>
      <x:c r="M675" s="44" t="str"/>
      <x:c r="N675" s="50" t="n">
        <x:v>30</x:v>
      </x:c>
      <x:c r="O675" s="53" t="str">
        <x:v>After an eight-year-old boy died mysteriously, police suspected that he had eaten poisoned Halloween candy. Authorities were shocked when evidence pointed to the boy’s father as the man behind the contaminated candy.</x:v>
      </x:c>
      <x:c r="P675" s="53" t="str">
        <x:v>Dick Wolf reality/legal anthology</x:v>
      </x:c>
      <x:c r="Q675" s="17" t="str">
        <x:v>6853665</x:v>
      </x:c>
      <x:c r="R675" s="17" t="str"/>
      <x:c r="S675" s="17" t="str"/>
    </x:row>
    <x:row r="676">
      <x:c r="A676" s="43" t="n">
        <x:v>672</x:v>
      </x:c>
      <x:c r="B676" s="44" t="str">
        <x:v>Not Started</x:v>
      </x:c>
      <x:c r="C676" s="45" t="n">
        <x:v>36860</x:v>
      </x:c>
      <x:c r="D676" s="33" t="str">
        <x:v>Arrest &amp; Trial</x:v>
      </x:c>
      <x:c r="E676" s="33" t="str">
        <x:v>Crossover Adjacent</x:v>
      </x:c>
      <x:c r="F676" s="33" t="str">
        <x:v>complete</x:v>
      </x:c>
      <x:c r="G676" s="50" t="n">
        <x:v>1</x:v>
      </x:c>
      <x:c r="H676" s="50" t="n">
        <x:v>76</x:v>
      </x:c>
      <x:c r="I676" s="44" t="str">
        <x:v>01.76</x:v>
      </x:c>
      <x:c r="J676" s="33" t="str">
        <x:v>Cotton Club Mystery</x:v>
      </x:c>
      <x:c r="K676" s="33" t="str"/>
      <x:c r="L676" s="33" t="str"/>
      <x:c r="M676" s="44" t="str"/>
      <x:c r="N676" s="50" t="n">
        <x:v>30</x:v>
      </x:c>
      <x:c r="O676" s="53" t="str">
        <x:v>A Los Angeles film producer is missing for three weeks when his body is found in a remote canyon outside the city, in the infamous “Cotton Club” murder case</x:v>
      </x:c>
      <x:c r="P676" s="53" t="str">
        <x:v>Dick Wolf reality/legal anthology</x:v>
      </x:c>
      <x:c r="Q676" s="17" t="str">
        <x:v>6853667</x:v>
      </x:c>
      <x:c r="R676" s="17" t="str"/>
      <x:c r="S676" s="17" t="str"/>
    </x:row>
    <x:row r="677">
      <x:c r="A677" s="43" t="n">
        <x:v>673</x:v>
      </x:c>
      <x:c r="B677" s="44" t="str">
        <x:v>Not Started</x:v>
      </x:c>
      <x:c r="C677" s="45" t="n">
        <x:v>36861</x:v>
      </x:c>
      <x:c r="D677" s="33" t="str">
        <x:v>Arrest &amp; Trial</x:v>
      </x:c>
      <x:c r="E677" s="33" t="str">
        <x:v>Crossover Adjacent</x:v>
      </x:c>
      <x:c r="F677" s="33" t="str">
        <x:v>complete</x:v>
      </x:c>
      <x:c r="G677" s="50" t="n">
        <x:v>1</x:v>
      </x:c>
      <x:c r="H677" s="50" t="n">
        <x:v>77</x:v>
      </x:c>
      <x:c r="I677" s="44" t="str">
        <x:v>01.77</x:v>
      </x:c>
      <x:c r="J677" s="33" t="str">
        <x:v>The Code</x:v>
      </x:c>
      <x:c r="K677" s="33" t="str"/>
      <x:c r="L677" s="33" t="str"/>
      <x:c r="M677" s="44" t="str"/>
      <x:c r="N677" s="50" t="n">
        <x:v>30</x:v>
      </x:c>
      <x:c r="O677" s="53" t="str">
        <x:v>A brutal triple murder of a family in a small town left investigators with little evidence to solve the case. However, police suspected it was a drug-related crime because the youngest victim was a small-time deale</x:v>
      </x:c>
      <x:c r="P677" s="53" t="str">
        <x:v>Dick Wolf reality/legal anthology</x:v>
      </x:c>
      <x:c r="Q677" s="17" t="str">
        <x:v>6853669</x:v>
      </x:c>
      <x:c r="R677" s="17" t="str"/>
      <x:c r="S677" s="17" t="str"/>
    </x:row>
    <x:row r="678">
      <x:c r="A678" s="43" t="n">
        <x:v>674</x:v>
      </x:c>
      <x:c r="B678" s="44" t="str">
        <x:v>Not Started</x:v>
      </x:c>
      <x:c r="C678" s="45" t="n">
        <x:v>36861</x:v>
      </x:c>
      <x:c r="D678" s="33" t="str">
        <x:v>Arrest &amp; Trial</x:v>
      </x:c>
      <x:c r="E678" s="33" t="str">
        <x:v>Crossover Adjacent</x:v>
      </x:c>
      <x:c r="F678" s="33" t="str">
        <x:v>complete</x:v>
      </x:c>
      <x:c r="G678" s="50" t="n">
        <x:v>1</x:v>
      </x:c>
      <x:c r="H678" s="50" t="n">
        <x:v>78</x:v>
      </x:c>
      <x:c r="I678" s="44" t="str">
        <x:v>01.78</x:v>
      </x:c>
      <x:c r="J678" s="33" t="str">
        <x:v>Broken Pearls</x:v>
      </x:c>
      <x:c r="K678" s="33" t="str"/>
      <x:c r="L678" s="33" t="str"/>
      <x:c r="M678" s="44" t="str"/>
      <x:c r="N678" s="50" t="n">
        <x:v>30</x:v>
      </x:c>
      <x:c r="O678" s="53" t="str">
        <x:v>A man attacks a 26-year-old woman he meets at a Vermont bar with her girlfriends. The incident occurs after she shares a drink and a car ride with him. The victim gives police an extremely detailed description of the night's events, but due to the trauma of the incident, she blocks out her attacker's face, leaving it to her friends to provide clues to his identity. An exhaustive investigation leads to a suspect who is a husband and father of two. Will a jury convict the defendant when his accuser cannot identify him?</x:v>
      </x:c>
      <x:c r="P678" s="53" t="str">
        <x:v>Dick Wolf reality/legal anthology</x:v>
      </x:c>
      <x:c r="Q678" s="17" t="str">
        <x:v>6853672</x:v>
      </x:c>
      <x:c r="R678" s="17" t="str"/>
      <x:c r="S678" s="17" t="str"/>
    </x:row>
    <x:row r="679">
      <x:c r="A679" s="43" t="n">
        <x:v>675</x:v>
      </x:c>
      <x:c r="B679" s="44" t="str">
        <x:v>Watched</x:v>
      </x:c>
      <x:c r="C679" s="45" t="n">
        <x:v>36861</x:v>
      </x:c>
      <x:c r="D679" s="33" t="str">
        <x:v>Law &amp; Order: Special Victims Unit</x:v>
      </x:c>
      <x:c r="E679" s="33" t="str">
        <x:v>Law &amp; Order</x:v>
      </x:c>
      <x:c r="F679" s="33" t="str">
        <x:v>core</x:v>
      </x:c>
      <x:c r="G679" s="50" t="n">
        <x:v>2</x:v>
      </x:c>
      <x:c r="H679" s="50" t="n">
        <x:v>7</x:v>
      </x:c>
      <x:c r="I679" s="44" t="str">
        <x:v>02.07</x:v>
      </x:c>
      <x:c r="J679" s="33" t="str">
        <x:v>Asunder</x:v>
      </x:c>
      <x:c r="K679" s="33" t="str"/>
      <x:c r="L679" s="33" t="str"/>
      <x:c r="M679" s="44" t="str"/>
      <x:c r="N679" s="50" t="n">
        <x:v>44</x:v>
      </x:c>
      <x:c r="O679" s="53" t="str">
        <x:v>It's a classic case of "he said, she said" when a cop's wife charges him with rape. The truth behind the alleged rape comes to light when a history of domestic abuse is uncovered.</x:v>
      </x:c>
      <x:c r="P679" s="53" t="str">
        <x:v>Core Law &amp; Order franchise</x:v>
      </x:c>
      <x:c r="Q679" s="17" t="str">
        <x:v>224969</x:v>
      </x:c>
      <x:c r="R679" s="17" t="str">
        <x:v>tt0629612</x:v>
      </x:c>
      <x:c r="S679" s="17" t="str">
        <x:v>437</x:v>
      </x:c>
    </x:row>
    <x:row r="680">
      <x:c r="A680" s="43" t="n">
        <x:v>676</x:v>
      </x:c>
      <x:c r="B680" s="44" t="str">
        <x:v>Not Started</x:v>
      </x:c>
      <x:c r="C680" s="45" t="n">
        <x:v>36864</x:v>
      </x:c>
      <x:c r="D680" s="33" t="str">
        <x:v>Arrest &amp; Trial</x:v>
      </x:c>
      <x:c r="E680" s="33" t="str">
        <x:v>Crossover Adjacent</x:v>
      </x:c>
      <x:c r="F680" s="33" t="str">
        <x:v>complete</x:v>
      </x:c>
      <x:c r="G680" s="50" t="n">
        <x:v>1</x:v>
      </x:c>
      <x:c r="H680" s="50" t="n">
        <x:v>79</x:v>
      </x:c>
      <x:c r="I680" s="44" t="str">
        <x:v>01.79</x:v>
      </x:c>
      <x:c r="J680" s="33" t="str">
        <x:v>Nightmare Nurse</x:v>
      </x:c>
      <x:c r="K680" s="33" t="str"/>
      <x:c r="L680" s="33" t="str"/>
      <x:c r="M680" s="44" t="str"/>
      <x:c r="N680" s="50" t="n">
        <x:v>30</x:v>
      </x:c>
      <x:c r="O680" s="53" t="str">
        <x:v>The sudden and unexplained death of a 15-month-old girl led authorities to the suspicious actions of a pediatric nurse. The investigation, led by the Texas Rangers, uncovered the nurse’s connection to other similar infant deaths.</x:v>
      </x:c>
      <x:c r="P680" s="53" t="str">
        <x:v>Dick Wolf reality/legal anthology</x:v>
      </x:c>
      <x:c r="Q680" s="17" t="str">
        <x:v>6853677</x:v>
      </x:c>
      <x:c r="R680" s="17" t="str"/>
      <x:c r="S680" s="17" t="str"/>
    </x:row>
    <x:row r="681">
      <x:c r="A681" s="43" t="n">
        <x:v>677</x:v>
      </x:c>
      <x:c r="B681" s="44" t="str">
        <x:v>Not Started</x:v>
      </x:c>
      <x:c r="C681" s="45" t="n">
        <x:v>36865</x:v>
      </x:c>
      <x:c r="D681" s="33" t="str">
        <x:v>Arrest &amp; Trial</x:v>
      </x:c>
      <x:c r="E681" s="33" t="str">
        <x:v>Crossover Adjacent</x:v>
      </x:c>
      <x:c r="F681" s="33" t="str">
        <x:v>complete</x:v>
      </x:c>
      <x:c r="G681" s="50" t="n">
        <x:v>1</x:v>
      </x:c>
      <x:c r="H681" s="50" t="n">
        <x:v>80</x:v>
      </x:c>
      <x:c r="I681" s="44" t="str">
        <x:v>01.80</x:v>
      </x:c>
      <x:c r="J681" s="33" t="str">
        <x:v>Mustang Mayhem</x:v>
      </x:c>
      <x:c r="K681" s="33" t="str"/>
      <x:c r="L681" s="33" t="str"/>
      <x:c r="M681" s="44" t="str"/>
      <x:c r="N681" s="50" t="n">
        <x:v>30</x:v>
      </x:c>
      <x:c r="O681" s="53" t="str">
        <x:v>The owner of a gentleman’s club called The Mustang was found in a parking garage, shot three times. Miraculously, he survived but refused to cooperate with police. Then, four months into the investigation, he decided to talk.</x:v>
      </x:c>
      <x:c r="P681" s="53" t="str">
        <x:v>Dick Wolf reality/legal anthology</x:v>
      </x:c>
      <x:c r="Q681" s="17" t="str">
        <x:v>6853680</x:v>
      </x:c>
      <x:c r="R681" s="17" t="str"/>
      <x:c r="S681" s="17" t="str"/>
    </x:row>
    <x:row r="682">
      <x:c r="A682" s="43" t="n">
        <x:v>678</x:v>
      </x:c>
      <x:c r="B682" s="44" t="str">
        <x:v>Not Started</x:v>
      </x:c>
      <x:c r="C682" s="45" t="n">
        <x:v>36866</x:v>
      </x:c>
      <x:c r="D682" s="33" t="str">
        <x:v>Arrest &amp; Trial</x:v>
      </x:c>
      <x:c r="E682" s="33" t="str">
        <x:v>Crossover Adjacent</x:v>
      </x:c>
      <x:c r="F682" s="33" t="str">
        <x:v>complete</x:v>
      </x:c>
      <x:c r="G682" s="50" t="n">
        <x:v>1</x:v>
      </x:c>
      <x:c r="H682" s="50" t="n">
        <x:v>81</x:v>
      </x:c>
      <x:c r="I682" s="44" t="str">
        <x:v>01.81</x:v>
      </x:c>
      <x:c r="J682" s="33" t="str">
        <x:v>Murder for Little Money</x:v>
      </x:c>
      <x:c r="K682" s="33" t="str"/>
      <x:c r="L682" s="33" t="str"/>
      <x:c r="M682" s="44" t="str"/>
      <x:c r="N682" s="50" t="n">
        <x:v>30</x:v>
      </x:c>
      <x:c r="O682" s="53" t="str">
        <x:v>Police searched for answers in the murder of a female restaurant manager and a young delivery truck driver. The investigation led authorities to suspect an inside job.</x:v>
      </x:c>
      <x:c r="P682" s="53" t="str">
        <x:v>Dick Wolf reality/legal anthology</x:v>
      </x:c>
      <x:c r="Q682" s="17" t="str">
        <x:v>6853681</x:v>
      </x:c>
      <x:c r="R682" s="17" t="str"/>
      <x:c r="S682" s="17" t="str"/>
    </x:row>
    <x:row r="683">
      <x:c r="A683" s="43" t="n">
        <x:v>679</x:v>
      </x:c>
      <x:c r="B683" s="44" t="str">
        <x:v>Not Started</x:v>
      </x:c>
      <x:c r="C683" s="45" t="n">
        <x:v>36867</x:v>
      </x:c>
      <x:c r="D683" s="33" t="str">
        <x:v>Arrest &amp; Trial</x:v>
      </x:c>
      <x:c r="E683" s="33" t="str">
        <x:v>Crossover Adjacent</x:v>
      </x:c>
      <x:c r="F683" s="33" t="str">
        <x:v>complete</x:v>
      </x:c>
      <x:c r="G683" s="50" t="n">
        <x:v>1</x:v>
      </x:c>
      <x:c r="H683" s="50" t="n">
        <x:v>82</x:v>
      </x:c>
      <x:c r="I683" s="44" t="str">
        <x:v>01.82</x:v>
      </x:c>
      <x:c r="J683" s="33" t="str">
        <x:v>Spittin' Bullets</x:v>
      </x:c>
      <x:c r="K683" s="33" t="str"/>
      <x:c r="L683" s="33" t="str"/>
      <x:c r="M683" s="44" t="str"/>
      <x:c r="N683" s="50" t="n">
        <x:v>30</x:v>
      </x:c>
      <x:c r="O683" s="53" t="str">
        <x:v>Three seemingly unrelated, violent attacks prompted a convoluted search for suspects. The sexual assault and murder of a military police woman, the attempted murder of a soldier’s wife and the killing of a young father led police to the same few names.</x:v>
      </x:c>
      <x:c r="P683" s="53" t="str">
        <x:v>Dick Wolf reality/legal anthology</x:v>
      </x:c>
      <x:c r="Q683" s="17" t="str">
        <x:v>6853682</x:v>
      </x:c>
      <x:c r="R683" s="17" t="str"/>
      <x:c r="S683" s="17" t="str"/>
    </x:row>
    <x:row r="684">
      <x:c r="A684" s="43" t="n">
        <x:v>680</x:v>
      </x:c>
      <x:c r="B684" s="44" t="str">
        <x:v>Not Started</x:v>
      </x:c>
      <x:c r="C684" s="45" t="n">
        <x:v>36868</x:v>
      </x:c>
      <x:c r="D684" s="33" t="str">
        <x:v>Arrest &amp; Trial</x:v>
      </x:c>
      <x:c r="E684" s="33" t="str">
        <x:v>Crossover Adjacent</x:v>
      </x:c>
      <x:c r="F684" s="33" t="str">
        <x:v>complete</x:v>
      </x:c>
      <x:c r="G684" s="50" t="n">
        <x:v>1</x:v>
      </x:c>
      <x:c r="H684" s="50" t="n">
        <x:v>83</x:v>
      </x:c>
      <x:c r="I684" s="44" t="str">
        <x:v>01.83</x:v>
      </x:c>
      <x:c r="J684" s="33" t="str">
        <x:v>Hot Shots</x:v>
      </x:c>
      <x:c r="K684" s="33" t="str"/>
      <x:c r="L684" s="33" t="str"/>
      <x:c r="M684" s="44" t="str"/>
      <x:c r="N684" s="50" t="n">
        <x:v>30</x:v>
      </x:c>
      <x:c r="O684" s="53" t="str">
        <x:v>A routine narcotics arrest uncovered a vicious murder-for-revenge case. The victim was a confidential informant.</x:v>
      </x:c>
      <x:c r="P684" s="53" t="str">
        <x:v>Dick Wolf reality/legal anthology</x:v>
      </x:c>
      <x:c r="Q684" s="17" t="str">
        <x:v>6853684</x:v>
      </x:c>
      <x:c r="R684" s="17" t="str"/>
      <x:c r="S684" s="17" t="str"/>
    </x:row>
    <x:row r="685">
      <x:c r="A685" s="43" t="n">
        <x:v>681</x:v>
      </x:c>
      <x:c r="B685" s="44" t="str">
        <x:v>Not Started</x:v>
      </x:c>
      <x:c r="C685" s="45" t="n">
        <x:v>36868</x:v>
      </x:c>
      <x:c r="D685" s="33" t="str">
        <x:v>Arrest &amp; Trial</x:v>
      </x:c>
      <x:c r="E685" s="33" t="str">
        <x:v>Crossover Adjacent</x:v>
      </x:c>
      <x:c r="F685" s="33" t="str">
        <x:v>complete</x:v>
      </x:c>
      <x:c r="G685" s="50" t="n">
        <x:v>1</x:v>
      </x:c>
      <x:c r="H685" s="50" t="n">
        <x:v>84</x:v>
      </x:c>
      <x:c r="I685" s="44" t="str">
        <x:v>01.84</x:v>
      </x:c>
      <x:c r="J685" s="33" t="str">
        <x:v>Vacation Nightmare</x:v>
      </x:c>
      <x:c r="K685" s="33" t="str"/>
      <x:c r="L685" s="33" t="str"/>
      <x:c r="M685" s="44" t="str"/>
      <x:c r="N685" s="50" t="n">
        <x:v>30</x:v>
      </x:c>
      <x:c r="O685" s="53" t="str">
        <x:v>A German tourist was robbed and run-over with the getaway car while her young son looked on from their rental vehicle. Detectives had merely the account of the young son, who spoke only German, to aid them until evidence from another robbery provided the break they needed to arrest the suspects. Despite taped confessions, the two suspects insisted on their day in court. The defense contended the confessions were coerced, but the jury found otherwise</x:v>
      </x:c>
      <x:c r="P685" s="53" t="str">
        <x:v>Dick Wolf reality/legal anthology</x:v>
      </x:c>
      <x:c r="Q685" s="17" t="str">
        <x:v>6853687</x:v>
      </x:c>
      <x:c r="R685" s="17" t="str"/>
      <x:c r="S685" s="17" t="str"/>
    </x:row>
    <x:row r="686">
      <x:c r="A686" s="43" t="n">
        <x:v>682</x:v>
      </x:c>
      <x:c r="B686" s="44" t="str">
        <x:v>Not Started</x:v>
      </x:c>
      <x:c r="C686" s="45" t="n">
        <x:v>36871</x:v>
      </x:c>
      <x:c r="D686" s="33" t="str">
        <x:v>Arrest &amp; Trial</x:v>
      </x:c>
      <x:c r="E686" s="33" t="str">
        <x:v>Crossover Adjacent</x:v>
      </x:c>
      <x:c r="F686" s="33" t="str">
        <x:v>complete</x:v>
      </x:c>
      <x:c r="G686" s="50" t="n">
        <x:v>1</x:v>
      </x:c>
      <x:c r="H686" s="50" t="n">
        <x:v>85</x:v>
      </x:c>
      <x:c r="I686" s="44" t="str">
        <x:v>01.85</x:v>
      </x:c>
      <x:c r="J686" s="33" t="str">
        <x:v>Deadly Affair</x:v>
      </x:c>
      <x:c r="K686" s="33" t="str"/>
      <x:c r="L686" s="33" t="str"/>
      <x:c r="M686" s="44" t="str"/>
      <x:c r="N686" s="50" t="n">
        <x:v>30</x:v>
      </x:c>
      <x:c r="O686" s="53" t="str">
        <x:v>A man who was about to divorce his wife was found dead in their home. After an exhaustive manhunt through a swamp, the murderer was captured.</x:v>
      </x:c>
      <x:c r="P686" s="53" t="str">
        <x:v>Dick Wolf reality/legal anthology</x:v>
      </x:c>
      <x:c r="Q686" s="17" t="str">
        <x:v>6853688</x:v>
      </x:c>
      <x:c r="R686" s="17" t="str"/>
      <x:c r="S686" s="17" t="str"/>
    </x:row>
    <x:row r="687">
      <x:c r="A687" s="43" t="n">
        <x:v>683</x:v>
      </x:c>
      <x:c r="B687" s="44" t="str">
        <x:v>Not Started</x:v>
      </x:c>
      <x:c r="C687" s="45" t="n">
        <x:v>36872</x:v>
      </x:c>
      <x:c r="D687" s="33" t="str">
        <x:v>Arrest &amp; Trial</x:v>
      </x:c>
      <x:c r="E687" s="33" t="str">
        <x:v>Crossover Adjacent</x:v>
      </x:c>
      <x:c r="F687" s="33" t="str">
        <x:v>complete</x:v>
      </x:c>
      <x:c r="G687" s="50" t="n">
        <x:v>1</x:v>
      </x:c>
      <x:c r="H687" s="50" t="n">
        <x:v>86</x:v>
      </x:c>
      <x:c r="I687" s="44" t="str">
        <x:v>01.86</x:v>
      </x:c>
      <x:c r="J687" s="33" t="str">
        <x:v>Neighbor Double Murder</x:v>
      </x:c>
      <x:c r="K687" s="33" t="str"/>
      <x:c r="L687" s="33" t="str"/>
      <x:c r="M687" s="44" t="str"/>
      <x:c r="N687" s="50" t="n">
        <x:v>30</x:v>
      </x:c>
      <x:c r="O687" s="53" t="str">
        <x:v>Evidence in the murder of a man and the disappearance of his wife pointed to their unassuming neighbor. The wife’s body was found days later inside the neighbor’s truck. Though prosecutors found evidence, they were puzzled by the lack of a motive.</x:v>
      </x:c>
      <x:c r="P687" s="53" t="str">
        <x:v>Dick Wolf reality/legal anthology</x:v>
      </x:c>
      <x:c r="Q687" s="17" t="str">
        <x:v>6853690</x:v>
      </x:c>
      <x:c r="R687" s="17" t="str"/>
      <x:c r="S687" s="17" t="str"/>
    </x:row>
    <x:row r="688">
      <x:c r="A688" s="43" t="n">
        <x:v>684</x:v>
      </x:c>
      <x:c r="B688" s="44" t="str">
        <x:v>Not Started</x:v>
      </x:c>
      <x:c r="C688" s="45" t="n">
        <x:v>36873</x:v>
      </x:c>
      <x:c r="D688" s="33" t="str">
        <x:v>Arrest &amp; Trial</x:v>
      </x:c>
      <x:c r="E688" s="33" t="str">
        <x:v>Crossover Adjacent</x:v>
      </x:c>
      <x:c r="F688" s="33" t="str">
        <x:v>complete</x:v>
      </x:c>
      <x:c r="G688" s="50" t="n">
        <x:v>1</x:v>
      </x:c>
      <x:c r="H688" s="50" t="n">
        <x:v>87</x:v>
      </x:c>
      <x:c r="I688" s="44" t="str">
        <x:v>01.87</x:v>
      </x:c>
      <x:c r="J688" s="33" t="str">
        <x:v>Long Kept Secret</x:v>
      </x:c>
      <x:c r="K688" s="33" t="str"/>
      <x:c r="L688" s="33" t="str"/>
      <x:c r="M688" s="44" t="str"/>
      <x:c r="N688" s="50" t="n">
        <x:v>30</x:v>
      </x:c>
      <x:c r="O688" s="53" t="str">
        <x:v>A four-year-old girl witnessed her father murder her mother. Twenty-four years later, the courageous daughter came forward to reveal her memories to police.</x:v>
      </x:c>
      <x:c r="P688" s="53" t="str">
        <x:v>Dick Wolf reality/legal anthology</x:v>
      </x:c>
      <x:c r="Q688" s="17" t="str">
        <x:v>6853691</x:v>
      </x:c>
      <x:c r="R688" s="17" t="str"/>
      <x:c r="S688" s="17" t="str"/>
    </x:row>
    <x:row r="689">
      <x:c r="A689" s="43" t="n">
        <x:v>685</x:v>
      </x:c>
      <x:c r="B689" s="44" t="str">
        <x:v>Not Started</x:v>
      </x:c>
      <x:c r="C689" s="45" t="n">
        <x:v>36874</x:v>
      </x:c>
      <x:c r="D689" s="33" t="str">
        <x:v>Arrest &amp; Trial</x:v>
      </x:c>
      <x:c r="E689" s="33" t="str">
        <x:v>Crossover Adjacent</x:v>
      </x:c>
      <x:c r="F689" s="33" t="str">
        <x:v>complete</x:v>
      </x:c>
      <x:c r="G689" s="50" t="n">
        <x:v>1</x:v>
      </x:c>
      <x:c r="H689" s="50" t="n">
        <x:v>88</x:v>
      </x:c>
      <x:c r="I689" s="44" t="str">
        <x:v>01.88</x:v>
      </x:c>
      <x:c r="J689" s="33" t="str">
        <x:v>You're Getting Very Sleepy</x:v>
      </x:c>
      <x:c r="K689" s="33" t="str"/>
      <x:c r="L689" s="33" t="str"/>
      <x:c r="M689" s="44" t="str"/>
      <x:c r="N689" s="50" t="n">
        <x:v>30</x:v>
      </x:c>
      <x:c r="O689" s="53" t="str">
        <x:v>A woman with car trouble was abducted, but she miraculously escaped by jumping from the speeding truck of her captor.</x:v>
      </x:c>
      <x:c r="P689" s="53" t="str">
        <x:v>Dick Wolf reality/legal anthology</x:v>
      </x:c>
      <x:c r="Q689" s="17" t="str">
        <x:v>6853694</x:v>
      </x:c>
      <x:c r="R689" s="17" t="str"/>
      <x:c r="S689" s="17" t="str"/>
    </x:row>
    <x:row r="690">
      <x:c r="A690" s="43" t="n">
        <x:v>686</x:v>
      </x:c>
      <x:c r="B690" s="44" t="str">
        <x:v>Not Started</x:v>
      </x:c>
      <x:c r="C690" s="45" t="n">
        <x:v>36875</x:v>
      </x:c>
      <x:c r="D690" s="33" t="str">
        <x:v>Arrest &amp; Trial</x:v>
      </x:c>
      <x:c r="E690" s="33" t="str">
        <x:v>Crossover Adjacent</x:v>
      </x:c>
      <x:c r="F690" s="33" t="str">
        <x:v>complete</x:v>
      </x:c>
      <x:c r="G690" s="50" t="n">
        <x:v>1</x:v>
      </x:c>
      <x:c r="H690" s="50" t="n">
        <x:v>89</x:v>
      </x:c>
      <x:c r="I690" s="44" t="str">
        <x:v>01.89</x:v>
      </x:c>
      <x:c r="J690" s="33" t="str">
        <x:v>Dr. Death</x:v>
      </x:c>
      <x:c r="K690" s="33" t="str"/>
      <x:c r="L690" s="33" t="str"/>
      <x:c r="M690" s="44" t="str"/>
      <x:c r="N690" s="50" t="n">
        <x:v>30</x:v>
      </x:c>
      <x:c r="O690" s="53" t="str">
        <x:v>Police were initially unable to solve the murder of a married couple. But when their adult son was murdered two years later, investigators uncovered a murder-for-profit plot. The conspiracy involved the son’s wife, her ex-lover, a dentist and his partner.</x:v>
      </x:c>
      <x:c r="P690" s="53" t="str">
        <x:v>Dick Wolf reality/legal anthology</x:v>
      </x:c>
      <x:c r="Q690" s="17" t="str">
        <x:v>6853695</x:v>
      </x:c>
      <x:c r="R690" s="17" t="str"/>
      <x:c r="S690" s="17" t="str"/>
    </x:row>
    <x:row r="691">
      <x:c r="A691" s="43" t="n">
        <x:v>687</x:v>
      </x:c>
      <x:c r="B691" s="44" t="str">
        <x:v>Watched</x:v>
      </x:c>
      <x:c r="C691" s="45" t="n">
        <x:v>36875</x:v>
      </x:c>
      <x:c r="D691" s="33" t="str">
        <x:v>Law &amp; Order: Special Victims Unit</x:v>
      </x:c>
      <x:c r="E691" s="33" t="str">
        <x:v>Law &amp; Order</x:v>
      </x:c>
      <x:c r="F691" s="33" t="str">
        <x:v>core</x:v>
      </x:c>
      <x:c r="G691" s="50" t="n">
        <x:v>2</x:v>
      </x:c>
      <x:c r="H691" s="50" t="n">
        <x:v>8</x:v>
      </x:c>
      <x:c r="I691" s="44" t="str">
        <x:v>02.08</x:v>
      </x:c>
      <x:c r="J691" s="33" t="str">
        <x:v>Taken</x:v>
      </x:c>
      <x:c r="K691" s="33" t="str"/>
      <x:c r="L691" s="33" t="str"/>
      <x:c r="M691" s="44" t="str"/>
      <x:c r="N691" s="50" t="n">
        <x:v>44</x:v>
      </x:c>
      <x:c r="O691" s="53" t="str">
        <x:v>The case of a seventeen-year-old rape victim during a gala for the opening of a luxury hotel takes a strange turn when her immediate family tries to keep the scandal quiet. Detectives soon discover that the girl isn't the innocent that she pretends to be. Benson struggles to deal with her mother's death and she learns about her past.</x:v>
      </x:c>
      <x:c r="P691" s="53" t="str">
        <x:v>Core Law &amp; Order franchise</x:v>
      </x:c>
      <x:c r="Q691" s="17" t="str">
        <x:v>224970</x:v>
      </x:c>
      <x:c r="R691" s="17" t="str">
        <x:v>tt0629745</x:v>
      </x:c>
      <x:c r="S691" s="17" t="str">
        <x:v>438</x:v>
      </x:c>
    </x:row>
    <x:row r="692">
      <x:c r="A692" s="43" t="n">
        <x:v>688</x:v>
      </x:c>
      <x:c r="B692" s="44" t="str">
        <x:v>Not Started</x:v>
      </x:c>
      <x:c r="C692" s="45" t="n">
        <x:v>36878</x:v>
      </x:c>
      <x:c r="D692" s="33" t="str">
        <x:v>Arrest &amp; Trial</x:v>
      </x:c>
      <x:c r="E692" s="33" t="str">
        <x:v>Crossover Adjacent</x:v>
      </x:c>
      <x:c r="F692" s="33" t="str">
        <x:v>complete</x:v>
      </x:c>
      <x:c r="G692" s="50" t="n">
        <x:v>1</x:v>
      </x:c>
      <x:c r="H692" s="50" t="n">
        <x:v>90</x:v>
      </x:c>
      <x:c r="I692" s="44" t="str">
        <x:v>01.90</x:v>
      </x:c>
      <x:c r="J692" s="33" t="str">
        <x:v>Death on Mother's Day</x:v>
      </x:c>
      <x:c r="K692" s="33" t="str"/>
      <x:c r="L692" s="33" t="str"/>
      <x:c r="M692" s="44" t="str"/>
      <x:c r="N692" s="50" t="n">
        <x:v>30</x:v>
      </x:c>
      <x:c r="O692" s="53" t="str">
        <x:v>On Mother’s Day 1995, a family outing at a Universal City, California restaurant turned deadly for a young woman and her boyfriend’s mother. Detectives learned that the younger victim’s boyfriend was in debt and romantically involved with another woman.</x:v>
      </x:c>
      <x:c r="P692" s="53" t="str">
        <x:v>Dick Wolf reality/legal anthology</x:v>
      </x:c>
      <x:c r="Q692" s="17" t="str">
        <x:v>6853697</x:v>
      </x:c>
      <x:c r="R692" s="17" t="str"/>
      <x:c r="S692" s="17" t="str"/>
    </x:row>
    <x:row r="693">
      <x:c r="A693" s="43" t="n">
        <x:v>689</x:v>
      </x:c>
      <x:c r="B693" s="44" t="str">
        <x:v>Not Started</x:v>
      </x:c>
      <x:c r="C693" s="45" t="n">
        <x:v>36879</x:v>
      </x:c>
      <x:c r="D693" s="33" t="str">
        <x:v>Arrest &amp; Trial</x:v>
      </x:c>
      <x:c r="E693" s="33" t="str">
        <x:v>Crossover Adjacent</x:v>
      </x:c>
      <x:c r="F693" s="33" t="str">
        <x:v>complete</x:v>
      </x:c>
      <x:c r="G693" s="50" t="n">
        <x:v>1</x:v>
      </x:c>
      <x:c r="H693" s="50" t="n">
        <x:v>91</x:v>
      </x:c>
      <x:c r="I693" s="44" t="str">
        <x:v>01.91</x:v>
      </x:c>
      <x:c r="J693" s="33" t="str">
        <x:v>Insurance King Crime</x:v>
      </x:c>
      <x:c r="K693" s="33" t="str"/>
      <x:c r="L693" s="33" t="str"/>
      <x:c r="M693" s="44" t="str"/>
      <x:c r="N693" s="50" t="n">
        <x:v>30</x:v>
      </x:c>
      <x:c r="O693" s="53" t="str">
        <x:v>A man's body was discovered by his adult son. The victim was heavily insured, but all family members had alibis. While police were investigating a possible murder plot, the victim's wife and her lover both committed suicide. The son and a family friend of the wife's lover were arrested. But could the prosecution obtain a conviction based on circumstantial evidence?</x:v>
      </x:c>
      <x:c r="P693" s="53" t="str">
        <x:v>Dick Wolf reality/legal anthology</x:v>
      </x:c>
      <x:c r="Q693" s="17" t="str">
        <x:v>6853700</x:v>
      </x:c>
      <x:c r="R693" s="17" t="str"/>
      <x:c r="S693" s="17" t="str"/>
    </x:row>
    <x:row r="694">
      <x:c r="A694" s="43" t="n">
        <x:v>690</x:v>
      </x:c>
      <x:c r="B694" s="44" t="str">
        <x:v>Not Started</x:v>
      </x:c>
      <x:c r="C694" s="45" t="n">
        <x:v>36880</x:v>
      </x:c>
      <x:c r="D694" s="33" t="str">
        <x:v>Arrest &amp; Trial</x:v>
      </x:c>
      <x:c r="E694" s="33" t="str">
        <x:v>Crossover Adjacent</x:v>
      </x:c>
      <x:c r="F694" s="33" t="str">
        <x:v>complete</x:v>
      </x:c>
      <x:c r="G694" s="50" t="n">
        <x:v>1</x:v>
      </x:c>
      <x:c r="H694" s="50" t="n">
        <x:v>92</x:v>
      </x:c>
      <x:c r="I694" s="44" t="str">
        <x:v>01.92</x:v>
      </x:c>
      <x:c r="J694" s="33" t="str">
        <x:v>Frozen Dinner: The Crucial Clue</x:v>
      </x:c>
      <x:c r="K694" s="33" t="str"/>
      <x:c r="L694" s="33" t="str"/>
      <x:c r="M694" s="44" t="str"/>
      <x:c r="N694" s="50" t="n">
        <x:v>30</x:v>
      </x:c>
      <x:c r="O694" s="53" t="str">
        <x:v>The body of a woman was discovered in the woods. An autopsy revealed that her stomach was full, indicating she had eaten just before her death.</x:v>
      </x:c>
      <x:c r="P694" s="53" t="str">
        <x:v>Dick Wolf reality/legal anthology</x:v>
      </x:c>
      <x:c r="Q694" s="17" t="str">
        <x:v>6853704</x:v>
      </x:c>
      <x:c r="R694" s="17" t="str"/>
      <x:c r="S694" s="17" t="str"/>
    </x:row>
    <x:row r="695">
      <x:c r="A695" s="43" t="n">
        <x:v>691</x:v>
      </x:c>
      <x:c r="B695" s="44" t="str">
        <x:v>Not Started</x:v>
      </x:c>
      <x:c r="C695" s="45" t="n">
        <x:v>36880</x:v>
      </x:c>
      <x:c r="D695" s="33" t="str">
        <x:v>Law &amp; Order</x:v>
      </x:c>
      <x:c r="E695" s="33" t="str">
        <x:v>Law &amp; Order</x:v>
      </x:c>
      <x:c r="F695" s="33" t="str">
        <x:v>core</x:v>
      </x:c>
      <x:c r="G695" s="50" t="n">
        <x:v>11</x:v>
      </x:c>
      <x:c r="H695" s="50" t="n">
        <x:v>8</x:v>
      </x:c>
      <x:c r="I695" s="44" t="str">
        <x:v>11.08</x:v>
      </x:c>
      <x:c r="J695" s="33" t="str">
        <x:v>Thin Ice</x:v>
      </x:c>
      <x:c r="K695" s="33" t="str"/>
      <x:c r="L695" s="33" t="str"/>
      <x:c r="M695" s="44" t="str"/>
      <x:c r="N695" s="50" t="n">
        <x:v>45</x:v>
      </x:c>
      <x:c r="O695" s="53" t="str">
        <x:v>The killing of a school-hockey coach leads to a case in which the defendant claims that he committed the crime while suffering from ""sports rage.""</x:v>
      </x:c>
      <x:c r="P695" s="53" t="str">
        <x:v>Core Law &amp; Order franchise</x:v>
      </x:c>
      <x:c r="Q695" s="17" t="str">
        <x:v>34291</x:v>
      </x:c>
      <x:c r="R695" s="17" t="str">
        <x:v>tt0629470</x:v>
      </x:c>
      <x:c r="S695" s="17" t="str">
        <x:v>439</x:v>
      </x:c>
    </x:row>
    <x:row r="696">
      <x:c r="A696" s="43" t="n">
        <x:v>692</x:v>
      </x:c>
      <x:c r="B696" s="44" t="str">
        <x:v>Not Started</x:v>
      </x:c>
      <x:c r="C696" s="45" t="n">
        <x:v>36881</x:v>
      </x:c>
      <x:c r="D696" s="33" t="str">
        <x:v>Arrest &amp; Trial</x:v>
      </x:c>
      <x:c r="E696" s="33" t="str">
        <x:v>Crossover Adjacent</x:v>
      </x:c>
      <x:c r="F696" s="33" t="str">
        <x:v>complete</x:v>
      </x:c>
      <x:c r="G696" s="50" t="n">
        <x:v>1</x:v>
      </x:c>
      <x:c r="H696" s="50" t="n">
        <x:v>93</x:v>
      </x:c>
      <x:c r="I696" s="44" t="str">
        <x:v>01.93</x:v>
      </x:c>
      <x:c r="J696" s="33" t="str">
        <x:v>Murder by Poison</x:v>
      </x:c>
      <x:c r="K696" s="33" t="str"/>
      <x:c r="L696" s="33" t="str"/>
      <x:c r="M696" s="44" t="str"/>
      <x:c r="N696" s="50" t="n">
        <x:v>30</x:v>
      </x:c>
      <x:c r="O696" s="53" t="str">
        <x:v>A woman’s sudden death baffled authorities until her husband’s first wife came forward, claiming he’d tried to poison her two decades earlier. Secret diaries chronicled not only the victim’s affair, but also her husband’s jealous plan to poison her.</x:v>
      </x:c>
      <x:c r="P696" s="53" t="str">
        <x:v>Dick Wolf reality/legal anthology</x:v>
      </x:c>
      <x:c r="Q696" s="17" t="str">
        <x:v>6853707</x:v>
      </x:c>
      <x:c r="R696" s="17" t="str"/>
      <x:c r="S696" s="17" t="str"/>
    </x:row>
    <x:row r="697">
      <x:c r="A697" s="43" t="n">
        <x:v>693</x:v>
      </x:c>
      <x:c r="B697" s="44" t="str">
        <x:v>Not Started</x:v>
      </x:c>
      <x:c r="C697" s="45" t="n">
        <x:v>36882</x:v>
      </x:c>
      <x:c r="D697" s="33" t="str">
        <x:v>Arrest &amp; Trial</x:v>
      </x:c>
      <x:c r="E697" s="33" t="str">
        <x:v>Crossover Adjacent</x:v>
      </x:c>
      <x:c r="F697" s="33" t="str">
        <x:v>complete</x:v>
      </x:c>
      <x:c r="G697" s="50" t="n">
        <x:v>1</x:v>
      </x:c>
      <x:c r="H697" s="50" t="n">
        <x:v>2</x:v>
      </x:c>
      <x:c r="I697" s="44" t="str">
        <x:v>01.02</x:v>
      </x:c>
      <x:c r="J697" s="33" t="str">
        <x:v>Supermarket Abductor</x:v>
      </x:c>
      <x:c r="K697" s="33" t="str"/>
      <x:c r="L697" s="33" t="str"/>
      <x:c r="M697" s="44" t="str"/>
      <x:c r="N697" s="50" t="n">
        <x:v>30</x:v>
      </x:c>
      <x:c r="O697" s="53" t="str">
        <x:v>A 20-year-old mother never returned from a late-night run to the supermarket. The next morning, her body was discovered, having been sexually assaulted. After detectives canvassed the supermarket and questioned witnesses, they arrested a suspect.</x:v>
      </x:c>
      <x:c r="P697" s="53" t="str">
        <x:v>Dick Wolf reality/legal anthology</x:v>
      </x:c>
      <x:c r="Q697" s="17" t="str">
        <x:v>4464041</x:v>
      </x:c>
      <x:c r="R697" s="17" t="str"/>
      <x:c r="S697" s="17" t="str"/>
    </x:row>
    <x:row r="698">
      <x:c r="A698" s="43" t="n">
        <x:v>694</x:v>
      </x:c>
      <x:c r="B698" s="44" t="str">
        <x:v>Not Started</x:v>
      </x:c>
      <x:c r="C698" s="45" t="n">
        <x:v>36882</x:v>
      </x:c>
      <x:c r="D698" s="33" t="str">
        <x:v>Arrest &amp; Trial</x:v>
      </x:c>
      <x:c r="E698" s="33" t="str">
        <x:v>Crossover Adjacent</x:v>
      </x:c>
      <x:c r="F698" s="33" t="str">
        <x:v>complete</x:v>
      </x:c>
      <x:c r="G698" s="50" t="n">
        <x:v>1</x:v>
      </x:c>
      <x:c r="H698" s="50" t="n">
        <x:v>94</x:v>
      </x:c>
      <x:c r="I698" s="44" t="str">
        <x:v>01.94</x:v>
      </x:c>
      <x:c r="J698" s="33" t="str">
        <x:v>BBQ's and Bloody Marys</x:v>
      </x:c>
      <x:c r="K698" s="33" t="str"/>
      <x:c r="L698" s="33" t="str"/>
      <x:c r="M698" s="44" t="str"/>
      <x:c r="N698" s="50" t="n">
        <x:v>30</x:v>
      </x:c>
      <x:c r="O698" s="53" t="str">
        <x:v>A woman was murdered after an altercation with her boyfriend’s sister at a barbecue.</x:v>
      </x:c>
      <x:c r="P698" s="53" t="str">
        <x:v>Dick Wolf reality/legal anthology</x:v>
      </x:c>
      <x:c r="Q698" s="17" t="str">
        <x:v>6853710</x:v>
      </x:c>
      <x:c r="R698" s="17" t="str"/>
      <x:c r="S698" s="17" t="str"/>
    </x:row>
    <x:row r="699">
      <x:c r="A699" s="43" t="n">
        <x:v>695</x:v>
      </x:c>
      <x:c r="B699" s="44" t="str">
        <x:v>Not Started</x:v>
      </x:c>
      <x:c r="C699" s="45" t="n">
        <x:v>36901</x:v>
      </x:c>
      <x:c r="D699" s="33" t="str">
        <x:v>Law &amp; Order</x:v>
      </x:c>
      <x:c r="E699" s="33" t="str">
        <x:v>Law &amp; Order</x:v>
      </x:c>
      <x:c r="F699" s="33" t="str">
        <x:v>core</x:v>
      </x:c>
      <x:c r="G699" s="50" t="n">
        <x:v>11</x:v>
      </x:c>
      <x:c r="H699" s="50" t="n">
        <x:v>9</x:v>
      </x:c>
      <x:c r="I699" s="44" t="str">
        <x:v>11.09</x:v>
      </x:c>
      <x:c r="J699" s="33" t="str">
        <x:v>Hubris</x:v>
      </x:c>
      <x:c r="K699" s="33" t="str"/>
      <x:c r="L699" s="33" t="str"/>
      <x:c r="M699" s="44" t="str"/>
      <x:c r="N699" s="50" t="n">
        <x:v>45</x:v>
      </x:c>
      <x:c r="O699" s="53" t="str">
        <x:v>An assistant manager at a jewelers discovers four bodies at the store, leading to the prosecution of an amiable murder suspect who insists on representing himself, and winning the admiration of a female juror.</x:v>
      </x:c>
      <x:c r="P699" s="53" t="str">
        <x:v>Core Law &amp; Order franchise</x:v>
      </x:c>
      <x:c r="Q699" s="17" t="str">
        <x:v>34292</x:v>
      </x:c>
      <x:c r="R699" s="17" t="str">
        <x:v>tt0629304</x:v>
      </x:c>
      <x:c r="S699" s="17" t="str">
        <x:v>440</x:v>
      </x:c>
    </x:row>
    <x:row r="700">
      <x:c r="A700" s="43" t="n">
        <x:v>696</x:v>
      </x:c>
      <x:c r="B700" s="44" t="str">
        <x:v>Watched</x:v>
      </x:c>
      <x:c r="C700" s="45" t="n">
        <x:v>36903</x:v>
      </x:c>
      <x:c r="D700" s="33" t="str">
        <x:v>Law &amp; Order: Special Victims Unit</x:v>
      </x:c>
      <x:c r="E700" s="33" t="str">
        <x:v>Law &amp; Order</x:v>
      </x:c>
      <x:c r="F700" s="33" t="str">
        <x:v>core</x:v>
      </x:c>
      <x:c r="G700" s="50" t="n">
        <x:v>2</x:v>
      </x:c>
      <x:c r="H700" s="50" t="n">
        <x:v>9</x:v>
      </x:c>
      <x:c r="I700" s="44" t="str">
        <x:v>02.09</x:v>
      </x:c>
      <x:c r="J700" s="33" t="str">
        <x:v>Pixies</x:v>
      </x:c>
      <x:c r="K700" s="33" t="str"/>
      <x:c r="L700" s="33" t="str"/>
      <x:c r="M700" s="44" t="str"/>
      <x:c r="N700" s="50" t="n">
        <x:v>44</x:v>
      </x:c>
      <x:c r="O700" s="53" t="str">
        <x:v>The investigation of a young gymnast's murder involves her strict trainer, a wealthy benefactor and a competitor. Detectives must look into her pressured lifestyle to find out who did it.</x:v>
      </x:c>
      <x:c r="P700" s="53" t="str">
        <x:v>Core Law &amp; Order franchise</x:v>
      </x:c>
      <x:c r="Q700" s="17" t="str">
        <x:v>224971</x:v>
      </x:c>
      <x:c r="R700" s="17" t="str">
        <x:v>tt0629703</x:v>
      </x:c>
      <x:c r="S700" s="17" t="str">
        <x:v>441</x:v>
      </x:c>
    </x:row>
    <x:row r="701">
      <x:c r="A701" s="43" t="n">
        <x:v>697</x:v>
      </x:c>
      <x:c r="B701" s="44" t="str">
        <x:v>Not Started</x:v>
      </x:c>
      <x:c r="C701" s="45" t="n">
        <x:v>36908</x:v>
      </x:c>
      <x:c r="D701" s="33" t="str">
        <x:v>Law &amp; Order</x:v>
      </x:c>
      <x:c r="E701" s="33" t="str">
        <x:v>Law &amp; Order</x:v>
      </x:c>
      <x:c r="F701" s="33" t="str">
        <x:v>core</x:v>
      </x:c>
      <x:c r="G701" s="50" t="n">
        <x:v>11</x:v>
      </x:c>
      <x:c r="H701" s="50" t="n">
        <x:v>10</x:v>
      </x:c>
      <x:c r="I701" s="44" t="str">
        <x:v>11.10</x:v>
      </x:c>
      <x:c r="J701" s="33" t="str">
        <x:v>Whose Monkey is it Anyway?</x:v>
      </x:c>
      <x:c r="K701" s="33" t="str"/>
      <x:c r="L701" s="33" t="str"/>
      <x:c r="M701" s="44" t="str"/>
      <x:c r="N701" s="50" t="n">
        <x:v>45</x:v>
      </x:c>
      <x:c r="O701" s="53" t="str">
        <x:v>The death of a lab technician and the abduction of 17 infected monkeys lead to a trial involving the treatment of research animals.</x:v>
      </x:c>
      <x:c r="P701" s="53" t="str">
        <x:v>Core Law &amp; Order franchise</x:v>
      </x:c>
      <x:c r="Q701" s="17" t="str">
        <x:v>34293</x:v>
      </x:c>
      <x:c r="R701" s="17" t="str">
        <x:v>tt0629500</x:v>
      </x:c>
      <x:c r="S701" s="17" t="str">
        <x:v>442</x:v>
      </x:c>
    </x:row>
    <x:row r="702">
      <x:c r="A702" s="43" t="n">
        <x:v>698</x:v>
      </x:c>
      <x:c r="B702" s="44" t="str">
        <x:v>Watched</x:v>
      </x:c>
      <x:c r="C702" s="45" t="n">
        <x:v>36910</x:v>
      </x:c>
      <x:c r="D702" s="33" t="str">
        <x:v>Law &amp; Order: Special Victims Unit</x:v>
      </x:c>
      <x:c r="E702" s="33" t="str">
        <x:v>Law &amp; Order</x:v>
      </x:c>
      <x:c r="F702" s="33" t="str">
        <x:v>core</x:v>
      </x:c>
      <x:c r="G702" s="50" t="n">
        <x:v>2</x:v>
      </x:c>
      <x:c r="H702" s="50" t="n">
        <x:v>10</x:v>
      </x:c>
      <x:c r="I702" s="44" t="str">
        <x:v>02.10</x:v>
      </x:c>
      <x:c r="J702" s="33" t="str">
        <x:v>Consent</x:v>
      </x:c>
      <x:c r="K702" s="33" t="str"/>
      <x:c r="L702" s="33" t="str"/>
      <x:c r="M702" s="44" t="str"/>
      <x:c r="N702" s="50" t="n">
        <x:v>44</x:v>
      </x:c>
      <x:c r="O702" s="53" t="str">
        <x:v>A college co-ed is found raped and dazed after a frat party, but can't remember anything that happened. The detectives then find that she had a date rape drug in her system, leaving them with many suspects and accomplices, tho the victim is reluctant to press charges.</x:v>
      </x:c>
      <x:c r="P702" s="53" t="str">
        <x:v>Core Law &amp; Order franchise</x:v>
      </x:c>
      <x:c r="Q702" s="17" t="str">
        <x:v>224972</x:v>
      </x:c>
      <x:c r="R702" s="17" t="str">
        <x:v>tt0629631</x:v>
      </x:c>
      <x:c r="S702" s="17" t="str">
        <x:v>443</x:v>
      </x:c>
    </x:row>
    <x:row r="703">
      <x:c r="A703" s="43" t="n">
        <x:v>699</x:v>
      </x:c>
      <x:c r="B703" s="44" t="str">
        <x:v>Not Started</x:v>
      </x:c>
      <x:c r="C703" s="45" t="n">
        <x:v>36915</x:v>
      </x:c>
      <x:c r="D703" s="33" t="str">
        <x:v>Law &amp; Order</x:v>
      </x:c>
      <x:c r="E703" s="33" t="str">
        <x:v>Law &amp; Order</x:v>
      </x:c>
      <x:c r="F703" s="33" t="str">
        <x:v>core</x:v>
      </x:c>
      <x:c r="G703" s="50" t="n">
        <x:v>11</x:v>
      </x:c>
      <x:c r="H703" s="50" t="n">
        <x:v>11</x:v>
      </x:c>
      <x:c r="I703" s="44" t="str">
        <x:v>11.11</x:v>
      </x:c>
      <x:c r="J703" s="33" t="str">
        <x:v>Sunday in the Park with Jorge</x:v>
      </x:c>
      <x:c r="K703" s="33" t="str"/>
      <x:c r="L703" s="33" t="str"/>
      <x:c r="M703" s="44" t="str"/>
      <x:c r="N703" s="50" t="n">
        <x:v>45</x:v>
      </x:c>
      <x:c r="O703" s="53" t="str">
        <x:v>Following "wilding incidents" in Central Park, a woman's body is found in the lake and the suspects include the deceased's wealthy husband.</x:v>
      </x:c>
      <x:c r="P703" s="53" t="str">
        <x:v>Core Law &amp; Order franchise</x:v>
      </x:c>
      <x:c r="Q703" s="17" t="str">
        <x:v>34294</x:v>
      </x:c>
      <x:c r="R703" s="17" t="str">
        <x:v>tt0629440</x:v>
      </x:c>
      <x:c r="S703" s="17" t="str">
        <x:v>444</x:v>
      </x:c>
    </x:row>
    <x:row r="704">
      <x:c r="A704" s="43" t="n">
        <x:v>700</x:v>
      </x:c>
      <x:c r="B704" s="44" t="str">
        <x:v>Watched</x:v>
      </x:c>
      <x:c r="C704" s="45" t="n">
        <x:v>36917</x:v>
      </x:c>
      <x:c r="D704" s="33" t="str">
        <x:v>Law &amp; Order: Special Victims Unit</x:v>
      </x:c>
      <x:c r="E704" s="33" t="str">
        <x:v>Law &amp; Order</x:v>
      </x:c>
      <x:c r="F704" s="33" t="str">
        <x:v>core</x:v>
      </x:c>
      <x:c r="G704" s="50" t="n">
        <x:v>2</x:v>
      </x:c>
      <x:c r="H704" s="50" t="n">
        <x:v>11</x:v>
      </x:c>
      <x:c r="I704" s="44" t="str">
        <x:v>02.11</x:v>
      </x:c>
      <x:c r="J704" s="33" t="str">
        <x:v>Abuse</x:v>
      </x:c>
      <x:c r="K704" s="33" t="str"/>
      <x:c r="L704" s="33" t="str"/>
      <x:c r="M704" s="44" t="str"/>
      <x:c r="N704" s="50" t="n">
        <x:v>44</x:v>
      </x:c>
      <x:c r="O704" s="53" t="str">
        <x:v>Parental neglect may have led to the tragic death of the son of two famous singers, leading them to fear for his sister. Benson develops a strong attachment to the girl who has a history of serious injuries.</x:v>
      </x:c>
      <x:c r="P704" s="53" t="str">
        <x:v>Core Law &amp; Order franchise</x:v>
      </x:c>
      <x:c r="Q704" s="17" t="str">
        <x:v>224973</x:v>
      </x:c>
      <x:c r="R704" s="17" t="str">
        <x:v>tt0629608</x:v>
      </x:c>
      <x:c r="S704" s="17" t="str">
        <x:v>445</x:v>
      </x:c>
    </x:row>
    <x:row r="705">
      <x:c r="A705" s="43" t="n">
        <x:v>701</x:v>
      </x:c>
      <x:c r="B705" s="44" t="str">
        <x:v>Not Started</x:v>
      </x:c>
      <x:c r="C705" s="45" t="n">
        <x:v>36920</x:v>
      </x:c>
      <x:c r="D705" s="33" t="str">
        <x:v>Arrest &amp; Trial</x:v>
      </x:c>
      <x:c r="E705" s="33" t="str">
        <x:v>Crossover Adjacent</x:v>
      </x:c>
      <x:c r="F705" s="33" t="str">
        <x:v>complete</x:v>
      </x:c>
      <x:c r="G705" s="50" t="n">
        <x:v>1</x:v>
      </x:c>
      <x:c r="H705" s="50" t="n">
        <x:v>95</x:v>
      </x:c>
      <x:c r="I705" s="44" t="str">
        <x:v>01.95</x:v>
      </x:c>
      <x:c r="J705" s="33" t="str">
        <x:v>M.O.: A Sinister Kiss</x:v>
      </x:c>
      <x:c r="K705" s="33" t="str"/>
      <x:c r="L705" s="33" t="str"/>
      <x:c r="M705" s="44" t="str"/>
      <x:c r="N705" s="50" t="n">
        <x:v>30</x:v>
      </x:c>
      <x:c r="O705" s="53" t="str">
        <x:v>A serial sexual attacker tormented his victims by insisting that they pretend he was their boyfriend.</x:v>
      </x:c>
      <x:c r="P705" s="53" t="str">
        <x:v>Dick Wolf reality/legal anthology</x:v>
      </x:c>
      <x:c r="Q705" s="17" t="str">
        <x:v>6853712</x:v>
      </x:c>
      <x:c r="R705" s="17" t="str"/>
      <x:c r="S705" s="17" t="str"/>
    </x:row>
    <x:row r="706">
      <x:c r="A706" s="43" t="n">
        <x:v>702</x:v>
      </x:c>
      <x:c r="B706" s="44" t="str">
        <x:v>Not Started</x:v>
      </x:c>
      <x:c r="C706" s="45" t="n">
        <x:v>36921</x:v>
      </x:c>
      <x:c r="D706" s="33" t="str">
        <x:v>Arrest &amp; Trial</x:v>
      </x:c>
      <x:c r="E706" s="33" t="str">
        <x:v>Crossover Adjacent</x:v>
      </x:c>
      <x:c r="F706" s="33" t="str">
        <x:v>complete</x:v>
      </x:c>
      <x:c r="G706" s="50" t="n">
        <x:v>1</x:v>
      </x:c>
      <x:c r="H706" s="50" t="n">
        <x:v>96</x:v>
      </x:c>
      <x:c r="I706" s="44" t="str">
        <x:v>01.96</x:v>
      </x:c>
      <x:c r="J706" s="33" t="str">
        <x:v>Trust Fund Murder Exposed</x:v>
      </x:c>
      <x:c r="K706" s="33" t="str"/>
      <x:c r="L706" s="33" t="str"/>
      <x:c r="M706" s="44" t="str"/>
      <x:c r="N706" s="50" t="n">
        <x:v>30</x:v>
      </x:c>
      <x:c r="O706" s="53" t="str">
        <x:v>The murder of a paraplegic man by a family friend led police to a cold-blooded killer. Police learned that he had earlier killed yet another friend and neighbor and then took over his victim’s identity in order to steal the victim’s trust fund.</x:v>
      </x:c>
      <x:c r="P706" s="53" t="str">
        <x:v>Dick Wolf reality/legal anthology</x:v>
      </x:c>
      <x:c r="Q706" s="17" t="str">
        <x:v>6853714</x:v>
      </x:c>
      <x:c r="R706" s="17" t="str"/>
      <x:c r="S706" s="17" t="str"/>
    </x:row>
    <x:row r="707">
      <x:c r="A707" s="43" t="n">
        <x:v>703</x:v>
      </x:c>
      <x:c r="B707" s="44" t="str">
        <x:v>Not Started</x:v>
      </x:c>
      <x:c r="C707" s="45" t="n">
        <x:v>36922</x:v>
      </x:c>
      <x:c r="D707" s="33" t="str">
        <x:v>Arrest &amp; Trial</x:v>
      </x:c>
      <x:c r="E707" s="33" t="str">
        <x:v>Crossover Adjacent</x:v>
      </x:c>
      <x:c r="F707" s="33" t="str">
        <x:v>complete</x:v>
      </x:c>
      <x:c r="G707" s="50" t="n">
        <x:v>1</x:v>
      </x:c>
      <x:c r="H707" s="50" t="n">
        <x:v>97</x:v>
      </x:c>
      <x:c r="I707" s="44" t="str">
        <x:v>01.97</x:v>
      </x:c>
      <x:c r="J707" s="33" t="str">
        <x:v>Evil Twin</x:v>
      </x:c>
      <x:c r="K707" s="33" t="str"/>
      <x:c r="L707" s="33" t="str"/>
      <x:c r="M707" s="44" t="str"/>
      <x:c r="N707" s="50" t="n">
        <x:v>30</x:v>
      </x:c>
      <x:c r="O707" s="53" t="str">
        <x:v>A desperate 911 call during a home invasion revealed a complicated murder-for-hire plot that uncovered a twisted sibling rivalry. The controversial case of the Hahn sisters captured national headlines.</x:v>
      </x:c>
      <x:c r="P707" s="53" t="str">
        <x:v>Dick Wolf reality/legal anthology</x:v>
      </x:c>
      <x:c r="Q707" s="17" t="str">
        <x:v>6853716</x:v>
      </x:c>
      <x:c r="R707" s="17" t="str"/>
      <x:c r="S707" s="17" t="str"/>
    </x:row>
    <x:row r="708">
      <x:c r="A708" s="43" t="n">
        <x:v>704</x:v>
      </x:c>
      <x:c r="B708" s="44" t="str">
        <x:v>Not Started</x:v>
      </x:c>
      <x:c r="C708" s="45" t="n">
        <x:v>36923</x:v>
      </x:c>
      <x:c r="D708" s="33" t="str">
        <x:v>Arrest &amp; Trial</x:v>
      </x:c>
      <x:c r="E708" s="33" t="str">
        <x:v>Crossover Adjacent</x:v>
      </x:c>
      <x:c r="F708" s="33" t="str">
        <x:v>complete</x:v>
      </x:c>
      <x:c r="G708" s="50" t="n">
        <x:v>1</x:v>
      </x:c>
      <x:c r="H708" s="50" t="n">
        <x:v>98</x:v>
      </x:c>
      <x:c r="I708" s="44" t="str">
        <x:v>01.98</x:v>
      </x:c>
      <x:c r="J708" s="33" t="str">
        <x:v>Miami Blues</x:v>
      </x:c>
      <x:c r="K708" s="33" t="str"/>
      <x:c r="L708" s="33" t="str"/>
      <x:c r="M708" s="44" t="str"/>
      <x:c r="N708" s="50" t="n">
        <x:v>30</x:v>
      </x:c>
      <x:c r="O708" s="53" t="str">
        <x:v>A young girl was on the telephone with her father when a trio of criminals entered their home at gunpoint.</x:v>
      </x:c>
      <x:c r="P708" s="53" t="str">
        <x:v>Dick Wolf reality/legal anthology</x:v>
      </x:c>
      <x:c r="Q708" s="17" t="str">
        <x:v>6853718</x:v>
      </x:c>
      <x:c r="R708" s="17" t="str"/>
      <x:c r="S708" s="17" t="str"/>
    </x:row>
    <x:row r="709">
      <x:c r="A709" s="43" t="n">
        <x:v>705</x:v>
      </x:c>
      <x:c r="B709" s="44" t="str">
        <x:v>Not Started</x:v>
      </x:c>
      <x:c r="C709" s="45" t="n">
        <x:v>36924</x:v>
      </x:c>
      <x:c r="D709" s="33" t="str">
        <x:v>Arrest &amp; Trial</x:v>
      </x:c>
      <x:c r="E709" s="33" t="str">
        <x:v>Crossover Adjacent</x:v>
      </x:c>
      <x:c r="F709" s="33" t="str">
        <x:v>complete</x:v>
      </x:c>
      <x:c r="G709" s="50" t="n">
        <x:v>1</x:v>
      </x:c>
      <x:c r="H709" s="50" t="n">
        <x:v>99</x:v>
      </x:c>
      <x:c r="I709" s="44" t="str">
        <x:v>01.99</x:v>
      </x:c>
      <x:c r="J709" s="33" t="str">
        <x:v>Baby Snatcher</x:v>
      </x:c>
      <x:c r="K709" s="33" t="str"/>
      <x:c r="L709" s="33" t="str"/>
      <x:c r="M709" s="44" t="str"/>
      <x:c r="N709" s="50" t="n">
        <x:v>30</x:v>
      </x:c>
      <x:c r="O709" s="53" t="str">
        <x:v>The police were called when a pregnant woman disappeared just days before giving birth. The investigation led authorities to a family friend who eventually claimed she’d made a deal with the young mother to raise her baby</x:v>
      </x:c>
      <x:c r="P709" s="53" t="str">
        <x:v>Dick Wolf reality/legal anthology</x:v>
      </x:c>
      <x:c r="Q709" s="17" t="str">
        <x:v>6853719</x:v>
      </x:c>
      <x:c r="R709" s="17" t="str"/>
      <x:c r="S709" s="17" t="str"/>
    </x:row>
    <x:row r="710">
      <x:c r="A710" s="43" t="n">
        <x:v>706</x:v>
      </x:c>
      <x:c r="B710" s="44" t="str">
        <x:v>Watched</x:v>
      </x:c>
      <x:c r="C710" s="45" t="n">
        <x:v>36924</x:v>
      </x:c>
      <x:c r="D710" s="33" t="str">
        <x:v>Law &amp; Order: Special Victims Unit</x:v>
      </x:c>
      <x:c r="E710" s="33" t="str">
        <x:v>Law &amp; Order</x:v>
      </x:c>
      <x:c r="F710" s="33" t="str">
        <x:v>core</x:v>
      </x:c>
      <x:c r="G710" s="50" t="n">
        <x:v>2</x:v>
      </x:c>
      <x:c r="H710" s="50" t="n">
        <x:v>12</x:v>
      </x:c>
      <x:c r="I710" s="44" t="str">
        <x:v>02.12</x:v>
      </x:c>
      <x:c r="J710" s="33" t="str">
        <x:v>Secrets</x:v>
      </x:c>
      <x:c r="K710" s="33" t="str"/>
      <x:c r="L710" s="33" t="str"/>
      <x:c r="M710" s="44" t="str"/>
      <x:c r="N710" s="50" t="n">
        <x:v>44</x:v>
      </x:c>
      <x:c r="O710" s="53" t="str">
        <x:v>An exceptional teacher, who helped inner city kids get into college, led a dangerous double life as a sex addict. When she is murdered, there is a long list of suspects but the case hits a snag after the woman's illicit sexual history is exposed.</x:v>
      </x:c>
      <x:c r="P710" s="53" t="str">
        <x:v>Core Law &amp; Order franchise</x:v>
      </x:c>
      <x:c r="Q710" s="17" t="str">
        <x:v>224974</x:v>
      </x:c>
      <x:c r="R710" s="17" t="str">
        <x:v>tt0629729</x:v>
      </x:c>
      <x:c r="S710" s="17" t="str">
        <x:v>446</x:v>
      </x:c>
    </x:row>
    <x:row r="711">
      <x:c r="A711" s="43" t="n">
        <x:v>707</x:v>
      </x:c>
      <x:c r="B711" s="44" t="str">
        <x:v>Not Started</x:v>
      </x:c>
      <x:c r="C711" s="45" t="n">
        <x:v>36927</x:v>
      </x:c>
      <x:c r="D711" s="33" t="str">
        <x:v>Arrest &amp; Trial</x:v>
      </x:c>
      <x:c r="E711" s="33" t="str">
        <x:v>Crossover Adjacent</x:v>
      </x:c>
      <x:c r="F711" s="33" t="str">
        <x:v>complete</x:v>
      </x:c>
      <x:c r="G711" s="50" t="n">
        <x:v>1</x:v>
      </x:c>
      <x:c r="H711" s="50" t="n">
        <x:v>100</x:v>
      </x:c>
      <x:c r="I711" s="44" t="str">
        <x:v>01.100</x:v>
      </x:c>
      <x:c r="J711" s="33" t="str">
        <x:v>Riddle Me This</x:v>
      </x:c>
      <x:c r="K711" s="33" t="str"/>
      <x:c r="L711" s="33" t="str"/>
      <x:c r="M711" s="44" t="str"/>
      <x:c r="N711" s="50" t="n">
        <x:v>30</x:v>
      </x:c>
      <x:c r="O711" s="53" t="str">
        <x:v>Nine days after a 12-year-old girl disappeared on Halloween night, police received an anonymous letter leading them to her body. The killer taunted detectives with cryptic messages and threatened to kill again unless police solved the riddles.</x:v>
      </x:c>
      <x:c r="P711" s="53" t="str">
        <x:v>Dick Wolf reality/legal anthology</x:v>
      </x:c>
      <x:c r="Q711" s="17" t="str">
        <x:v>6853722</x:v>
      </x:c>
      <x:c r="R711" s="17" t="str"/>
      <x:c r="S711" s="17" t="str"/>
    </x:row>
    <x:row r="712">
      <x:c r="A712" s="43" t="n">
        <x:v>708</x:v>
      </x:c>
      <x:c r="B712" s="44" t="str">
        <x:v>Not Started</x:v>
      </x:c>
      <x:c r="C712" s="45" t="n">
        <x:v>36928</x:v>
      </x:c>
      <x:c r="D712" s="33" t="str">
        <x:v>Arrest &amp; Trial</x:v>
      </x:c>
      <x:c r="E712" s="33" t="str">
        <x:v>Crossover Adjacent</x:v>
      </x:c>
      <x:c r="F712" s="33" t="str">
        <x:v>complete</x:v>
      </x:c>
      <x:c r="G712" s="50" t="n">
        <x:v>1</x:v>
      </x:c>
      <x:c r="H712" s="50" t="n">
        <x:v>101</x:v>
      </x:c>
      <x:c r="I712" s="44" t="str">
        <x:v>01.101</x:v>
      </x:c>
      <x:c r="J712" s="33" t="str">
        <x:v>Burning Love</x:v>
      </x:c>
      <x:c r="K712" s="33" t="str"/>
      <x:c r="L712" s="33" t="str"/>
      <x:c r="M712" s="44" t="str"/>
      <x:c r="N712" s="50" t="n">
        <x:v>30</x:v>
      </x:c>
      <x:c r="O712" s="53" t="str">
        <x:v>Police were dispatched to a burning car found in a remote area.</x:v>
      </x:c>
      <x:c r="P712" s="53" t="str">
        <x:v>Dick Wolf reality/legal anthology</x:v>
      </x:c>
      <x:c r="Q712" s="17" t="str">
        <x:v>6853723</x:v>
      </x:c>
      <x:c r="R712" s="17" t="str"/>
      <x:c r="S712" s="17" t="str"/>
    </x:row>
    <x:row r="713">
      <x:c r="A713" s="43" t="n">
        <x:v>709</x:v>
      </x:c>
      <x:c r="B713" s="44" t="str">
        <x:v>Not Started</x:v>
      </x:c>
      <x:c r="C713" s="45" t="n">
        <x:v>36929</x:v>
      </x:c>
      <x:c r="D713" s="33" t="str">
        <x:v>Arrest &amp; Trial</x:v>
      </x:c>
      <x:c r="E713" s="33" t="str">
        <x:v>Crossover Adjacent</x:v>
      </x:c>
      <x:c r="F713" s="33" t="str">
        <x:v>complete</x:v>
      </x:c>
      <x:c r="G713" s="50" t="n">
        <x:v>1</x:v>
      </x:c>
      <x:c r="H713" s="50" t="n">
        <x:v>102</x:v>
      </x:c>
      <x:c r="I713" s="44" t="str">
        <x:v>01.102</x:v>
      </x:c>
      <x:c r="J713" s="33" t="str">
        <x:v>Woodland Hills Murder</x:v>
      </x:c>
      <x:c r="K713" s="33" t="str"/>
      <x:c r="L713" s="33" t="str"/>
      <x:c r="M713" s="44" t="str"/>
      <x:c r="N713" s="50" t="n">
        <x:v>30</x:v>
      </x:c>
      <x:c r="O713" s="53" t="str">
        <x:v>A young girl's kidnapping, sexual assault and subsequent murder horrified authorities and the local community. Police found her body inside a suitcase located in a neighbor's apartment. Although the prosecution of the male neighbor was successful, the lead detective on the case left homicide squad one year later not wanting to ever handle another child homicide.</x:v>
      </x:c>
      <x:c r="P713" s="53" t="str">
        <x:v>Dick Wolf reality/legal anthology</x:v>
      </x:c>
      <x:c r="Q713" s="17" t="str">
        <x:v>6853727</x:v>
      </x:c>
      <x:c r="R713" s="17" t="str"/>
      <x:c r="S713" s="17" t="str"/>
    </x:row>
    <x:row r="714">
      <x:c r="A714" s="43" t="n">
        <x:v>710</x:v>
      </x:c>
      <x:c r="B714" s="44" t="str">
        <x:v>Not Started</x:v>
      </x:c>
      <x:c r="C714" s="45" t="n">
        <x:v>36929</x:v>
      </x:c>
      <x:c r="D714" s="33" t="str">
        <x:v>Law &amp; Order</x:v>
      </x:c>
      <x:c r="E714" s="33" t="str">
        <x:v>Law &amp; Order</x:v>
      </x:c>
      <x:c r="F714" s="33" t="str">
        <x:v>core</x:v>
      </x:c>
      <x:c r="G714" s="50" t="n">
        <x:v>11</x:v>
      </x:c>
      <x:c r="H714" s="50" t="n">
        <x:v>12</x:v>
      </x:c>
      <x:c r="I714" s="44" t="str">
        <x:v>11.12</x:v>
      </x:c>
      <x:c r="J714" s="33" t="str">
        <x:v>Teenage Wasteland</x:v>
      </x:c>
      <x:c r="K714" s="33" t="str"/>
      <x:c r="L714" s="33" t="str"/>
      <x:c r="M714" s="44" t="str"/>
      <x:c r="N714" s="50" t="n">
        <x:v>45</x:v>
      </x:c>
      <x:c r="O714" s="53" t="str">
        <x:v>The beating death of a restaurant owner leads Briscoe and Green to thrill-seeking teenagers; McCoy and Lewin are forced to decide how young is too young for the death penalty.</x:v>
      </x:c>
      <x:c r="P714" s="53" t="str">
        <x:v>Core Law &amp; Order franchise</x:v>
      </x:c>
      <x:c r="Q714" s="17" t="str">
        <x:v>34295</x:v>
      </x:c>
      <x:c r="R714" s="17" t="str">
        <x:v>tt0629449</x:v>
      </x:c>
      <x:c r="S714" s="17" t="str">
        <x:v>447</x:v>
      </x:c>
    </x:row>
    <x:row r="715">
      <x:c r="A715" s="43" t="n">
        <x:v>711</x:v>
      </x:c>
      <x:c r="B715" s="44" t="str">
        <x:v>Not Started</x:v>
      </x:c>
      <x:c r="C715" s="45" t="n">
        <x:v>36930</x:v>
      </x:c>
      <x:c r="D715" s="33" t="str">
        <x:v>Arrest &amp; Trial</x:v>
      </x:c>
      <x:c r="E715" s="33" t="str">
        <x:v>Crossover Adjacent</x:v>
      </x:c>
      <x:c r="F715" s="33" t="str">
        <x:v>complete</x:v>
      </x:c>
      <x:c r="G715" s="50" t="n">
        <x:v>1</x:v>
      </x:c>
      <x:c r="H715" s="50" t="n">
        <x:v>103</x:v>
      </x:c>
      <x:c r="I715" s="44" t="str">
        <x:v>01.103</x:v>
      </x:c>
      <x:c r="J715" s="33" t="str">
        <x:v>Slave Ranch</x:v>
      </x:c>
      <x:c r="K715" s="33" t="str"/>
      <x:c r="L715" s="33" t="str"/>
      <x:c r="M715" s="44" t="str"/>
      <x:c r="N715" s="50" t="n">
        <x:v>30</x:v>
      </x:c>
      <x:c r="O715" s="53" t="str">
        <x:v>A Texas Rangers investigation uncovered a family of men luring drifters to their ranch, torturing them and holding them at gunpoint.</x:v>
      </x:c>
      <x:c r="P715" s="53" t="str">
        <x:v>Dick Wolf reality/legal anthology</x:v>
      </x:c>
      <x:c r="Q715" s="17" t="str">
        <x:v>6853728</x:v>
      </x:c>
      <x:c r="R715" s="17" t="str"/>
      <x:c r="S715" s="17" t="str"/>
    </x:row>
    <x:row r="716">
      <x:c r="A716" s="43" t="n">
        <x:v>712</x:v>
      </x:c>
      <x:c r="B716" s="44" t="str">
        <x:v>Not Started</x:v>
      </x:c>
      <x:c r="C716" s="45" t="n">
        <x:v>36931</x:v>
      </x:c>
      <x:c r="D716" s="33" t="str">
        <x:v>Arrest &amp; Trial</x:v>
      </x:c>
      <x:c r="E716" s="33" t="str">
        <x:v>Crossover Adjacent</x:v>
      </x:c>
      <x:c r="F716" s="33" t="str">
        <x:v>complete</x:v>
      </x:c>
      <x:c r="G716" s="50" t="n">
        <x:v>1</x:v>
      </x:c>
      <x:c r="H716" s="50" t="n">
        <x:v>104</x:v>
      </x:c>
      <x:c r="I716" s="44" t="str">
        <x:v>01.104</x:v>
      </x:c>
      <x:c r="J716" s="33" t="str">
        <x:v>Three Out of Four</x:v>
      </x:c>
      <x:c r="K716" s="33" t="str"/>
      <x:c r="L716" s="33" t="str"/>
      <x:c r="M716" s="44" t="str"/>
      <x:c r="N716" s="50" t="n">
        <x:v>30</x:v>
      </x:c>
      <x:c r="O716" s="53" t="str">
        <x:v>After a Philippine mail-order-bride vanished, police questioned her husband, a retired Army Master Sergeant. The investigation uncovered that his first wife died 17 years earlier under suspicious circumstances. The older case was re-opened and further questioning revealed surprising leads in the current missing person's case.</x:v>
      </x:c>
      <x:c r="P716" s="53" t="str">
        <x:v>Dick Wolf reality/legal anthology</x:v>
      </x:c>
      <x:c r="Q716" s="17" t="str">
        <x:v>6853732</x:v>
      </x:c>
      <x:c r="R716" s="17" t="str"/>
      <x:c r="S716" s="17" t="str"/>
    </x:row>
    <x:row r="717">
      <x:c r="A717" s="43" t="n">
        <x:v>713</x:v>
      </x:c>
      <x:c r="B717" s="44" t="str">
        <x:v>Watched</x:v>
      </x:c>
      <x:c r="C717" s="45" t="n">
        <x:v>36931</x:v>
      </x:c>
      <x:c r="D717" s="33" t="str">
        <x:v>Law &amp; Order: Special Victims Unit</x:v>
      </x:c>
      <x:c r="E717" s="33" t="str">
        <x:v>Law &amp; Order</x:v>
      </x:c>
      <x:c r="F717" s="33" t="str">
        <x:v>core</x:v>
      </x:c>
      <x:c r="G717" s="50" t="n">
        <x:v>2</x:v>
      </x:c>
      <x:c r="H717" s="50" t="n">
        <x:v>13</x:v>
      </x:c>
      <x:c r="I717" s="44" t="str">
        <x:v>02.13</x:v>
      </x:c>
      <x:c r="J717" s="33" t="str">
        <x:v>Victims</x:v>
      </x:c>
      <x:c r="K717" s="33" t="str"/>
      <x:c r="L717" s="33" t="str"/>
      <x:c r="M717" s="44" t="str"/>
      <x:c r="N717" s="50" t="n">
        <x:v>44</x:v>
      </x:c>
      <x:c r="O717" s="53" t="str">
        <x:v>A former police officer, now a community activist, is a suspect in the murders of known sex offenders, all of whom share a certain characteristic that scars their victims for life. The detectives find it's difficult to protect potential victims when they used to be perps as they investigate the murders of two convicted rapists.</x:v>
      </x:c>
      <x:c r="P717" s="53" t="str">
        <x:v>Core Law &amp; Order franchise</x:v>
      </x:c>
      <x:c r="Q717" s="17" t="str">
        <x:v>224975</x:v>
      </x:c>
      <x:c r="R717" s="17" t="str">
        <x:v>tt0629751</x:v>
      </x:c>
      <x:c r="S717" s="17" t="str">
        <x:v>448</x:v>
      </x:c>
    </x:row>
    <x:row r="718">
      <x:c r="A718" s="43" t="n">
        <x:v>714</x:v>
      </x:c>
      <x:c r="B718" s="44" t="str">
        <x:v>Not Started</x:v>
      </x:c>
      <x:c r="C718" s="45" t="n">
        <x:v>36934</x:v>
      </x:c>
      <x:c r="D718" s="33" t="str">
        <x:v>Arrest &amp; Trial</x:v>
      </x:c>
      <x:c r="E718" s="33" t="str">
        <x:v>Crossover Adjacent</x:v>
      </x:c>
      <x:c r="F718" s="33" t="str">
        <x:v>complete</x:v>
      </x:c>
      <x:c r="G718" s="50" t="n">
        <x:v>1</x:v>
      </x:c>
      <x:c r="H718" s="50" t="n">
        <x:v>105</x:v>
      </x:c>
      <x:c r="I718" s="44" t="str">
        <x:v>01.105</x:v>
      </x:c>
      <x:c r="J718" s="33" t="str">
        <x:v>Slumber Party Abduction</x:v>
      </x:c>
      <x:c r="K718" s="33" t="str"/>
      <x:c r="L718" s="33" t="str"/>
      <x:c r="M718" s="44" t="str"/>
      <x:c r="N718" s="50" t="n">
        <x:v>30</x:v>
      </x:c>
      <x:c r="O718" s="53" t="str">
        <x:v>When 12-year-old Polly Klaas was abducted from her home during a slumber party, a manhunt immediately ensued. On day 58 of the search, authorities got a break in the case when they arrested a suspect with a record of kidnapping and sexual assault.</x:v>
      </x:c>
      <x:c r="P718" s="53" t="str">
        <x:v>Dick Wolf reality/legal anthology</x:v>
      </x:c>
      <x:c r="Q718" s="17" t="str">
        <x:v>6853735</x:v>
      </x:c>
      <x:c r="R718" s="17" t="str"/>
      <x:c r="S718" s="17" t="str"/>
    </x:row>
    <x:row r="719">
      <x:c r="A719" s="43" t="n">
        <x:v>715</x:v>
      </x:c>
      <x:c r="B719" s="44" t="str">
        <x:v>Not Started</x:v>
      </x:c>
      <x:c r="C719" s="45" t="n">
        <x:v>36935</x:v>
      </x:c>
      <x:c r="D719" s="33" t="str">
        <x:v>Arrest &amp; Trial</x:v>
      </x:c>
      <x:c r="E719" s="33" t="str">
        <x:v>Crossover Adjacent</x:v>
      </x:c>
      <x:c r="F719" s="33" t="str">
        <x:v>complete</x:v>
      </x:c>
      <x:c r="G719" s="50" t="n">
        <x:v>1</x:v>
      </x:c>
      <x:c r="H719" s="50" t="n">
        <x:v>106</x:v>
      </x:c>
      <x:c r="I719" s="44" t="str">
        <x:v>01.106</x:v>
      </x:c>
      <x:c r="J719" s="33" t="str">
        <x:v>Risky High-Rise Robber</x:v>
      </x:c>
      <x:c r="K719" s="33" t="str"/>
      <x:c r="L719" s="33" t="str"/>
      <x:c r="M719" s="44" t="str"/>
      <x:c r="N719" s="50" t="n">
        <x:v>30</x:v>
      </x:c>
      <x:c r="O719" s="53" t="str">
        <x:v>Over the course of five years, a daring thief scaled luxury, high-rise condominiums and walked away with millions in cash and jewelry.</x:v>
      </x:c>
      <x:c r="P719" s="53" t="str">
        <x:v>Dick Wolf reality/legal anthology</x:v>
      </x:c>
      <x:c r="Q719" s="17" t="str">
        <x:v>6853737</x:v>
      </x:c>
      <x:c r="R719" s="17" t="str"/>
      <x:c r="S719" s="17" t="str"/>
    </x:row>
    <x:row r="720">
      <x:c r="A720" s="43" t="n">
        <x:v>716</x:v>
      </x:c>
      <x:c r="B720" s="44" t="str">
        <x:v>Not Started</x:v>
      </x:c>
      <x:c r="C720" s="45" t="n">
        <x:v>36936</x:v>
      </x:c>
      <x:c r="D720" s="33" t="str">
        <x:v>Arrest &amp; Trial</x:v>
      </x:c>
      <x:c r="E720" s="33" t="str">
        <x:v>Crossover Adjacent</x:v>
      </x:c>
      <x:c r="F720" s="33" t="str">
        <x:v>complete</x:v>
      </x:c>
      <x:c r="G720" s="50" t="n">
        <x:v>1</x:v>
      </x:c>
      <x:c r="H720" s="50" t="n">
        <x:v>107</x:v>
      </x:c>
      <x:c r="I720" s="44" t="str">
        <x:v>01.107</x:v>
      </x:c>
      <x:c r="J720" s="33" t="str">
        <x:v>Burton Boys</x:v>
      </x:c>
      <x:c r="K720" s="33" t="str"/>
      <x:c r="L720" s="33" t="str"/>
      <x:c r="M720" s="44" t="str"/>
      <x:c r="N720" s="50" t="n">
        <x:v>30</x:v>
      </x:c>
      <x:c r="O720" s="53" t="str">
        <x:v>A small, sleepy South Carolina town became home to the Burton Boys, a highly sophisticated drug distribution ring. Their leader suspected that a teenage girl was working with police as an informant, and he was later charged in her death.</x:v>
      </x:c>
      <x:c r="P720" s="53" t="str">
        <x:v>Dick Wolf reality/legal anthology</x:v>
      </x:c>
      <x:c r="Q720" s="17" t="str">
        <x:v>6853739</x:v>
      </x:c>
      <x:c r="R720" s="17" t="str"/>
      <x:c r="S720" s="17" t="str"/>
    </x:row>
    <x:row r="721">
      <x:c r="A721" s="43" t="n">
        <x:v>717</x:v>
      </x:c>
      <x:c r="B721" s="44" t="str">
        <x:v>Not Started</x:v>
      </x:c>
      <x:c r="C721" s="45" t="n">
        <x:v>36936</x:v>
      </x:c>
      <x:c r="D721" s="33" t="str">
        <x:v>Law &amp; Order</x:v>
      </x:c>
      <x:c r="E721" s="33" t="str">
        <x:v>Law &amp; Order</x:v>
      </x:c>
      <x:c r="F721" s="33" t="str">
        <x:v>core</x:v>
      </x:c>
      <x:c r="G721" s="50" t="n">
        <x:v>11</x:v>
      </x:c>
      <x:c r="H721" s="50" t="n">
        <x:v>13</x:v>
      </x:c>
      <x:c r="I721" s="44" t="str">
        <x:v>11.13</x:v>
      </x:c>
      <x:c r="J721" s="33" t="str">
        <x:v>Phobia</x:v>
      </x:c>
      <x:c r="K721" s="33" t="str"/>
      <x:c r="L721" s="33" t="str"/>
      <x:c r="M721" s="44" t="str"/>
      <x:c r="N721" s="50" t="n">
        <x:v>45</x:v>
      </x:c>
      <x:c r="O721" s="53" t="str">
        <x:v>When a gay man is beaten to death during the abduction of his adopted infant son, Detectives Briscoe and Green suspect that ransom from the murder victim's wealthy partner may have been the motive for the crime. But as more is learned about the child's birth mother and homophobic biological father, Assistant D.A.'s McCoy and Carmichael find that what appeared to be a botched kidnapping might be more accurately prosecuted as a hate crime.</x:v>
      </x:c>
      <x:c r="P721" s="53" t="str">
        <x:v>Core Law &amp; Order franchise</x:v>
      </x:c>
      <x:c r="Q721" s="17" t="str">
        <x:v>34296</x:v>
      </x:c>
      <x:c r="R721" s="17" t="str">
        <x:v>tt0629374</x:v>
      </x:c>
      <x:c r="S721" s="17" t="str">
        <x:v>449</x:v>
      </x:c>
    </x:row>
    <x:row r="722">
      <x:c r="A722" s="43" t="n">
        <x:v>718</x:v>
      </x:c>
      <x:c r="B722" s="44" t="str">
        <x:v>Not Started</x:v>
      </x:c>
      <x:c r="C722" s="45" t="n">
        <x:v>36937</x:v>
      </x:c>
      <x:c r="D722" s="33" t="str">
        <x:v>Arrest &amp; Trial</x:v>
      </x:c>
      <x:c r="E722" s="33" t="str">
        <x:v>Crossover Adjacent</x:v>
      </x:c>
      <x:c r="F722" s="33" t="str">
        <x:v>complete</x:v>
      </x:c>
      <x:c r="G722" s="50" t="n">
        <x:v>1</x:v>
      </x:c>
      <x:c r="H722" s="50" t="n">
        <x:v>108</x:v>
      </x:c>
      <x:c r="I722" s="44" t="str">
        <x:v>01.108</x:v>
      </x:c>
      <x:c r="J722" s="33" t="str">
        <x:v>A Very Evil Man</x:v>
      </x:c>
      <x:c r="K722" s="33" t="str"/>
      <x:c r="L722" s="33" t="str"/>
      <x:c r="M722" s="44" t="str"/>
      <x:c r="N722" s="50" t="n">
        <x:v>30</x:v>
      </x:c>
      <x:c r="O722" s="53" t="str">
        <x:v>For over a year, a serial sexual attacker terrorized women in their homes despite a special police task force set up to capture him. His youngest victim was just 13 years old. The predator left very few clues and later attacked the girl's mother.</x:v>
      </x:c>
      <x:c r="P722" s="53" t="str">
        <x:v>Dick Wolf reality/legal anthology</x:v>
      </x:c>
      <x:c r="Q722" s="17" t="str">
        <x:v>6853740</x:v>
      </x:c>
      <x:c r="R722" s="17" t="str"/>
      <x:c r="S722" s="17" t="str"/>
    </x:row>
    <x:row r="723">
      <x:c r="A723" s="43" t="n">
        <x:v>719</x:v>
      </x:c>
      <x:c r="B723" s="44" t="str">
        <x:v>Not Started</x:v>
      </x:c>
      <x:c r="C723" s="45" t="n">
        <x:v>36938</x:v>
      </x:c>
      <x:c r="D723" s="33" t="str">
        <x:v>Arrest &amp; Trial</x:v>
      </x:c>
      <x:c r="E723" s="33" t="str">
        <x:v>Crossover Adjacent</x:v>
      </x:c>
      <x:c r="F723" s="33" t="str">
        <x:v>complete</x:v>
      </x:c>
      <x:c r="G723" s="50" t="n">
        <x:v>1</x:v>
      </x:c>
      <x:c r="H723" s="50" t="n">
        <x:v>109</x:v>
      </x:c>
      <x:c r="I723" s="44" t="str">
        <x:v>01.109</x:v>
      </x:c>
      <x:c r="J723" s="33" t="str">
        <x:v>Operation: Gorilla</x:v>
      </x:c>
      <x:c r="K723" s="33" t="str"/>
      <x:c r="L723" s="33" t="str"/>
      <x:c r="M723" s="44" t="str"/>
      <x:c r="N723" s="50" t="n">
        <x:v>30</x:v>
      </x:c>
      <x:c r="O723" s="53" t="str">
        <x:v>U.S. Fish and Wildlife agents orchestrated an elaborate sting operation in order to stop smugglers from selling and transporting live gorillas from the U.S. to Mexico. The agents were unable to secure a live gorilla for the sting, so they had one of their officers dress in a gorilla costume and pose as one of the endangered species</x:v>
      </x:c>
      <x:c r="P723" s="53" t="str">
        <x:v>Dick Wolf reality/legal anthology</x:v>
      </x:c>
      <x:c r="Q723" s="17" t="str">
        <x:v>6853743</x:v>
      </x:c>
      <x:c r="R723" s="17" t="str"/>
      <x:c r="S723" s="17" t="str"/>
    </x:row>
    <x:row r="724">
      <x:c r="A724" s="43" t="n">
        <x:v>720</x:v>
      </x:c>
      <x:c r="B724" s="44" t="str">
        <x:v>Watched</x:v>
      </x:c>
      <x:c r="C724" s="45" t="n">
        <x:v>36938</x:v>
      </x:c>
      <x:c r="D724" s="33" t="str">
        <x:v>Law &amp; Order: Special Victims Unit</x:v>
      </x:c>
      <x:c r="E724" s="33" t="str">
        <x:v>Law &amp; Order</x:v>
      </x:c>
      <x:c r="F724" s="33" t="str">
        <x:v>core</x:v>
      </x:c>
      <x:c r="G724" s="50" t="n">
        <x:v>2</x:v>
      </x:c>
      <x:c r="H724" s="50" t="n">
        <x:v>14</x:v>
      </x:c>
      <x:c r="I724" s="44" t="str">
        <x:v>02.14</x:v>
      </x:c>
      <x:c r="J724" s="33" t="str">
        <x:v>Paranoia</x:v>
      </x:c>
      <x:c r="K724" s="33" t="str"/>
      <x:c r="L724" s="33" t="str"/>
      <x:c r="M724" s="44" t="str"/>
      <x:c r="N724" s="50" t="n">
        <x:v>44</x:v>
      </x:c>
      <x:c r="O724" s="53" t="str">
        <x:v>The mysterious rape of a veteran police officer, who trained Benson, is first linked to her ex-husband's gambling debts, and then to her fellow officers. It turns into a nightmare investigation as the IAB tries to thwart the SVU squad's efforts.</x:v>
      </x:c>
      <x:c r="P724" s="53" t="str">
        <x:v>Core Law &amp; Order franchise</x:v>
      </x:c>
      <x:c r="Q724" s="17" t="str">
        <x:v>224976</x:v>
      </x:c>
      <x:c r="R724" s="17" t="str">
        <x:v>tt0629697</x:v>
      </x:c>
      <x:c r="S724" s="17" t="str">
        <x:v>450</x:v>
      </x:c>
    </x:row>
    <x:row r="725">
      <x:c r="A725" s="43" t="n">
        <x:v>721</x:v>
      </x:c>
      <x:c r="B725" s="44" t="str">
        <x:v>Not Started</x:v>
      </x:c>
      <x:c r="C725" s="45" t="n">
        <x:v>36941</x:v>
      </x:c>
      <x:c r="D725" s="33" t="str">
        <x:v>Arrest &amp; Trial</x:v>
      </x:c>
      <x:c r="E725" s="33" t="str">
        <x:v>Crossover Adjacent</x:v>
      </x:c>
      <x:c r="F725" s="33" t="str">
        <x:v>complete</x:v>
      </x:c>
      <x:c r="G725" s="50" t="n">
        <x:v>1</x:v>
      </x:c>
      <x:c r="H725" s="50" t="n">
        <x:v>110</x:v>
      </x:c>
      <x:c r="I725" s="44" t="str">
        <x:v>01.110</x:v>
      </x:c>
      <x:c r="J725" s="33" t="str">
        <x:v>Ruthless Ricky</x:v>
      </x:c>
      <x:c r="K725" s="33" t="str"/>
      <x:c r="L725" s="33" t="str"/>
      <x:c r="M725" s="44" t="str"/>
      <x:c r="N725" s="50" t="n">
        <x:v>30</x:v>
      </x:c>
      <x:c r="O725" s="53" t="str">
        <x:v>The DEA, IRS, ATF and local police combined forces in an attempt to bring down a drug trafficker known for his extremely violent methods. A witness agreed to help authorities and set up an apartment with surveillance equipment to gather evidence.</x:v>
      </x:c>
      <x:c r="P725" s="53" t="str">
        <x:v>Dick Wolf reality/legal anthology</x:v>
      </x:c>
      <x:c r="Q725" s="17" t="str">
        <x:v>6853745</x:v>
      </x:c>
      <x:c r="R725" s="17" t="str"/>
      <x:c r="S725" s="17" t="str"/>
    </x:row>
    <x:row r="726">
      <x:c r="A726" s="43" t="n">
        <x:v>722</x:v>
      </x:c>
      <x:c r="B726" s="44" t="str">
        <x:v>Not Started</x:v>
      </x:c>
      <x:c r="C726" s="45" t="n">
        <x:v>36942</x:v>
      </x:c>
      <x:c r="D726" s="33" t="str">
        <x:v>Arrest &amp; Trial</x:v>
      </x:c>
      <x:c r="E726" s="33" t="str">
        <x:v>Crossover Adjacent</x:v>
      </x:c>
      <x:c r="F726" s="33" t="str">
        <x:v>complete</x:v>
      </x:c>
      <x:c r="G726" s="50" t="n">
        <x:v>1</x:v>
      </x:c>
      <x:c r="H726" s="50" t="n">
        <x:v>111</x:v>
      </x:c>
      <x:c r="I726" s="44" t="str">
        <x:v>01.111</x:v>
      </x:c>
      <x:c r="J726" s="33" t="str">
        <x:v>Husband Draws Deadly Bath</x:v>
      </x:c>
      <x:c r="K726" s="33" t="str"/>
      <x:c r="L726" s="33" t="str"/>
      <x:c r="M726" s="44" t="str"/>
      <x:c r="N726" s="50" t="n">
        <x:v>30</x:v>
      </x:c>
      <x:c r="O726" s="53" t="str">
        <x:v>A man returned to his hotel room to find his wife drowned in the bathtub.</x:v>
      </x:c>
      <x:c r="P726" s="53" t="str">
        <x:v>Dick Wolf reality/legal anthology</x:v>
      </x:c>
      <x:c r="Q726" s="17" t="str">
        <x:v>6853749</x:v>
      </x:c>
      <x:c r="R726" s="17" t="str"/>
      <x:c r="S726" s="17" t="str"/>
    </x:row>
    <x:row r="727">
      <x:c r="A727" s="43" t="n">
        <x:v>723</x:v>
      </x:c>
      <x:c r="B727" s="44" t="str">
        <x:v>Not Started</x:v>
      </x:c>
      <x:c r="C727" s="45" t="n">
        <x:v>36943</x:v>
      </x:c>
      <x:c r="D727" s="33" t="str">
        <x:v>Arrest &amp; Trial</x:v>
      </x:c>
      <x:c r="E727" s="33" t="str">
        <x:v>Crossover Adjacent</x:v>
      </x:c>
      <x:c r="F727" s="33" t="str">
        <x:v>complete</x:v>
      </x:c>
      <x:c r="G727" s="50" t="n">
        <x:v>1</x:v>
      </x:c>
      <x:c r="H727" s="50" t="n">
        <x:v>112</x:v>
      </x:c>
      <x:c r="I727" s="44" t="str">
        <x:v>01.112</x:v>
      </x:c>
      <x:c r="J727" s="33" t="str">
        <x:v>All-American Girl</x:v>
      </x:c>
      <x:c r="K727" s="33" t="str"/>
      <x:c r="L727" s="33" t="str"/>
      <x:c r="M727" s="44" t="str"/>
      <x:c r="N727" s="50" t="n">
        <x:v>30</x:v>
      </x:c>
      <x:c r="O727" s="53" t="str">
        <x:v>A massive group search was organized when an 18-year-old college student was missing. The investigation led authorities to two men who had befriended the girl. One of the two suspects attempted to lead police on a lengthy yet unproductive search for further clues. Once the victim's body was finally found, the two suspects were charged with her murder</x:v>
      </x:c>
      <x:c r="P727" s="53" t="str">
        <x:v>Dick Wolf reality/legal anthology</x:v>
      </x:c>
      <x:c r="Q727" s="17" t="str">
        <x:v>6853750</x:v>
      </x:c>
      <x:c r="R727" s="17" t="str"/>
      <x:c r="S727" s="17" t="str"/>
    </x:row>
    <x:row r="728">
      <x:c r="A728" s="43" t="n">
        <x:v>724</x:v>
      </x:c>
      <x:c r="B728" s="44" t="str">
        <x:v>Not Started</x:v>
      </x:c>
      <x:c r="C728" s="45" t="n">
        <x:v>36943</x:v>
      </x:c>
      <x:c r="D728" s="33" t="str">
        <x:v>Law &amp; Order</x:v>
      </x:c>
      <x:c r="E728" s="33" t="str">
        <x:v>Law &amp; Order</x:v>
      </x:c>
      <x:c r="F728" s="33" t="str">
        <x:v>core</x:v>
      </x:c>
      <x:c r="G728" s="50" t="n">
        <x:v>11</x:v>
      </x:c>
      <x:c r="H728" s="50" t="n">
        <x:v>14</x:v>
      </x:c>
      <x:c r="I728" s="44" t="str">
        <x:v>11.14</x:v>
      </x:c>
      <x:c r="J728" s="33" t="str">
        <x:v>A Losing Season</x:v>
      </x:c>
      <x:c r="K728" s="33" t="str"/>
      <x:c r="L728" s="33" t="str"/>
      <x:c r="M728" s="44" t="str"/>
      <x:c r="N728" s="50" t="n">
        <x:v>45</x:v>
      </x:c>
      <x:c r="O728" s="53" t="str">
        <x:v>When a pregnant loan officer is found in the trunk of her car with fatal gunshot wounds, Detectives Briscoe and Green at first suspect a carjacking or the woman's fiance and co-worker. But as the woman's premature baby clings to life in the hospital, the investigation turns to professional basketball player Cris Cody, whose ties to the dead woman may extend beyond the loans she approved for him--and may include reason for him to want her and her unborn child dead.</x:v>
      </x:c>
      <x:c r="P728" s="53" t="str">
        <x:v>Core Law &amp; Order franchise</x:v>
      </x:c>
      <x:c r="Q728" s="17" t="str">
        <x:v>34297</x:v>
      </x:c>
      <x:c r="R728" s="17" t="str">
        <x:v>tt0629141</x:v>
      </x:c>
      <x:c r="S728" s="17" t="str">
        <x:v>451</x:v>
      </x:c>
    </x:row>
    <x:row r="729">
      <x:c r="A729" s="43" t="n">
        <x:v>725</x:v>
      </x:c>
      <x:c r="B729" s="44" t="str">
        <x:v>Not Started</x:v>
      </x:c>
      <x:c r="C729" s="45" t="n">
        <x:v>36944</x:v>
      </x:c>
      <x:c r="D729" s="33" t="str">
        <x:v>Arrest &amp; Trial</x:v>
      </x:c>
      <x:c r="E729" s="33" t="str">
        <x:v>Crossover Adjacent</x:v>
      </x:c>
      <x:c r="F729" s="33" t="str">
        <x:v>complete</x:v>
      </x:c>
      <x:c r="G729" s="50" t="n">
        <x:v>1</x:v>
      </x:c>
      <x:c r="H729" s="50" t="n">
        <x:v>113</x:v>
      </x:c>
      <x:c r="I729" s="44" t="str">
        <x:v>01.113</x:v>
      </x:c>
      <x:c r="J729" s="33" t="str">
        <x:v>A Second Look</x:v>
      </x:c>
      <x:c r="K729" s="33" t="str"/>
      <x:c r="L729" s="33" t="str"/>
      <x:c r="M729" s="44" t="str"/>
      <x:c r="N729" s="50" t="n">
        <x:v>30</x:v>
      </x:c>
      <x:c r="O729" s="53" t="str">
        <x:v>A mother arrived at her ex-husband’s home to retrieve her two-year-old child and found that her baby had died, apparently from SIDS. The child’s grandmother was convinced this was a suspicious death and insisted upon further investigation.</x:v>
      </x:c>
      <x:c r="P729" s="53" t="str">
        <x:v>Dick Wolf reality/legal anthology</x:v>
      </x:c>
      <x:c r="Q729" s="17" t="str">
        <x:v>6853752</x:v>
      </x:c>
      <x:c r="R729" s="17" t="str"/>
      <x:c r="S729" s="17" t="str"/>
    </x:row>
    <x:row r="730">
      <x:c r="A730" s="43" t="n">
        <x:v>726</x:v>
      </x:c>
      <x:c r="B730" s="44" t="str">
        <x:v>Not Started</x:v>
      </x:c>
      <x:c r="C730" s="45" t="n">
        <x:v>36945</x:v>
      </x:c>
      <x:c r="D730" s="33" t="str">
        <x:v>Arrest &amp; Trial</x:v>
      </x:c>
      <x:c r="E730" s="33" t="str">
        <x:v>Crossover Adjacent</x:v>
      </x:c>
      <x:c r="F730" s="33" t="str">
        <x:v>complete</x:v>
      </x:c>
      <x:c r="G730" s="50" t="n">
        <x:v>1</x:v>
      </x:c>
      <x:c r="H730" s="50" t="n">
        <x:v>114</x:v>
      </x:c>
      <x:c r="I730" s="44" t="str">
        <x:v>01.114</x:v>
      </x:c>
      <x:c r="J730" s="33" t="str">
        <x:v>Pimp 'Till I Die</x:v>
      </x:c>
      <x:c r="K730" s="33" t="str"/>
      <x:c r="L730" s="33" t="str"/>
      <x:c r="M730" s="44" t="str"/>
      <x:c r="N730" s="50" t="n">
        <x:v>30</x:v>
      </x:c>
      <x:c r="O730" s="53" t="str">
        <x:v>The routine arrest of a 15-year-old girl led to an FBI investigation and eventual prosecution of a predatory pimp who kidnapped teenage girls and forced them to work for him as prostitutes</x:v>
      </x:c>
      <x:c r="P730" s="53" t="str">
        <x:v>Dick Wolf reality/legal anthology</x:v>
      </x:c>
      <x:c r="Q730" s="17" t="str">
        <x:v>6853753</x:v>
      </x:c>
      <x:c r="R730" s="17" t="str"/>
      <x:c r="S730" s="17" t="str"/>
    </x:row>
    <x:row r="731">
      <x:c r="A731" s="43" t="n">
        <x:v>727</x:v>
      </x:c>
      <x:c r="B731" s="44" t="str">
        <x:v>Watched</x:v>
      </x:c>
      <x:c r="C731" s="45" t="n">
        <x:v>36945</x:v>
      </x:c>
      <x:c r="D731" s="33" t="str">
        <x:v>Law &amp; Order: Special Victims Unit</x:v>
      </x:c>
      <x:c r="E731" s="33" t="str">
        <x:v>Law &amp; Order</x:v>
      </x:c>
      <x:c r="F731" s="33" t="str">
        <x:v>core</x:v>
      </x:c>
      <x:c r="G731" s="50" t="n">
        <x:v>2</x:v>
      </x:c>
      <x:c r="H731" s="50" t="n">
        <x:v>15</x:v>
      </x:c>
      <x:c r="I731" s="44" t="str">
        <x:v>02.15</x:v>
      </x:c>
      <x:c r="J731" s="33" t="str">
        <x:v>Countdown</x:v>
      </x:c>
      <x:c r="K731" s="33" t="str"/>
      <x:c r="L731" s="33" t="str"/>
      <x:c r="M731" s="44" t="str"/>
      <x:c r="N731" s="50" t="n">
        <x:v>44</x:v>
      </x:c>
      <x:c r="O731" s="53" t="str">
        <x:v>The detectives become a little edgy after working around the clock to find an abducted girl when clues point to a serial murderer and rapist who kills his victims on the third day. After trapping the killer, they are prepared to give him the death penalty until they find out that one of his victims was never found and he offers her location as a plea bargain.</x:v>
      </x:c>
      <x:c r="P731" s="53" t="str">
        <x:v>Core Law &amp; Order franchise</x:v>
      </x:c>
      <x:c r="Q731" s="17" t="str">
        <x:v>224977</x:v>
      </x:c>
      <x:c r="R731" s="17" t="str">
        <x:v>tt0629635</x:v>
      </x:c>
      <x:c r="S731" s="17" t="str">
        <x:v>452</x:v>
      </x:c>
    </x:row>
    <x:row r="732">
      <x:c r="A732" s="43" t="n">
        <x:v>728</x:v>
      </x:c>
      <x:c r="B732" s="44" t="str">
        <x:v>Not Started</x:v>
      </x:c>
      <x:c r="C732" s="45" t="n">
        <x:v>36948</x:v>
      </x:c>
      <x:c r="D732" s="33" t="str">
        <x:v>Arrest &amp; Trial</x:v>
      </x:c>
      <x:c r="E732" s="33" t="str">
        <x:v>Crossover Adjacent</x:v>
      </x:c>
      <x:c r="F732" s="33" t="str">
        <x:v>complete</x:v>
      </x:c>
      <x:c r="G732" s="50" t="n">
        <x:v>1</x:v>
      </x:c>
      <x:c r="H732" s="50" t="n">
        <x:v>115</x:v>
      </x:c>
      <x:c r="I732" s="44" t="str">
        <x:v>01.115</x:v>
      </x:c>
      <x:c r="J732" s="33" t="str">
        <x:v>Texas Prison Break, Part 1</x:v>
      </x:c>
      <x:c r="K732" s="33" t="str"/>
      <x:c r="L732" s="33" t="str"/>
      <x:c r="M732" s="44" t="str"/>
      <x:c r="N732" s="50" t="n">
        <x:v>30</x:v>
      </x:c>
      <x:c r="O732" s="53" t="str">
        <x:v>The first episode in this special, two-part series focuses on the mastermind of the “Texas Seven” and the crime that originally put him behind bars. He robbed a toy store, held a dozen people hostage and was ultimately captured and sent to prison.</x:v>
      </x:c>
      <x:c r="P732" s="53" t="str">
        <x:v>Dick Wolf reality/legal anthology</x:v>
      </x:c>
      <x:c r="Q732" s="17" t="str">
        <x:v>6853756</x:v>
      </x:c>
      <x:c r="R732" s="17" t="str"/>
      <x:c r="S732" s="17" t="str"/>
    </x:row>
    <x:row r="733">
      <x:c r="A733" s="43" t="n">
        <x:v>729</x:v>
      </x:c>
      <x:c r="B733" s="44" t="str">
        <x:v>Not Started</x:v>
      </x:c>
      <x:c r="C733" s="45" t="n">
        <x:v>36949</x:v>
      </x:c>
      <x:c r="D733" s="33" t="str">
        <x:v>Arrest &amp; Trial</x:v>
      </x:c>
      <x:c r="E733" s="33" t="str">
        <x:v>Crossover Adjacent</x:v>
      </x:c>
      <x:c r="F733" s="33" t="str">
        <x:v>complete</x:v>
      </x:c>
      <x:c r="G733" s="50" t="n">
        <x:v>1</x:v>
      </x:c>
      <x:c r="H733" s="50" t="n">
        <x:v>116</x:v>
      </x:c>
      <x:c r="I733" s="44" t="str">
        <x:v>01.116</x:v>
      </x:c>
      <x:c r="J733" s="33" t="str">
        <x:v>Texas Prison Break, Part 2</x:v>
      </x:c>
      <x:c r="K733" s="33" t="str"/>
      <x:c r="L733" s="33" t="str"/>
      <x:c r="M733" s="44" t="str"/>
      <x:c r="N733" s="50" t="n">
        <x:v>30</x:v>
      </x:c>
      <x:c r="O733" s="53" t="str">
        <x:v>In Part 2, we trace the gang’s escape and monthlong flight from authorities.</x:v>
      </x:c>
      <x:c r="P733" s="53" t="str">
        <x:v>Dick Wolf reality/legal anthology</x:v>
      </x:c>
      <x:c r="Q733" s="17" t="str">
        <x:v>6853757</x:v>
      </x:c>
      <x:c r="R733" s="17" t="str"/>
      <x:c r="S733" s="17" t="str"/>
    </x:row>
    <x:row r="734">
      <x:c r="A734" s="43" t="n">
        <x:v>730</x:v>
      </x:c>
      <x:c r="B734" s="44" t="str">
        <x:v>Not Started</x:v>
      </x:c>
      <x:c r="C734" s="45" t="n">
        <x:v>36950</x:v>
      </x:c>
      <x:c r="D734" s="33" t="str">
        <x:v>Arrest &amp; Trial</x:v>
      </x:c>
      <x:c r="E734" s="33" t="str">
        <x:v>Crossover Adjacent</x:v>
      </x:c>
      <x:c r="F734" s="33" t="str">
        <x:v>complete</x:v>
      </x:c>
      <x:c r="G734" s="50" t="n">
        <x:v>1</x:v>
      </x:c>
      <x:c r="H734" s="50" t="n">
        <x:v>117</x:v>
      </x:c>
      <x:c r="I734" s="44" t="str">
        <x:v>01.117</x:v>
      </x:c>
      <x:c r="J734" s="33" t="str">
        <x:v>Kiko Returns</x:v>
      </x:c>
      <x:c r="K734" s="33" t="str"/>
      <x:c r="L734" s="33" t="str"/>
      <x:c r="M734" s="44" t="str"/>
      <x:c r="N734" s="50" t="n">
        <x:v>30</x:v>
      </x:c>
      <x:c r="O734" s="53" t="str">
        <x:v>A DEA Special Agent and a drug trafficker turned informant collaborated in an elaborate sting operation to confiscate 1,800 kilos of cocaine from Mexican drug cartels and bring down a dirty police chief in the process.</x:v>
      </x:c>
      <x:c r="P734" s="53" t="str">
        <x:v>Dick Wolf reality/legal anthology</x:v>
      </x:c>
      <x:c r="Q734" s="17" t="str">
        <x:v>6853759</x:v>
      </x:c>
      <x:c r="R734" s="17" t="str"/>
      <x:c r="S734" s="17" t="str"/>
    </x:row>
    <x:row r="735">
      <x:c r="A735" s="43" t="n">
        <x:v>731</x:v>
      </x:c>
      <x:c r="B735" s="44" t="str">
        <x:v>Not Started</x:v>
      </x:c>
      <x:c r="C735" s="45" t="n">
        <x:v>36950</x:v>
      </x:c>
      <x:c r="D735" s="33" t="str">
        <x:v>Law &amp; Order</x:v>
      </x:c>
      <x:c r="E735" s="33" t="str">
        <x:v>Law &amp; Order</x:v>
      </x:c>
      <x:c r="F735" s="33" t="str">
        <x:v>core</x:v>
      </x:c>
      <x:c r="G735" s="50" t="n">
        <x:v>11</x:v>
      </x:c>
      <x:c r="H735" s="50" t="n">
        <x:v>15</x:v>
      </x:c>
      <x:c r="I735" s="44" t="str">
        <x:v>11.15</x:v>
      </x:c>
      <x:c r="J735" s="33" t="str">
        <x:v>Swept Away - A Very Special Episode</x:v>
      </x:c>
      <x:c r="K735" s="33" t="str"/>
      <x:c r="L735" s="33" t="str"/>
      <x:c r="M735" s="44" t="str"/>
      <x:c r="N735" s="50" t="n">
        <x:v>45</x:v>
      </x:c>
      <x:c r="O735" s="53" t="str">
        <x:v>When a participant in a TV reality show is murdered, McCoy goes after the producers and network executives for deliberately fomenting hostility among the participants to boost the ratings. All too appropriately, the outcome of the case hinges on a videotape made by a hidden-camera.</x:v>
      </x:c>
      <x:c r="P735" s="53" t="str">
        <x:v>Core Law &amp; Order franchise</x:v>
      </x:c>
      <x:c r="Q735" s="17" t="str">
        <x:v>34298</x:v>
      </x:c>
      <x:c r="R735" s="17" t="str">
        <x:v>tt0629445</x:v>
      </x:c>
      <x:c r="S735" s="17" t="str">
        <x:v>453</x:v>
      </x:c>
    </x:row>
    <x:row r="736">
      <x:c r="A736" s="43" t="n">
        <x:v>732</x:v>
      </x:c>
      <x:c r="B736" s="44" t="str">
        <x:v>Not Started</x:v>
      </x:c>
      <x:c r="C736" s="45" t="n">
        <x:v>36951</x:v>
      </x:c>
      <x:c r="D736" s="33" t="str">
        <x:v>Arrest &amp; Trial</x:v>
      </x:c>
      <x:c r="E736" s="33" t="str">
        <x:v>Crossover Adjacent</x:v>
      </x:c>
      <x:c r="F736" s="33" t="str">
        <x:v>complete</x:v>
      </x:c>
      <x:c r="G736" s="50" t="n">
        <x:v>1</x:v>
      </x:c>
      <x:c r="H736" s="50" t="n">
        <x:v>118</x:v>
      </x:c>
      <x:c r="I736" s="44" t="str">
        <x:v>01.118</x:v>
      </x:c>
      <x:c r="J736" s="33" t="str">
        <x:v>Deadly Greed</x:v>
      </x:c>
      <x:c r="K736" s="33" t="str"/>
      <x:c r="L736" s="33" t="str"/>
      <x:c r="M736" s="44" t="str"/>
      <x:c r="N736" s="50" t="n">
        <x:v>30</x:v>
      </x:c>
      <x:c r="O736" s="53" t="str">
        <x:v>Detectives suspected the murder of a Baltimore businessman was more than a botched robbery. The investigation turned up no leads for 18 months, but investigators finally received a break in the case that pointed to the controller of the victim’s company.</x:v>
      </x:c>
      <x:c r="P736" s="53" t="str">
        <x:v>Dick Wolf reality/legal anthology</x:v>
      </x:c>
      <x:c r="Q736" s="17" t="str">
        <x:v>6853762</x:v>
      </x:c>
      <x:c r="R736" s="17" t="str"/>
      <x:c r="S736" s="17" t="str"/>
    </x:row>
    <x:row r="737">
      <x:c r="A737" s="43" t="n">
        <x:v>733</x:v>
      </x:c>
      <x:c r="B737" s="44" t="str">
        <x:v>Not Started</x:v>
      </x:c>
      <x:c r="C737" s="45" t="n">
        <x:v>36952</x:v>
      </x:c>
      <x:c r="D737" s="33" t="str">
        <x:v>Arrest &amp; Trial</x:v>
      </x:c>
      <x:c r="E737" s="33" t="str">
        <x:v>Crossover Adjacent</x:v>
      </x:c>
      <x:c r="F737" s="33" t="str">
        <x:v>complete</x:v>
      </x:c>
      <x:c r="G737" s="50" t="n">
        <x:v>1</x:v>
      </x:c>
      <x:c r="H737" s="50" t="n">
        <x:v>119</x:v>
      </x:c>
      <x:c r="I737" s="44" t="str">
        <x:v>01.119</x:v>
      </x:c>
      <x:c r="J737" s="33" t="str">
        <x:v>White Collar Criminal</x:v>
      </x:c>
      <x:c r="K737" s="33" t="str"/>
      <x:c r="L737" s="33" t="str"/>
      <x:c r="M737" s="44" t="str"/>
      <x:c r="N737" s="50" t="n">
        <x:v>30</x:v>
      </x:c>
      <x:c r="O737" s="53" t="str">
        <x:v>A priest reported a home burglary wherein precious religious artifacts were stolen. One year later, when an identical incident was reported by the same priest, investigators began to suspect fraud.</x:v>
      </x:c>
      <x:c r="P737" s="53" t="str">
        <x:v>Dick Wolf reality/legal anthology</x:v>
      </x:c>
      <x:c r="Q737" s="17" t="str">
        <x:v>6853763</x:v>
      </x:c>
      <x:c r="R737" s="17" t="str"/>
      <x:c r="S737" s="17" t="str"/>
    </x:row>
    <x:row r="738">
      <x:c r="A738" s="43" t="n">
        <x:v>734</x:v>
      </x:c>
      <x:c r="B738" s="44" t="str">
        <x:v>Watched</x:v>
      </x:c>
      <x:c r="C738" s="45" t="n">
        <x:v>36952</x:v>
      </x:c>
      <x:c r="D738" s="33" t="str">
        <x:v>Law &amp; Order: Special Victims Unit</x:v>
      </x:c>
      <x:c r="E738" s="33" t="str">
        <x:v>Law &amp; Order</x:v>
      </x:c>
      <x:c r="F738" s="33" t="str">
        <x:v>core</x:v>
      </x:c>
      <x:c r="G738" s="50" t="n">
        <x:v>2</x:v>
      </x:c>
      <x:c r="H738" s="50" t="n">
        <x:v>16</x:v>
      </x:c>
      <x:c r="I738" s="44" t="str">
        <x:v>02.16</x:v>
      </x:c>
      <x:c r="J738" s="33" t="str">
        <x:v>Runaway</x:v>
      </x:c>
      <x:c r="K738" s="33" t="str"/>
      <x:c r="L738" s="33" t="str"/>
      <x:c r="M738" s="44" t="str"/>
      <x:c r="N738" s="50" t="n">
        <x:v>43</x:v>
      </x:c>
      <x:c r="O738" s="53" t="str">
        <x:v>The search for an out-of-state police officer's runaway daughter leads the detectives through an underground rave culture that caters to wayward teens. They use an Internet journalist to track her and their search is seen through the eyes of the squad room personnel as told in their interviews with the Internal Affairs division.</x:v>
      </x:c>
      <x:c r="P738" s="53" t="str">
        <x:v>Core Law &amp; Order franchise</x:v>
      </x:c>
      <x:c r="Q738" s="17" t="str">
        <x:v>224978</x:v>
      </x:c>
      <x:c r="R738" s="17" t="str">
        <x:v>tt0629724</x:v>
      </x:c>
      <x:c r="S738" s="17" t="str">
        <x:v>454</x:v>
      </x:c>
    </x:row>
    <x:row r="739">
      <x:c r="A739" s="43" t="n">
        <x:v>735</x:v>
      </x:c>
      <x:c r="B739" s="44" t="str">
        <x:v>Not Started</x:v>
      </x:c>
      <x:c r="C739" s="45" t="n">
        <x:v>36962</x:v>
      </x:c>
      <x:c r="D739" s="33" t="str">
        <x:v>Arrest &amp; Trial</x:v>
      </x:c>
      <x:c r="E739" s="33" t="str">
        <x:v>Crossover Adjacent</x:v>
      </x:c>
      <x:c r="F739" s="33" t="str">
        <x:v>complete</x:v>
      </x:c>
      <x:c r="G739" s="50" t="n">
        <x:v>1</x:v>
      </x:c>
      <x:c r="H739" s="50" t="n">
        <x:v>120</x:v>
      </x:c>
      <x:c r="I739" s="44" t="str">
        <x:v>01.120</x:v>
      </x:c>
      <x:c r="J739" s="33" t="str">
        <x:v>Almost Perfect Murder</x:v>
      </x:c>
      <x:c r="K739" s="33" t="str"/>
      <x:c r="L739" s="33" t="str"/>
      <x:c r="M739" s="44" t="str"/>
      <x:c r="N739" s="50" t="n">
        <x:v>30</x:v>
      </x:c>
      <x:c r="O739" s="53" t="str">
        <x:v>A mother of three was found dead in her car along the side of a road. Detectives quickly focused on her estranged husband as the lead suspect, but they believed he had an accomplice. After a year, a witness pointed the way to a second suspect.</x:v>
      </x:c>
      <x:c r="P739" s="53" t="str">
        <x:v>Dick Wolf reality/legal anthology</x:v>
      </x:c>
      <x:c r="Q739" s="17" t="str">
        <x:v>6853765</x:v>
      </x:c>
      <x:c r="R739" s="17" t="str"/>
      <x:c r="S739" s="17" t="str"/>
    </x:row>
    <x:row r="740">
      <x:c r="A740" s="43" t="n">
        <x:v>736</x:v>
      </x:c>
      <x:c r="B740" s="44" t="str">
        <x:v>Not Started</x:v>
      </x:c>
      <x:c r="C740" s="45" t="n">
        <x:v>36963</x:v>
      </x:c>
      <x:c r="D740" s="33" t="str">
        <x:v>Arrest &amp; Trial</x:v>
      </x:c>
      <x:c r="E740" s="33" t="str">
        <x:v>Crossover Adjacent</x:v>
      </x:c>
      <x:c r="F740" s="33" t="str">
        <x:v>complete</x:v>
      </x:c>
      <x:c r="G740" s="50" t="n">
        <x:v>1</x:v>
      </x:c>
      <x:c r="H740" s="50" t="n">
        <x:v>121</x:v>
      </x:c>
      <x:c r="I740" s="44" t="str">
        <x:v>01.121</x:v>
      </x:c>
      <x:c r="J740" s="33" t="str">
        <x:v>Beachside Attacker</x:v>
      </x:c>
      <x:c r="K740" s="33" t="str"/>
      <x:c r="L740" s="33" t="str"/>
      <x:c r="M740" s="44" t="str"/>
      <x:c r="N740" s="50" t="n">
        <x:v>30</x:v>
      </x:c>
      <x:c r="O740" s="53" t="str">
        <x:v>For nearly a year, a serial sexual predator stalked the beaches of San Diego, terrorizing more than a dozen victims.</x:v>
      </x:c>
      <x:c r="P740" s="53" t="str">
        <x:v>Dick Wolf reality/legal anthology</x:v>
      </x:c>
      <x:c r="Q740" s="17" t="str">
        <x:v>6853766</x:v>
      </x:c>
      <x:c r="R740" s="17" t="str"/>
      <x:c r="S740" s="17" t="str"/>
    </x:row>
    <x:row r="741">
      <x:c r="A741" s="43" t="n">
        <x:v>737</x:v>
      </x:c>
      <x:c r="B741" s="44" t="str">
        <x:v>Not Started</x:v>
      </x:c>
      <x:c r="C741" s="45" t="n">
        <x:v>36964</x:v>
      </x:c>
      <x:c r="D741" s="33" t="str">
        <x:v>Arrest &amp; Trial</x:v>
      </x:c>
      <x:c r="E741" s="33" t="str">
        <x:v>Crossover Adjacent</x:v>
      </x:c>
      <x:c r="F741" s="33" t="str">
        <x:v>complete</x:v>
      </x:c>
      <x:c r="G741" s="50" t="n">
        <x:v>1</x:v>
      </x:c>
      <x:c r="H741" s="50" t="n">
        <x:v>122</x:v>
      </x:c>
      <x:c r="I741" s="44" t="str">
        <x:v>01.122</x:v>
      </x:c>
      <x:c r="J741" s="33" t="str">
        <x:v>Evaporating Love</x:v>
      </x:c>
      <x:c r="K741" s="33" t="str"/>
      <x:c r="L741" s="33" t="str"/>
      <x:c r="M741" s="44" t="str"/>
      <x:c r="N741" s="50" t="n">
        <x:v>30</x:v>
      </x:c>
      <x:c r="O741" s="53" t="str">
        <x:v>A woman was found dead in her bathtub from an apparent accidental drowning, but pathological evidence indicated it was a homicide. Detectives suspected either the woman’s ex-husband or her new boyfriend.</x:v>
      </x:c>
      <x:c r="P741" s="53" t="str">
        <x:v>Dick Wolf reality/legal anthology</x:v>
      </x:c>
      <x:c r="Q741" s="17" t="str">
        <x:v>6853770</x:v>
      </x:c>
      <x:c r="R741" s="17" t="str"/>
      <x:c r="S741" s="17" t="str"/>
    </x:row>
    <x:row r="742">
      <x:c r="A742" s="43" t="n">
        <x:v>738</x:v>
      </x:c>
      <x:c r="B742" s="44" t="str">
        <x:v>Not Started</x:v>
      </x:c>
      <x:c r="C742" s="45" t="n">
        <x:v>36964</x:v>
      </x:c>
      <x:c r="D742" s="33" t="str">
        <x:v>Law &amp; Order</x:v>
      </x:c>
      <x:c r="E742" s="33" t="str">
        <x:v>Law &amp; Order</x:v>
      </x:c>
      <x:c r="F742" s="33" t="str">
        <x:v>core</x:v>
      </x:c>
      <x:c r="G742" s="50" t="n">
        <x:v>11</x:v>
      </x:c>
      <x:c r="H742" s="50" t="n">
        <x:v>16</x:v>
      </x:c>
      <x:c r="I742" s="44" t="str">
        <x:v>11.16</x:v>
      </x:c>
      <x:c r="J742" s="33" t="str">
        <x:v>Bronx Cheer</x:v>
      </x:c>
      <x:c r="K742" s="33" t="str"/>
      <x:c r="L742" s="33" t="str"/>
      <x:c r="M742" s="44" t="str"/>
      <x:c r="N742" s="50" t="n">
        <x:v>45</x:v>
      </x:c>
      <x:c r="O742" s="53" t="str">
        <x:v>When a woman is found strangled to death with a large quantity of the drug Ecstasy in her handbag, Detectives Briscoe and Green have difficulty gathering sufficient evidence for an indictment of their prime suspect, drug-dealer Francis 'Taz' Partell. But when they question one of his former associates, they discover new evidence indicating that Taz is responsible for the earlier murder of a bouncer in Bronx county.</x:v>
      </x:c>
      <x:c r="P742" s="53" t="str">
        <x:v>Core Law &amp; Order franchise</x:v>
      </x:c>
      <x:c r="Q742" s="17" t="str">
        <x:v>34299</x:v>
      </x:c>
      <x:c r="R742" s="17" t="str">
        <x:v>tt0629190</x:v>
      </x:c>
      <x:c r="S742" s="17" t="str">
        <x:v>455</x:v>
      </x:c>
    </x:row>
    <x:row r="743">
      <x:c r="A743" s="43" t="n">
        <x:v>739</x:v>
      </x:c>
      <x:c r="B743" s="44" t="str">
        <x:v>Not Started</x:v>
      </x:c>
      <x:c r="C743" s="45" t="n">
        <x:v>36965</x:v>
      </x:c>
      <x:c r="D743" s="33" t="str">
        <x:v>Arrest &amp; Trial</x:v>
      </x:c>
      <x:c r="E743" s="33" t="str">
        <x:v>Crossover Adjacent</x:v>
      </x:c>
      <x:c r="F743" s="33" t="str">
        <x:v>complete</x:v>
      </x:c>
      <x:c r="G743" s="50" t="n">
        <x:v>1</x:v>
      </x:c>
      <x:c r="H743" s="50" t="n">
        <x:v>123</x:v>
      </x:c>
      <x:c r="I743" s="44" t="str">
        <x:v>01.123</x:v>
      </x:c>
      <x:c r="J743" s="33" t="str">
        <x:v>Murder by the Book</x:v>
      </x:c>
      <x:c r="K743" s="33" t="str"/>
      <x:c r="L743" s="33" t="str"/>
      <x:c r="M743" s="44" t="str"/>
      <x:c r="N743" s="50" t="n">
        <x:v>30</x:v>
      </x:c>
      <x:c r="O743" s="53" t="str">
        <x:v>After not showing up for work, a man was discovered shot to death in his living room.</x:v>
      </x:c>
      <x:c r="P743" s="53" t="str">
        <x:v>Dick Wolf reality/legal anthology</x:v>
      </x:c>
      <x:c r="Q743" s="17" t="str">
        <x:v>6853771</x:v>
      </x:c>
      <x:c r="R743" s="17" t="str"/>
      <x:c r="S743" s="17" t="str"/>
    </x:row>
    <x:row r="744">
      <x:c r="A744" s="43" t="n">
        <x:v>740</x:v>
      </x:c>
      <x:c r="B744" s="44" t="str">
        <x:v>Not Started</x:v>
      </x:c>
      <x:c r="C744" s="45" t="n">
        <x:v>36966</x:v>
      </x:c>
      <x:c r="D744" s="33" t="str">
        <x:v>Arrest &amp; Trial</x:v>
      </x:c>
      <x:c r="E744" s="33" t="str">
        <x:v>Crossover Adjacent</x:v>
      </x:c>
      <x:c r="F744" s="33" t="str">
        <x:v>complete</x:v>
      </x:c>
      <x:c r="G744" s="50" t="n">
        <x:v>1</x:v>
      </x:c>
      <x:c r="H744" s="50" t="n">
        <x:v>124</x:v>
      </x:c>
      <x:c r="I744" s="44" t="str">
        <x:v>01.124</x:v>
      </x:c>
      <x:c r="J744" s="33" t="str">
        <x:v>Patience</x:v>
      </x:c>
      <x:c r="K744" s="33" t="str"/>
      <x:c r="L744" s="33" t="str"/>
      <x:c r="M744" s="44" t="str"/>
      <x:c r="N744" s="50" t="n">
        <x:v>30</x:v>
      </x:c>
      <x:c r="O744" s="53" t="str">
        <x:v>Police were initially left with few clues to help them solve the murder of a female convenience store clerk. While questioning witnesses, they discovered the murderer had briefly posed as a clerk in an attempt to avoid being identified by a patron.</x:v>
      </x:c>
      <x:c r="P744" s="53" t="str">
        <x:v>Dick Wolf reality/legal anthology</x:v>
      </x:c>
      <x:c r="Q744" s="17" t="str">
        <x:v>6853772</x:v>
      </x:c>
      <x:c r="R744" s="17" t="str"/>
      <x:c r="S744" s="17" t="str"/>
    </x:row>
    <x:row r="745">
      <x:c r="A745" s="43" t="n">
        <x:v>741</x:v>
      </x:c>
      <x:c r="B745" s="44" t="str">
        <x:v>Not Started</x:v>
      </x:c>
      <x:c r="C745" s="45" t="n">
        <x:v>36967</x:v>
      </x:c>
      <x:c r="D745" s="33" t="str">
        <x:v>Deadline</x:v>
      </x:c>
      <x:c r="E745" s="33" t="str">
        <x:v>Law &amp; Order</x:v>
      </x:c>
      <x:c r="F745" s="33" t="str">
        <x:v>connected</x:v>
      </x:c>
      <x:c r="G745" s="50" t="n">
        <x:v>1</x:v>
      </x:c>
      <x:c r="H745" s="50" t="n">
        <x:v>6</x:v>
      </x:c>
      <x:c r="I745" s="44" t="str">
        <x:v>01.06</x:v>
      </x:c>
      <x:c r="J745" s="33" t="str">
        <x:v>The Old Ball Game</x:v>
      </x:c>
      <x:c r="K745" s="33" t="str"/>
      <x:c r="L745" s="33" t="str"/>
      <x:c r="M745" s="44" t="str"/>
      <x:c r="N745" s="50" t="n">
        <x:v>60</x:v>
      </x:c>
      <x:c r="O745" s="53" t="str">
        <x:v>A wealthy woman goes missing, and the investigation uncovers more than anyone expected.</x:v>
      </x:c>
      <x:c r="P745" s="53" t="str">
        <x:v>Dick Wolf New York newspaper/legal-adjacent drama</x:v>
      </x:c>
      <x:c r="Q745" s="17" t="str">
        <x:v>201466</x:v>
      </x:c>
      <x:c r="R745" s="17" t="str">
        <x:v>tt0556266</x:v>
      </x:c>
      <x:c r="S745" s="17" t="str">
        <x:v>456</x:v>
      </x:c>
    </x:row>
    <x:row r="746">
      <x:c r="A746" s="43" t="n">
        <x:v>742</x:v>
      </x:c>
      <x:c r="B746" s="44" t="str">
        <x:v>Not Started</x:v>
      </x:c>
      <x:c r="C746" s="45" t="n">
        <x:v>36967</x:v>
      </x:c>
      <x:c r="D746" s="33" t="str">
        <x:v>Deadline</x:v>
      </x:c>
      <x:c r="E746" s="33" t="str">
        <x:v>Law &amp; Order</x:v>
      </x:c>
      <x:c r="F746" s="33" t="str">
        <x:v>connected</x:v>
      </x:c>
      <x:c r="G746" s="50" t="n">
        <x:v>1</x:v>
      </x:c>
      <x:c r="H746" s="50" t="n">
        <x:v>7</x:v>
      </x:c>
      <x:c r="I746" s="44" t="str">
        <x:v>01.07</x:v>
      </x:c>
      <x:c r="J746" s="33" t="str">
        <x:v>Don't I Know You?</x:v>
      </x:c>
      <x:c r="K746" s="33" t="str"/>
      <x:c r="L746" s="33" t="str"/>
      <x:c r="M746" s="44" t="str"/>
      <x:c r="N746" s="50" t="n">
        <x:v>60</x:v>
      </x:c>
      <x:c r="O746" s="53" t="str">
        <x:v>When Wallace probes the mob, Nikki's family connections and her past come back to haunt her and she is forced to choose between her father and her career. Abe Vigoda guest stars.</x:v>
      </x:c>
      <x:c r="P746" s="53" t="str">
        <x:v>Dick Wolf New York newspaper/legal-adjacent drama</x:v>
      </x:c>
      <x:c r="Q746" s="17" t="str">
        <x:v>201467</x:v>
      </x:c>
      <x:c r="R746" s="17" t="str">
        <x:v>tt0556256</x:v>
      </x:c>
      <x:c r="S746" s="17" t="str">
        <x:v>457</x:v>
      </x:c>
    </x:row>
    <x:row r="747">
      <x:c r="A747" s="43" t="n">
        <x:v>743</x:v>
      </x:c>
      <x:c r="B747" s="44" t="str">
        <x:v>Not Started</x:v>
      </x:c>
      <x:c r="C747" s="45" t="n">
        <x:v>36969</x:v>
      </x:c>
      <x:c r="D747" s="33" t="str">
        <x:v>Arrest &amp; Trial</x:v>
      </x:c>
      <x:c r="E747" s="33" t="str">
        <x:v>Crossover Adjacent</x:v>
      </x:c>
      <x:c r="F747" s="33" t="str">
        <x:v>complete</x:v>
      </x:c>
      <x:c r="G747" s="50" t="n">
        <x:v>1</x:v>
      </x:c>
      <x:c r="H747" s="50" t="n">
        <x:v>125</x:v>
      </x:c>
      <x:c r="I747" s="44" t="str">
        <x:v>01.125</x:v>
      </x:c>
      <x:c r="J747" s="33" t="str">
        <x:v>Deadly Love</x:v>
      </x:c>
      <x:c r="K747" s="33" t="str"/>
      <x:c r="L747" s="33" t="str"/>
      <x:c r="M747" s="44" t="str"/>
      <x:c r="N747" s="50" t="n">
        <x:v>30</x:v>
      </x:c>
      <x:c r="O747" s="53" t="str">
        <x:v>When a mother of two disappeared from a department store parking lot, the subsequent media frenzy yielded several helpful leads. Detectives learned that the victim’s husband was openly having an affair and had made statements about wanting his wife dead.</x:v>
      </x:c>
      <x:c r="P747" s="53" t="str">
        <x:v>Dick Wolf reality/legal anthology</x:v>
      </x:c>
      <x:c r="Q747" s="17" t="str">
        <x:v>6853773</x:v>
      </x:c>
      <x:c r="R747" s="17" t="str"/>
      <x:c r="S747" s="17" t="str"/>
    </x:row>
    <x:row r="748">
      <x:c r="A748" s="43" t="n">
        <x:v>744</x:v>
      </x:c>
      <x:c r="B748" s="44" t="str">
        <x:v>Not Started</x:v>
      </x:c>
      <x:c r="C748" s="45" t="n">
        <x:v>36970</x:v>
      </x:c>
      <x:c r="D748" s="33" t="str">
        <x:v>Arrest &amp; Trial</x:v>
      </x:c>
      <x:c r="E748" s="33" t="str">
        <x:v>Crossover Adjacent</x:v>
      </x:c>
      <x:c r="F748" s="33" t="str">
        <x:v>complete</x:v>
      </x:c>
      <x:c r="G748" s="50" t="n">
        <x:v>1</x:v>
      </x:c>
      <x:c r="H748" s="50" t="n">
        <x:v>126</x:v>
      </x:c>
      <x:c r="I748" s="44" t="str">
        <x:v>01.126</x:v>
      </x:c>
      <x:c r="J748" s="33" t="str">
        <x:v>Pyro Robles</x:v>
      </x:c>
      <x:c r="K748" s="33" t="str"/>
      <x:c r="L748" s="33" t="str"/>
      <x:c r="M748" s="44" t="str"/>
      <x:c r="N748" s="50" t="n">
        <x:v>30</x:v>
      </x:c>
      <x:c r="O748" s="53" t="str">
        <x:v>An investigation into a large brushfire revealed a unique arson device. The following year, San Diego County suffered several devastating brushfires and other, identical devices were recovered at the scenes.</x:v>
      </x:c>
      <x:c r="P748" s="53" t="str">
        <x:v>Dick Wolf reality/legal anthology</x:v>
      </x:c>
      <x:c r="Q748" s="17" t="str">
        <x:v>6853774</x:v>
      </x:c>
      <x:c r="R748" s="17" t="str"/>
      <x:c r="S748" s="17" t="str"/>
    </x:row>
    <x:row r="749">
      <x:c r="A749" s="43" t="n">
        <x:v>745</x:v>
      </x:c>
      <x:c r="B749" s="44" t="str">
        <x:v>Not Started</x:v>
      </x:c>
      <x:c r="C749" s="45" t="n">
        <x:v>36971</x:v>
      </x:c>
      <x:c r="D749" s="33" t="str">
        <x:v>Arrest &amp; Trial</x:v>
      </x:c>
      <x:c r="E749" s="33" t="str">
        <x:v>Crossover Adjacent</x:v>
      </x:c>
      <x:c r="F749" s="33" t="str">
        <x:v>complete</x:v>
      </x:c>
      <x:c r="G749" s="50" t="n">
        <x:v>1</x:v>
      </x:c>
      <x:c r="H749" s="50" t="n">
        <x:v>127</x:v>
      </x:c>
      <x:c r="I749" s="44" t="str">
        <x:v>01.127</x:v>
      </x:c>
      <x:c r="J749" s="33" t="str">
        <x:v>Ninja Bandit</x:v>
      </x:c>
      <x:c r="K749" s="33" t="str"/>
      <x:c r="L749" s="33" t="str"/>
      <x:c r="M749" s="44" t="str"/>
      <x:c r="N749" s="50" t="n">
        <x:v>30</x:v>
      </x:c>
      <x:c r="O749" s="53" t="str">
        <x:v>A string of bank robberies were being committed by a man dressed in all black “Ninja”-type gear. During this time, a homicide that evolved out of an attempted car theft was also tied to this bank robber.</x:v>
      </x:c>
      <x:c r="P749" s="53" t="str">
        <x:v>Dick Wolf reality/legal anthology</x:v>
      </x:c>
      <x:c r="Q749" s="17" t="str">
        <x:v>6853775</x:v>
      </x:c>
      <x:c r="R749" s="17" t="str"/>
      <x:c r="S749" s="17" t="str"/>
    </x:row>
    <x:row r="750">
      <x:c r="A750" s="43" t="n">
        <x:v>746</x:v>
      </x:c>
      <x:c r="B750" s="44" t="str">
        <x:v>Not Started</x:v>
      </x:c>
      <x:c r="C750" s="45" t="n">
        <x:v>36971</x:v>
      </x:c>
      <x:c r="D750" s="33" t="str">
        <x:v>Law &amp; Order</x:v>
      </x:c>
      <x:c r="E750" s="33" t="str">
        <x:v>Law &amp; Order</x:v>
      </x:c>
      <x:c r="F750" s="33" t="str">
        <x:v>core</x:v>
      </x:c>
      <x:c r="G750" s="50" t="n">
        <x:v>11</x:v>
      </x:c>
      <x:c r="H750" s="50" t="n">
        <x:v>17</x:v>
      </x:c>
      <x:c r="I750" s="44" t="str">
        <x:v>11.17</x:v>
      </x:c>
      <x:c r="J750" s="33" t="str">
        <x:v>Ego</x:v>
      </x:c>
      <x:c r="K750" s="33" t="str"/>
      <x:c r="L750" s="33" t="str"/>
      <x:c r="M750" s="44" t="str"/>
      <x:c r="N750" s="50" t="n">
        <x:v>45</x:v>
      </x:c>
      <x:c r="O750" s="53" t="str">
        <x:v>When the dead body of Karen Hall, an investigator with the State Attorney General's Office Criminal Division, is found in a Manhattan river, Detectives Briscoe and Green find that her boss, Frank Conroy, had written off her disappearance as a random kidnapping from an Albany train station. But as more is learned about Conroy's controlling relationships -- with the dead woman, with his wife and with a long-term girlfriend -- he quickly becomes a suspect.</x:v>
      </x:c>
      <x:c r="P750" s="53" t="str">
        <x:v>Core Law &amp; Order franchise</x:v>
      </x:c>
      <x:c r="Q750" s="17" t="str">
        <x:v>34300</x:v>
      </x:c>
      <x:c r="R750" s="17" t="str">
        <x:v>tt0629246</x:v>
      </x:c>
      <x:c r="S750" s="17" t="str">
        <x:v>458</x:v>
      </x:c>
    </x:row>
    <x:row r="751">
      <x:c r="A751" s="43" t="n">
        <x:v>747</x:v>
      </x:c>
      <x:c r="B751" s="44" t="str">
        <x:v>Not Started</x:v>
      </x:c>
      <x:c r="C751" s="45" t="n">
        <x:v>36972</x:v>
      </x:c>
      <x:c r="D751" s="33" t="str">
        <x:v>Arrest &amp; Trial</x:v>
      </x:c>
      <x:c r="E751" s="33" t="str">
        <x:v>Crossover Adjacent</x:v>
      </x:c>
      <x:c r="F751" s="33" t="str">
        <x:v>complete</x:v>
      </x:c>
      <x:c r="G751" s="50" t="n">
        <x:v>1</x:v>
      </x:c>
      <x:c r="H751" s="50" t="n">
        <x:v>128</x:v>
      </x:c>
      <x:c r="I751" s="44" t="str">
        <x:v>01.128</x:v>
      </x:c>
      <x:c r="J751" s="33" t="str">
        <x:v>Baby Seat Bait</x:v>
      </x:c>
      <x:c r="K751" s="33" t="str"/>
      <x:c r="L751" s="33" t="str"/>
      <x:c r="M751" s="44" t="str"/>
      <x:c r="N751" s="50" t="n">
        <x:v>30</x:v>
      </x:c>
      <x:c r="O751" s="53" t="str">
        <x:v>Two bikers discovered a woman's body in the desert. Investigation revealed that there was a serial rapist whose crimes had escalated to murder. The prior assault victims and a young woman who survived a recent murder attempt were able to identify their assailant in a line-up. Police arrested a mild-mannered family man that used his persona to lure women into his car</x:v>
      </x:c>
      <x:c r="P751" s="53" t="str">
        <x:v>Dick Wolf reality/legal anthology</x:v>
      </x:c>
      <x:c r="Q751" s="17" t="str">
        <x:v>6853776</x:v>
      </x:c>
      <x:c r="R751" s="17" t="str"/>
      <x:c r="S751" s="17" t="str"/>
    </x:row>
    <x:row r="752">
      <x:c r="A752" s="43" t="n">
        <x:v>748</x:v>
      </x:c>
      <x:c r="B752" s="44" t="str">
        <x:v>Not Started</x:v>
      </x:c>
      <x:c r="C752" s="45" t="n">
        <x:v>36973</x:v>
      </x:c>
      <x:c r="D752" s="33" t="str">
        <x:v>Arrest &amp; Trial</x:v>
      </x:c>
      <x:c r="E752" s="33" t="str">
        <x:v>Crossover Adjacent</x:v>
      </x:c>
      <x:c r="F752" s="33" t="str">
        <x:v>complete</x:v>
      </x:c>
      <x:c r="G752" s="50" t="n">
        <x:v>1</x:v>
      </x:c>
      <x:c r="H752" s="50" t="n">
        <x:v>129</x:v>
      </x:c>
      <x:c r="I752" s="44" t="str">
        <x:v>01.129</x:v>
      </x:c>
      <x:c r="J752" s="33" t="str">
        <x:v>Stolen Car Clue</x:v>
      </x:c>
      <x:c r="K752" s="33" t="str"/>
      <x:c r="L752" s="33" t="str"/>
      <x:c r="M752" s="44" t="str"/>
      <x:c r="N752" s="50" t="n">
        <x:v>30</x:v>
      </x:c>
      <x:c r="O752" s="53" t="str">
        <x:v>The president of a local company was found dead on the side of the road, and his luxury car was missing. Nine months later, the investigators hit a dead end. Then, miraculously, authorities located the stolen vehicle that led them to two suspects.</x:v>
      </x:c>
      <x:c r="P752" s="53" t="str">
        <x:v>Dick Wolf reality/legal anthology</x:v>
      </x:c>
      <x:c r="Q752" s="17" t="str">
        <x:v>6853777</x:v>
      </x:c>
      <x:c r="R752" s="17" t="str"/>
      <x:c r="S752" s="17" t="str"/>
    </x:row>
    <x:row r="753">
      <x:c r="A753" s="43" t="n">
        <x:v>749</x:v>
      </x:c>
      <x:c r="B753" s="44" t="str">
        <x:v>Watched</x:v>
      </x:c>
      <x:c r="C753" s="45" t="n">
        <x:v>36973</x:v>
      </x:c>
      <x:c r="D753" s="33" t="str">
        <x:v>Law &amp; Order: Special Victims Unit</x:v>
      </x:c>
      <x:c r="E753" s="33" t="str">
        <x:v>Law &amp; Order</x:v>
      </x:c>
      <x:c r="F753" s="33" t="str">
        <x:v>core</x:v>
      </x:c>
      <x:c r="G753" s="50" t="n">
        <x:v>2</x:v>
      </x:c>
      <x:c r="H753" s="50" t="n">
        <x:v>17</x:v>
      </x:c>
      <x:c r="I753" s="44" t="str">
        <x:v>02.17</x:v>
      </x:c>
      <x:c r="J753" s="33" t="str">
        <x:v>Folly</x:v>
      </x:c>
      <x:c r="K753" s="33" t="str"/>
      <x:c r="L753" s="33" t="str"/>
      <x:c r="M753" s="44" t="str"/>
      <x:c r="N753" s="50" t="n">
        <x:v>44</x:v>
      </x:c>
      <x:c r="O753" s="53" t="str">
        <x:v>Male escorts are assaulted and one is murdered, and the police have a tough time finding the bizarre couple whose sexual fantasy has turned violent. The investigation uncovers a dangerous male escort service where the boss may have reasons for sending her staff on potentially deadly dates.</x:v>
      </x:c>
      <x:c r="P753" s="53" t="str">
        <x:v>Core Law &amp; Order franchise</x:v>
      </x:c>
      <x:c r="Q753" s="17" t="str">
        <x:v>224979</x:v>
      </x:c>
      <x:c r="R753" s="17" t="str">
        <x:v>tt0629655</x:v>
      </x:c>
      <x:c r="S753" s="17" t="str">
        <x:v>459</x:v>
      </x:c>
    </x:row>
    <x:row r="754">
      <x:c r="A754" s="43" t="n">
        <x:v>750</x:v>
      </x:c>
      <x:c r="B754" s="44" t="str">
        <x:v>Not Started</x:v>
      </x:c>
      <x:c r="C754" s="45" t="n">
        <x:v>36974</x:v>
      </x:c>
      <x:c r="D754" s="33" t="str">
        <x:v>Deadline</x:v>
      </x:c>
      <x:c r="E754" s="33" t="str">
        <x:v>Law &amp; Order</x:v>
      </x:c>
      <x:c r="F754" s="33" t="str">
        <x:v>connected</x:v>
      </x:c>
      <x:c r="G754" s="50" t="n">
        <x:v>1</x:v>
      </x:c>
      <x:c r="H754" s="50" t="n">
        <x:v>8</x:v>
      </x:c>
      <x:c r="I754" s="44" t="str">
        <x:v>01.08</x:v>
      </x:c>
      <x:c r="J754" s="33" t="str">
        <x:v>The Undesirables</x:v>
      </x:c>
      <x:c r="K754" s="33" t="str"/>
      <x:c r="L754" s="33" t="str"/>
      <x:c r="M754" s="44" t="str"/>
      <x:c r="N754" s="50" t="n">
        <x:v>60</x:v>
      </x:c>
      <x:c r="O754" s="53" t="str">
        <x:v>Wallace uncovers a politician's plot to sterilize female drug addicts</x:v>
      </x:c>
      <x:c r="P754" s="53" t="str">
        <x:v>Dick Wolf New York newspaper/legal-adjacent drama</x:v>
      </x:c>
      <x:c r="Q754" s="17" t="str">
        <x:v>201468</x:v>
      </x:c>
      <x:c r="R754" s="17" t="str">
        <x:v>tt0556267</x:v>
      </x:c>
      <x:c r="S754" s="17" t="str">
        <x:v>460</x:v>
      </x:c>
    </x:row>
    <x:row r="755">
      <x:c r="A755" s="43" t="n">
        <x:v>751</x:v>
      </x:c>
      <x:c r="B755" s="44" t="str">
        <x:v>Not Started</x:v>
      </x:c>
      <x:c r="C755" s="45" t="n">
        <x:v>36974</x:v>
      </x:c>
      <x:c r="D755" s="33" t="str">
        <x:v>Deadline</x:v>
      </x:c>
      <x:c r="E755" s="33" t="str">
        <x:v>Law &amp; Order</x:v>
      </x:c>
      <x:c r="F755" s="33" t="str">
        <x:v>connected</x:v>
      </x:c>
      <x:c r="G755" s="50" t="n">
        <x:v>1</x:v>
      </x:c>
      <x:c r="H755" s="50" t="n">
        <x:v>9</x:v>
      </x:c>
      <x:c r="I755" s="44" t="str">
        <x:v>01.09</x:v>
      </x:c>
      <x:c r="J755" s="33" t="str">
        <x:v>Somebody's Fool</x:v>
      </x:c>
      <x:c r="K755" s="33" t="str"/>
      <x:c r="L755" s="33" t="str"/>
      <x:c r="M755" s="44" t="str"/>
      <x:c r="N755" s="50" t="n">
        <x:v>60</x:v>
      </x:c>
      <x:c r="O755" s="53" t="str">
        <x:v>Benton investigates when a man is killed after creating a disturbance on a plane.</x:v>
      </x:c>
      <x:c r="P755" s="53" t="str">
        <x:v>Dick Wolf New York newspaper/legal-adjacent drama</x:v>
      </x:c>
      <x:c r="Q755" s="17" t="str">
        <x:v>201469</x:v>
      </x:c>
      <x:c r="R755" s="17" t="str">
        <x:v>tt0556264</x:v>
      </x:c>
      <x:c r="S755" s="17" t="str">
        <x:v>461</x:v>
      </x:c>
    </x:row>
    <x:row r="756">
      <x:c r="A756" s="43" t="n">
        <x:v>752</x:v>
      </x:c>
      <x:c r="B756" s="44" t="str">
        <x:v>Not Started</x:v>
      </x:c>
      <x:c r="C756" s="45" t="n">
        <x:v>36981</x:v>
      </x:c>
      <x:c r="D756" s="33" t="str">
        <x:v>Deadline</x:v>
      </x:c>
      <x:c r="E756" s="33" t="str">
        <x:v>Law &amp; Order</x:v>
      </x:c>
      <x:c r="F756" s="33" t="str">
        <x:v>connected</x:v>
      </x:c>
      <x:c r="G756" s="50" t="n">
        <x:v>1</x:v>
      </x:c>
      <x:c r="H756" s="50" t="n">
        <x:v>10</x:v>
      </x:c>
      <x:c r="I756" s="44" t="str">
        <x:v>01.10</x:v>
      </x:c>
      <x:c r="J756" s="33" t="str">
        <x:v>The First Commandment</x:v>
      </x:c>
      <x:c r="K756" s="33" t="str"/>
      <x:c r="L756" s="33" t="str"/>
      <x:c r="M756" s="44" t="str"/>
      <x:c r="N756" s="50" t="n">
        <x:v>60</x:v>
      </x:c>
      <x:c r="O756" s="53" t="str">
        <x:v>Benton is led astray while investigating the murder of a prominent rabbi's wife, causing him to delve into the holy man's background.</x:v>
      </x:c>
      <x:c r="P756" s="53" t="str">
        <x:v>Dick Wolf New York newspaper/legal-adjacent drama</x:v>
      </x:c>
      <x:c r="Q756" s="17" t="str">
        <x:v>201470</x:v>
      </x:c>
      <x:c r="R756" s="17" t="str">
        <x:v>tt0556265</x:v>
      </x:c>
      <x:c r="S756" s="17" t="str">
        <x:v>462</x:v>
      </x:c>
    </x:row>
    <x:row r="757">
      <x:c r="A757" s="43" t="n">
        <x:v>753</x:v>
      </x:c>
      <x:c r="B757" s="44" t="str">
        <x:v>Not Started</x:v>
      </x:c>
      <x:c r="C757" s="45" t="n">
        <x:v>36981</x:v>
      </x:c>
      <x:c r="D757" s="33" t="str">
        <x:v>Deadline</x:v>
      </x:c>
      <x:c r="E757" s="33" t="str">
        <x:v>Law &amp; Order</x:v>
      </x:c>
      <x:c r="F757" s="33" t="str">
        <x:v>connected</x:v>
      </x:c>
      <x:c r="G757" s="50" t="n">
        <x:v>1</x:v>
      </x:c>
      <x:c r="H757" s="50" t="n">
        <x:v>11</x:v>
      </x:c>
      <x:c r="I757" s="44" t="str">
        <x:v>01.11</x:v>
      </x:c>
      <x:c r="J757" s="33" t="str">
        <x:v>Just Lie Back</x:v>
      </x:c>
      <x:c r="K757" s="33" t="str"/>
      <x:c r="L757" s="33" t="str"/>
      <x:c r="M757" s="44" t="str"/>
      <x:c r="N757" s="50" t="n">
        <x:v>60</x:v>
      </x:c>
      <x:c r="O757" s="53" t="str">
        <x:v>Benton investigates the possibility that misogynistic comments by a radio disc jockey may have provoked a series of sexual assaults.</x:v>
      </x:c>
      <x:c r="P757" s="53" t="str">
        <x:v>Dick Wolf New York newspaper/legal-adjacent drama</x:v>
      </x:c>
      <x:c r="Q757" s="17" t="str">
        <x:v>201471</x:v>
      </x:c>
      <x:c r="R757" s="17" t="str">
        <x:v>tt0556258</x:v>
      </x:c>
      <x:c r="S757" s="17" t="str">
        <x:v>463</x:v>
      </x:c>
    </x:row>
    <x:row r="758">
      <x:c r="A758" s="43" t="n">
        <x:v>754</x:v>
      </x:c>
      <x:c r="B758" s="44" t="str">
        <x:v>Not Started</x:v>
      </x:c>
      <x:c r="C758" s="45" t="n">
        <x:v>36985</x:v>
      </x:c>
      <x:c r="D758" s="33" t="str">
        <x:v>Law &amp; Order</x:v>
      </x:c>
      <x:c r="E758" s="33" t="str">
        <x:v>Law &amp; Order</x:v>
      </x:c>
      <x:c r="F758" s="33" t="str">
        <x:v>core</x:v>
      </x:c>
      <x:c r="G758" s="50" t="n">
        <x:v>11</x:v>
      </x:c>
      <x:c r="H758" s="50" t="n">
        <x:v>18</x:v>
      </x:c>
      <x:c r="I758" s="44" t="str">
        <x:v>11.18</x:v>
      </x:c>
      <x:c r="J758" s="33" t="str">
        <x:v>White Lie</x:v>
      </x:c>
      <x:c r="K758" s="33" t="str"/>
      <x:c r="L758" s="33" t="str"/>
      <x:c r="M758" s="44" t="str"/>
      <x:c r="N758" s="50" t="n">
        <x:v>45</x:v>
      </x:c>
      <x:c r="O758" s="53" t="str">
        <x:v>When a couple is found dead in their apartment, Detectives Briscoe and Green follow the trail of drugs and money, which leads to Caryn Wyman, the wife of a U.S. Army Major responsible for the country's anti-drug efforts in Colombia. Despite the evidence linking Caryn to the drugs, she is fearful of cooperating with the police--until A.D.A. McCoy convinces her and her husband that she has no choice but to risk her life to catch the killer.</x:v>
      </x:c>
      <x:c r="P758" s="53" t="str">
        <x:v>Core Law &amp; Order franchise</x:v>
      </x:c>
      <x:c r="Q758" s="17" t="str">
        <x:v>34301</x:v>
      </x:c>
      <x:c r="R758" s="17" t="str">
        <x:v>tt0629497</x:v>
      </x:c>
      <x:c r="S758" s="17" t="str">
        <x:v>464</x:v>
      </x:c>
    </x:row>
    <x:row r="759">
      <x:c r="A759" s="43" t="n">
        <x:v>755</x:v>
      </x:c>
      <x:c r="B759" s="44" t="str">
        <x:v>Not Started</x:v>
      </x:c>
      <x:c r="C759" s="45" t="n">
        <x:v>36988</x:v>
      </x:c>
      <x:c r="D759" s="33" t="str">
        <x:v>Deadline</x:v>
      </x:c>
      <x:c r="E759" s="33" t="str">
        <x:v>Law &amp; Order</x:v>
      </x:c>
      <x:c r="F759" s="33" t="str">
        <x:v>connected</x:v>
      </x:c>
      <x:c r="G759" s="50" t="n">
        <x:v>1</x:v>
      </x:c>
      <x:c r="H759" s="50" t="n">
        <x:v>12</x:v>
      </x:c>
      <x:c r="I759" s="44" t="str">
        <x:v>01.12</x:v>
      </x:c>
      <x:c r="J759" s="33" t="str">
        <x:v>Shock</x:v>
      </x:c>
      <x:c r="K759" s="33" t="str"/>
      <x:c r="L759" s="33" t="str"/>
      <x:c r="M759" s="44" t="str"/>
      <x:c r="N759" s="50" t="n">
        <x:v>60</x:v>
      </x:c>
      <x:c r="O759" s="53" t="str">
        <x:v>Beth investigates a drug rehabilitation center that preys off its clientele by selling narcotics and condoning prostitution.</x:v>
      </x:c>
      <x:c r="P759" s="53" t="str">
        <x:v>Dick Wolf New York newspaper/legal-adjacent drama</x:v>
      </x:c>
      <x:c r="Q759" s="17" t="str">
        <x:v>201472</x:v>
      </x:c>
      <x:c r="R759" s="17" t="str">
        <x:v>tt0556263</x:v>
      </x:c>
      <x:c r="S759" s="17" t="str">
        <x:v>465</x:v>
      </x:c>
    </x:row>
    <x:row r="760">
      <x:c r="A760" s="43" t="n">
        <x:v>756</x:v>
      </x:c>
      <x:c r="B760" s="44" t="str">
        <x:v>Not Started</x:v>
      </x:c>
      <x:c r="C760" s="45" t="n">
        <x:v>36988</x:v>
      </x:c>
      <x:c r="D760" s="33" t="str">
        <x:v>Deadline</x:v>
      </x:c>
      <x:c r="E760" s="33" t="str">
        <x:v>Law &amp; Order</x:v>
      </x:c>
      <x:c r="F760" s="33" t="str">
        <x:v>connected</x:v>
      </x:c>
      <x:c r="G760" s="50" t="n">
        <x:v>1</x:v>
      </x:c>
      <x:c r="H760" s="50" t="n">
        <x:v>13</x:v>
      </x:c>
      <x:c r="I760" s="44" t="str">
        <x:v>01.13</x:v>
      </x:c>
      <x:c r="J760" s="33" t="str">
        <x:v>Red Herring</x:v>
      </x:c>
      <x:c r="K760" s="33" t="str"/>
      <x:c r="L760" s="33" t="str"/>
      <x:c r="M760" s="44" t="str"/>
      <x:c r="N760" s="50" t="n">
        <x:v>60</x:v>
      </x:c>
      <x:c r="O760" s="53" t="str">
        <x:v>Benton ends up afraid for his life and on his publisher's bad side when he dares to write a damning column on a stock scam run by the Russian mafia.</x:v>
      </x:c>
      <x:c r="P760" s="53" t="str">
        <x:v>Dick Wolf New York newspaper/legal-adjacent drama</x:v>
      </x:c>
      <x:c r="Q760" s="17" t="str">
        <x:v>201473</x:v>
      </x:c>
      <x:c r="R760" s="17" t="str">
        <x:v>tt0556262</x:v>
      </x:c>
      <x:c r="S760" s="17" t="str">
        <x:v>466</x:v>
      </x:c>
    </x:row>
    <x:row r="761">
      <x:c r="A761" s="43" t="n">
        <x:v>757</x:v>
      </x:c>
      <x:c r="B761" s="44" t="str">
        <x:v>Not Started</x:v>
      </x:c>
      <x:c r="C761" s="45" t="n">
        <x:v>36997</x:v>
      </x:c>
      <x:c r="D761" s="33" t="str">
        <x:v>Arrest &amp; Trial</x:v>
      </x:c>
      <x:c r="E761" s="33" t="str">
        <x:v>Crossover Adjacent</x:v>
      </x:c>
      <x:c r="F761" s="33" t="str">
        <x:v>complete</x:v>
      </x:c>
      <x:c r="G761" s="50" t="n">
        <x:v>1</x:v>
      </x:c>
      <x:c r="H761" s="50" t="n">
        <x:v>130</x:v>
      </x:c>
      <x:c r="I761" s="44" t="str">
        <x:v>01.130</x:v>
      </x:c>
      <x:c r="J761" s="33" t="str">
        <x:v>While Innocents Sleep</x:v>
      </x:c>
      <x:c r="K761" s="33" t="str"/>
      <x:c r="L761" s="33" t="str"/>
      <x:c r="M761" s="44" t="str"/>
      <x:c r="N761" s="50" t="n">
        <x:v>30</x:v>
      </x:c>
      <x:c r="O761" s="53" t="str">
        <x:v>A six-year-old girl appeared to be caught in the middle of a local gang war -- shot to death through her apartment door.</x:v>
      </x:c>
      <x:c r="P761" s="53" t="str">
        <x:v>Dick Wolf reality/legal anthology</x:v>
      </x:c>
      <x:c r="Q761" s="17" t="str">
        <x:v>6853778</x:v>
      </x:c>
      <x:c r="R761" s="17" t="str"/>
      <x:c r="S761" s="17" t="str"/>
    </x:row>
    <x:row r="762">
      <x:c r="A762" s="43" t="n">
        <x:v>758</x:v>
      </x:c>
      <x:c r="B762" s="44" t="str">
        <x:v>Not Started</x:v>
      </x:c>
      <x:c r="C762" s="45" t="n">
        <x:v>36998</x:v>
      </x:c>
      <x:c r="D762" s="33" t="str">
        <x:v>Arrest &amp; Trial</x:v>
      </x:c>
      <x:c r="E762" s="33" t="str">
        <x:v>Crossover Adjacent</x:v>
      </x:c>
      <x:c r="F762" s="33" t="str">
        <x:v>complete</x:v>
      </x:c>
      <x:c r="G762" s="50" t="n">
        <x:v>1</x:v>
      </x:c>
      <x:c r="H762" s="50" t="n">
        <x:v>131</x:v>
      </x:c>
      <x:c r="I762" s="44" t="str">
        <x:v>01.131</x:v>
      </x:c>
      <x:c r="J762" s="33" t="str">
        <x:v>Snakeheads</x:v>
      </x:c>
      <x:c r="K762" s="33" t="str"/>
      <x:c r="L762" s="33" t="str"/>
      <x:c r="M762" s="44" t="str"/>
      <x:c r="N762" s="50" t="n">
        <x:v>30</x:v>
      </x:c>
      <x:c r="O762" s="53" t="str">
        <x:v>The grounding of a ship used to smuggle 287 Chinese nationals to the U.S. led to the drowning death of 10 of those immigrants. Interviews were conducted to separate the crew from the illegal aliens. During questioning, the aliens revealed the inhumane conditions under which they traveled. A search of the vessel uncovered information leading to the arrest of several key members of an illegal alien smuggling ring. The ringleader, still at large, was eventually located in Bangkok and extradited for trial. Shortly before the trial, he entered a guilty plea, but later attempted to have it withdrawn.</x:v>
      </x:c>
      <x:c r="P762" s="53" t="str">
        <x:v>Dick Wolf reality/legal anthology</x:v>
      </x:c>
      <x:c r="Q762" s="17" t="str">
        <x:v>6853780</x:v>
      </x:c>
      <x:c r="R762" s="17" t="str"/>
      <x:c r="S762" s="17" t="str"/>
    </x:row>
    <x:row r="763">
      <x:c r="A763" s="43" t="n">
        <x:v>759</x:v>
      </x:c>
      <x:c r="B763" s="44" t="str">
        <x:v>Not Started</x:v>
      </x:c>
      <x:c r="C763" s="45" t="n">
        <x:v>36999</x:v>
      </x:c>
      <x:c r="D763" s="33" t="str">
        <x:v>Arrest &amp; Trial</x:v>
      </x:c>
      <x:c r="E763" s="33" t="str">
        <x:v>Crossover Adjacent</x:v>
      </x:c>
      <x:c r="F763" s="33" t="str">
        <x:v>complete</x:v>
      </x:c>
      <x:c r="G763" s="50" t="n">
        <x:v>1</x:v>
      </x:c>
      <x:c r="H763" s="50" t="n">
        <x:v>132</x:v>
      </x:c>
      <x:c r="I763" s="44" t="str">
        <x:v>01.132</x:v>
      </x:c>
      <x:c r="J763" s="33" t="str">
        <x:v>Indian Trackers</x:v>
      </x:c>
      <x:c r="K763" s="33" t="str"/>
      <x:c r="L763" s="33" t="str"/>
      <x:c r="M763" s="44" t="str"/>
      <x:c r="N763" s="50" t="n">
        <x:v>30</x:v>
      </x:c>
      <x:c r="O763" s="53" t="str">
        <x:v>U.S. Customs officials became aware of a group of drug smugglers traversing the U.S./Mexican border on foot. They employed the unique skills of trackers to find and follow the trail of these marijuana smugglers, known to officials as "carpet people."</x:v>
      </x:c>
      <x:c r="P763" s="53" t="str">
        <x:v>Dick Wolf reality/legal anthology</x:v>
      </x:c>
      <x:c r="Q763" s="17" t="str">
        <x:v>6853782</x:v>
      </x:c>
      <x:c r="R763" s="17" t="str"/>
      <x:c r="S763" s="17" t="str"/>
    </x:row>
    <x:row r="764">
      <x:c r="A764" s="43" t="n">
        <x:v>760</x:v>
      </x:c>
      <x:c r="B764" s="44" t="str">
        <x:v>Not Started</x:v>
      </x:c>
      <x:c r="C764" s="45" t="n">
        <x:v>36999</x:v>
      </x:c>
      <x:c r="D764" s="33" t="str">
        <x:v>Law &amp; Order</x:v>
      </x:c>
      <x:c r="E764" s="33" t="str">
        <x:v>Law &amp; Order</x:v>
      </x:c>
      <x:c r="F764" s="33" t="str">
        <x:v>core</x:v>
      </x:c>
      <x:c r="G764" s="50" t="n">
        <x:v>11</x:v>
      </x:c>
      <x:c r="H764" s="50" t="n">
        <x:v>19</x:v>
      </x:c>
      <x:c r="I764" s="44" t="str">
        <x:v>11.19</x:v>
      </x:c>
      <x:c r="J764" s="33" t="str">
        <x:v>Whiplash</x:v>
      </x:c>
      <x:c r="K764" s="33" t="str"/>
      <x:c r="L764" s="33" t="str"/>
      <x:c r="M764" s="44" t="str"/>
      <x:c r="N764" s="50" t="n">
        <x:v>45</x:v>
      </x:c>
      <x:c r="O764" s="53" t="str">
        <x:v>When an hispanic male is found dead from a severe chest trauma, Detectives Briscoe and Green discover that he and two other illegal immigrants had been in a staged automobile accident. As evidence mounts linking numerous similar car crashes with the same employer, chiropractor, insurance adjuster, and lawyers, A.D.A.s McCoy and Carmichael must determine who is ultimately responsible for the man's death, from which so many others profited.</x:v>
      </x:c>
      <x:c r="P764" s="53" t="str">
        <x:v>Core Law &amp; Order franchise</x:v>
      </x:c>
      <x:c r="Q764" s="17" t="str">
        <x:v>34302</x:v>
      </x:c>
      <x:c r="R764" s="17" t="str">
        <x:v>tt0629496</x:v>
      </x:c>
      <x:c r="S764" s="17" t="str">
        <x:v>467</x:v>
      </x:c>
    </x:row>
    <x:row r="765">
      <x:c r="A765" s="43" t="n">
        <x:v>761</x:v>
      </x:c>
      <x:c r="B765" s="44" t="str">
        <x:v>Not Started</x:v>
      </x:c>
      <x:c r="C765" s="45" t="n">
        <x:v>37000</x:v>
      </x:c>
      <x:c r="D765" s="33" t="str">
        <x:v>Arrest &amp; Trial</x:v>
      </x:c>
      <x:c r="E765" s="33" t="str">
        <x:v>Crossover Adjacent</x:v>
      </x:c>
      <x:c r="F765" s="33" t="str">
        <x:v>complete</x:v>
      </x:c>
      <x:c r="G765" s="50" t="n">
        <x:v>1</x:v>
      </x:c>
      <x:c r="H765" s="50" t="n">
        <x:v>133</x:v>
      </x:c>
      <x:c r="I765" s="44" t="str">
        <x:v>01.133</x:v>
      </x:c>
      <x:c r="J765" s="33" t="str">
        <x:v>Las Vegas Black Widow</x:v>
      </x:c>
      <x:c r="K765" s="33" t="str"/>
      <x:c r="L765" s="33" t="str"/>
      <x:c r="M765" s="44" t="str"/>
      <x:c r="N765" s="50" t="n">
        <x:v>30</x:v>
      </x:c>
      <x:c r="O765" s="53" t="str">
        <x:v>The discovery of a mysterious skeleton led authorities to a Las Vegas oddsmaker who had vanished under suspicious circumstances.</x:v>
      </x:c>
      <x:c r="P765" s="53" t="str">
        <x:v>Dick Wolf reality/legal anthology</x:v>
      </x:c>
      <x:c r="Q765" s="17" t="str">
        <x:v>6853783</x:v>
      </x:c>
      <x:c r="R765" s="17" t="str"/>
      <x:c r="S765" s="17" t="str"/>
    </x:row>
    <x:row r="766">
      <x:c r="A766" s="43" t="n">
        <x:v>762</x:v>
      </x:c>
      <x:c r="B766" s="44" t="str">
        <x:v>Not Started</x:v>
      </x:c>
      <x:c r="C766" s="45" t="n">
        <x:v>37001</x:v>
      </x:c>
      <x:c r="D766" s="33" t="str">
        <x:v>Arrest &amp; Trial</x:v>
      </x:c>
      <x:c r="E766" s="33" t="str">
        <x:v>Crossover Adjacent</x:v>
      </x:c>
      <x:c r="F766" s="33" t="str">
        <x:v>complete</x:v>
      </x:c>
      <x:c r="G766" s="50" t="n">
        <x:v>1</x:v>
      </x:c>
      <x:c r="H766" s="50" t="n">
        <x:v>134</x:v>
      </x:c>
      <x:c r="I766" s="44" t="str">
        <x:v>01.134</x:v>
      </x:c>
      <x:c r="J766" s="33" t="str">
        <x:v>Volatile Marriage Ends in Murder</x:v>
      </x:c>
      <x:c r="K766" s="33" t="str"/>
      <x:c r="L766" s="33" t="str"/>
      <x:c r="M766" s="44" t="str"/>
      <x:c r="N766" s="50" t="n">
        <x:v>30</x:v>
      </x:c>
      <x:c r="O766" s="53" t="str">
        <x:v>The owner of a popular Las Vegas nightclub was shot execution-style in his driveway. The investigation revealed a stormy marriage, and his wife quickly became the prime suspect.</x:v>
      </x:c>
      <x:c r="P766" s="53" t="str">
        <x:v>Dick Wolf reality/legal anthology</x:v>
      </x:c>
      <x:c r="Q766" s="17" t="str">
        <x:v>6853787</x:v>
      </x:c>
      <x:c r="R766" s="17" t="str"/>
      <x:c r="S766" s="17" t="str"/>
    </x:row>
    <x:row r="767">
      <x:c r="A767" s="43" t="n">
        <x:v>763</x:v>
      </x:c>
      <x:c r="B767" s="44" t="str">
        <x:v>Watched</x:v>
      </x:c>
      <x:c r="C767" s="45" t="n">
        <x:v>37001</x:v>
      </x:c>
      <x:c r="D767" s="33" t="str">
        <x:v>Law &amp; Order: Special Victims Unit</x:v>
      </x:c>
      <x:c r="E767" s="33" t="str">
        <x:v>Law &amp; Order</x:v>
      </x:c>
      <x:c r="F767" s="33" t="str">
        <x:v>core</x:v>
      </x:c>
      <x:c r="G767" s="50" t="n">
        <x:v>2</x:v>
      </x:c>
      <x:c r="H767" s="50" t="n">
        <x:v>18</x:v>
      </x:c>
      <x:c r="I767" s="44" t="str">
        <x:v>02.18</x:v>
      </x:c>
      <x:c r="J767" s="33" t="str">
        <x:v>Manhunt</x:v>
      </x:c>
      <x:c r="K767" s="33" t="str"/>
      <x:c r="L767" s="33" t="str"/>
      <x:c r="M767" s="44" t="str"/>
      <x:c r="N767" s="50" t="n">
        <x:v>44</x:v>
      </x:c>
      <x:c r="O767" s="53" t="str">
        <x:v>The details of a kidnapping are similar to a series of rapes and murders that may link the crime to a serial killer.</x:v>
      </x:c>
      <x:c r="P767" s="53" t="str">
        <x:v>Core Law &amp; Order franchise</x:v>
      </x:c>
      <x:c r="Q767" s="17" t="str">
        <x:v>224980</x:v>
      </x:c>
      <x:c r="R767" s="17" t="str">
        <x:v>tt0629681</x:v>
      </x:c>
      <x:c r="S767" s="17" t="str">
        <x:v>468</x:v>
      </x:c>
    </x:row>
    <x:row r="768">
      <x:c r="A768" s="43" t="n">
        <x:v>764</x:v>
      </x:c>
      <x:c r="B768" s="44" t="str">
        <x:v>Not Started</x:v>
      </x:c>
      <x:c r="C768" s="45" t="n">
        <x:v>37004</x:v>
      </x:c>
      <x:c r="D768" s="33" t="str">
        <x:v>Arrest &amp; Trial</x:v>
      </x:c>
      <x:c r="E768" s="33" t="str">
        <x:v>Crossover Adjacent</x:v>
      </x:c>
      <x:c r="F768" s="33" t="str">
        <x:v>complete</x:v>
      </x:c>
      <x:c r="G768" s="50" t="n">
        <x:v>1</x:v>
      </x:c>
      <x:c r="H768" s="50" t="n">
        <x:v>135</x:v>
      </x:c>
      <x:c r="I768" s="44" t="str">
        <x:v>01.135</x:v>
      </x:c>
      <x:c r="J768" s="33" t="str">
        <x:v>Lethal Husband</x:v>
      </x:c>
      <x:c r="K768" s="33" t="str"/>
      <x:c r="L768" s="33" t="str"/>
      <x:c r="M768" s="44" t="str"/>
      <x:c r="N768" s="50" t="n">
        <x:v>30</x:v>
      </x:c>
      <x:c r="O768" s="53" t="str">
        <x:v>A woman became violently ill and later died from what appeared to be Toxic Shock Syndrome. Her family, however, insisted that there was foul play. The victim’s father related that his daughter had been fearful that her husband was poisoning her.</x:v>
      </x:c>
      <x:c r="P768" s="53" t="str">
        <x:v>Dick Wolf reality/legal anthology</x:v>
      </x:c>
      <x:c r="Q768" s="17" t="str">
        <x:v>6853788</x:v>
      </x:c>
      <x:c r="R768" s="17" t="str"/>
      <x:c r="S768" s="17" t="str"/>
    </x:row>
    <x:row r="769">
      <x:c r="A769" s="43" t="n">
        <x:v>765</x:v>
      </x:c>
      <x:c r="B769" s="44" t="str">
        <x:v>Not Started</x:v>
      </x:c>
      <x:c r="C769" s="45" t="n">
        <x:v>37005</x:v>
      </x:c>
      <x:c r="D769" s="33" t="str">
        <x:v>Arrest &amp; Trial</x:v>
      </x:c>
      <x:c r="E769" s="33" t="str">
        <x:v>Crossover Adjacent</x:v>
      </x:c>
      <x:c r="F769" s="33" t="str">
        <x:v>complete</x:v>
      </x:c>
      <x:c r="G769" s="50" t="n">
        <x:v>1</x:v>
      </x:c>
      <x:c r="H769" s="50" t="n">
        <x:v>136</x:v>
      </x:c>
      <x:c r="I769" s="44" t="str">
        <x:v>01.136</x:v>
      </x:c>
      <x:c r="J769" s="33" t="str">
        <x:v>Doctor Beware</x:v>
      </x:c>
      <x:c r="K769" s="33" t="str"/>
      <x:c r="L769" s="33" t="str"/>
      <x:c r="M769" s="44" t="str"/>
      <x:c r="N769" s="50" t="n">
        <x:v>30</x:v>
      </x:c>
      <x:c r="O769" s="53" t="str">
        <x:v>A plastic surgeon and his secretary were gunned down in their office. The investigation quickly focused on disgruntled patients. All of the patients were eventually ruled out -- except for one woman.</x:v>
      </x:c>
      <x:c r="P769" s="53" t="str">
        <x:v>Dick Wolf reality/legal anthology</x:v>
      </x:c>
      <x:c r="Q769" s="17" t="str">
        <x:v>6853789</x:v>
      </x:c>
      <x:c r="R769" s="17" t="str"/>
      <x:c r="S769" s="17" t="str"/>
    </x:row>
    <x:row r="770">
      <x:c r="A770" s="43" t="n">
        <x:v>766</x:v>
      </x:c>
      <x:c r="B770" s="44" t="str">
        <x:v>Not Started</x:v>
      </x:c>
      <x:c r="C770" s="45" t="n">
        <x:v>37006</x:v>
      </x:c>
      <x:c r="D770" s="33" t="str">
        <x:v>Arrest &amp; Trial</x:v>
      </x:c>
      <x:c r="E770" s="33" t="str">
        <x:v>Crossover Adjacent</x:v>
      </x:c>
      <x:c r="F770" s="33" t="str">
        <x:v>complete</x:v>
      </x:c>
      <x:c r="G770" s="50" t="n">
        <x:v>1</x:v>
      </x:c>
      <x:c r="H770" s="50" t="n">
        <x:v>137</x:v>
      </x:c>
      <x:c r="I770" s="44" t="str">
        <x:v>01.137</x:v>
      </x:c>
      <x:c r="J770" s="33" t="str">
        <x:v>Latin Lover's Murder</x:v>
      </x:c>
      <x:c r="K770" s="33" t="str"/>
      <x:c r="L770" s="33" t="str"/>
      <x:c r="M770" s="44" t="str"/>
      <x:c r="N770" s="50" t="n">
        <x:v>30</x:v>
      </x:c>
      <x:c r="O770" s="53" t="str">
        <x:v>The body of a young woman was found in a dumpster wrapped in plastic bags.</x:v>
      </x:c>
      <x:c r="P770" s="53" t="str">
        <x:v>Dick Wolf reality/legal anthology</x:v>
      </x:c>
      <x:c r="Q770" s="17" t="str">
        <x:v>6853790</x:v>
      </x:c>
      <x:c r="R770" s="17" t="str"/>
      <x:c r="S770" s="17" t="str"/>
    </x:row>
    <x:row r="771">
      <x:c r="A771" s="43" t="n">
        <x:v>767</x:v>
      </x:c>
      <x:c r="B771" s="44" t="str">
        <x:v>Not Started</x:v>
      </x:c>
      <x:c r="C771" s="45" t="n">
        <x:v>37007</x:v>
      </x:c>
      <x:c r="D771" s="33" t="str">
        <x:v>Arrest &amp; Trial</x:v>
      </x:c>
      <x:c r="E771" s="33" t="str">
        <x:v>Crossover Adjacent</x:v>
      </x:c>
      <x:c r="F771" s="33" t="str">
        <x:v>complete</x:v>
      </x:c>
      <x:c r="G771" s="50" t="n">
        <x:v>1</x:v>
      </x:c>
      <x:c r="H771" s="50" t="n">
        <x:v>138</x:v>
      </x:c>
      <x:c r="I771" s="44" t="str">
        <x:v>01.138</x:v>
      </x:c>
      <x:c r="J771" s="33" t="str">
        <x:v>Die Hard Dad</x:v>
      </x:c>
      <x:c r="K771" s="33" t="str"/>
      <x:c r="L771" s="33" t="str"/>
      <x:c r="M771" s="44" t="str"/>
      <x:c r="N771" s="50" t="n">
        <x:v>30</x:v>
      </x:c>
      <x:c r="O771" s="53" t="str">
        <x:v>A bank robbery in New Hampshire evolved into a high-speed chase over state lines into Massachusetts.</x:v>
      </x:c>
      <x:c r="P771" s="53" t="str">
        <x:v>Dick Wolf reality/legal anthology</x:v>
      </x:c>
      <x:c r="Q771" s="17" t="str">
        <x:v>6853792</x:v>
      </x:c>
      <x:c r="R771" s="17" t="str"/>
      <x:c r="S771" s="17" t="str"/>
    </x:row>
    <x:row r="772">
      <x:c r="A772" s="43" t="n">
        <x:v>768</x:v>
      </x:c>
      <x:c r="B772" s="44" t="str">
        <x:v>Not Started</x:v>
      </x:c>
      <x:c r="C772" s="45" t="n">
        <x:v>37008</x:v>
      </x:c>
      <x:c r="D772" s="33" t="str">
        <x:v>Arrest &amp; Trial</x:v>
      </x:c>
      <x:c r="E772" s="33" t="str">
        <x:v>Crossover Adjacent</x:v>
      </x:c>
      <x:c r="F772" s="33" t="str">
        <x:v>complete</x:v>
      </x:c>
      <x:c r="G772" s="50" t="n">
        <x:v>1</x:v>
      </x:c>
      <x:c r="H772" s="50" t="n">
        <x:v>139</x:v>
      </x:c>
      <x:c r="I772" s="44" t="str">
        <x:v>01.139</x:v>
      </x:c>
      <x:c r="J772" s="33" t="str">
        <x:v>Cold Blooded Cupid</x:v>
      </x:c>
      <x:c r="K772" s="33" t="str"/>
      <x:c r="L772" s="33" t="str"/>
      <x:c r="M772" s="44" t="str"/>
      <x:c r="N772" s="50" t="n">
        <x:v>30</x:v>
      </x:c>
      <x:c r="O772" s="53" t="str">
        <x:v>A prostitute working on the street was shot with an arrow and subsequently died. The media attention after the murder brought other victims forward who were able to give a description of the suspect. The investigation showed that all the victims were either prostitutes or had been attacked in known prostitution areas. Detectives were able to locate the suspect through his purchase of the bows and arrows. The defendant chose to defend himself.</x:v>
      </x:c>
      <x:c r="P772" s="53" t="str">
        <x:v>Dick Wolf reality/legal anthology</x:v>
      </x:c>
      <x:c r="Q772" s="17" t="str">
        <x:v>6853793</x:v>
      </x:c>
      <x:c r="R772" s="17" t="str"/>
      <x:c r="S772" s="17" t="str"/>
    </x:row>
    <x:row r="773">
      <x:c r="A773" s="43" t="n">
        <x:v>769</x:v>
      </x:c>
      <x:c r="B773" s="44" t="str">
        <x:v>Watched</x:v>
      </x:c>
      <x:c r="C773" s="45" t="n">
        <x:v>37008</x:v>
      </x:c>
      <x:c r="D773" s="33" t="str">
        <x:v>Law &amp; Order: Special Victims Unit</x:v>
      </x:c>
      <x:c r="E773" s="33" t="str">
        <x:v>Law &amp; Order</x:v>
      </x:c>
      <x:c r="F773" s="33" t="str">
        <x:v>core</x:v>
      </x:c>
      <x:c r="G773" s="50" t="n">
        <x:v>2</x:v>
      </x:c>
      <x:c r="H773" s="50" t="n">
        <x:v>19</x:v>
      </x:c>
      <x:c r="I773" s="44" t="str">
        <x:v>02.19</x:v>
      </x:c>
      <x:c r="J773" s="33" t="str">
        <x:v>Parasites</x:v>
      </x:c>
      <x:c r="K773" s="33" t="str"/>
      <x:c r="L773" s="33" t="str"/>
      <x:c r="M773" s="44" t="str"/>
      <x:c r="N773" s="50" t="n">
        <x:v>44</x:v>
      </x:c>
      <x:c r="O773" s="53" t="str">
        <x:v>The remains of a Romanian woman are found three years after her death, buried in an apartment courtyard with a collar and leash. The detectives have a tough time finding the killer until a composite photo leads them to the victim's identical twin sister.</x:v>
      </x:c>
      <x:c r="P773" s="53" t="str">
        <x:v>Core Law &amp; Order franchise</x:v>
      </x:c>
      <x:c r="Q773" s="17" t="str">
        <x:v>224981</x:v>
      </x:c>
      <x:c r="R773" s="17" t="str">
        <x:v>tt0629698</x:v>
      </x:c>
      <x:c r="S773" s="17" t="str">
        <x:v>469</x:v>
      </x:c>
    </x:row>
    <x:row r="774">
      <x:c r="A774" s="43" t="n">
        <x:v>770</x:v>
      </x:c>
      <x:c r="B774" s="44" t="str">
        <x:v>Not Started</x:v>
      </x:c>
      <x:c r="C774" s="45" t="n">
        <x:v>37011</x:v>
      </x:c>
      <x:c r="D774" s="33" t="str">
        <x:v>Arrest &amp; Trial</x:v>
      </x:c>
      <x:c r="E774" s="33" t="str">
        <x:v>Crossover Adjacent</x:v>
      </x:c>
      <x:c r="F774" s="33" t="str">
        <x:v>complete</x:v>
      </x:c>
      <x:c r="G774" s="50" t="n">
        <x:v>1</x:v>
      </x:c>
      <x:c r="H774" s="50" t="n">
        <x:v>140</x:v>
      </x:c>
      <x:c r="I774" s="44" t="str">
        <x:v>01.140</x:v>
      </x:c>
      <x:c r="J774" s="33" t="str">
        <x:v>Chilling Confession</x:v>
      </x:c>
      <x:c r="K774" s="33" t="str"/>
      <x:c r="L774" s="33" t="str"/>
      <x:c r="M774" s="44" t="str"/>
      <x:c r="N774" s="50" t="n">
        <x:v>30</x:v>
      </x:c>
      <x:c r="O774" s="53" t="str">
        <x:v>When a hospice nurse failed to make her daily call into work, two co-workers went to her home to check on her.</x:v>
      </x:c>
      <x:c r="P774" s="53" t="str">
        <x:v>Dick Wolf reality/legal anthology</x:v>
      </x:c>
      <x:c r="Q774" s="17" t="str">
        <x:v>6853794</x:v>
      </x:c>
      <x:c r="R774" s="17" t="str"/>
      <x:c r="S774" s="17" t="str"/>
    </x:row>
    <x:row r="775">
      <x:c r="A775" s="43" t="n">
        <x:v>771</x:v>
      </x:c>
      <x:c r="B775" s="44" t="str">
        <x:v>Not Started</x:v>
      </x:c>
      <x:c r="C775" s="45" t="n">
        <x:v>37012</x:v>
      </x:c>
      <x:c r="D775" s="33" t="str">
        <x:v>Arrest &amp; Trial</x:v>
      </x:c>
      <x:c r="E775" s="33" t="str">
        <x:v>Crossover Adjacent</x:v>
      </x:c>
      <x:c r="F775" s="33" t="str">
        <x:v>complete</x:v>
      </x:c>
      <x:c r="G775" s="50" t="n">
        <x:v>1</x:v>
      </x:c>
      <x:c r="H775" s="50" t="n">
        <x:v>141</x:v>
      </x:c>
      <x:c r="I775" s="44" t="str">
        <x:v>01.141</x:v>
      </x:c>
      <x:c r="J775" s="33" t="str">
        <x:v>Child Abductor</x:v>
      </x:c>
      <x:c r="K775" s="33" t="str"/>
      <x:c r="L775" s="33" t="str"/>
      <x:c r="M775" s="44" t="str"/>
      <x:c r="N775" s="50" t="n">
        <x:v>30</x:v>
      </x:c>
      <x:c r="O775" s="53" t="str">
        <x:v>A 17-year-old girl disappeared from her driveway two days before her high-school graduation.</x:v>
      </x:c>
      <x:c r="P775" s="53" t="str">
        <x:v>Dick Wolf reality/legal anthology</x:v>
      </x:c>
      <x:c r="Q775" s="17" t="str">
        <x:v>6853795</x:v>
      </x:c>
      <x:c r="R775" s="17" t="str"/>
      <x:c r="S775" s="17" t="str"/>
    </x:row>
    <x:row r="776">
      <x:c r="A776" s="43" t="n">
        <x:v>772</x:v>
      </x:c>
      <x:c r="B776" s="44" t="str">
        <x:v>Not Started</x:v>
      </x:c>
      <x:c r="C776" s="45" t="n">
        <x:v>37013</x:v>
      </x:c>
      <x:c r="D776" s="33" t="str">
        <x:v>Arrest &amp; Trial</x:v>
      </x:c>
      <x:c r="E776" s="33" t="str">
        <x:v>Crossover Adjacent</x:v>
      </x:c>
      <x:c r="F776" s="33" t="str">
        <x:v>complete</x:v>
      </x:c>
      <x:c r="G776" s="50" t="n">
        <x:v>1</x:v>
      </x:c>
      <x:c r="H776" s="50" t="n">
        <x:v>142</x:v>
      </x:c>
      <x:c r="I776" s="44" t="str">
        <x:v>01.142</x:v>
      </x:c>
      <x:c r="J776" s="33" t="str">
        <x:v>Iceman: Mob Killer</x:v>
      </x:c>
      <x:c r="K776" s="33" t="str"/>
      <x:c r="L776" s="33" t="str"/>
      <x:c r="M776" s="44" t="str"/>
      <x:c r="N776" s="50" t="n">
        <x:v>30</x:v>
      </x:c>
      <x:c r="O776" s="53" t="str">
        <x:v>An undercover ATF agent went into deep cover to catch a known member of organized crime suspected of murder, drug trafficking and gun running.</x:v>
      </x:c>
      <x:c r="P776" s="53" t="str">
        <x:v>Dick Wolf reality/legal anthology</x:v>
      </x:c>
      <x:c r="Q776" s="17" t="str">
        <x:v>6853797</x:v>
      </x:c>
      <x:c r="R776" s="17" t="str"/>
      <x:c r="S776" s="17" t="str"/>
    </x:row>
    <x:row r="777">
      <x:c r="A777" s="43" t="n">
        <x:v>773</x:v>
      </x:c>
      <x:c r="B777" s="44" t="str">
        <x:v>Not Started</x:v>
      </x:c>
      <x:c r="C777" s="45" t="n">
        <x:v>37013</x:v>
      </x:c>
      <x:c r="D777" s="33" t="str">
        <x:v>Law &amp; Order</x:v>
      </x:c>
      <x:c r="E777" s="33" t="str">
        <x:v>Law &amp; Order</x:v>
      </x:c>
      <x:c r="F777" s="33" t="str">
        <x:v>core</x:v>
      </x:c>
      <x:c r="G777" s="50" t="n">
        <x:v>11</x:v>
      </x:c>
      <x:c r="H777" s="50" t="n">
        <x:v>20</x:v>
      </x:c>
      <x:c r="I777" s="44" t="str">
        <x:v>11.20</x:v>
      </x:c>
      <x:c r="J777" s="33" t="str">
        <x:v>All My Children</x:v>
      </x:c>
      <x:c r="K777" s="33" t="str"/>
      <x:c r="L777" s="33" t="str"/>
      <x:c r="M777" s="44" t="str"/>
      <x:c r="N777" s="50" t="n">
        <x:v>45</x:v>
      </x:c>
      <x:c r="O777" s="53" t="str">
        <x:v>The murder of a prep school student points to a mystery woman who may have been extorting money from the victim's wealthy father.</x:v>
      </x:c>
      <x:c r="P777" s="53" t="str">
        <x:v>Core Law &amp; Order franchise</x:v>
      </x:c>
      <x:c r="Q777" s="17" t="str">
        <x:v>34303</x:v>
      </x:c>
      <x:c r="R777" s="17" t="str">
        <x:v>tt0629151</x:v>
      </x:c>
      <x:c r="S777" s="17" t="str">
        <x:v>470</x:v>
      </x:c>
    </x:row>
    <x:row r="778">
      <x:c r="A778" s="43" t="n">
        <x:v>774</x:v>
      </x:c>
      <x:c r="B778" s="44" t="str">
        <x:v>Not Started</x:v>
      </x:c>
      <x:c r="C778" s="45" t="n">
        <x:v>37014</x:v>
      </x:c>
      <x:c r="D778" s="33" t="str">
        <x:v>Arrest &amp; Trial</x:v>
      </x:c>
      <x:c r="E778" s="33" t="str">
        <x:v>Crossover Adjacent</x:v>
      </x:c>
      <x:c r="F778" s="33" t="str">
        <x:v>complete</x:v>
      </x:c>
      <x:c r="G778" s="50" t="n">
        <x:v>1</x:v>
      </x:c>
      <x:c r="H778" s="50" t="n">
        <x:v>143</x:v>
      </x:c>
      <x:c r="I778" s="44" t="str">
        <x:v>01.143</x:v>
      </x:c>
      <x:c r="J778" s="33" t="str">
        <x:v>Corridor Killer</x:v>
      </x:c>
      <x:c r="K778" s="33" t="str"/>
      <x:c r="L778" s="33" t="str"/>
      <x:c r="M778" s="44" t="str"/>
      <x:c r="N778" s="50" t="n">
        <x:v>30</x:v>
      </x:c>
      <x:c r="O778" s="53" t="str">
        <x:v>A young woman was found at a construction site having been tortured and murdered. It appeared her death would go unsolved until another victim was found murdered in the same way. Detectives realized a serial killer was on the loose and called in the FBI.</x:v>
      </x:c>
      <x:c r="P778" s="53" t="str">
        <x:v>Dick Wolf reality/legal anthology</x:v>
      </x:c>
      <x:c r="Q778" s="17" t="str">
        <x:v>6853799</x:v>
      </x:c>
      <x:c r="R778" s="17" t="str"/>
      <x:c r="S778" s="17" t="str"/>
    </x:row>
    <x:row r="779">
      <x:c r="A779" s="43" t="n">
        <x:v>775</x:v>
      </x:c>
      <x:c r="B779" s="44" t="str">
        <x:v>Not Started</x:v>
      </x:c>
      <x:c r="C779" s="45" t="n">
        <x:v>37015</x:v>
      </x:c>
      <x:c r="D779" s="33" t="str">
        <x:v>Arrest &amp; Trial</x:v>
      </x:c>
      <x:c r="E779" s="33" t="str">
        <x:v>Crossover Adjacent</x:v>
      </x:c>
      <x:c r="F779" s="33" t="str">
        <x:v>complete</x:v>
      </x:c>
      <x:c r="G779" s="50" t="n">
        <x:v>1</x:v>
      </x:c>
      <x:c r="H779" s="50" t="n">
        <x:v>144</x:v>
      </x:c>
      <x:c r="I779" s="44" t="str">
        <x:v>01.144</x:v>
      </x:c>
      <x:c r="J779" s="33" t="str">
        <x:v>World Trade Center</x:v>
      </x:c>
      <x:c r="K779" s="33" t="str"/>
      <x:c r="L779" s="33" t="str"/>
      <x:c r="M779" s="44" t="str"/>
      <x:c r="N779" s="50" t="n">
        <x:v>30</x:v>
      </x:c>
      <x:c r="O779" s="53" t="str">
        <x:v>On February 26, 1993, a terrorist’s bomb shook New York’s World Trade Center. Investigators were able to locate the vehicle that housed the bomb and retrieved the VIN number. This critical clue led to the apprehension of the terrorists responsible.</x:v>
      </x:c>
      <x:c r="P779" s="53" t="str">
        <x:v>Dick Wolf reality/legal anthology</x:v>
      </x:c>
      <x:c r="Q779" s="17" t="str">
        <x:v>6853801</x:v>
      </x:c>
      <x:c r="R779" s="17" t="str"/>
      <x:c r="S779" s="17" t="str"/>
    </x:row>
    <x:row r="780">
      <x:c r="A780" s="43" t="n">
        <x:v>776</x:v>
      </x:c>
      <x:c r="B780" s="44" t="str">
        <x:v>Watched</x:v>
      </x:c>
      <x:c r="C780" s="45" t="n">
        <x:v>37015</x:v>
      </x:c>
      <x:c r="D780" s="33" t="str">
        <x:v>Law &amp; Order: Special Victims Unit</x:v>
      </x:c>
      <x:c r="E780" s="33" t="str">
        <x:v>Law &amp; Order</x:v>
      </x:c>
      <x:c r="F780" s="33" t="str">
        <x:v>core</x:v>
      </x:c>
      <x:c r="G780" s="50" t="n">
        <x:v>2</x:v>
      </x:c>
      <x:c r="H780" s="50" t="n">
        <x:v>20</x:v>
      </x:c>
      <x:c r="I780" s="44" t="str">
        <x:v>02.20</x:v>
      </x:c>
      <x:c r="J780" s="33" t="str">
        <x:v>Pique</x:v>
      </x:c>
      <x:c r="K780" s="33" t="str"/>
      <x:c r="L780" s="33" t="str"/>
      <x:c r="M780" s="44" t="str"/>
      <x:c r="N780" s="50" t="n">
        <x:v>44</x:v>
      </x:c>
      <x:c r="O780" s="53" t="str">
        <x:v>Observed by an FBI psychiatrist, the detectives uncover a horrifying motive for the slaying of a software company employee by a fired colleague when they learn of the suspect's bizarre relationship with his overbearing mother and a strange sexual fetish called piquerism.</x:v>
      </x:c>
      <x:c r="P780" s="53" t="str">
        <x:v>Core Law &amp; Order franchise</x:v>
      </x:c>
      <x:c r="Q780" s="17" t="str">
        <x:v>224982</x:v>
      </x:c>
      <x:c r="R780" s="17" t="str">
        <x:v>tt0629702</x:v>
      </x:c>
      <x:c r="S780" s="17" t="str">
        <x:v>471</x:v>
      </x:c>
    </x:row>
    <x:row r="781">
      <x:c r="A781" s="43" t="n">
        <x:v>777</x:v>
      </x:c>
      <x:c r="B781" s="44" t="str">
        <x:v>Not Started</x:v>
      </x:c>
      <x:c r="C781" s="45" t="n">
        <x:v>37018</x:v>
      </x:c>
      <x:c r="D781" s="33" t="str">
        <x:v>Arrest &amp; Trial</x:v>
      </x:c>
      <x:c r="E781" s="33" t="str">
        <x:v>Crossover Adjacent</x:v>
      </x:c>
      <x:c r="F781" s="33" t="str">
        <x:v>complete</x:v>
      </x:c>
      <x:c r="G781" s="50" t="n">
        <x:v>1</x:v>
      </x:c>
      <x:c r="H781" s="50" t="n">
        <x:v>145</x:v>
      </x:c>
      <x:c r="I781" s="44" t="str">
        <x:v>01.145</x:v>
      </x:c>
      <x:c r="J781" s="33" t="str">
        <x:v>Capano Case, Part 1</x:v>
      </x:c>
      <x:c r="K781" s="33" t="str"/>
      <x:c r="L781" s="33" t="str"/>
      <x:c r="M781" s="44" t="str"/>
      <x:c r="N781" s="50" t="n">
        <x:v>30</x:v>
      </x:c>
      <x:c r="O781" s="53" t="str">
        <x:v>A missing person’s report was filed on a young woman last seen with her former lover.</x:v>
      </x:c>
      <x:c r="P781" s="53" t="str">
        <x:v>Dick Wolf reality/legal anthology</x:v>
      </x:c>
      <x:c r="Q781" s="17" t="str">
        <x:v>6853803</x:v>
      </x:c>
      <x:c r="R781" s="17" t="str"/>
      <x:c r="S781" s="17" t="str"/>
    </x:row>
    <x:row r="782">
      <x:c r="A782" s="43" t="n">
        <x:v>778</x:v>
      </x:c>
      <x:c r="B782" s="44" t="str">
        <x:v>Not Started</x:v>
      </x:c>
      <x:c r="C782" s="45" t="n">
        <x:v>37019</x:v>
      </x:c>
      <x:c r="D782" s="33" t="str">
        <x:v>Arrest &amp; Trial</x:v>
      </x:c>
      <x:c r="E782" s="33" t="str">
        <x:v>Crossover Adjacent</x:v>
      </x:c>
      <x:c r="F782" s="33" t="str">
        <x:v>complete</x:v>
      </x:c>
      <x:c r="G782" s="50" t="n">
        <x:v>1</x:v>
      </x:c>
      <x:c r="H782" s="50" t="n">
        <x:v>146</x:v>
      </x:c>
      <x:c r="I782" s="44" t="str">
        <x:v>01.146</x:v>
      </x:c>
      <x:c r="J782" s="33" t="str">
        <x:v>Capano Case, Part 2</x:v>
      </x:c>
      <x:c r="K782" s="33" t="str"/>
      <x:c r="L782" s="33" t="str"/>
      <x:c r="M782" s="44" t="str"/>
      <x:c r="N782" s="50" t="n">
        <x:v>30</x:v>
      </x:c>
      <x:c r="O782" s="53" t="str">
        <x:v>Seventeen months after a young woman’s disappearance, the suspect in her murder was arrested. After he rejected an initial plea offer of federal kidnapping, he was charged instead with first-degree murder.</x:v>
      </x:c>
      <x:c r="P782" s="53" t="str">
        <x:v>Dick Wolf reality/legal anthology</x:v>
      </x:c>
      <x:c r="Q782" s="17" t="str">
        <x:v>6853804</x:v>
      </x:c>
      <x:c r="R782" s="17" t="str"/>
      <x:c r="S782" s="17" t="str"/>
    </x:row>
    <x:row r="783">
      <x:c r="A783" s="43" t="n">
        <x:v>779</x:v>
      </x:c>
      <x:c r="B783" s="44" t="str">
        <x:v>Not Started</x:v>
      </x:c>
      <x:c r="C783" s="45" t="n">
        <x:v>37020</x:v>
      </x:c>
      <x:c r="D783" s="33" t="str">
        <x:v>Arrest &amp; Trial</x:v>
      </x:c>
      <x:c r="E783" s="33" t="str">
        <x:v>Crossover Adjacent</x:v>
      </x:c>
      <x:c r="F783" s="33" t="str">
        <x:v>complete</x:v>
      </x:c>
      <x:c r="G783" s="50" t="n">
        <x:v>1</x:v>
      </x:c>
      <x:c r="H783" s="50" t="n">
        <x:v>147</x:v>
      </x:c>
      <x:c r="I783" s="44" t="str">
        <x:v>01.147</x:v>
      </x:c>
      <x:c r="J783" s="33" t="str">
        <x:v>Red Dog Case</x:v>
      </x:c>
      <x:c r="K783" s="33" t="str"/>
      <x:c r="L783" s="33" t="str"/>
      <x:c r="M783" s="44" t="str"/>
      <x:c r="N783" s="50" t="n">
        <x:v>30</x:v>
      </x:c>
      <x:c r="O783" s="53" t="str">
        <x:v>When state troopers were sent to check on a woman at her home, she was missing, and her son was found dead in the basement.</x:v>
      </x:c>
      <x:c r="P783" s="53" t="str">
        <x:v>Dick Wolf reality/legal anthology</x:v>
      </x:c>
      <x:c r="Q783" s="17" t="str">
        <x:v>6853805</x:v>
      </x:c>
      <x:c r="R783" s="17" t="str"/>
      <x:c r="S783" s="17" t="str"/>
    </x:row>
    <x:row r="784">
      <x:c r="A784" s="43" t="n">
        <x:v>780</x:v>
      </x:c>
      <x:c r="B784" s="44" t="str">
        <x:v>Not Started</x:v>
      </x:c>
      <x:c r="C784" s="45" t="n">
        <x:v>37020</x:v>
      </x:c>
      <x:c r="D784" s="33" t="str">
        <x:v>Law &amp; Order</x:v>
      </x:c>
      <x:c r="E784" s="33" t="str">
        <x:v>Law &amp; Order</x:v>
      </x:c>
      <x:c r="F784" s="33" t="str">
        <x:v>core</x:v>
      </x:c>
      <x:c r="G784" s="50" t="n">
        <x:v>11</x:v>
      </x:c>
      <x:c r="H784" s="50" t="n">
        <x:v>21</x:v>
      </x:c>
      <x:c r="I784" s="44" t="str">
        <x:v>11.21</x:v>
      </x:c>
      <x:c r="J784" s="33" t="str">
        <x:v>Brother's Keeper</x:v>
      </x:c>
      <x:c r="K784" s="33" t="str"/>
      <x:c r="L784" s="33" t="str"/>
      <x:c r="M784" s="44" t="str"/>
      <x:c r="N784" s="50" t="n">
        <x:v>45</x:v>
      </x:c>
      <x:c r="O784" s="53" t="str">
        <x:v>Briscoe and Green discover a murdered businessman may have been the target of a well-known criminal , but the investigation stumbles when the FBI acts as the suspect's alibi.</x:v>
      </x:c>
      <x:c r="P784" s="53" t="str">
        <x:v>Core Law &amp; Order franchise</x:v>
      </x:c>
      <x:c r="Q784" s="17" t="str">
        <x:v>34304</x:v>
      </x:c>
      <x:c r="R784" s="17" t="str">
        <x:v>tt0629191</x:v>
      </x:c>
      <x:c r="S784" s="17" t="str">
        <x:v>472</x:v>
      </x:c>
    </x:row>
    <x:row r="785">
      <x:c r="A785" s="43" t="n">
        <x:v>781</x:v>
      </x:c>
      <x:c r="B785" s="44" t="str">
        <x:v>Not Started</x:v>
      </x:c>
      <x:c r="C785" s="45" t="n">
        <x:v>37021</x:v>
      </x:c>
      <x:c r="D785" s="33" t="str">
        <x:v>Arrest &amp; Trial</x:v>
      </x:c>
      <x:c r="E785" s="33" t="str">
        <x:v>Crossover Adjacent</x:v>
      </x:c>
      <x:c r="F785" s="33" t="str">
        <x:v>complete</x:v>
      </x:c>
      <x:c r="G785" s="50" t="n">
        <x:v>1</x:v>
      </x:c>
      <x:c r="H785" s="50" t="n">
        <x:v>148</x:v>
      </x:c>
      <x:c r="I785" s="44" t="str">
        <x:v>01.148</x:v>
      </x:c>
      <x:c r="J785" s="33" t="str">
        <x:v>Convenience Store Killing</x:v>
      </x:c>
      <x:c r="K785" s="33" t="str"/>
      <x:c r="L785" s="33" t="str"/>
      <x:c r="M785" s="44" t="str"/>
      <x:c r="N785" s="50" t="n">
        <x:v>30</x:v>
      </x:c>
      <x:c r="O785" s="53" t="str">
        <x:v>Incredibly, a clerk from a convenience store survived a vicious assault wherein her coworker was killed. Investigators were able to identify one of the four suspects through a redeemed lottery ticket that was taken from the store during the attack.</x:v>
      </x:c>
      <x:c r="P785" s="53" t="str">
        <x:v>Dick Wolf reality/legal anthology</x:v>
      </x:c>
      <x:c r="Q785" s="17" t="str">
        <x:v>6853806</x:v>
      </x:c>
      <x:c r="R785" s="17" t="str"/>
      <x:c r="S785" s="17" t="str"/>
    </x:row>
    <x:row r="786">
      <x:c r="A786" s="43" t="n">
        <x:v>782</x:v>
      </x:c>
      <x:c r="B786" s="44" t="str">
        <x:v>Not Started</x:v>
      </x:c>
      <x:c r="C786" s="45" t="n">
        <x:v>37022</x:v>
      </x:c>
      <x:c r="D786" s="33" t="str">
        <x:v>Arrest &amp; Trial</x:v>
      </x:c>
      <x:c r="E786" s="33" t="str">
        <x:v>Crossover Adjacent</x:v>
      </x:c>
      <x:c r="F786" s="33" t="str">
        <x:v>complete</x:v>
      </x:c>
      <x:c r="G786" s="50" t="n">
        <x:v>1</x:v>
      </x:c>
      <x:c r="H786" s="50" t="n">
        <x:v>149</x:v>
      </x:c>
      <x:c r="I786" s="44" t="str">
        <x:v>01.149</x:v>
      </x:c>
      <x:c r="J786" s="33" t="str">
        <x:v>Porteous' Print</x:v>
      </x:c>
      <x:c r="K786" s="33" t="str"/>
      <x:c r="L786" s="33" t="str"/>
      <x:c r="M786" s="44" t="str"/>
      <x:c r="N786" s="50" t="n">
        <x:v>30</x:v>
      </x:c>
      <x:c r="O786" s="53" t="str">
        <x:v>The victim of a rape had the presence of mind to leave on the tape that her attacker used to bind her hands. Investigators were able to recover a fingerprint from it and arrest a suspect.</x:v>
      </x:c>
      <x:c r="P786" s="53" t="str">
        <x:v>Dick Wolf reality/legal anthology</x:v>
      </x:c>
      <x:c r="Q786" s="17" t="str">
        <x:v>6853807</x:v>
      </x:c>
      <x:c r="R786" s="17" t="str"/>
      <x:c r="S786" s="17" t="str"/>
    </x:row>
    <x:row r="787">
      <x:c r="A787" s="43" t="n">
        <x:v>783</x:v>
      </x:c>
      <x:c r="B787" s="44" t="str">
        <x:v>Not Started</x:v>
      </x:c>
      <x:c r="C787" s="45" t="n">
        <x:v>37025</x:v>
      </x:c>
      <x:c r="D787" s="33" t="str">
        <x:v>Arrest &amp; Trial</x:v>
      </x:c>
      <x:c r="E787" s="33" t="str">
        <x:v>Crossover Adjacent</x:v>
      </x:c>
      <x:c r="F787" s="33" t="str">
        <x:v>complete</x:v>
      </x:c>
      <x:c r="G787" s="50" t="n">
        <x:v>1</x:v>
      </x:c>
      <x:c r="H787" s="50" t="n">
        <x:v>150</x:v>
      </x:c>
      <x:c r="I787" s="44" t="str">
        <x:v>01.150</x:v>
      </x:c>
      <x:c r="J787" s="33" t="str">
        <x:v>Multiple MO Killer</x:v>
      </x:c>
      <x:c r="K787" s="33" t="str"/>
      <x:c r="L787" s="33" t="str"/>
      <x:c r="M787" s="44" t="str"/>
      <x:c r="N787" s="50" t="n">
        <x:v>30</x:v>
      </x:c>
      <x:c r="O787" s="53" t="str">
        <x:v>A woman’s car had been sprayed with bullets and forced off the highway. Her body was found a mile away on the roadside.</x:v>
      </x:c>
      <x:c r="P787" s="53" t="str">
        <x:v>Dick Wolf reality/legal anthology</x:v>
      </x:c>
      <x:c r="Q787" s="17" t="str">
        <x:v>6853808</x:v>
      </x:c>
      <x:c r="R787" s="17" t="str"/>
      <x:c r="S787" s="17" t="str"/>
    </x:row>
    <x:row r="788">
      <x:c r="A788" s="43" t="n">
        <x:v>784</x:v>
      </x:c>
      <x:c r="B788" s="44" t="str">
        <x:v>Not Started</x:v>
      </x:c>
      <x:c r="C788" s="45" t="n">
        <x:v>37026</x:v>
      </x:c>
      <x:c r="D788" s="33" t="str">
        <x:v>Arrest &amp; Trial</x:v>
      </x:c>
      <x:c r="E788" s="33" t="str">
        <x:v>Crossover Adjacent</x:v>
      </x:c>
      <x:c r="F788" s="33" t="str">
        <x:v>complete</x:v>
      </x:c>
      <x:c r="G788" s="50" t="n">
        <x:v>1</x:v>
      </x:c>
      <x:c r="H788" s="50" t="n">
        <x:v>151</x:v>
      </x:c>
      <x:c r="I788" s="44" t="str">
        <x:v>01.151</x:v>
      </x:c>
      <x:c r="J788" s="33" t="str">
        <x:v>Episode 151</x:v>
      </x:c>
      <x:c r="K788" s="33" t="str"/>
      <x:c r="L788" s="33" t="str"/>
      <x:c r="M788" s="44" t="str"/>
      <x:c r="N788" s="50" t="n">
        <x:v>30</x:v>
      </x:c>
      <x:c r="O788" s="53" t="str"/>
      <x:c r="P788" s="53" t="str">
        <x:v>Dick Wolf reality/legal anthology</x:v>
      </x:c>
      <x:c r="Q788" s="17" t="str">
        <x:v>6853809</x:v>
      </x:c>
      <x:c r="R788" s="17" t="str"/>
      <x:c r="S788" s="17" t="str"/>
    </x:row>
    <x:row r="789">
      <x:c r="A789" s="43" t="n">
        <x:v>785</x:v>
      </x:c>
      <x:c r="B789" s="44" t="str">
        <x:v>Not Started</x:v>
      </x:c>
      <x:c r="C789" s="45" t="n">
        <x:v>37027</x:v>
      </x:c>
      <x:c r="D789" s="33" t="str">
        <x:v>Arrest &amp; Trial</x:v>
      </x:c>
      <x:c r="E789" s="33" t="str">
        <x:v>Crossover Adjacent</x:v>
      </x:c>
      <x:c r="F789" s="33" t="str">
        <x:v>complete</x:v>
      </x:c>
      <x:c r="G789" s="50" t="n">
        <x:v>1</x:v>
      </x:c>
      <x:c r="H789" s="50" t="n">
        <x:v>152</x:v>
      </x:c>
      <x:c r="I789" s="44" t="str">
        <x:v>01.152</x:v>
      </x:c>
      <x:c r="J789" s="33" t="str">
        <x:v>Sister's Revenge</x:v>
      </x:c>
      <x:c r="K789" s="33" t="str"/>
      <x:c r="L789" s="33" t="str"/>
      <x:c r="M789" s="44" t="str"/>
      <x:c r="N789" s="50" t="n">
        <x:v>30</x:v>
      </x:c>
      <x:c r="O789" s="53" t="str">
        <x:v>When only one of her two daughters returned from a visit with their aunt, their mother called the police to report a missing four-year-old. The aunt denied any knowledge of the younger girl’s disappearance, but blood was found in the trunk of her car.</x:v>
      </x:c>
      <x:c r="P789" s="53" t="str">
        <x:v>Dick Wolf reality/legal anthology</x:v>
      </x:c>
      <x:c r="Q789" s="17" t="str">
        <x:v>6853810</x:v>
      </x:c>
      <x:c r="R789" s="17" t="str"/>
      <x:c r="S789" s="17" t="str"/>
    </x:row>
    <x:row r="790">
      <x:c r="A790" s="43" t="n">
        <x:v>786</x:v>
      </x:c>
      <x:c r="B790" s="44" t="str">
        <x:v>Not Started</x:v>
      </x:c>
      <x:c r="C790" s="45" t="n">
        <x:v>37027</x:v>
      </x:c>
      <x:c r="D790" s="33" t="str">
        <x:v>Law &amp; Order</x:v>
      </x:c>
      <x:c r="E790" s="33" t="str">
        <x:v>Law &amp; Order</x:v>
      </x:c>
      <x:c r="F790" s="33" t="str">
        <x:v>core</x:v>
      </x:c>
      <x:c r="G790" s="50" t="n">
        <x:v>11</x:v>
      </x:c>
      <x:c r="H790" s="50" t="n">
        <x:v>22</x:v>
      </x:c>
      <x:c r="I790" s="44" t="str">
        <x:v>11.22</x:v>
      </x:c>
      <x:c r="J790" s="33" t="str">
        <x:v>School Daze</x:v>
      </x:c>
      <x:c r="K790" s="33" t="str"/>
      <x:c r="L790" s="33" t="str"/>
      <x:c r="M790" s="44" t="str"/>
      <x:c r="N790" s="50" t="n">
        <x:v>45</x:v>
      </x:c>
      <x:c r="O790" s="53" t="str">
        <x:v>Jamie Ross returns to defend a student accused in a mass school slaying.</x:v>
      </x:c>
      <x:c r="P790" s="53" t="str">
        <x:v>Core Law &amp; Order franchise</x:v>
      </x:c>
      <x:c r="Q790" s="17" t="str">
        <x:v>34305</x:v>
      </x:c>
      <x:c r="R790" s="17" t="str">
        <x:v>tt0629407</x:v>
      </x:c>
      <x:c r="S790" s="17" t="str">
        <x:v>474</x:v>
      </x:c>
    </x:row>
    <x:row r="791">
      <x:c r="A791" s="43" t="n">
        <x:v>787</x:v>
      </x:c>
      <x:c r="B791" s="44" t="str">
        <x:v>Not Started</x:v>
      </x:c>
      <x:c r="C791" s="45" t="n">
        <x:v>37028</x:v>
      </x:c>
      <x:c r="D791" s="33" t="str">
        <x:v>Arrest &amp; Trial</x:v>
      </x:c>
      <x:c r="E791" s="33" t="str">
        <x:v>Crossover Adjacent</x:v>
      </x:c>
      <x:c r="F791" s="33" t="str">
        <x:v>complete</x:v>
      </x:c>
      <x:c r="G791" s="50" t="n">
        <x:v>1</x:v>
      </x:c>
      <x:c r="H791" s="50" t="n">
        <x:v>153</x:v>
      </x:c>
      <x:c r="I791" s="44" t="str">
        <x:v>01.153</x:v>
      </x:c>
      <x:c r="J791" s="33" t="str">
        <x:v>Romeo Escapee on the Run</x:v>
      </x:c>
      <x:c r="K791" s="33" t="str"/>
      <x:c r="L791" s="33" t="str"/>
      <x:c r="M791" s="44" t="str"/>
      <x:c r="N791" s="50" t="n">
        <x:v>30</x:v>
      </x:c>
      <x:c r="O791" s="53" t="str">
        <x:v>A sheriff was transporting two local prisoners for trial when they overcame him and stole his car. The sheriff who was transporting them was later found unharmed. But, during their time on the run, the escapees shot one police officer and killed another.</x:v>
      </x:c>
      <x:c r="P791" s="53" t="str">
        <x:v>Dick Wolf reality/legal anthology</x:v>
      </x:c>
      <x:c r="Q791" s="17" t="str">
        <x:v>6853811</x:v>
      </x:c>
      <x:c r="R791" s="17" t="str"/>
      <x:c r="S791" s="17" t="str"/>
    </x:row>
    <x:row r="792">
      <x:c r="A792" s="43" t="n">
        <x:v>788</x:v>
      </x:c>
      <x:c r="B792" s="44" t="str">
        <x:v>Watched</x:v>
      </x:c>
      <x:c r="C792" s="45" t="n">
        <x:v>37028</x:v>
      </x:c>
      <x:c r="D792" s="33" t="str">
        <x:v>Law &amp; Order: Special Victims Unit</x:v>
      </x:c>
      <x:c r="E792" s="33" t="str">
        <x:v>Law &amp; Order</x:v>
      </x:c>
      <x:c r="F792" s="33" t="str">
        <x:v>core</x:v>
      </x:c>
      <x:c r="G792" s="50" t="n">
        <x:v>2</x:v>
      </x:c>
      <x:c r="H792" s="50" t="n">
        <x:v>21</x:v>
      </x:c>
      <x:c r="I792" s="44" t="str">
        <x:v>02.21</x:v>
      </x:c>
      <x:c r="J792" s="33" t="str">
        <x:v>Scourge</x:v>
      </x:c>
      <x:c r="K792" s="33" t="str"/>
      <x:c r="L792" s="33" t="str"/>
      <x:c r="M792" s="44" t="str"/>
      <x:c r="N792" s="50" t="n">
        <x:v>44</x:v>
      </x:c>
      <x:c r="O792" s="53" t="str">
        <x:v>A "Jack the Ripper" type murderer, who justifies his crimes with paranoid religious motivation set on by a rapidly deteriorating medical condition, is on the loose. After a citywide manhunt, Detectives Benson and Stabler are tasked with finding the killer.</x:v>
      </x:c>
      <x:c r="P792" s="53" t="str">
        <x:v>Core Law &amp; Order franchise</x:v>
      </x:c>
      <x:c r="Q792" s="17" t="str">
        <x:v>224983</x:v>
      </x:c>
      <x:c r="R792" s="17" t="str">
        <x:v>tt0629728</x:v>
      </x:c>
      <x:c r="S792" s="17" t="str">
        <x:v>473</x:v>
      </x:c>
    </x:row>
    <x:row r="793">
      <x:c r="A793" s="43" t="n">
        <x:v>789</x:v>
      </x:c>
      <x:c r="B793" s="44" t="str">
        <x:v>Not Started</x:v>
      </x:c>
      <x:c r="C793" s="45" t="n">
        <x:v>37029</x:v>
      </x:c>
      <x:c r="D793" s="33" t="str">
        <x:v>Arrest &amp; Trial</x:v>
      </x:c>
      <x:c r="E793" s="33" t="str">
        <x:v>Crossover Adjacent</x:v>
      </x:c>
      <x:c r="F793" s="33" t="str">
        <x:v>complete</x:v>
      </x:c>
      <x:c r="G793" s="50" t="n">
        <x:v>1</x:v>
      </x:c>
      <x:c r="H793" s="50" t="n">
        <x:v>154</x:v>
      </x:c>
      <x:c r="I793" s="44" t="str">
        <x:v>01.154</x:v>
      </x:c>
      <x:c r="J793" s="33" t="str">
        <x:v>Cleaning House</x:v>
      </x:c>
      <x:c r="K793" s="33" t="str"/>
      <x:c r="L793" s="33" t="str"/>
      <x:c r="M793" s="44" t="str"/>
      <x:c r="N793" s="50" t="n">
        <x:v>30</x:v>
      </x:c>
      <x:c r="O793" s="53" t="str">
        <x:v>Two seemingly unrelated murders were being investigated when a curious connection was discovered between them. The victims each had arguments with a mutual neighbor. When police brought the neighbor in for questioning, he quickly became a suspect and was arrested. Evidence recovered from both of the crime scenes and the suspect's belongings gave the prosecution a strong, albeit, circumstantial case.</x:v>
      </x:c>
      <x:c r="P793" s="53" t="str">
        <x:v>Dick Wolf reality/legal anthology</x:v>
      </x:c>
      <x:c r="Q793" s="17" t="str">
        <x:v>6853813</x:v>
      </x:c>
      <x:c r="R793" s="17" t="str"/>
      <x:c r="S793" s="17" t="str"/>
    </x:row>
    <x:row r="794">
      <x:c r="A794" s="43" t="n">
        <x:v>790</x:v>
      </x:c>
      <x:c r="B794" s="44" t="str">
        <x:v>Not Started</x:v>
      </x:c>
      <x:c r="C794" s="45" t="n">
        <x:v>37032</x:v>
      </x:c>
      <x:c r="D794" s="33" t="str">
        <x:v>Arrest &amp; Trial</x:v>
      </x:c>
      <x:c r="E794" s="33" t="str">
        <x:v>Crossover Adjacent</x:v>
      </x:c>
      <x:c r="F794" s="33" t="str">
        <x:v>complete</x:v>
      </x:c>
      <x:c r="G794" s="50" t="n">
        <x:v>1</x:v>
      </x:c>
      <x:c r="H794" s="50" t="n">
        <x:v>155</x:v>
      </x:c>
      <x:c r="I794" s="44" t="str">
        <x:v>01.155</x:v>
      </x:c>
      <x:c r="J794" s="33" t="str">
        <x:v>Cop's Son Kills Cop</x:v>
      </x:c>
      <x:c r="K794" s="33" t="str"/>
      <x:c r="L794" s="33" t="str"/>
      <x:c r="M794" s="44" t="str"/>
      <x:c r="N794" s="50" t="n">
        <x:v>30</x:v>
      </x:c>
      <x:c r="O794" s="53" t="str">
        <x:v>A policewoman was found in a snow embankment shot multiple times, her patrol car and gun missing.</x:v>
      </x:c>
      <x:c r="P794" s="53" t="str">
        <x:v>Dick Wolf reality/legal anthology</x:v>
      </x:c>
      <x:c r="Q794" s="17" t="str">
        <x:v>6853814</x:v>
      </x:c>
      <x:c r="R794" s="17" t="str"/>
      <x:c r="S794" s="17" t="str"/>
    </x:row>
    <x:row r="795">
      <x:c r="A795" s="43" t="n">
        <x:v>791</x:v>
      </x:c>
      <x:c r="B795" s="44" t="str">
        <x:v>Not Started</x:v>
      </x:c>
      <x:c r="C795" s="45" t="n">
        <x:v>37033</x:v>
      </x:c>
      <x:c r="D795" s="33" t="str">
        <x:v>Arrest &amp; Trial</x:v>
      </x:c>
      <x:c r="E795" s="33" t="str">
        <x:v>Crossover Adjacent</x:v>
      </x:c>
      <x:c r="F795" s="33" t="str">
        <x:v>complete</x:v>
      </x:c>
      <x:c r="G795" s="50" t="n">
        <x:v>1</x:v>
      </x:c>
      <x:c r="H795" s="50" t="n">
        <x:v>156</x:v>
      </x:c>
      <x:c r="I795" s="44" t="str">
        <x:v>01.156</x:v>
      </x:c>
      <x:c r="J795" s="33" t="str">
        <x:v>Freeway Killer</x:v>
      </x:c>
      <x:c r="K795" s="33" t="str"/>
      <x:c r="L795" s="33" t="str"/>
      <x:c r="M795" s="44" t="str"/>
      <x:c r="N795" s="50" t="n">
        <x:v>30</x:v>
      </x:c>
      <x:c r="O795" s="53" t="str">
        <x:v>Police believed they were dealing with a serial killer as week after week another teenage boy was found strangled and dumped in a remote area off of a freeway. They received their first break in the case when a teenage boy in custody came forward and claimed he knew who the killer was. Detectives determined that this person was a viable suspect and while searching his van, found blood that matched one of the victims. Of the twenty-two teenage boys authorities believed this predator killed, he was tried for twelve murders and convicted of ten</x:v>
      </x:c>
      <x:c r="P795" s="53" t="str">
        <x:v>Dick Wolf reality/legal anthology</x:v>
      </x:c>
      <x:c r="Q795" s="17" t="str">
        <x:v>6853815</x:v>
      </x:c>
      <x:c r="R795" s="17" t="str"/>
      <x:c r="S795" s="17" t="str"/>
    </x:row>
    <x:row r="796">
      <x:c r="A796" s="43" t="n">
        <x:v>792</x:v>
      </x:c>
      <x:c r="B796" s="44" t="str">
        <x:v>Not Started</x:v>
      </x:c>
      <x:c r="C796" s="45" t="n">
        <x:v>37034</x:v>
      </x:c>
      <x:c r="D796" s="33" t="str">
        <x:v>Arrest &amp; Trial</x:v>
      </x:c>
      <x:c r="E796" s="33" t="str">
        <x:v>Crossover Adjacent</x:v>
      </x:c>
      <x:c r="F796" s="33" t="str">
        <x:v>complete</x:v>
      </x:c>
      <x:c r="G796" s="50" t="n">
        <x:v>1</x:v>
      </x:c>
      <x:c r="H796" s="50" t="n">
        <x:v>157</x:v>
      </x:c>
      <x:c r="I796" s="44" t="str">
        <x:v>01.157</x:v>
      </x:c>
      <x:c r="J796" s="33" t="str">
        <x:v>Little Pink Nails</x:v>
      </x:c>
      <x:c r="K796" s="33" t="str"/>
      <x:c r="L796" s="33" t="str"/>
      <x:c r="M796" s="44" t="str"/>
      <x:c r="N796" s="50" t="n">
        <x:v>30</x:v>
      </x:c>
      <x:c r="O796" s="53" t="str">
        <x:v>A young mother was abducted from her car after winning $5,000 at a nearby casino. A month into the investigation, her body was found in a shed in rural Mississippi. Shortly thereafter, a woman came to authorities claiming her husband had confessed the kidnapping and murder to her. Police issued a bulletin for the suspect and he was apprehended while attempting to cross the Texas border. Prosecutors not only had the testimony of the suspect's wife, but they had overwhelming physical evidence to back it up</x:v>
      </x:c>
      <x:c r="P796" s="53" t="str">
        <x:v>Dick Wolf reality/legal anthology</x:v>
      </x:c>
      <x:c r="Q796" s="17" t="str">
        <x:v>6853816</x:v>
      </x:c>
      <x:c r="R796" s="17" t="str"/>
      <x:c r="S796" s="17" t="str"/>
    </x:row>
    <x:row r="797">
      <x:c r="A797" s="43" t="n">
        <x:v>793</x:v>
      </x:c>
      <x:c r="B797" s="44" t="str">
        <x:v>Not Started</x:v>
      </x:c>
      <x:c r="C797" s="45" t="n">
        <x:v>37034</x:v>
      </x:c>
      <x:c r="D797" s="33" t="str">
        <x:v>Law &amp; Order</x:v>
      </x:c>
      <x:c r="E797" s="33" t="str">
        <x:v>Law &amp; Order</x:v>
      </x:c>
      <x:c r="F797" s="33" t="str">
        <x:v>core</x:v>
      </x:c>
      <x:c r="G797" s="50" t="n">
        <x:v>11</x:v>
      </x:c>
      <x:c r="H797" s="50" t="n">
        <x:v>23</x:v>
      </x:c>
      <x:c r="I797" s="44" t="str">
        <x:v>11.23</x:v>
      </x:c>
      <x:c r="J797" s="33" t="str">
        <x:v>Judge Dread</x:v>
      </x:c>
      <x:c r="K797" s="33" t="str"/>
      <x:c r="L797" s="33" t="str"/>
      <x:c r="M797" s="44" t="str"/>
      <x:c r="N797" s="50" t="n">
        <x:v>45</x:v>
      </x:c>
      <x:c r="O797" s="53" t="str">
        <x:v>An attempted murder of a tough Judge leads Briscoe and Green on a wild goose chase to track down the inimical criminal. When the perpetrator is found, Carmichael and McCoy have a difficult time making a case.</x:v>
      </x:c>
      <x:c r="P797" s="53" t="str">
        <x:v>Core Law &amp; Order franchise</x:v>
      </x:c>
      <x:c r="Q797" s="17" t="str">
        <x:v>34306</x:v>
      </x:c>
      <x:c r="R797" s="17" t="str">
        <x:v>tt0629315</x:v>
      </x:c>
      <x:c r="S797" s="17" t="str">
        <x:v>475</x:v>
      </x:c>
    </x:row>
    <x:row r="798">
      <x:c r="A798" s="43" t="n">
        <x:v>794</x:v>
      </x:c>
      <x:c r="B798" s="44" t="str">
        <x:v>Not Started</x:v>
      </x:c>
      <x:c r="C798" s="45" t="n">
        <x:v>37034</x:v>
      </x:c>
      <x:c r="D798" s="33" t="str">
        <x:v>Law &amp; Order</x:v>
      </x:c>
      <x:c r="E798" s="33" t="str">
        <x:v>Law &amp; Order</x:v>
      </x:c>
      <x:c r="F798" s="33" t="str">
        <x:v>core</x:v>
      </x:c>
      <x:c r="G798" s="50" t="n">
        <x:v>11</x:v>
      </x:c>
      <x:c r="H798" s="50" t="n">
        <x:v>24</x:v>
      </x:c>
      <x:c r="I798" s="44" t="str">
        <x:v>11.24</x:v>
      </x:c>
      <x:c r="J798" s="33" t="str">
        <x:v>Deep Vote</x:v>
      </x:c>
      <x:c r="K798" s="33" t="str"/>
      <x:c r="L798" s="33" t="str"/>
      <x:c r="M798" s="44" t="str"/>
      <x:c r="N798" s="50" t="n">
        <x:v>45</x:v>
      </x:c>
      <x:c r="O798" s="53" t="str">
        <x:v>A woman's murder leads the police to discover the actual target was a reporter who did a story about improprieties in a recent senatorial election. Carmichael can't get the reporter to reveal her sources for a story that contains allegations that the vote was fixed and ballots tampered with, even though the reporter's life is at risk. Without the source, McCoy and Carmichael have a difficult time making a case against the Senator, who they believe has ties to the mob and ordered the hit on the reporter. The case hinges on 2000 missing ballots from the vote that were stolen by the mob. Once the ballots are found, there is a big court battle about whether or not the ballots should be counted. McCoy believes that the ballots will show Benton's motive for ordering the hit, but an appellate court won't allow it, so their case is virtually dead. In the end, McCoy is able to convince the reporter to reveal her source and have him testify against the senator.</x:v>
      </x:c>
      <x:c r="P798" s="53" t="str">
        <x:v>Core Law &amp; Order franchise</x:v>
      </x:c>
      <x:c r="Q798" s="17" t="str">
        <x:v>34307</x:v>
      </x:c>
      <x:c r="R798" s="17" t="str">
        <x:v>tt0629235</x:v>
      </x:c>
      <x:c r="S798" s="17" t="str">
        <x:v>476</x:v>
      </x:c>
    </x:row>
    <x:row r="799">
      <x:c r="A799" s="43" t="n">
        <x:v>795</x:v>
      </x:c>
      <x:c r="B799" s="44" t="str">
        <x:v>Not Started</x:v>
      </x:c>
      <x:c r="C799" s="45" t="n">
        <x:v>37035</x:v>
      </x:c>
      <x:c r="D799" s="33" t="str">
        <x:v>Arrest &amp; Trial</x:v>
      </x:c>
      <x:c r="E799" s="33" t="str">
        <x:v>Crossover Adjacent</x:v>
      </x:c>
      <x:c r="F799" s="33" t="str">
        <x:v>complete</x:v>
      </x:c>
      <x:c r="G799" s="50" t="n">
        <x:v>1</x:v>
      </x:c>
      <x:c r="H799" s="50" t="n">
        <x:v>158</x:v>
      </x:c>
      <x:c r="I799" s="44" t="str">
        <x:v>01.158</x:v>
      </x:c>
      <x:c r="J799" s="33" t="str">
        <x:v>Epsiode 158</x:v>
      </x:c>
      <x:c r="K799" s="33" t="str"/>
      <x:c r="L799" s="33" t="str"/>
      <x:c r="M799" s="44" t="str"/>
      <x:c r="N799" s="50" t="n">
        <x:v>30</x:v>
      </x:c>
      <x:c r="O799" s="53" t="str"/>
      <x:c r="P799" s="53" t="str">
        <x:v>Dick Wolf reality/legal anthology</x:v>
      </x:c>
      <x:c r="Q799" s="17" t="str">
        <x:v>6853817</x:v>
      </x:c>
      <x:c r="R799" s="17" t="str"/>
      <x:c r="S799" s="17" t="str"/>
    </x:row>
    <x:row r="800">
      <x:c r="A800" s="43" t="n">
        <x:v>796</x:v>
      </x:c>
      <x:c r="B800" s="44" t="str">
        <x:v>Not Started</x:v>
      </x:c>
      <x:c r="C800" s="45" t="n">
        <x:v>37036</x:v>
      </x:c>
      <x:c r="D800" s="33" t="str">
        <x:v>Arrest &amp; Trial</x:v>
      </x:c>
      <x:c r="E800" s="33" t="str">
        <x:v>Crossover Adjacent</x:v>
      </x:c>
      <x:c r="F800" s="33" t="str">
        <x:v>complete</x:v>
      </x:c>
      <x:c r="G800" s="50" t="n">
        <x:v>1</x:v>
      </x:c>
      <x:c r="H800" s="50" t="n">
        <x:v>159</x:v>
      </x:c>
      <x:c r="I800" s="44" t="str">
        <x:v>01.159</x:v>
      </x:c>
      <x:c r="J800" s="33" t="str">
        <x:v>Gas Gangsters</x:v>
      </x:c>
      <x:c r="K800" s="33" t="str"/>
      <x:c r="L800" s="33" t="str"/>
      <x:c r="M800" s="44" t="str"/>
      <x:c r="N800" s="50" t="n">
        <x:v>30</x:v>
      </x:c>
      <x:c r="O800" s="53" t="str">
        <x:v>The investigation into a complex and ingenious white-collar crime syndicate required federal agents to set up an elaborate undercover sting operation.</x:v>
      </x:c>
      <x:c r="P800" s="53" t="str">
        <x:v>Dick Wolf reality/legal anthology</x:v>
      </x:c>
      <x:c r="Q800" s="17" t="str">
        <x:v>6853818</x:v>
      </x:c>
      <x:c r="R800" s="17" t="str"/>
      <x:c r="S800" s="17" t="str"/>
    </x:row>
    <x:row r="801">
      <x:c r="A801" s="43" t="n">
        <x:v>797</x:v>
      </x:c>
      <x:c r="B801" s="44" t="str">
        <x:v>Not Started</x:v>
      </x:c>
      <x:c r="C801" s="45" t="n">
        <x:v>37039</x:v>
      </x:c>
      <x:c r="D801" s="33" t="str">
        <x:v>Arrest &amp; Trial</x:v>
      </x:c>
      <x:c r="E801" s="33" t="str">
        <x:v>Crossover Adjacent</x:v>
      </x:c>
      <x:c r="F801" s="33" t="str">
        <x:v>complete</x:v>
      </x:c>
      <x:c r="G801" s="50" t="n">
        <x:v>1</x:v>
      </x:c>
      <x:c r="H801" s="50" t="n">
        <x:v>160</x:v>
      </x:c>
      <x:c r="I801" s="44" t="str">
        <x:v>01.160</x:v>
      </x:c>
      <x:c r="J801" s="33" t="str">
        <x:v>Botched Hit</x:v>
      </x:c>
      <x:c r="K801" s="33" t="str"/>
      <x:c r="L801" s="33" t="str"/>
      <x:c r="M801" s="44" t="str"/>
      <x:c r="N801" s="50" t="n">
        <x:v>30</x:v>
      </x:c>
      <x:c r="O801" s="53" t="str">
        <x:v>The second murder attempt on a hard-nosed businessman prompted him to give police a list of approximately 30 suspects. No one on the list proved a viable suspect, and the businessman went into hiding. Two years later, a FBI investigation provided a link.</x:v>
      </x:c>
      <x:c r="P801" s="53" t="str">
        <x:v>Dick Wolf reality/legal anthology</x:v>
      </x:c>
      <x:c r="Q801" s="17" t="str">
        <x:v>6853819</x:v>
      </x:c>
      <x:c r="R801" s="17" t="str"/>
      <x:c r="S801" s="17" t="str"/>
    </x:row>
    <x:row r="802">
      <x:c r="A802" s="43" t="n">
        <x:v>798</x:v>
      </x:c>
      <x:c r="B802" s="44" t="str">
        <x:v>Not Started</x:v>
      </x:c>
      <x:c r="C802" s="45" t="n">
        <x:v>37040</x:v>
      </x:c>
      <x:c r="D802" s="33" t="str">
        <x:v>Arrest &amp; Trial</x:v>
      </x:c>
      <x:c r="E802" s="33" t="str">
        <x:v>Crossover Adjacent</x:v>
      </x:c>
      <x:c r="F802" s="33" t="str">
        <x:v>complete</x:v>
      </x:c>
      <x:c r="G802" s="50" t="n">
        <x:v>1</x:v>
      </x:c>
      <x:c r="H802" s="50" t="n">
        <x:v>161</x:v>
      </x:c>
      <x:c r="I802" s="44" t="str">
        <x:v>01.161</x:v>
      </x:c>
      <x:c r="J802" s="33" t="str">
        <x:v>Operation Green Ice</x:v>
      </x:c>
      <x:c r="K802" s="33" t="str"/>
      <x:c r="L802" s="33" t="str"/>
      <x:c r="M802" s="44" t="str"/>
      <x:c r="N802" s="50" t="n">
        <x:v>30</x:v>
      </x:c>
      <x:c r="O802" s="53" t="str">
        <x:v>A female agent was asked to be the cornerstone in a dangerous undercover operation.</x:v>
      </x:c>
      <x:c r="P802" s="53" t="str">
        <x:v>Dick Wolf reality/legal anthology</x:v>
      </x:c>
      <x:c r="Q802" s="17" t="str">
        <x:v>6853820</x:v>
      </x:c>
      <x:c r="R802" s="17" t="str"/>
      <x:c r="S802" s="17" t="str"/>
    </x:row>
    <x:row r="803">
      <x:c r="A803" s="43" t="n">
        <x:v>799</x:v>
      </x:c>
      <x:c r="B803" s="44" t="str">
        <x:v>Not Started</x:v>
      </x:c>
      <x:c r="C803" s="45" t="n">
        <x:v>37041</x:v>
      </x:c>
      <x:c r="D803" s="33" t="str">
        <x:v>Arrest &amp; Trial</x:v>
      </x:c>
      <x:c r="E803" s="33" t="str">
        <x:v>Crossover Adjacent</x:v>
      </x:c>
      <x:c r="F803" s="33" t="str">
        <x:v>complete</x:v>
      </x:c>
      <x:c r="G803" s="50" t="n">
        <x:v>1</x:v>
      </x:c>
      <x:c r="H803" s="50" t="n">
        <x:v>162</x:v>
      </x:c>
      <x:c r="I803" s="44" t="str">
        <x:v>01.162</x:v>
      </x:c>
      <x:c r="J803" s="33" t="str">
        <x:v>Deadly Dad</x:v>
      </x:c>
      <x:c r="K803" s="33" t="str"/>
      <x:c r="L803" s="33" t="str"/>
      <x:c r="M803" s="44" t="str"/>
      <x:c r="N803" s="50" t="n">
        <x:v>30</x:v>
      </x:c>
      <x:c r="O803" s="53" t="str">
        <x:v>Although her baby had supposedly died of SIDS seven years earlier, a mother harbored fear that her husband had killed the child.</x:v>
      </x:c>
      <x:c r="P803" s="53" t="str">
        <x:v>Dick Wolf reality/legal anthology</x:v>
      </x:c>
      <x:c r="Q803" s="17" t="str">
        <x:v>6853821</x:v>
      </x:c>
      <x:c r="R803" s="17" t="str"/>
      <x:c r="S803" s="17" t="str"/>
    </x:row>
    <x:row r="804">
      <x:c r="A804" s="43" t="n">
        <x:v>800</x:v>
      </x:c>
      <x:c r="B804" s="44" t="str">
        <x:v>Not Started</x:v>
      </x:c>
      <x:c r="C804" s="45" t="n">
        <x:v>37042</x:v>
      </x:c>
      <x:c r="D804" s="33" t="str">
        <x:v>Arrest &amp; Trial</x:v>
      </x:c>
      <x:c r="E804" s="33" t="str">
        <x:v>Crossover Adjacent</x:v>
      </x:c>
      <x:c r="F804" s="33" t="str">
        <x:v>complete</x:v>
      </x:c>
      <x:c r="G804" s="50" t="n">
        <x:v>1</x:v>
      </x:c>
      <x:c r="H804" s="50" t="n">
        <x:v>163</x:v>
      </x:c>
      <x:c r="I804" s="44" t="str">
        <x:v>01.163</x:v>
      </x:c>
      <x:c r="J804" s="33" t="str">
        <x:v>Kiko</x:v>
      </x:c>
      <x:c r="K804" s="33" t="str"/>
      <x:c r="L804" s="33" t="str"/>
      <x:c r="M804" s="44" t="str"/>
      <x:c r="N804" s="50" t="n">
        <x:v>30</x:v>
      </x:c>
      <x:c r="O804" s="53" t="str">
        <x:v>A drug dealer turned informant who had assisted the DEA in the capture of numerous high-ranking drug dealers had a proposition for the special agent assigned to him.</x:v>
      </x:c>
      <x:c r="P804" s="53" t="str">
        <x:v>Dick Wolf reality/legal anthology</x:v>
      </x:c>
      <x:c r="Q804" s="17" t="str">
        <x:v>6853822</x:v>
      </x:c>
      <x:c r="R804" s="17" t="str"/>
      <x:c r="S804" s="17" t="str"/>
    </x:row>
    <x:row r="805">
      <x:c r="A805" s="43" t="n">
        <x:v>801</x:v>
      </x:c>
      <x:c r="B805" s="44" t="str">
        <x:v>Not Started</x:v>
      </x:c>
      <x:c r="C805" s="45" t="n">
        <x:v>37043</x:v>
      </x:c>
      <x:c r="D805" s="33" t="str">
        <x:v>Arrest &amp; Trial</x:v>
      </x:c>
      <x:c r="E805" s="33" t="str">
        <x:v>Crossover Adjacent</x:v>
      </x:c>
      <x:c r="F805" s="33" t="str">
        <x:v>complete</x:v>
      </x:c>
      <x:c r="G805" s="50" t="n">
        <x:v>1</x:v>
      </x:c>
      <x:c r="H805" s="50" t="n">
        <x:v>164</x:v>
      </x:c>
      <x:c r="I805" s="44" t="str">
        <x:v>01.164</x:v>
      </x:c>
      <x:c r="J805" s="33" t="str">
        <x:v>Femmes Fatales</x:v>
      </x:c>
      <x:c r="K805" s="33" t="str"/>
      <x:c r="L805" s="33" t="str"/>
      <x:c r="M805" s="44" t="str"/>
      <x:c r="N805" s="50" t="n">
        <x:v>30</x:v>
      </x:c>
      <x:c r="O805" s="53" t="str">
        <x:v>This special edition chronicles the crimes of three deadly women: a cocaine dealer who had her three henchmen shoot a philanderer, a sister who plotted to kill her twin and assume her identity, and the leader of a murderous bank-robbing gang.</x:v>
      </x:c>
      <x:c r="P805" s="53" t="str">
        <x:v>Dick Wolf reality/legal anthology</x:v>
      </x:c>
      <x:c r="Q805" s="17" t="str">
        <x:v>6853823</x:v>
      </x:c>
      <x:c r="R805" s="17" t="str"/>
      <x:c r="S805" s="17" t="str"/>
    </x:row>
    <x:row r="806">
      <x:c r="A806" s="43" t="n">
        <x:v>802</x:v>
      </x:c>
      <x:c r="B806" s="44" t="str">
        <x:v>Not Started</x:v>
      </x:c>
      <x:c r="C806" s="45" t="n">
        <x:v>37067</x:v>
      </x:c>
      <x:c r="D806" s="33" t="str">
        <x:v>Arrest &amp; Trial</x:v>
      </x:c>
      <x:c r="E806" s="33" t="str">
        <x:v>Crossover Adjacent</x:v>
      </x:c>
      <x:c r="F806" s="33" t="str">
        <x:v>complete</x:v>
      </x:c>
      <x:c r="G806" s="50" t="n">
        <x:v>1</x:v>
      </x:c>
      <x:c r="H806" s="50" t="n">
        <x:v>165</x:v>
      </x:c>
      <x:c r="I806" s="44" t="str">
        <x:v>01.165</x:v>
      </x:c>
      <x:c r="J806" s="33" t="str">
        <x:v>Uncle Hilty</x:v>
      </x:c>
      <x:c r="K806" s="33" t="str"/>
      <x:c r="L806" s="33" t="str"/>
      <x:c r="M806" s="44" t="str"/>
      <x:c r="N806" s="50" t="n">
        <x:v>30</x:v>
      </x:c>
      <x:c r="O806" s="53" t="str">
        <x:v>A father returned home and was unable to find his son. Moments later, he received a phone call from the boy’s kidnappers demanding a ransom.</x:v>
      </x:c>
      <x:c r="P806" s="53" t="str">
        <x:v>Dick Wolf reality/legal anthology</x:v>
      </x:c>
      <x:c r="Q806" s="17" t="str">
        <x:v>6853824</x:v>
      </x:c>
      <x:c r="R806" s="17" t="str"/>
      <x:c r="S806" s="17" t="str"/>
    </x:row>
    <x:row r="807">
      <x:c r="A807" s="43" t="n">
        <x:v>803</x:v>
      </x:c>
      <x:c r="B807" s="44" t="str">
        <x:v>Not Started</x:v>
      </x:c>
      <x:c r="C807" s="45" t="n">
        <x:v>37068</x:v>
      </x:c>
      <x:c r="D807" s="33" t="str">
        <x:v>Arrest &amp; Trial</x:v>
      </x:c>
      <x:c r="E807" s="33" t="str">
        <x:v>Crossover Adjacent</x:v>
      </x:c>
      <x:c r="F807" s="33" t="str">
        <x:v>complete</x:v>
      </x:c>
      <x:c r="G807" s="50" t="n">
        <x:v>1</x:v>
      </x:c>
      <x:c r="H807" s="50" t="n">
        <x:v>166</x:v>
      </x:c>
      <x:c r="I807" s="44" t="str">
        <x:v>01.166</x:v>
      </x:c>
      <x:c r="J807" s="33" t="str">
        <x:v>Wrong Prescription</x:v>
      </x:c>
      <x:c r="K807" s="33" t="str"/>
      <x:c r="L807" s="33" t="str"/>
      <x:c r="M807" s="44" t="str"/>
      <x:c r="N807" s="50" t="n">
        <x:v>30</x:v>
      </x:c>
      <x:c r="O807" s="53" t="str">
        <x:v>A drugstore owner was shot inside the doorway of his house, the apparent victim of a home invasion gone awry. Investigators determined the perpetrator must have had inside information, as he target of the crime was a large sum of money from the store.</x:v>
      </x:c>
      <x:c r="P807" s="53" t="str">
        <x:v>Dick Wolf reality/legal anthology</x:v>
      </x:c>
      <x:c r="Q807" s="17" t="str">
        <x:v>6853826</x:v>
      </x:c>
      <x:c r="R807" s="17" t="str"/>
      <x:c r="S807" s="17" t="str"/>
    </x:row>
    <x:row r="808">
      <x:c r="A808" s="43" t="n">
        <x:v>804</x:v>
      </x:c>
      <x:c r="B808" s="44" t="str">
        <x:v>Not Started</x:v>
      </x:c>
      <x:c r="C808" s="45" t="n">
        <x:v>37069</x:v>
      </x:c>
      <x:c r="D808" s="33" t="str">
        <x:v>Arrest &amp; Trial</x:v>
      </x:c>
      <x:c r="E808" s="33" t="str">
        <x:v>Crossover Adjacent</x:v>
      </x:c>
      <x:c r="F808" s="33" t="str">
        <x:v>complete</x:v>
      </x:c>
      <x:c r="G808" s="50" t="n">
        <x:v>1</x:v>
      </x:c>
      <x:c r="H808" s="50" t="n">
        <x:v>167</x:v>
      </x:c>
      <x:c r="I808" s="44" t="str">
        <x:v>01.167</x:v>
      </x:c>
      <x:c r="J808" s="33" t="str">
        <x:v>Noriega</x:v>
      </x:c>
      <x:c r="K808" s="33" t="str"/>
      <x:c r="L808" s="33" t="str"/>
      <x:c r="M808" s="44" t="str"/>
      <x:c r="N808" s="50" t="n">
        <x:v>30</x:v>
      </x:c>
      <x:c r="O808" s="53" t="str">
        <x:v>The DEA planned two subsequent investigations/sting operations to infiltrate a drug cartel. Their goal was to apprehend the ringleader who could testify to General Manuel Noriega's involvement in drug trafficking to the United States through his country of Panama. This investigation led to the arrest and prosecution of the General</x:v>
      </x:c>
      <x:c r="P808" s="53" t="str">
        <x:v>Dick Wolf reality/legal anthology</x:v>
      </x:c>
      <x:c r="Q808" s="17" t="str">
        <x:v>6853828</x:v>
      </x:c>
      <x:c r="R808" s="17" t="str"/>
      <x:c r="S808" s="17" t="str"/>
    </x:row>
    <x:row r="809">
      <x:c r="A809" s="43" t="n">
        <x:v>805</x:v>
      </x:c>
      <x:c r="B809" s="44" t="str">
        <x:v>Not Started</x:v>
      </x:c>
      <x:c r="C809" s="45" t="n">
        <x:v>37070</x:v>
      </x:c>
      <x:c r="D809" s="33" t="str">
        <x:v>Arrest &amp; Trial</x:v>
      </x:c>
      <x:c r="E809" s="33" t="str">
        <x:v>Crossover Adjacent</x:v>
      </x:c>
      <x:c r="F809" s="33" t="str">
        <x:v>complete</x:v>
      </x:c>
      <x:c r="G809" s="50" t="n">
        <x:v>1</x:v>
      </x:c>
      <x:c r="H809" s="50" t="n">
        <x:v>168</x:v>
      </x:c>
      <x:c r="I809" s="44" t="str">
        <x:v>01.168</x:v>
      </x:c>
      <x:c r="J809" s="33" t="str">
        <x:v>Caught by Surprise</x:v>
      </x:c>
      <x:c r="K809" s="33" t="str"/>
      <x:c r="L809" s="33" t="str"/>
      <x:c r="M809" s="44" t="str"/>
      <x:c r="N809" s="50" t="n">
        <x:v>30</x:v>
      </x:c>
      <x:c r="O809" s="53" t="str">
        <x:v>Detectives were called to a homicide at the apartment of a known drug dealer. A young man was dead in the kitchen, and the drug dealer was nowhere to be found.</x:v>
      </x:c>
      <x:c r="P809" s="53" t="str">
        <x:v>Dick Wolf reality/legal anthology</x:v>
      </x:c>
      <x:c r="Q809" s="17" t="str">
        <x:v>6853829</x:v>
      </x:c>
      <x:c r="R809" s="17" t="str"/>
      <x:c r="S809" s="17" t="str"/>
    </x:row>
    <x:row r="810">
      <x:c r="A810" s="43" t="n">
        <x:v>806</x:v>
      </x:c>
      <x:c r="B810" s="44" t="str">
        <x:v>Not Started</x:v>
      </x:c>
      <x:c r="C810" s="45" t="n">
        <x:v>37071</x:v>
      </x:c>
      <x:c r="D810" s="33" t="str">
        <x:v>Arrest &amp; Trial</x:v>
      </x:c>
      <x:c r="E810" s="33" t="str">
        <x:v>Crossover Adjacent</x:v>
      </x:c>
      <x:c r="F810" s="33" t="str">
        <x:v>complete</x:v>
      </x:c>
      <x:c r="G810" s="50" t="n">
        <x:v>1</x:v>
      </x:c>
      <x:c r="H810" s="50" t="n">
        <x:v>169</x:v>
      </x:c>
      <x:c r="I810" s="44" t="str">
        <x:v>01.169</x:v>
      </x:c>
      <x:c r="J810" s="33" t="str">
        <x:v>Serial Killers</x:v>
      </x:c>
      <x:c r="K810" s="33" t="str"/>
      <x:c r="L810" s="33" t="str"/>
      <x:c r="M810" s="44" t="str"/>
      <x:c r="N810" s="50" t="n">
        <x:v>30</x:v>
      </x:c>
      <x:c r="O810" s="53" t="str">
        <x:v>This special edition chronicles the crimes of three notorious serial killers that terrified Southern California. First... A man, who used murder to deal with his domestic disputes, was found guilty of the murders of two of his girlfriends and his best friend. Next... Two ex-cons plot the kidnap, rape and murder of teenage girls. Lastly... The story of the infamous "Night Stalker", who murdered 13 victims in the course of a year before he was apprehended, is profiled.</x:v>
      </x:c>
      <x:c r="P810" s="53" t="str">
        <x:v>Dick Wolf reality/legal anthology</x:v>
      </x:c>
      <x:c r="Q810" s="17" t="str">
        <x:v>6853831</x:v>
      </x:c>
      <x:c r="R810" s="17" t="str"/>
      <x:c r="S810" s="17" t="str"/>
    </x:row>
    <x:row r="811">
      <x:c r="A811" s="43" t="n">
        <x:v>807</x:v>
      </x:c>
      <x:c r="B811" s="44" t="str">
        <x:v>Not Started</x:v>
      </x:c>
      <x:c r="C811" s="45" t="n">
        <x:v>37074</x:v>
      </x:c>
      <x:c r="D811" s="33" t="str">
        <x:v>Arrest &amp; Trial</x:v>
      </x:c>
      <x:c r="E811" s="33" t="str">
        <x:v>Crossover Adjacent</x:v>
      </x:c>
      <x:c r="F811" s="33" t="str">
        <x:v>complete</x:v>
      </x:c>
      <x:c r="G811" s="50" t="n">
        <x:v>1</x:v>
      </x:c>
      <x:c r="H811" s="50" t="n">
        <x:v>170</x:v>
      </x:c>
      <x:c r="I811" s="44" t="str">
        <x:v>01.170</x:v>
      </x:c>
      <x:c r="J811" s="33" t="str">
        <x:v>Family Cover-up</x:v>
      </x:c>
      <x:c r="K811" s="33" t="str"/>
      <x:c r="L811" s="33" t="str"/>
      <x:c r="M811" s="44" t="str"/>
      <x:c r="N811" s="50" t="n">
        <x:v>30</x:v>
      </x:c>
      <x:c r="O811" s="53" t="str"/>
      <x:c r="P811" s="53" t="str">
        <x:v>Dick Wolf reality/legal anthology</x:v>
      </x:c>
      <x:c r="Q811" s="17" t="str">
        <x:v>6853833</x:v>
      </x:c>
      <x:c r="R811" s="17" t="str"/>
      <x:c r="S811" s="17" t="str"/>
    </x:row>
    <x:row r="812">
      <x:c r="A812" s="43" t="n">
        <x:v>808</x:v>
      </x:c>
      <x:c r="B812" s="44" t="str">
        <x:v>Not Started</x:v>
      </x:c>
      <x:c r="C812" s="45" t="n">
        <x:v>37075</x:v>
      </x:c>
      <x:c r="D812" s="33" t="str">
        <x:v>Arrest &amp; Trial</x:v>
      </x:c>
      <x:c r="E812" s="33" t="str">
        <x:v>Crossover Adjacent</x:v>
      </x:c>
      <x:c r="F812" s="33" t="str">
        <x:v>complete</x:v>
      </x:c>
      <x:c r="G812" s="50" t="n">
        <x:v>1</x:v>
      </x:c>
      <x:c r="H812" s="50" t="n">
        <x:v>171</x:v>
      </x:c>
      <x:c r="I812" s="44" t="str">
        <x:v>01.171</x:v>
      </x:c>
      <x:c r="J812" s="33" t="str">
        <x:v>Officer Down</x:v>
      </x:c>
      <x:c r="K812" s="33" t="str"/>
      <x:c r="L812" s="33" t="str"/>
      <x:c r="M812" s="44" t="str"/>
      <x:c r="N812" s="50" t="n">
        <x:v>30</x:v>
      </x:c>
      <x:c r="O812" s="53" t="str">
        <x:v>This special edition of Arrest &amp; Trial pays tribute to those officers who lost their lives in the line of duty.</x:v>
      </x:c>
      <x:c r="P812" s="53" t="str">
        <x:v>Dick Wolf reality/legal anthology</x:v>
      </x:c>
      <x:c r="Q812" s="17" t="str">
        <x:v>6853834</x:v>
      </x:c>
      <x:c r="R812" s="17" t="str"/>
      <x:c r="S812" s="17" t="str"/>
    </x:row>
    <x:row r="813">
      <x:c r="A813" s="43" t="n">
        <x:v>809</x:v>
      </x:c>
      <x:c r="B813" s="44" t="str">
        <x:v>Not Started</x:v>
      </x:c>
      <x:c r="C813" s="45" t="n">
        <x:v>37076</x:v>
      </x:c>
      <x:c r="D813" s="33" t="str">
        <x:v>Arrest &amp; Trial</x:v>
      </x:c>
      <x:c r="E813" s="33" t="str">
        <x:v>Crossover Adjacent</x:v>
      </x:c>
      <x:c r="F813" s="33" t="str">
        <x:v>complete</x:v>
      </x:c>
      <x:c r="G813" s="50" t="n">
        <x:v>1</x:v>
      </x:c>
      <x:c r="H813" s="50" t="n">
        <x:v>172</x:v>
      </x:c>
      <x:c r="I813" s="44" t="str">
        <x:v>01.172</x:v>
      </x:c>
      <x:c r="J813" s="33" t="str">
        <x:v>Killer Movie</x:v>
      </x:c>
      <x:c r="K813" s="33" t="str"/>
      <x:c r="L813" s="33" t="str"/>
      <x:c r="M813" s="44" t="str"/>
      <x:c r="N813" s="50" t="n">
        <x:v>30</x:v>
      </x:c>
      <x:c r="O813" s="53" t="str">
        <x:v>A 22-year-old college student was abducted from the driveway of her boyfriend's home. After 5 days of intensive investigation, detectives apprehended 3 men believed to have kidnapped the girl. Two of these young men agreed to tell the story of her abduction in exchange for immunity. In doing so, they implicated the man who ordered the kidnapping. His intent was to make pornographic movies, but he subsequently ordered the girl's murder when the media attention around her disappearance became too great. Their testimony was the basis of the prosecution's case</x:v>
      </x:c>
      <x:c r="P813" s="53" t="str">
        <x:v>Dick Wolf reality/legal anthology</x:v>
      </x:c>
      <x:c r="Q813" s="17" t="str">
        <x:v>6853837</x:v>
      </x:c>
      <x:c r="R813" s="17" t="str"/>
      <x:c r="S813" s="17" t="str"/>
    </x:row>
    <x:row r="814">
      <x:c r="A814" s="43" t="n">
        <x:v>810</x:v>
      </x:c>
      <x:c r="B814" s="44" t="str">
        <x:v>Not Started</x:v>
      </x:c>
      <x:c r="C814" s="45" t="n">
        <x:v>37077</x:v>
      </x:c>
      <x:c r="D814" s="33" t="str">
        <x:v>Arrest &amp; Trial</x:v>
      </x:c>
      <x:c r="E814" s="33" t="str">
        <x:v>Crossover Adjacent</x:v>
      </x:c>
      <x:c r="F814" s="33" t="str">
        <x:v>complete</x:v>
      </x:c>
      <x:c r="G814" s="50" t="n">
        <x:v>1</x:v>
      </x:c>
      <x:c r="H814" s="50" t="n">
        <x:v>173</x:v>
      </x:c>
      <x:c r="I814" s="44" t="str">
        <x:v>01.173</x:v>
      </x:c>
      <x:c r="J814" s="33" t="str">
        <x:v>Double Double Cross</x:v>
      </x:c>
      <x:c r="K814" s="33" t="str"/>
      <x:c r="L814" s="33" t="str"/>
      <x:c r="M814" s="44" t="str"/>
      <x:c r="N814" s="50" t="n">
        <x:v>30</x:v>
      </x:c>
      <x:c r="O814" s="53" t="str">
        <x:v>Three young men were arrested in Ohio on federal firearms charges. One of the men revealed he had information, which implicated two other men in a murder that had taken place in Maryland. After questioning, this individual led authorities to the body.</x:v>
      </x:c>
      <x:c r="P814" s="53" t="str">
        <x:v>Dick Wolf reality/legal anthology</x:v>
      </x:c>
      <x:c r="Q814" s="17" t="str">
        <x:v>6853838</x:v>
      </x:c>
      <x:c r="R814" s="17" t="str"/>
      <x:c r="S814" s="17" t="str"/>
    </x:row>
    <x:row r="815">
      <x:c r="A815" s="43" t="n">
        <x:v>811</x:v>
      </x:c>
      <x:c r="B815" s="44" t="str">
        <x:v>Not Started</x:v>
      </x:c>
      <x:c r="C815" s="45" t="n">
        <x:v>37078</x:v>
      </x:c>
      <x:c r="D815" s="33" t="str">
        <x:v>Arrest &amp; Trial</x:v>
      </x:c>
      <x:c r="E815" s="33" t="str">
        <x:v>Crossover Adjacent</x:v>
      </x:c>
      <x:c r="F815" s="33" t="str">
        <x:v>complete</x:v>
      </x:c>
      <x:c r="G815" s="50" t="n">
        <x:v>1</x:v>
      </x:c>
      <x:c r="H815" s="50" t="n">
        <x:v>174</x:v>
      </x:c>
      <x:c r="I815" s="44" t="str">
        <x:v>01.174</x:v>
      </x:c>
      <x:c r="J815" s="33" t="str">
        <x:v>Cano</x:v>
      </x:c>
      <x:c r="K815" s="33" t="str"/>
      <x:c r="L815" s="33" t="str"/>
      <x:c r="M815" s="44" t="str"/>
      <x:c r="N815" s="50" t="n">
        <x:v>30</x:v>
      </x:c>
      <x:c r="O815" s="53" t="str">
        <x:v>A yearlong DEA investigation culminated in the arrest of a Colombian drug kingpin responsible for large amounts of drugs being smuggled into the U.S. The prosecution had to work furiously to compile the overwhelming amount of evidence needed to secure a conviction that would put this man behind bars for a long time.</x:v>
      </x:c>
      <x:c r="P815" s="53" t="str">
        <x:v>Dick Wolf reality/legal anthology</x:v>
      </x:c>
      <x:c r="Q815" s="17" t="str">
        <x:v>6853839</x:v>
      </x:c>
      <x:c r="R815" s="17" t="str"/>
      <x:c r="S815" s="17" t="str"/>
    </x:row>
    <x:row r="816">
      <x:c r="A816" s="43" t="n">
        <x:v>812</x:v>
      </x:c>
      <x:c r="B816" s="44" t="str">
        <x:v>Not Started</x:v>
      </x:c>
      <x:c r="C816" s="45" t="n">
        <x:v>37081</x:v>
      </x:c>
      <x:c r="D816" s="33" t="str">
        <x:v>Arrest &amp; Trial</x:v>
      </x:c>
      <x:c r="E816" s="33" t="str">
        <x:v>Crossover Adjacent</x:v>
      </x:c>
      <x:c r="F816" s="33" t="str">
        <x:v>complete</x:v>
      </x:c>
      <x:c r="G816" s="50" t="n">
        <x:v>1</x:v>
      </x:c>
      <x:c r="H816" s="50" t="n">
        <x:v>175</x:v>
      </x:c>
      <x:c r="I816" s="44" t="str">
        <x:v>01.175</x:v>
      </x:c>
      <x:c r="J816" s="33" t="str">
        <x:v>Silence Proves Deadly</x:v>
      </x:c>
      <x:c r="K816" s="33" t="str"/>
      <x:c r="L816" s="33" t="str"/>
      <x:c r="M816" s="44" t="str"/>
      <x:c r="N816" s="50" t="n">
        <x:v>30</x:v>
      </x:c>
      <x:c r="O816" s="53" t="str">
        <x:v>A young man is reported missing by his girlfriend after he had reportedly taken a walk and did not return. The search for him or any trace of him was unsuccessful. Some time later a body washed up on a Washington beach and was identified as the missing man. Detectives returned to question the girlfriend at the cliff where she said she last saw him and surprisingly, she confessed to pushing him off.</x:v>
      </x:c>
      <x:c r="P816" s="53" t="str">
        <x:v>Dick Wolf reality/legal anthology</x:v>
      </x:c>
      <x:c r="Q816" s="17" t="str">
        <x:v>6853841</x:v>
      </x:c>
      <x:c r="R816" s="17" t="str"/>
      <x:c r="S816" s="17" t="str"/>
    </x:row>
    <x:row r="817">
      <x:c r="A817" s="43" t="n">
        <x:v>813</x:v>
      </x:c>
      <x:c r="B817" s="44" t="str">
        <x:v>Not Started</x:v>
      </x:c>
      <x:c r="C817" s="45" t="n">
        <x:v>37082</x:v>
      </x:c>
      <x:c r="D817" s="33" t="str">
        <x:v>Arrest &amp; Trial</x:v>
      </x:c>
      <x:c r="E817" s="33" t="str">
        <x:v>Crossover Adjacent</x:v>
      </x:c>
      <x:c r="F817" s="33" t="str">
        <x:v>complete</x:v>
      </x:c>
      <x:c r="G817" s="50" t="n">
        <x:v>1</x:v>
      </x:c>
      <x:c r="H817" s="50" t="n">
        <x:v>176</x:v>
      </x:c>
      <x:c r="I817" s="44" t="str">
        <x:v>01.176</x:v>
      </x:c>
      <x:c r="J817" s="33" t="str">
        <x:v>Can't Escape Justice</x:v>
      </x:c>
      <x:c r="K817" s="33" t="str"/>
      <x:c r="L817" s="33" t="str"/>
      <x:c r="M817" s="44" t="str"/>
      <x:c r="N817" s="50" t="n">
        <x:v>30</x:v>
      </x:c>
      <x:c r="O817" s="53" t="str">
        <x:v>More than 20 years after an unsolved murder was committed, detectives were able to use modern fingerprint identification technology to generate a lead on a possible suspect. This led investigators to the suspect’s ex-wife.</x:v>
      </x:c>
      <x:c r="P817" s="53" t="str">
        <x:v>Dick Wolf reality/legal anthology</x:v>
      </x:c>
      <x:c r="Q817" s="17" t="str">
        <x:v>6853842</x:v>
      </x:c>
      <x:c r="R817" s="17" t="str"/>
      <x:c r="S817" s="17" t="str"/>
    </x:row>
    <x:row r="818">
      <x:c r="A818" s="43" t="n">
        <x:v>814</x:v>
      </x:c>
      <x:c r="B818" s="44" t="str">
        <x:v>Not Started</x:v>
      </x:c>
      <x:c r="C818" s="45" t="n">
        <x:v>37083</x:v>
      </x:c>
      <x:c r="D818" s="33" t="str">
        <x:v>Arrest &amp; Trial</x:v>
      </x:c>
      <x:c r="E818" s="33" t="str">
        <x:v>Crossover Adjacent</x:v>
      </x:c>
      <x:c r="F818" s="33" t="str">
        <x:v>complete</x:v>
      </x:c>
      <x:c r="G818" s="50" t="n">
        <x:v>1</x:v>
      </x:c>
      <x:c r="H818" s="50" t="n">
        <x:v>177</x:v>
      </x:c>
      <x:c r="I818" s="44" t="str">
        <x:v>01.177</x:v>
      </x:c>
      <x:c r="J818" s="33" t="str">
        <x:v>Cop Killer</x:v>
      </x:c>
      <x:c r="K818" s="33" t="str"/>
      <x:c r="L818" s="33" t="str"/>
      <x:c r="M818" s="44" t="str"/>
      <x:c r="N818" s="50" t="n">
        <x:v>30</x:v>
      </x:c>
      <x:c r="O818" s="53" t="str">
        <x:v>Two police officers were gunned down during a routine traffic stop. Immediately, witnesses came forward to offer information. One of these witnesses was hypnotized to help create a composite of the suspect. Simultaneously, a convict was claiming to know the identity of the shooter as well. When the police were unable to find the suspect and the media released his identity, he surrendered to a local TV reporter</x:v>
      </x:c>
      <x:c r="P818" s="53" t="str">
        <x:v>Dick Wolf reality/legal anthology</x:v>
      </x:c>
      <x:c r="Q818" s="17" t="str">
        <x:v>6853843</x:v>
      </x:c>
      <x:c r="R818" s="17" t="str"/>
      <x:c r="S818" s="17" t="str"/>
    </x:row>
    <x:row r="819">
      <x:c r="A819" s="43" t="n">
        <x:v>815</x:v>
      </x:c>
      <x:c r="B819" s="44" t="str">
        <x:v>Not Started</x:v>
      </x:c>
      <x:c r="C819" s="45" t="n">
        <x:v>37084</x:v>
      </x:c>
      <x:c r="D819" s="33" t="str">
        <x:v>Arrest &amp; Trial</x:v>
      </x:c>
      <x:c r="E819" s="33" t="str">
        <x:v>Crossover Adjacent</x:v>
      </x:c>
      <x:c r="F819" s="33" t="str">
        <x:v>complete</x:v>
      </x:c>
      <x:c r="G819" s="50" t="n">
        <x:v>1</x:v>
      </x:c>
      <x:c r="H819" s="50" t="n">
        <x:v>178</x:v>
      </x:c>
      <x:c r="I819" s="44" t="str">
        <x:v>01.178</x:v>
      </x:c>
      <x:c r="J819" s="33" t="str">
        <x:v>Bear of a Case</x:v>
      </x:c>
      <x:c r="K819" s="33" t="str"/>
      <x:c r="L819" s="33" t="str"/>
      <x:c r="M819" s="44" t="str"/>
      <x:c r="N819" s="50" t="n">
        <x:v>30</x:v>
      </x:c>
      <x:c r="O819" s="53" t="str">
        <x:v>A poacher had been preying on the Black Bear population in the mountains of Oregon for many months. He was selling their gall bladders for export to Asia where they were believed to have medicinal qualities. A concerned citizen came forward hoping to help investigators stop the slaughter of these animals. With the help of this individual, authorities were able to compile evidence to arrest not only the poacher, but also the man who was buying and exporting the gall bladders as well.</x:v>
      </x:c>
      <x:c r="P819" s="53" t="str">
        <x:v>Dick Wolf reality/legal anthology</x:v>
      </x:c>
      <x:c r="Q819" s="17" t="str">
        <x:v>6853844</x:v>
      </x:c>
      <x:c r="R819" s="17" t="str"/>
      <x:c r="S819" s="17" t="str"/>
    </x:row>
    <x:row r="820">
      <x:c r="A820" s="43" t="n">
        <x:v>816</x:v>
      </x:c>
      <x:c r="B820" s="44" t="str">
        <x:v>Not Started</x:v>
      </x:c>
      <x:c r="C820" s="45" t="n">
        <x:v>37085</x:v>
      </x:c>
      <x:c r="D820" s="33" t="str">
        <x:v>Arrest &amp; Trial</x:v>
      </x:c>
      <x:c r="E820" s="33" t="str">
        <x:v>Crossover Adjacent</x:v>
      </x:c>
      <x:c r="F820" s="33" t="str">
        <x:v>complete</x:v>
      </x:c>
      <x:c r="G820" s="50" t="n">
        <x:v>1</x:v>
      </x:c>
      <x:c r="H820" s="50" t="n">
        <x:v>179</x:v>
      </x:c>
      <x:c r="I820" s="44" t="str">
        <x:v>01.179</x:v>
      </x:c>
      <x:c r="J820" s="33" t="str">
        <x:v>Wasted Youth</x:v>
      </x:c>
      <x:c r="K820" s="33" t="str"/>
      <x:c r="L820" s="33" t="str"/>
      <x:c r="M820" s="44" t="str"/>
      <x:c r="N820" s="50" t="n">
        <x:v>30</x:v>
      </x:c>
      <x:c r="O820" s="53" t="str">
        <x:v>This special edition of A&amp;T examines the growing phenomenon of teenage killers. First... A missing 13-year-old boy was last seen with his best friend. This friend was eventually proved to be his killer, but seemingly had no motive. Then...A young girl disappeared on Halloween. Her killer sent riddles to the police daring them to catch him. Lastly... Two parents were found beaten to death in their home, their younger daughter missing. She was found with a band of teenagers - a vampire cult - who admitted to the murders. The daughter was exonerated in her parents' deaths.</x:v>
      </x:c>
      <x:c r="P820" s="53" t="str">
        <x:v>Dick Wolf reality/legal anthology</x:v>
      </x:c>
      <x:c r="Q820" s="17" t="str">
        <x:v>6853846</x:v>
      </x:c>
      <x:c r="R820" s="17" t="str"/>
      <x:c r="S820" s="17" t="str"/>
    </x:row>
    <x:row r="821">
      <x:c r="A821" s="43" t="n">
        <x:v>817</x:v>
      </x:c>
      <x:c r="B821" s="44" t="str">
        <x:v>Not Started</x:v>
      </x:c>
      <x:c r="C821" s="45" t="n">
        <x:v>37095</x:v>
      </x:c>
      <x:c r="D821" s="33" t="str">
        <x:v>Arrest &amp; Trial</x:v>
      </x:c>
      <x:c r="E821" s="33" t="str">
        <x:v>Crossover Adjacent</x:v>
      </x:c>
      <x:c r="F821" s="33" t="str">
        <x:v>complete</x:v>
      </x:c>
      <x:c r="G821" s="50" t="n">
        <x:v>1</x:v>
      </x:c>
      <x:c r="H821" s="50" t="n">
        <x:v>180</x:v>
      </x:c>
      <x:c r="I821" s="44" t="str">
        <x:v>01.180</x:v>
      </x:c>
      <x:c r="J821" s="33" t="str">
        <x:v>Smile Now, Cry Later</x:v>
      </x:c>
      <x:c r="K821" s="33" t="str"/>
      <x:c r="L821" s="33" t="str"/>
      <x:c r="M821" s="44" t="str"/>
      <x:c r="N821" s="50" t="n">
        <x:v>30</x:v>
      </x:c>
      <x:c r="O821" s="53" t="str">
        <x:v>The body of a teenage girl was found in the local mountains outside Albuquerque.</x:v>
      </x:c>
      <x:c r="P821" s="53" t="str">
        <x:v>Dick Wolf reality/legal anthology</x:v>
      </x:c>
      <x:c r="Q821" s="17" t="str">
        <x:v>6853848</x:v>
      </x:c>
      <x:c r="R821" s="17" t="str"/>
      <x:c r="S821" s="17" t="str"/>
    </x:row>
    <x:row r="822">
      <x:c r="A822" s="43" t="n">
        <x:v>818</x:v>
      </x:c>
      <x:c r="B822" s="44" t="str">
        <x:v>Not Started</x:v>
      </x:c>
      <x:c r="C822" s="45" t="n">
        <x:v>37096</x:v>
      </x:c>
      <x:c r="D822" s="33" t="str">
        <x:v>Arrest &amp; Trial</x:v>
      </x:c>
      <x:c r="E822" s="33" t="str">
        <x:v>Crossover Adjacent</x:v>
      </x:c>
      <x:c r="F822" s="33" t="str">
        <x:v>complete</x:v>
      </x:c>
      <x:c r="G822" s="50" t="n">
        <x:v>1</x:v>
      </x:c>
      <x:c r="H822" s="50" t="n">
        <x:v>181</x:v>
      </x:c>
      <x:c r="I822" s="44" t="str">
        <x:v>01.181</x:v>
      </x:c>
      <x:c r="J822" s="33" t="str">
        <x:v>Smack Smugglers</x:v>
      </x:c>
      <x:c r="K822" s="33" t="str"/>
      <x:c r="L822" s="33" t="str"/>
      <x:c r="M822" s="44" t="str"/>
      <x:c r="N822" s="50" t="n">
        <x:v>30</x:v>
      </x:c>
      <x:c r="O822" s="53" t="str">
        <x:v>With the cooperation of authorities from Spain and Switzerland, the DEA was able to bring down an international group of conspirators manufacturing and distributing heroin.</x:v>
      </x:c>
      <x:c r="P822" s="53" t="str">
        <x:v>Dick Wolf reality/legal anthology</x:v>
      </x:c>
      <x:c r="Q822" s="17" t="str">
        <x:v>6853850</x:v>
      </x:c>
      <x:c r="R822" s="17" t="str"/>
      <x:c r="S822" s="17" t="str"/>
    </x:row>
    <x:row r="823">
      <x:c r="A823" s="43" t="n">
        <x:v>819</x:v>
      </x:c>
      <x:c r="B823" s="44" t="str">
        <x:v>Not Started</x:v>
      </x:c>
      <x:c r="C823" s="45" t="n">
        <x:v>37097</x:v>
      </x:c>
      <x:c r="D823" s="33" t="str">
        <x:v>Arrest &amp; Trial</x:v>
      </x:c>
      <x:c r="E823" s="33" t="str">
        <x:v>Crossover Adjacent</x:v>
      </x:c>
      <x:c r="F823" s="33" t="str">
        <x:v>complete</x:v>
      </x:c>
      <x:c r="G823" s="50" t="n">
        <x:v>1</x:v>
      </x:c>
      <x:c r="H823" s="50" t="n">
        <x:v>182</x:v>
      </x:c>
      <x:c r="I823" s="44" t="str">
        <x:v>01.182</x:v>
      </x:c>
      <x:c r="J823" s="33" t="str">
        <x:v>Forensics</x:v>
      </x:c>
      <x:c r="K823" s="33" t="str"/>
      <x:c r="L823" s="33" t="str"/>
      <x:c r="M823" s="44" t="str"/>
      <x:c r="N823" s="50" t="n">
        <x:v>30</x:v>
      </x:c>
      <x:c r="O823" s="53" t="str">
        <x:v>This special edition of A&amp;T explores the fascinating world of forensic science and its ability to aid detectives, including the use of forensics to gather evidence at crime scenes, disprove sketchy stories and identify skeletal remains.</x:v>
      </x:c>
      <x:c r="P823" s="53" t="str">
        <x:v>Dick Wolf reality/legal anthology</x:v>
      </x:c>
      <x:c r="Q823" s="17" t="str">
        <x:v>6853851</x:v>
      </x:c>
      <x:c r="R823" s="17" t="str"/>
      <x:c r="S823" s="17" t="str"/>
    </x:row>
    <x:row r="824">
      <x:c r="A824" s="43" t="n">
        <x:v>820</x:v>
      </x:c>
      <x:c r="B824" s="44" t="str">
        <x:v>Not Started</x:v>
      </x:c>
      <x:c r="C824" s="45" t="n">
        <x:v>37098</x:v>
      </x:c>
      <x:c r="D824" s="33" t="str">
        <x:v>Arrest &amp; Trial</x:v>
      </x:c>
      <x:c r="E824" s="33" t="str">
        <x:v>Crossover Adjacent</x:v>
      </x:c>
      <x:c r="F824" s="33" t="str">
        <x:v>complete</x:v>
      </x:c>
      <x:c r="G824" s="50" t="n">
        <x:v>1</x:v>
      </x:c>
      <x:c r="H824" s="50" t="n">
        <x:v>183</x:v>
      </x:c>
      <x:c r="I824" s="44" t="str">
        <x:v>01.183</x:v>
      </x:c>
      <x:c r="J824" s="33" t="str">
        <x:v>The Ride</x:v>
      </x:c>
      <x:c r="K824" s="33" t="str"/>
      <x:c r="L824" s="33" t="str"/>
      <x:c r="M824" s="44" t="str"/>
      <x:c r="N824" s="50" t="n">
        <x:v>30</x:v>
      </x:c>
      <x:c r="O824" s="53" t="str">
        <x:v>A highway worker found the body of a young woman alongside the road. Her family identified the victim, and her sister provided a possible suspect. The charges were dropped, until federal prosecutors were convinced to take on the case.</x:v>
      </x:c>
      <x:c r="P824" s="53" t="str">
        <x:v>Dick Wolf reality/legal anthology</x:v>
      </x:c>
      <x:c r="Q824" s="17" t="str">
        <x:v>6853852</x:v>
      </x:c>
      <x:c r="R824" s="17" t="str"/>
      <x:c r="S824" s="17" t="str"/>
    </x:row>
    <x:row r="825">
      <x:c r="A825" s="43" t="n">
        <x:v>821</x:v>
      </x:c>
      <x:c r="B825" s="44" t="str">
        <x:v>Not Started</x:v>
      </x:c>
      <x:c r="C825" s="45" t="n">
        <x:v>37099</x:v>
      </x:c>
      <x:c r="D825" s="33" t="str">
        <x:v>Arrest &amp; Trial</x:v>
      </x:c>
      <x:c r="E825" s="33" t="str">
        <x:v>Crossover Adjacent</x:v>
      </x:c>
      <x:c r="F825" s="33" t="str">
        <x:v>complete</x:v>
      </x:c>
      <x:c r="G825" s="50" t="n">
        <x:v>1</x:v>
      </x:c>
      <x:c r="H825" s="50" t="n">
        <x:v>184</x:v>
      </x:c>
      <x:c r="I825" s="44" t="str">
        <x:v>01.184</x:v>
      </x:c>
      <x:c r="J825" s="33" t="str">
        <x:v>Barking Up the Wrong Tree</x:v>
      </x:c>
      <x:c r="K825" s="33" t="str"/>
      <x:c r="L825" s="33" t="str"/>
      <x:c r="M825" s="44" t="str"/>
      <x:c r="N825" s="50" t="n">
        <x:v>30</x:v>
      </x:c>
      <x:c r="O825" s="53" t="str">
        <x:v>The body of a prostitute was discovered hidden under some brush in the desert.</x:v>
      </x:c>
      <x:c r="P825" s="53" t="str">
        <x:v>Dick Wolf reality/legal anthology</x:v>
      </x:c>
      <x:c r="Q825" s="17" t="str">
        <x:v>6853853</x:v>
      </x:c>
      <x:c r="R825" s="17" t="str"/>
      <x:c r="S825" s="17" t="str"/>
    </x:row>
    <x:row r="826">
      <x:c r="A826" s="43" t="n">
        <x:v>822</x:v>
      </x:c>
      <x:c r="B826" s="44" t="str">
        <x:v>Not Started</x:v>
      </x:c>
      <x:c r="C826" s="45" t="n">
        <x:v>37102</x:v>
      </x:c>
      <x:c r="D826" s="33" t="str">
        <x:v>Arrest &amp; Trial</x:v>
      </x:c>
      <x:c r="E826" s="33" t="str">
        <x:v>Crossover Adjacent</x:v>
      </x:c>
      <x:c r="F826" s="33" t="str">
        <x:v>complete</x:v>
      </x:c>
      <x:c r="G826" s="50" t="n">
        <x:v>1</x:v>
      </x:c>
      <x:c r="H826" s="50" t="n">
        <x:v>185</x:v>
      </x:c>
      <x:c r="I826" s="44" t="str">
        <x:v>01.185</x:v>
      </x:c>
      <x:c r="J826" s="33" t="str">
        <x:v>Holy Day Murders</x:v>
      </x:c>
      <x:c r="K826" s="33" t="str"/>
      <x:c r="L826" s="33" t="str"/>
      <x:c r="M826" s="44" t="str"/>
      <x:c r="N826" s="50" t="n">
        <x:v>30</x:v>
      </x:c>
      <x:c r="O826" s="53" t="str">
        <x:v>On the religious holiday of Yom Kippur, an elderly couple were the victims of an apparent contract killing, shot to death in their parking garage. The wife’s sister gave detectives the family background and implicated the couple’s two adult sons.</x:v>
      </x:c>
      <x:c r="P826" s="53" t="str">
        <x:v>Dick Wolf reality/legal anthology</x:v>
      </x:c>
      <x:c r="Q826" s="17" t="str">
        <x:v>6853855</x:v>
      </x:c>
      <x:c r="R826" s="17" t="str"/>
      <x:c r="S826" s="17" t="str"/>
    </x:row>
    <x:row r="827">
      <x:c r="A827" s="43" t="n">
        <x:v>823</x:v>
      </x:c>
      <x:c r="B827" s="44" t="str">
        <x:v>Not Started</x:v>
      </x:c>
      <x:c r="C827" s="45" t="n">
        <x:v>37103</x:v>
      </x:c>
      <x:c r="D827" s="33" t="str">
        <x:v>Arrest &amp; Trial</x:v>
      </x:c>
      <x:c r="E827" s="33" t="str">
        <x:v>Crossover Adjacent</x:v>
      </x:c>
      <x:c r="F827" s="33" t="str">
        <x:v>complete</x:v>
      </x:c>
      <x:c r="G827" s="50" t="n">
        <x:v>1</x:v>
      </x:c>
      <x:c r="H827" s="50" t="n">
        <x:v>186</x:v>
      </x:c>
      <x:c r="I827" s="44" t="str">
        <x:v>01.186</x:v>
      </x:c>
      <x:c r="J827" s="33" t="str">
        <x:v>Bad Love</x:v>
      </x:c>
      <x:c r="K827" s="33" t="str"/>
      <x:c r="L827" s="33" t="str"/>
      <x:c r="M827" s="44" t="str"/>
      <x:c r="N827" s="50" t="n">
        <x:v>30</x:v>
      </x:c>
      <x:c r="O827" s="53" t="str">
        <x:v>This special edition of A&amp;T will explore the violent and deadly outcomes of three relationships gone awry, including a man and his lover who orchestrated the murder of his mother and his ex-girlfriend.</x:v>
      </x:c>
      <x:c r="P827" s="53" t="str">
        <x:v>Dick Wolf reality/legal anthology</x:v>
      </x:c>
      <x:c r="Q827" s="17" t="str">
        <x:v>6853856</x:v>
      </x:c>
      <x:c r="R827" s="17" t="str"/>
      <x:c r="S827" s="17" t="str"/>
    </x:row>
    <x:row r="828">
      <x:c r="A828" s="43" t="n">
        <x:v>824</x:v>
      </x:c>
      <x:c r="B828" s="44" t="str">
        <x:v>Not Started</x:v>
      </x:c>
      <x:c r="C828" s="45" t="n">
        <x:v>37104</x:v>
      </x:c>
      <x:c r="D828" s="33" t="str">
        <x:v>Arrest &amp; Trial</x:v>
      </x:c>
      <x:c r="E828" s="33" t="str">
        <x:v>Crossover Adjacent</x:v>
      </x:c>
      <x:c r="F828" s="33" t="str">
        <x:v>complete</x:v>
      </x:c>
      <x:c r="G828" s="50" t="n">
        <x:v>1</x:v>
      </x:c>
      <x:c r="H828" s="50" t="n">
        <x:v>187</x:v>
      </x:c>
      <x:c r="I828" s="44" t="str">
        <x:v>01.187</x:v>
      </x:c>
      <x:c r="J828" s="33" t="str">
        <x:v>Janitor Brought to Justice</x:v>
      </x:c>
      <x:c r="K828" s="33" t="str"/>
      <x:c r="L828" s="33" t="str"/>
      <x:c r="M828" s="44" t="str"/>
      <x:c r="N828" s="50" t="n">
        <x:v>30</x:v>
      </x:c>
      <x:c r="O828" s="53" t="str">
        <x:v>Two women were found at their place of employment, assaulted and stabbed to death. It appeared that the killer had tried to clean up the scene with janitorial supplies</x:v>
      </x:c>
      <x:c r="P828" s="53" t="str">
        <x:v>Dick Wolf reality/legal anthology</x:v>
      </x:c>
      <x:c r="Q828" s="17" t="str">
        <x:v>6853857</x:v>
      </x:c>
      <x:c r="R828" s="17" t="str"/>
      <x:c r="S828" s="17" t="str"/>
    </x:row>
    <x:row r="829">
      <x:c r="A829" s="43" t="n">
        <x:v>825</x:v>
      </x:c>
      <x:c r="B829" s="44" t="str">
        <x:v>Not Started</x:v>
      </x:c>
      <x:c r="C829" s="45" t="n">
        <x:v>37105</x:v>
      </x:c>
      <x:c r="D829" s="33" t="str">
        <x:v>Arrest &amp; Trial</x:v>
      </x:c>
      <x:c r="E829" s="33" t="str">
        <x:v>Crossover Adjacent</x:v>
      </x:c>
      <x:c r="F829" s="33" t="str">
        <x:v>complete</x:v>
      </x:c>
      <x:c r="G829" s="50" t="n">
        <x:v>1</x:v>
      </x:c>
      <x:c r="H829" s="50" t="n">
        <x:v>188</x:v>
      </x:c>
      <x:c r="I829" s="44" t="str">
        <x:v>01.188</x:v>
      </x:c>
      <x:c r="J829" s="33" t="str">
        <x:v>Tunnel Case</x:v>
      </x:c>
      <x:c r="K829" s="33" t="str"/>
      <x:c r="L829" s="33" t="str"/>
      <x:c r="M829" s="44" t="str"/>
      <x:c r="N829" s="50" t="n">
        <x:v>30</x:v>
      </x:c>
      <x:c r="O829" s="53" t="str">
        <x:v>With the aid of an informant, the DEA uncovered a vast number of safe houses used by one of Mexico’s biggest drug organizations. In the raid of one of these houses, a map leading to a warehouse was discovered.</x:v>
      </x:c>
      <x:c r="P829" s="53" t="str">
        <x:v>Dick Wolf reality/legal anthology</x:v>
      </x:c>
      <x:c r="Q829" s="17" t="str">
        <x:v>6853858</x:v>
      </x:c>
      <x:c r="R829" s="17" t="str"/>
      <x:c r="S829" s="17" t="str"/>
    </x:row>
    <x:row r="830">
      <x:c r="A830" s="43" t="n">
        <x:v>826</x:v>
      </x:c>
      <x:c r="B830" s="44" t="str">
        <x:v>Not Started</x:v>
      </x:c>
      <x:c r="C830" s="45" t="n">
        <x:v>37106</x:v>
      </x:c>
      <x:c r="D830" s="33" t="str">
        <x:v>Arrest &amp; Trial</x:v>
      </x:c>
      <x:c r="E830" s="33" t="str">
        <x:v>Crossover Adjacent</x:v>
      </x:c>
      <x:c r="F830" s="33" t="str">
        <x:v>complete</x:v>
      </x:c>
      <x:c r="G830" s="50" t="n">
        <x:v>1</x:v>
      </x:c>
      <x:c r="H830" s="50" t="n">
        <x:v>189</x:v>
      </x:c>
      <x:c r="I830" s="44" t="str">
        <x:v>01.189</x:v>
      </x:c>
      <x:c r="J830" s="33" t="str">
        <x:v>Delivery Man</x:v>
      </x:c>
      <x:c r="K830" s="33" t="str"/>
      <x:c r="L830" s="33" t="str"/>
      <x:c r="M830" s="44" t="str"/>
      <x:c r="N830" s="50" t="n">
        <x:v>30</x:v>
      </x:c>
      <x:c r="O830" s="53" t="str">
        <x:v>A woman was struck in the head but survived what appeared to be a home invasion robbery. Evidence in a seemingly unrelated case uncovered a conspiracy to have the woman -- who was in the middle of a contentious divorce -- murdered.</x:v>
      </x:c>
      <x:c r="P830" s="53" t="str">
        <x:v>Dick Wolf reality/legal anthology</x:v>
      </x:c>
      <x:c r="Q830" s="17" t="str">
        <x:v>6853859</x:v>
      </x:c>
      <x:c r="R830" s="17" t="str"/>
      <x:c r="S830" s="17" t="str"/>
    </x:row>
    <x:row r="831">
      <x:c r="A831" s="43" t="n">
        <x:v>827</x:v>
      </x:c>
      <x:c r="B831" s="44" t="str">
        <x:v>Not Started</x:v>
      </x:c>
      <x:c r="C831" s="45" t="n">
        <x:v>37109</x:v>
      </x:c>
      <x:c r="D831" s="33" t="str">
        <x:v>Arrest &amp; Trial</x:v>
      </x:c>
      <x:c r="E831" s="33" t="str">
        <x:v>Crossover Adjacent</x:v>
      </x:c>
      <x:c r="F831" s="33" t="str">
        <x:v>complete</x:v>
      </x:c>
      <x:c r="G831" s="50" t="n">
        <x:v>1</x:v>
      </x:c>
      <x:c r="H831" s="50" t="n">
        <x:v>190</x:v>
      </x:c>
      <x:c r="I831" s="44" t="str">
        <x:v>01.190</x:v>
      </x:c>
      <x:c r="J831" s="33" t="str">
        <x:v>War on Drugs</x:v>
      </x:c>
      <x:c r="K831" s="33" t="str"/>
      <x:c r="L831" s="33" t="str"/>
      <x:c r="M831" s="44" t="str"/>
      <x:c r="N831" s="50" t="n">
        <x:v>30</x:v>
      </x:c>
      <x:c r="O831" s="53" t="str">
        <x:v>This special edition of A&amp;T joins the courageous men and women who fight the war against drugs, including a DEA agent who worked with a drug trafficker to bring a crooked lawyer and an elusive drug dealer to justice.</x:v>
      </x:c>
      <x:c r="P831" s="53" t="str">
        <x:v>Dick Wolf reality/legal anthology</x:v>
      </x:c>
      <x:c r="Q831" s="17" t="str">
        <x:v>6853860</x:v>
      </x:c>
      <x:c r="R831" s="17" t="str"/>
      <x:c r="S831" s="17" t="str"/>
    </x:row>
    <x:row r="832">
      <x:c r="A832" s="43" t="n">
        <x:v>828</x:v>
      </x:c>
      <x:c r="B832" s="44" t="str">
        <x:v>Not Started</x:v>
      </x:c>
      <x:c r="C832" s="45" t="n">
        <x:v>37144</x:v>
      </x:c>
      <x:c r="D832" s="33" t="str">
        <x:v>Arrest &amp; Trial</x:v>
      </x:c>
      <x:c r="E832" s="33" t="str">
        <x:v>Crossover Adjacent</x:v>
      </x:c>
      <x:c r="F832" s="33" t="str">
        <x:v>complete</x:v>
      </x:c>
      <x:c r="G832" s="50" t="n">
        <x:v>1</x:v>
      </x:c>
      <x:c r="H832" s="50" t="n">
        <x:v>191</x:v>
      </x:c>
      <x:c r="I832" s="44" t="str">
        <x:v>01.191</x:v>
      </x:c>
      <x:c r="J832" s="33" t="str">
        <x:v>Stealing Was Not Enough</x:v>
      </x:c>
      <x:c r="K832" s="33" t="str"/>
      <x:c r="L832" s="33" t="str"/>
      <x:c r="M832" s="44" t="str"/>
      <x:c r="N832" s="50" t="n">
        <x:v>30</x:v>
      </x:c>
      <x:c r="O832" s="53" t="str">
        <x:v>Police officers on nightly patrol discovered a man shot to death in an alley.</x:v>
      </x:c>
      <x:c r="P832" s="53" t="str">
        <x:v>Dick Wolf reality/legal anthology</x:v>
      </x:c>
      <x:c r="Q832" s="17" t="str">
        <x:v>6853863</x:v>
      </x:c>
      <x:c r="R832" s="17" t="str"/>
      <x:c r="S832" s="17" t="str"/>
    </x:row>
    <x:row r="833">
      <x:c r="A833" s="43" t="n">
        <x:v>829</x:v>
      </x:c>
      <x:c r="B833" s="44" t="str">
        <x:v>Not Started</x:v>
      </x:c>
      <x:c r="C833" s="45" t="n">
        <x:v>37145</x:v>
      </x:c>
      <x:c r="D833" s="33" t="str">
        <x:v>Arrest &amp; Trial</x:v>
      </x:c>
      <x:c r="E833" s="33" t="str">
        <x:v>Crossover Adjacent</x:v>
      </x:c>
      <x:c r="F833" s="33" t="str">
        <x:v>complete</x:v>
      </x:c>
      <x:c r="G833" s="50" t="n">
        <x:v>1</x:v>
      </x:c>
      <x:c r="H833" s="50" t="n">
        <x:v>192</x:v>
      </x:c>
      <x:c r="I833" s="44" t="str">
        <x:v>01.192</x:v>
      </x:c>
      <x:c r="J833" s="33" t="str">
        <x:v>German Tourist Tragedy</x:v>
      </x:c>
      <x:c r="K833" s="33" t="str"/>
      <x:c r="L833" s="33" t="str"/>
      <x:c r="M833" s="44" t="str"/>
      <x:c r="N833" s="50" t="n">
        <x:v>30</x:v>
      </x:c>
      <x:c r="O833" s="53" t="str">
        <x:v>What appeared to be a traffic fatality was actually the latest in a string of homicides targeting foreign tourists. Authorities requested assistance from the community and received a tip about a yellow moving van believed to be involved in the crime.</x:v>
      </x:c>
      <x:c r="P833" s="53" t="str">
        <x:v>Dick Wolf reality/legal anthology</x:v>
      </x:c>
      <x:c r="Q833" s="17" t="str">
        <x:v>6853864</x:v>
      </x:c>
      <x:c r="R833" s="17" t="str"/>
      <x:c r="S833" s="17" t="str"/>
    </x:row>
    <x:row r="834">
      <x:c r="A834" s="43" t="n">
        <x:v>830</x:v>
      </x:c>
      <x:c r="B834" s="44" t="str">
        <x:v>Not Started</x:v>
      </x:c>
      <x:c r="C834" s="45" t="n">
        <x:v>37146</x:v>
      </x:c>
      <x:c r="D834" s="33" t="str">
        <x:v>Arrest &amp; Trial</x:v>
      </x:c>
      <x:c r="E834" s="33" t="str">
        <x:v>Crossover Adjacent</x:v>
      </x:c>
      <x:c r="F834" s="33" t="str">
        <x:v>complete</x:v>
      </x:c>
      <x:c r="G834" s="50" t="n">
        <x:v>1</x:v>
      </x:c>
      <x:c r="H834" s="50" t="n">
        <x:v>193</x:v>
      </x:c>
      <x:c r="I834" s="44" t="str">
        <x:v>01.193</x:v>
      </x:c>
      <x:c r="J834" s="33" t="str">
        <x:v>Carlos Lehder</x:v>
      </x:c>
      <x:c r="K834" s="33" t="str"/>
      <x:c r="L834" s="33" t="str"/>
      <x:c r="M834" s="44" t="str"/>
      <x:c r="N834" s="50" t="n">
        <x:v>30</x:v>
      </x:c>
      <x:c r="O834" s="53" t="str">
        <x:v>The DEA was called when three men purchased expensive vehicles with cash. A DEA agent put them under surveillance and started interviewing their constituents. During questioning, a pilot told authorities about the entire operation of marijuana and cocaine smuggling and fingered the leader of this group as Carlos Lehder, the notorious drug kingpin. The DEA's extensive international investigation culminated in the conviction of all the individuals in this smuggling ring, including Carlos Lehder</x:v>
      </x:c>
      <x:c r="P834" s="53" t="str">
        <x:v>Dick Wolf reality/legal anthology</x:v>
      </x:c>
      <x:c r="Q834" s="17" t="str">
        <x:v>6853867</x:v>
      </x:c>
      <x:c r="R834" s="17" t="str"/>
      <x:c r="S834" s="17" t="str"/>
    </x:row>
    <x:row r="835">
      <x:c r="A835" s="43" t="n">
        <x:v>831</x:v>
      </x:c>
      <x:c r="B835" s="44" t="str">
        <x:v>Not Started</x:v>
      </x:c>
      <x:c r="C835" s="45" t="n">
        <x:v>37147</x:v>
      </x:c>
      <x:c r="D835" s="33" t="str">
        <x:v>Arrest &amp; Trial</x:v>
      </x:c>
      <x:c r="E835" s="33" t="str">
        <x:v>Crossover Adjacent</x:v>
      </x:c>
      <x:c r="F835" s="33" t="str">
        <x:v>complete</x:v>
      </x:c>
      <x:c r="G835" s="50" t="n">
        <x:v>1</x:v>
      </x:c>
      <x:c r="H835" s="50" t="n">
        <x:v>194</x:v>
      </x:c>
      <x:c r="I835" s="44" t="str">
        <x:v>01.194</x:v>
      </x:c>
      <x:c r="J835" s="33" t="str">
        <x:v>Forced Prostitution</x:v>
      </x:c>
      <x:c r="K835" s="33" t="str"/>
      <x:c r="L835" s="33" t="str"/>
      <x:c r="M835" s="44" t="str"/>
      <x:c r="N835" s="50" t="n">
        <x:v>30</x:v>
      </x:c>
      <x:c r="O835" s="53" t="str">
        <x:v>Believing they were being offered a ride to North Carolina, two teenage girls agreed to leave the bus station with a young man. He took them to a motel where he and his two friends sexually assaulted them and forced them to prostitute for them. One of the girls was able to escape and get to police with her story. The detectives believed that in order to capture the perpetrators and rescue the second girl they would need to put the first girl back on the street as a decoy.</x:v>
      </x:c>
      <x:c r="P835" s="53" t="str">
        <x:v>Dick Wolf reality/legal anthology</x:v>
      </x:c>
      <x:c r="Q835" s="17" t="str">
        <x:v>6853869</x:v>
      </x:c>
      <x:c r="R835" s="17" t="str"/>
      <x:c r="S835" s="17" t="str"/>
    </x:row>
    <x:row r="836">
      <x:c r="A836" s="43" t="n">
        <x:v>832</x:v>
      </x:c>
      <x:c r="B836" s="44" t="str">
        <x:v>Not Started</x:v>
      </x:c>
      <x:c r="C836" s="45" t="n">
        <x:v>37148</x:v>
      </x:c>
      <x:c r="D836" s="33" t="str">
        <x:v>Arrest &amp; Trial</x:v>
      </x:c>
      <x:c r="E836" s="33" t="str">
        <x:v>Crossover Adjacent</x:v>
      </x:c>
      <x:c r="F836" s="33" t="str">
        <x:v>complete</x:v>
      </x:c>
      <x:c r="G836" s="50" t="n">
        <x:v>1</x:v>
      </x:c>
      <x:c r="H836" s="50" t="n">
        <x:v>195</x:v>
      </x:c>
      <x:c r="I836" s="44" t="str">
        <x:v>01.195</x:v>
      </x:c>
      <x:c r="J836" s="33" t="str">
        <x:v>Drugs and Murder in Vermont</x:v>
      </x:c>
      <x:c r="K836" s="33" t="str"/>
      <x:c r="L836" s="33" t="str"/>
      <x:c r="M836" s="44" t="str"/>
      <x:c r="N836" s="50" t="n">
        <x:v>30</x:v>
      </x:c>
      <x:c r="O836" s="53" t="str">
        <x:v>A violent drug trafficking gang moved into Burlington, Vermont from New York City. Authorities arrested an individual after buying drugs from this gang and he agreed to cooperate in the investigation of the dealers. An eight-month investigation involving the confidential informant supplied detectives with large amounts of evidence to arrest the members of the gang on both drug trafficking and firearms charges</x:v>
      </x:c>
      <x:c r="P836" s="53" t="str">
        <x:v>Dick Wolf reality/legal anthology</x:v>
      </x:c>
      <x:c r="Q836" s="17" t="str">
        <x:v>6853870</x:v>
      </x:c>
      <x:c r="R836" s="17" t="str"/>
      <x:c r="S836" s="17" t="str"/>
    </x:row>
    <x:row r="837">
      <x:c r="A837" s="43" t="n">
        <x:v>833</x:v>
      </x:c>
      <x:c r="B837" s="44" t="str">
        <x:v>Not Started</x:v>
      </x:c>
      <x:c r="C837" s="45" t="n">
        <x:v>37160</x:v>
      </x:c>
      <x:c r="D837" s="33" t="str">
        <x:v>Law &amp; Order</x:v>
      </x:c>
      <x:c r="E837" s="33" t="str">
        <x:v>Law &amp; Order</x:v>
      </x:c>
      <x:c r="F837" s="33" t="str">
        <x:v>core</x:v>
      </x:c>
      <x:c r="G837" s="50" t="n">
        <x:v>12</x:v>
      </x:c>
      <x:c r="H837" s="50" t="n">
        <x:v>1</x:v>
      </x:c>
      <x:c r="I837" s="44" t="str">
        <x:v>12.01</x:v>
      </x:c>
      <x:c r="J837" s="33" t="str">
        <x:v>Who Let the Dogs Out?</x:v>
      </x:c>
      <x:c r="K837" s="33" t="str"/>
      <x:c r="L837" s="33" t="str"/>
      <x:c r="M837" s="44" t="str"/>
      <x:c r="N837" s="50" t="n">
        <x:v>45</x:v>
      </x:c>
      <x:c r="O837" s="53" t="str">
        <x:v>The investigation into the death of a jogger mauled by a vicious dog leads to an Attica inmate, his attorneys, and an underground dog-fighting ring.</x:v>
      </x:c>
      <x:c r="P837" s="53" t="str">
        <x:v>Core Law &amp; Order franchise</x:v>
      </x:c>
      <x:c r="Q837" s="17" t="str">
        <x:v>34308</x:v>
      </x:c>
      <x:c r="R837" s="17" t="str">
        <x:v>tt0629499</x:v>
      </x:c>
      <x:c r="S837" s="17" t="str">
        <x:v>477</x:v>
      </x:c>
    </x:row>
    <x:row r="838">
      <x:c r="A838" s="43" t="n">
        <x:v>834</x:v>
      </x:c>
      <x:c r="B838" s="44" t="str">
        <x:v>Watched</x:v>
      </x:c>
      <x:c r="C838" s="45" t="n">
        <x:v>37162</x:v>
      </x:c>
      <x:c r="D838" s="33" t="str">
        <x:v>Law &amp; Order: Special Victims Unit</x:v>
      </x:c>
      <x:c r="E838" s="33" t="str">
        <x:v>Law &amp; Order</x:v>
      </x:c>
      <x:c r="F838" s="33" t="str">
        <x:v>core</x:v>
      </x:c>
      <x:c r="G838" s="50" t="n">
        <x:v>3</x:v>
      </x:c>
      <x:c r="H838" s="50" t="n">
        <x:v>1</x:v>
      </x:c>
      <x:c r="I838" s="44" t="str">
        <x:v>03.01</x:v>
      </x:c>
      <x:c r="J838" s="33" t="str">
        <x:v>Repression</x:v>
      </x:c>
      <x:c r="K838" s="33" t="str"/>
      <x:c r="L838" s="33" t="str"/>
      <x:c r="M838" s="44" t="str"/>
      <x:c r="N838" s="50" t="n">
        <x:v>43</x:v>
      </x:c>
      <x:c r="O838" s="53" t="str">
        <x:v>An 18-year-old girl is aided by her therapist in recalling repressed memories of childhood molestation by her father and reports the incest to Benson and Stabler in hopes of sparing her younger sisters the same fate. She brings charges of rape against her father who winds up murdered when those charges are dismissed.</x:v>
      </x:c>
      <x:c r="P838" s="53" t="str">
        <x:v>Core Law &amp; Order franchise</x:v>
      </x:c>
      <x:c r="Q838" s="17" t="str">
        <x:v>224984</x:v>
      </x:c>
      <x:c r="R838" s="17" t="str">
        <x:v>tt0629715</x:v>
      </x:c>
      <x:c r="S838" s="17" t="str">
        <x:v>478</x:v>
      </x:c>
    </x:row>
    <x:row r="839">
      <x:c r="A839" s="43" t="n">
        <x:v>835</x:v>
      </x:c>
      <x:c r="B839" s="44" t="str">
        <x:v>Not Started</x:v>
      </x:c>
      <x:c r="C839" s="45" t="n">
        <x:v>37164</x:v>
      </x:c>
      <x:c r="D839" s="33" t="str">
        <x:v>Law &amp; Order: Criminal Intent</x:v>
      </x:c>
      <x:c r="E839" s="33" t="str">
        <x:v>Law &amp; Order</x:v>
      </x:c>
      <x:c r="F839" s="33" t="str">
        <x:v>core</x:v>
      </x:c>
      <x:c r="G839" s="50" t="n">
        <x:v>1</x:v>
      </x:c>
      <x:c r="H839" s="50" t="n">
        <x:v>1</x:v>
      </x:c>
      <x:c r="I839" s="44" t="str">
        <x:v>01.01</x:v>
      </x:c>
      <x:c r="J839" s="33" t="str">
        <x:v>One</x:v>
      </x:c>
      <x:c r="K839" s="33" t="str"/>
      <x:c r="L839" s="33" t="str"/>
      <x:c r="M839" s="44" t="str"/>
      <x:c r="N839" s="50" t="n">
        <x:v>44</x:v>
      </x:c>
      <x:c r="O839" s="53" t="str">
        <x:v>Goren and Eames are called in when a jewelry heist leaves behind three bodies. After ruling out mafia involvement, they realise that the thefts are directly connected to recent credit card thefts and stolen identities. They're led to an extremely charismatic thief, and their only hope is convincing one of his partners to turn on him.</x:v>
      </x:c>
      <x:c r="P839" s="53" t="str">
        <x:v>Core Law &amp; Order franchise</x:v>
      </x:c>
      <x:c r="Q839" s="17" t="str">
        <x:v>341212</x:v>
      </x:c>
      <x:c r="R839" s="17" t="str">
        <x:v>tt0629557</x:v>
      </x:c>
      <x:c r="S839" s="17" t="str">
        <x:v>479</x:v>
      </x:c>
    </x:row>
    <x:row r="840">
      <x:c r="A840" s="43" t="n">
        <x:v>836</x:v>
      </x:c>
      <x:c r="B840" s="44" t="str">
        <x:v>Not Started</x:v>
      </x:c>
      <x:c r="C840" s="45" t="n">
        <x:v>37167</x:v>
      </x:c>
      <x:c r="D840" s="33" t="str">
        <x:v>Law &amp; Order</x:v>
      </x:c>
      <x:c r="E840" s="33" t="str">
        <x:v>Law &amp; Order</x:v>
      </x:c>
      <x:c r="F840" s="33" t="str">
        <x:v>core</x:v>
      </x:c>
      <x:c r="G840" s="50" t="n">
        <x:v>12</x:v>
      </x:c>
      <x:c r="H840" s="50" t="n">
        <x:v>2</x:v>
      </x:c>
      <x:c r="I840" s="44" t="str">
        <x:v>12.02</x:v>
      </x:c>
      <x:c r="J840" s="33" t="str">
        <x:v>Armed Forces</x:v>
      </x:c>
      <x:c r="K840" s="33" t="str"/>
      <x:c r="L840" s="33" t="str"/>
      <x:c r="M840" s="44" t="str"/>
      <x:c r="N840" s="50" t="n">
        <x:v>45</x:v>
      </x:c>
      <x:c r="O840" s="53" t="str">
        <x:v>The fatal stabbing of a man leads to the discovery of his status as a Vietnam war veteran and the truths uncovered about an incident that occured with him and three former soliders in his division.</x:v>
      </x:c>
      <x:c r="P840" s="53" t="str">
        <x:v>Core Law &amp; Order franchise</x:v>
      </x:c>
      <x:c r="Q840" s="17" t="str">
        <x:v>34309</x:v>
      </x:c>
      <x:c r="R840" s="17" t="str">
        <x:v>tt0629161</x:v>
      </x:c>
      <x:c r="S840" s="17" t="str">
        <x:v>480</x:v>
      </x:c>
    </x:row>
    <x:row r="841">
      <x:c r="A841" s="43" t="n">
        <x:v>837</x:v>
      </x:c>
      <x:c r="B841" s="44" t="str">
        <x:v>Watched</x:v>
      </x:c>
      <x:c r="C841" s="45" t="n">
        <x:v>37169</x:v>
      </x:c>
      <x:c r="D841" s="33" t="str">
        <x:v>Law &amp; Order: Special Victims Unit</x:v>
      </x:c>
      <x:c r="E841" s="33" t="str">
        <x:v>Law &amp; Order</x:v>
      </x:c>
      <x:c r="F841" s="33" t="str">
        <x:v>core</x:v>
      </x:c>
      <x:c r="G841" s="50" t="n">
        <x:v>3</x:v>
      </x:c>
      <x:c r="H841" s="50" t="n">
        <x:v>2</x:v>
      </x:c>
      <x:c r="I841" s="44" t="str">
        <x:v>03.02</x:v>
      </x:c>
      <x:c r="J841" s="33" t="str">
        <x:v>Wrath</x:v>
      </x:c>
      <x:c r="K841" s="33" t="str"/>
      <x:c r="L841" s="33" t="str"/>
      <x:c r="M841" s="44" t="str"/>
      <x:c r="N841" s="50" t="n">
        <x:v>43</x:v>
      </x:c>
      <x:c r="O841" s="53" t="str">
        <x:v>The detectives investigate three murders that seemingly have no connection to each other, but each murder has ties to Benson's previous cases. As they join with the FBI to investigate, the detectives worry that Benson is the intended target.</x:v>
      </x:c>
      <x:c r="P841" s="53" t="str">
        <x:v>Core Law &amp; Order franchise</x:v>
      </x:c>
      <x:c r="Q841" s="17" t="str">
        <x:v>224985</x:v>
      </x:c>
      <x:c r="R841" s="17" t="str">
        <x:v>tt0629756</x:v>
      </x:c>
      <x:c r="S841" s="17" t="str">
        <x:v>481</x:v>
      </x:c>
    </x:row>
    <x:row r="842">
      <x:c r="A842" s="43" t="n">
        <x:v>838</x:v>
      </x:c>
      <x:c r="B842" s="44" t="str">
        <x:v>Not Started</x:v>
      </x:c>
      <x:c r="C842" s="45" t="n">
        <x:v>37171</x:v>
      </x:c>
      <x:c r="D842" s="33" t="str">
        <x:v>Law &amp; Order: Criminal Intent</x:v>
      </x:c>
      <x:c r="E842" s="33" t="str">
        <x:v>Law &amp; Order</x:v>
      </x:c>
      <x:c r="F842" s="33" t="str">
        <x:v>core</x:v>
      </x:c>
      <x:c r="G842" s="50" t="n">
        <x:v>1</x:v>
      </x:c>
      <x:c r="H842" s="50" t="n">
        <x:v>2</x:v>
      </x:c>
      <x:c r="I842" s="44" t="str">
        <x:v>01.02</x:v>
      </x:c>
      <x:c r="J842" s="33" t="str">
        <x:v>Art</x:v>
      </x:c>
      <x:c r="K842" s="33" t="str"/>
      <x:c r="L842" s="33" t="str"/>
      <x:c r="M842" s="44" t="str"/>
      <x:c r="N842" s="50" t="n">
        <x:v>44</x:v>
      </x:c>
      <x:c r="O842" s="53" t="str">
        <x:v>When a museum curator and an art authenticator are found dead in what was set up to look like a murder-suicide, Goren and Eames follow the clues and realise that the deaths are linked to the sale of numerous art forgeries. Their investigation hits a dead end when they're unable to locate the forger until Goren seeks the help of another forger.</x:v>
      </x:c>
      <x:c r="P842" s="53" t="str">
        <x:v>Core Law &amp; Order franchise</x:v>
      </x:c>
      <x:c r="Q842" s="17" t="str">
        <x:v>341213</x:v>
      </x:c>
      <x:c r="R842" s="17" t="str">
        <x:v>tt0629506</x:v>
      </x:c>
      <x:c r="S842" s="17" t="str">
        <x:v>482</x:v>
      </x:c>
    </x:row>
    <x:row r="843">
      <x:c r="A843" s="43" t="n">
        <x:v>839</x:v>
      </x:c>
      <x:c r="B843" s="44" t="str">
        <x:v>Not Started</x:v>
      </x:c>
      <x:c r="C843" s="45" t="n">
        <x:v>37174</x:v>
      </x:c>
      <x:c r="D843" s="33" t="str">
        <x:v>Law &amp; Order</x:v>
      </x:c>
      <x:c r="E843" s="33" t="str">
        <x:v>Law &amp; Order</x:v>
      </x:c>
      <x:c r="F843" s="33" t="str">
        <x:v>core</x:v>
      </x:c>
      <x:c r="G843" s="50" t="n">
        <x:v>12</x:v>
      </x:c>
      <x:c r="H843" s="50" t="n">
        <x:v>3</x:v>
      </x:c>
      <x:c r="I843" s="44" t="str">
        <x:v>12.03</x:v>
      </x:c>
      <x:c r="J843" s="33" t="str">
        <x:v>For Love or Money</x:v>
      </x:c>
      <x:c r="K843" s="33" t="str"/>
      <x:c r="L843" s="33" t="str"/>
      <x:c r="M843" s="44" t="str"/>
      <x:c r="N843" s="50" t="n">
        <x:v>45</x:v>
      </x:c>
      <x:c r="O843" s="53" t="str">
        <x:v>The death of a parolee, who was a hit man, leads to a wealthy widow and daughter and whether they hired him to kill their rich relative.</x:v>
      </x:c>
      <x:c r="P843" s="53" t="str">
        <x:v>Core Law &amp; Order franchise</x:v>
      </x:c>
      <x:c r="Q843" s="17" t="str">
        <x:v>34310</x:v>
      </x:c>
      <x:c r="R843" s="17" t="str">
        <x:v>tt0629270</x:v>
      </x:c>
      <x:c r="S843" s="17" t="str">
        <x:v>483</x:v>
      </x:c>
    </x:row>
    <x:row r="844">
      <x:c r="A844" s="43" t="n">
        <x:v>840</x:v>
      </x:c>
      <x:c r="B844" s="44" t="str">
        <x:v>Watched</x:v>
      </x:c>
      <x:c r="C844" s="45" t="n">
        <x:v>37176</x:v>
      </x:c>
      <x:c r="D844" s="33" t="str">
        <x:v>Law &amp; Order: Special Victims Unit</x:v>
      </x:c>
      <x:c r="E844" s="33" t="str">
        <x:v>Law &amp; Order</x:v>
      </x:c>
      <x:c r="F844" s="33" t="str">
        <x:v>core</x:v>
      </x:c>
      <x:c r="G844" s="50" t="n">
        <x:v>3</x:v>
      </x:c>
      <x:c r="H844" s="50" t="n">
        <x:v>3</x:v>
      </x:c>
      <x:c r="I844" s="44" t="str">
        <x:v>03.03</x:v>
      </x:c>
      <x:c r="J844" s="33" t="str">
        <x:v>Stolen</x:v>
      </x:c>
      <x:c r="K844" s="33" t="str"/>
      <x:c r="L844" s="33" t="str"/>
      <x:c r="M844" s="44" t="str"/>
      <x:c r="N844" s="50" t="n">
        <x:v>43</x:v>
      </x:c>
      <x:c r="O844" s="53" t="str">
        <x:v>The kidnapping of an infant at a grocery store leads to an illegal adoption ring and the long lost closure of a case from 12 years prior of a murdered mother and missing baby which involved Capt. Cragen and his partner, the late Max Greevey.</x:v>
      </x:c>
      <x:c r="P844" s="53" t="str">
        <x:v>Core Law &amp; Order franchise</x:v>
      </x:c>
      <x:c r="Q844" s="17" t="str">
        <x:v>224986</x:v>
      </x:c>
      <x:c r="R844" s="17" t="str">
        <x:v>tt0629740</x:v>
      </x:c>
      <x:c r="S844" s="17" t="str">
        <x:v>484</x:v>
      </x:c>
    </x:row>
    <x:row r="845">
      <x:c r="A845" s="43" t="n">
        <x:v>841</x:v>
      </x:c>
      <x:c r="B845" s="44" t="str">
        <x:v>Not Started</x:v>
      </x:c>
      <x:c r="C845" s="45" t="n">
        <x:v>37178</x:v>
      </x:c>
      <x:c r="D845" s="33" t="str">
        <x:v>Law &amp; Order: Criminal Intent</x:v>
      </x:c>
      <x:c r="E845" s="33" t="str">
        <x:v>Law &amp; Order</x:v>
      </x:c>
      <x:c r="F845" s="33" t="str">
        <x:v>core</x:v>
      </x:c>
      <x:c r="G845" s="50" t="n">
        <x:v>1</x:v>
      </x:c>
      <x:c r="H845" s="50" t="n">
        <x:v>3</x:v>
      </x:c>
      <x:c r="I845" s="44" t="str">
        <x:v>01.03</x:v>
      </x:c>
      <x:c r="J845" s="33" t="str">
        <x:v>Smothered</x:v>
      </x:c>
      <x:c r="K845" s="33" t="str"/>
      <x:c r="L845" s="33" t="str"/>
      <x:c r="M845" s="44" t="str"/>
      <x:c r="N845" s="50" t="n">
        <x:v>44</x:v>
      </x:c>
      <x:c r="O845" s="53" t="str">
        <x:v>After the body of Lois Romney is found in a hotel room, Goren and Eames link her to Dale Van Acker, a junkie and the son of wealthy scion Priscilla Van Acker. Van Acker strongly disapproved of her son's pregnant fiancée, which leads Goren and Eames to suspect she may have wanted to get rid of the girl on a permanent basis.</x:v>
      </x:c>
      <x:c r="P845" s="53" t="str">
        <x:v>Core Law &amp; Order franchise</x:v>
      </x:c>
      <x:c r="Q845" s="17" t="str">
        <x:v>341214</x:v>
      </x:c>
      <x:c r="R845" s="17" t="str">
        <x:v>tt0629577</x:v>
      </x:c>
      <x:c r="S845" s="17" t="str">
        <x:v>485</x:v>
      </x:c>
    </x:row>
    <x:row r="846">
      <x:c r="A846" s="43" t="n">
        <x:v>842</x:v>
      </x:c>
      <x:c r="B846" s="44" t="str">
        <x:v>Not Started</x:v>
      </x:c>
      <x:c r="C846" s="45" t="n">
        <x:v>37181</x:v>
      </x:c>
      <x:c r="D846" s="33" t="str">
        <x:v>Law &amp; Order: Criminal Intent</x:v>
      </x:c>
      <x:c r="E846" s="33" t="str">
        <x:v>Law &amp; Order</x:v>
      </x:c>
      <x:c r="F846" s="33" t="str">
        <x:v>core</x:v>
      </x:c>
      <x:c r="G846" s="50" t="n">
        <x:v>1</x:v>
      </x:c>
      <x:c r="H846" s="50" t="n">
        <x:v>4</x:v>
      </x:c>
      <x:c r="I846" s="44" t="str">
        <x:v>01.04</x:v>
      </x:c>
      <x:c r="J846" s="33" t="str">
        <x:v>The Faithful</x:v>
      </x:c>
      <x:c r="K846" s="33" t="str"/>
      <x:c r="L846" s="33" t="str"/>
      <x:c r="M846" s="44" t="str"/>
      <x:c r="N846" s="50" t="n">
        <x:v>44</x:v>
      </x:c>
      <x:c r="O846" s="53" t="str">
        <x:v>Goren and Eames investigate the death of church sexton Morris Abernathy but soon find their chief suspect, Kevin Donovan, dead in his apartment. After realising that someone performed last rites over Donovan's body, the police realise that a priest was involved in the murder, and are led to a priest who has been desperately trying to keep a twenty-year-old secret hidden. Goren risks the prosecution's case by protecting an innocent third party who could lose everything if their own secret comes out.</x:v>
      </x:c>
      <x:c r="P846" s="53" t="str">
        <x:v>Core Law &amp; Order franchise</x:v>
      </x:c>
      <x:c r="Q846" s="17" t="str">
        <x:v>341215</x:v>
      </x:c>
      <x:c r="R846" s="17" t="str">
        <x:v>tt0629583</x:v>
      </x:c>
      <x:c r="S846" s="17" t="str">
        <x:v>486</x:v>
      </x:c>
    </x:row>
    <x:row r="847">
      <x:c r="A847" s="43" t="n">
        <x:v>843</x:v>
      </x:c>
      <x:c r="B847" s="44" t="str">
        <x:v>Watched</x:v>
      </x:c>
      <x:c r="C847" s="45" t="n">
        <x:v>37183</x:v>
      </x:c>
      <x:c r="D847" s="33" t="str">
        <x:v>Law &amp; Order: Special Victims Unit</x:v>
      </x:c>
      <x:c r="E847" s="33" t="str">
        <x:v>Law &amp; Order</x:v>
      </x:c>
      <x:c r="F847" s="33" t="str">
        <x:v>core</x:v>
      </x:c>
      <x:c r="G847" s="50" t="n">
        <x:v>3</x:v>
      </x:c>
      <x:c r="H847" s="50" t="n">
        <x:v>4</x:v>
      </x:c>
      <x:c r="I847" s="44" t="str">
        <x:v>03.04</x:v>
      </x:c>
      <x:c r="J847" s="33" t="str">
        <x:v>Rooftop</x:v>
      </x:c>
      <x:c r="K847" s="33" t="str"/>
      <x:c r="L847" s="33" t="str"/>
      <x:c r="M847" s="44" t="str"/>
      <x:c r="N847" s="50" t="n">
        <x:v>44</x:v>
      </x:c>
      <x:c r="O847" s="53" t="str">
        <x:v>When an HIV-positive male, with a record of assaulting underage girls, is discovered in a sexual clincher with a young woman on a rooftop, the detectives are determined to put him back inside. After a series of rapes and murders of young African-American women cannot be traced to him though, they begin to wonder if they've been looking at the wrong suspect.</x:v>
      </x:c>
      <x:c r="P847" s="53" t="str">
        <x:v>Core Law &amp; Order franchise</x:v>
      </x:c>
      <x:c r="Q847" s="17" t="str">
        <x:v>224987</x:v>
      </x:c>
      <x:c r="R847" s="17" t="str">
        <x:v>tt0629722</x:v>
      </x:c>
      <x:c r="S847" s="17" t="str">
        <x:v>487</x:v>
      </x:c>
    </x:row>
    <x:row r="848">
      <x:c r="A848" s="43" t="n">
        <x:v>844</x:v>
      </x:c>
      <x:c r="B848" s="44" t="str">
        <x:v>Not Started</x:v>
      </x:c>
      <x:c r="C848" s="45" t="n">
        <x:v>37185</x:v>
      </x:c>
      <x:c r="D848" s="33" t="str">
        <x:v>Law &amp; Order: Criminal Intent</x:v>
      </x:c>
      <x:c r="E848" s="33" t="str">
        <x:v>Law &amp; Order</x:v>
      </x:c>
      <x:c r="F848" s="33" t="str">
        <x:v>core</x:v>
      </x:c>
      <x:c r="G848" s="50" t="n">
        <x:v>1</x:v>
      </x:c>
      <x:c r="H848" s="50" t="n">
        <x:v>5</x:v>
      </x:c>
      <x:c r="I848" s="44" t="str">
        <x:v>01.05</x:v>
      </x:c>
      <x:c r="J848" s="33" t="str">
        <x:v>Jones</x:v>
      </x:c>
      <x:c r="K848" s="33" t="str"/>
      <x:c r="L848" s="33" t="str"/>
      <x:c r="M848" s="44" t="str"/>
      <x:c r="N848" s="50" t="n">
        <x:v>44</x:v>
      </x:c>
      <x:c r="O848" s="53" t="str">
        <x:v>The detectives become suspicious when an abusive lawyer's girlfriends keep turning up dead, but his wife stonewalls the investigation.</x:v>
      </x:c>
      <x:c r="P848" s="53" t="str">
        <x:v>Core Law &amp; Order franchise</x:v>
      </x:c>
      <x:c r="Q848" s="17" t="str">
        <x:v>341216</x:v>
      </x:c>
      <x:c r="R848" s="17" t="str">
        <x:v>tt0629547</x:v>
      </x:c>
      <x:c r="S848" s="17" t="str">
        <x:v>488</x:v>
      </x:c>
    </x:row>
    <x:row r="849">
      <x:c r="A849" s="43" t="n">
        <x:v>845</x:v>
      </x:c>
      <x:c r="B849" s="44" t="str">
        <x:v>Not Started</x:v>
      </x:c>
      <x:c r="C849" s="45" t="n">
        <x:v>37188</x:v>
      </x:c>
      <x:c r="D849" s="33" t="str">
        <x:v>Law &amp; Order</x:v>
      </x:c>
      <x:c r="E849" s="33" t="str">
        <x:v>Law &amp; Order</x:v>
      </x:c>
      <x:c r="F849" s="33" t="str">
        <x:v>core</x:v>
      </x:c>
      <x:c r="G849" s="50" t="n">
        <x:v>12</x:v>
      </x:c>
      <x:c r="H849" s="50" t="n">
        <x:v>4</x:v>
      </x:c>
      <x:c r="I849" s="44" t="str">
        <x:v>12.04</x:v>
      </x:c>
      <x:c r="J849" s="33" t="str">
        <x:v>Soldier of Fortune</x:v>
      </x:c>
      <x:c r="K849" s="33" t="str"/>
      <x:c r="L849" s="33" t="str"/>
      <x:c r="M849" s="44" t="str"/>
      <x:c r="N849" s="50" t="n">
        <x:v>45</x:v>
      </x:c>
      <x:c r="O849" s="53" t="str">
        <x:v>The daring daylight kidnapping of a diamond dealer which results in two murders at the scene uncovers an international dynasty of diamond sales and its links to a foreign civil war.</x:v>
      </x:c>
      <x:c r="P849" s="53" t="str">
        <x:v>Core Law &amp; Order franchise</x:v>
      </x:c>
      <x:c r="Q849" s="17" t="str">
        <x:v>34311</x:v>
      </x:c>
      <x:c r="R849" s="17" t="str">
        <x:v>tt0629430</x:v>
      </x:c>
      <x:c r="S849" s="17" t="str">
        <x:v>489</x:v>
      </x:c>
    </x:row>
    <x:row r="850">
      <x:c r="A850" s="43" t="n">
        <x:v>846</x:v>
      </x:c>
      <x:c r="B850" s="44" t="str">
        <x:v>Watched</x:v>
      </x:c>
      <x:c r="C850" s="45" t="n">
        <x:v>37190</x:v>
      </x:c>
      <x:c r="D850" s="33" t="str">
        <x:v>Law &amp; Order: Special Victims Unit</x:v>
      </x:c>
      <x:c r="E850" s="33" t="str">
        <x:v>Law &amp; Order</x:v>
      </x:c>
      <x:c r="F850" s="33" t="str">
        <x:v>core</x:v>
      </x:c>
      <x:c r="G850" s="50" t="n">
        <x:v>3</x:v>
      </x:c>
      <x:c r="H850" s="50" t="n">
        <x:v>5</x:v>
      </x:c>
      <x:c r="I850" s="44" t="str">
        <x:v>03.05</x:v>
      </x:c>
      <x:c r="J850" s="33" t="str">
        <x:v>Tangled</x:v>
      </x:c>
      <x:c r="K850" s="33" t="str"/>
      <x:c r="L850" s="33" t="str"/>
      <x:c r="M850" s="44" t="str"/>
      <x:c r="N850" s="50" t="n">
        <x:v>44</x:v>
      </x:c>
      <x:c r="O850" s="53" t="str">
        <x:v>When arriving party guests find a prominent doctor beaten to death and his wife raped, the detectives have a parade of suspects and the realization that the wife was the intended victim.</x:v>
      </x:c>
      <x:c r="P850" s="53" t="str">
        <x:v>Core Law &amp; Order franchise</x:v>
      </x:c>
      <x:c r="Q850" s="17" t="str">
        <x:v>224988</x:v>
      </x:c>
      <x:c r="R850" s="17" t="str">
        <x:v>tt0629746</x:v>
      </x:c>
      <x:c r="S850" s="17" t="str">
        <x:v>490</x:v>
      </x:c>
    </x:row>
    <x:row r="851">
      <x:c r="A851" s="43" t="n">
        <x:v>847</x:v>
      </x:c>
      <x:c r="B851" s="44" t="str">
        <x:v>Not Started</x:v>
      </x:c>
      <x:c r="C851" s="45" t="n">
        <x:v>37192</x:v>
      </x:c>
      <x:c r="D851" s="33" t="str">
        <x:v>Law &amp; Order: Criminal Intent</x:v>
      </x:c>
      <x:c r="E851" s="33" t="str">
        <x:v>Law &amp; Order</x:v>
      </x:c>
      <x:c r="F851" s="33" t="str">
        <x:v>core</x:v>
      </x:c>
      <x:c r="G851" s="50" t="n">
        <x:v>1</x:v>
      </x:c>
      <x:c r="H851" s="50" t="n">
        <x:v>6</x:v>
      </x:c>
      <x:c r="I851" s="44" t="str">
        <x:v>01.06</x:v>
      </x:c>
      <x:c r="J851" s="33" t="str">
        <x:v>The Extra Man</x:v>
      </x:c>
      <x:c r="K851" s="33" t="str"/>
      <x:c r="L851" s="33" t="str"/>
      <x:c r="M851" s="44" t="str"/>
      <x:c r="N851" s="50" t="n">
        <x:v>44</x:v>
      </x:c>
      <x:c r="O851" s="53" t="str">
        <x:v>When a European con man is found beaten to death, the detectives look for the investors he swindled, learning quickly that the man also had relations with their wives.</x:v>
      </x:c>
      <x:c r="P851" s="53" t="str">
        <x:v>Core Law &amp; Order franchise</x:v>
      </x:c>
      <x:c r="Q851" s="17" t="str">
        <x:v>341217</x:v>
      </x:c>
      <x:c r="R851" s="17" t="str">
        <x:v>tt0629582</x:v>
      </x:c>
      <x:c r="S851" s="17" t="str">
        <x:v>491</x:v>
      </x:c>
    </x:row>
    <x:row r="852">
      <x:c r="A852" s="43" t="n">
        <x:v>848</x:v>
      </x:c>
      <x:c r="B852" s="44" t="str">
        <x:v>Not Started</x:v>
      </x:c>
      <x:c r="C852" s="45" t="n">
        <x:v>37195</x:v>
      </x:c>
      <x:c r="D852" s="33" t="str">
        <x:v>Law &amp; Order</x:v>
      </x:c>
      <x:c r="E852" s="33" t="str">
        <x:v>Law &amp; Order</x:v>
      </x:c>
      <x:c r="F852" s="33" t="str">
        <x:v>core</x:v>
      </x:c>
      <x:c r="G852" s="50" t="n">
        <x:v>12</x:v>
      </x:c>
      <x:c r="H852" s="50" t="n">
        <x:v>5</x:v>
      </x:c>
      <x:c r="I852" s="44" t="str">
        <x:v>12.05</x:v>
      </x:c>
      <x:c r="J852" s="33" t="str">
        <x:v>Possession</x:v>
      </x:c>
      <x:c r="K852" s="33" t="str"/>
      <x:c r="L852" s="33" t="str"/>
      <x:c r="M852" s="44" t="str"/>
      <x:c r="N852" s="50" t="n">
        <x:v>45</x:v>
      </x:c>
      <x:c r="O852" s="53" t="str">
        <x:v>Investigating the murder of a woman in a rent-controlled apartment, the detectives discover that she was engaged in a long-running battle with her landlord and had been blocking the potentially lucrative sale of the building.</x:v>
      </x:c>
      <x:c r="P852" s="53" t="str">
        <x:v>Core Law &amp; Order franchise</x:v>
      </x:c>
      <x:c r="Q852" s="17" t="str">
        <x:v>34312</x:v>
      </x:c>
      <x:c r="R852" s="17" t="str">
        <x:v>tt0629377</x:v>
      </x:c>
      <x:c r="S852" s="17" t="str">
        <x:v>492</x:v>
      </x:c>
    </x:row>
    <x:row r="853">
      <x:c r="A853" s="43" t="n">
        <x:v>849</x:v>
      </x:c>
      <x:c r="B853" s="44" t="str">
        <x:v>Watched</x:v>
      </x:c>
      <x:c r="C853" s="45" t="n">
        <x:v>37197</x:v>
      </x:c>
      <x:c r="D853" s="33" t="str">
        <x:v>Law &amp; Order: Special Victims Unit</x:v>
      </x:c>
      <x:c r="E853" s="33" t="str">
        <x:v>Law &amp; Order</x:v>
      </x:c>
      <x:c r="F853" s="33" t="str">
        <x:v>core</x:v>
      </x:c>
      <x:c r="G853" s="50" t="n">
        <x:v>3</x:v>
      </x:c>
      <x:c r="H853" s="50" t="n">
        <x:v>6</x:v>
      </x:c>
      <x:c r="I853" s="44" t="str">
        <x:v>03.06</x:v>
      </x:c>
      <x:c r="J853" s="33" t="str">
        <x:v>Redemption</x:v>
      </x:c>
      <x:c r="K853" s="33" t="str"/>
      <x:c r="L853" s="33" t="str"/>
      <x:c r="M853" s="44" t="str"/>
      <x:c r="N853" s="50" t="n">
        <x:v>44</x:v>
      </x:c>
      <x:c r="O853" s="53" t="str">
        <x:v>A string of murders leads detectives to question an initial suspect, the Soho Strangler, but they realize he might have been the wrong person all along.</x:v>
      </x:c>
      <x:c r="P853" s="53" t="str">
        <x:v>Core Law &amp; Order franchise</x:v>
      </x:c>
      <x:c r="Q853" s="17" t="str">
        <x:v>224989</x:v>
      </x:c>
      <x:c r="R853" s="17" t="str">
        <x:v>tt0629713</x:v>
      </x:c>
      <x:c r="S853" s="17" t="str">
        <x:v>493</x:v>
      </x:c>
    </x:row>
    <x:row r="854">
      <x:c r="A854" s="43" t="n">
        <x:v>850</x:v>
      </x:c>
      <x:c r="B854" s="44" t="str">
        <x:v>Not Started</x:v>
      </x:c>
      <x:c r="C854" s="45" t="n">
        <x:v>37202</x:v>
      </x:c>
      <x:c r="D854" s="33" t="str">
        <x:v>Law &amp; Order</x:v>
      </x:c>
      <x:c r="E854" s="33" t="str">
        <x:v>Law &amp; Order</x:v>
      </x:c>
      <x:c r="F854" s="33" t="str">
        <x:v>core</x:v>
      </x:c>
      <x:c r="G854" s="50" t="n">
        <x:v>12</x:v>
      </x:c>
      <x:c r="H854" s="50" t="n">
        <x:v>6</x:v>
      </x:c>
      <x:c r="I854" s="44" t="str">
        <x:v>12.06</x:v>
      </x:c>
      <x:c r="J854" s="33" t="str">
        <x:v>Formerly Famous</x:v>
      </x:c>
      <x:c r="K854" s="33" t="str"/>
      <x:c r="L854" s="33" t="str"/>
      <x:c r="M854" s="44" t="str"/>
      <x:c r="N854" s="50" t="n">
        <x:v>45</x:v>
      </x:c>
      <x:c r="O854" s="53" t="str">
        <x:v>The shooting death of a former singer's wife leads the detectives to investigate his manager and sons after his explanation of the events surrounding her death have no credibility.</x:v>
      </x:c>
      <x:c r="P854" s="53" t="str">
        <x:v>Core Law &amp; Order franchise</x:v>
      </x:c>
      <x:c r="Q854" s="17" t="str">
        <x:v>34313</x:v>
      </x:c>
      <x:c r="R854" s="17" t="str">
        <x:v>tt0629272</x:v>
      </x:c>
      <x:c r="S854" s="17" t="str">
        <x:v>494</x:v>
      </x:c>
    </x:row>
    <x:row r="855">
      <x:c r="A855" s="43" t="n">
        <x:v>851</x:v>
      </x:c>
      <x:c r="B855" s="44" t="str">
        <x:v>Watched</x:v>
      </x:c>
      <x:c r="C855" s="45" t="n">
        <x:v>37204</x:v>
      </x:c>
      <x:c r="D855" s="33" t="str">
        <x:v>Law &amp; Order: Special Victims Unit</x:v>
      </x:c>
      <x:c r="E855" s="33" t="str">
        <x:v>Law &amp; Order</x:v>
      </x:c>
      <x:c r="F855" s="33" t="str">
        <x:v>core</x:v>
      </x:c>
      <x:c r="G855" s="50" t="n">
        <x:v>3</x:v>
      </x:c>
      <x:c r="H855" s="50" t="n">
        <x:v>7</x:v>
      </x:c>
      <x:c r="I855" s="44" t="str">
        <x:v>03.07</x:v>
      </x:c>
      <x:c r="J855" s="33" t="str">
        <x:v>Sacrifice</x:v>
      </x:c>
      <x:c r="K855" s="33" t="str"/>
      <x:c r="L855" s="33" t="str"/>
      <x:c r="M855" s="44" t="str"/>
      <x:c r="N855" s="50" t="n">
        <x:v>42</x:v>
      </x:c>
      <x:c r="O855" s="53" t="str">
        <x:v>A man, who is shot and raped outside a gay bar, initially doesn't want to cooperate to find his shooter. When he finally does, the investigation leads to his family and turns his life upside down.</x:v>
      </x:c>
      <x:c r="P855" s="53" t="str">
        <x:v>Core Law &amp; Order franchise</x:v>
      </x:c>
      <x:c r="Q855" s="17" t="str">
        <x:v>224990</x:v>
      </x:c>
      <x:c r="R855" s="17" t="str">
        <x:v>tt0629726</x:v>
      </x:c>
      <x:c r="S855" s="17" t="str">
        <x:v>495</x:v>
      </x:c>
    </x:row>
    <x:row r="856">
      <x:c r="A856" s="43" t="n">
        <x:v>852</x:v>
      </x:c>
      <x:c r="B856" s="44" t="str">
        <x:v>Not Started</x:v>
      </x:c>
      <x:c r="C856" s="45" t="n">
        <x:v>37206</x:v>
      </x:c>
      <x:c r="D856" s="33" t="str">
        <x:v>Law &amp; Order: Criminal Intent</x:v>
      </x:c>
      <x:c r="E856" s="33" t="str">
        <x:v>Law &amp; Order</x:v>
      </x:c>
      <x:c r="F856" s="33" t="str">
        <x:v>core</x:v>
      </x:c>
      <x:c r="G856" s="50" t="n">
        <x:v>1</x:v>
      </x:c>
      <x:c r="H856" s="50" t="n">
        <x:v>7</x:v>
      </x:c>
      <x:c r="I856" s="44" t="str">
        <x:v>01.07</x:v>
      </x:c>
      <x:c r="J856" s="33" t="str">
        <x:v>Poison</x:v>
      </x:c>
      <x:c r="K856" s="33" t="str"/>
      <x:c r="L856" s="33" t="str"/>
      <x:c r="M856" s="44" t="str"/>
      <x:c r="N856" s="50" t="n">
        <x:v>44</x:v>
      </x:c>
      <x:c r="O856" s="53" t="str">
        <x:v>The detectives investigate a murderer who poisons hospital victims with cyanide. They suspect a nurse whose profile is typical, but when they discover more murders away from the hospital they have to widen their search.</x:v>
      </x:c>
      <x:c r="P856" s="53" t="str">
        <x:v>Core Law &amp; Order franchise</x:v>
      </x:c>
      <x:c r="Q856" s="17" t="str">
        <x:v>341218</x:v>
      </x:c>
      <x:c r="R856" s="17" t="str">
        <x:v>tt0629560</x:v>
      </x:c>
      <x:c r="S856" s="17" t="str">
        <x:v>496</x:v>
      </x:c>
    </x:row>
    <x:row r="857">
      <x:c r="A857" s="43" t="n">
        <x:v>853</x:v>
      </x:c>
      <x:c r="B857" s="44" t="str">
        <x:v>Not Started</x:v>
      </x:c>
      <x:c r="C857" s="45" t="n">
        <x:v>37209</x:v>
      </x:c>
      <x:c r="D857" s="33" t="str">
        <x:v>Law &amp; Order</x:v>
      </x:c>
      <x:c r="E857" s="33" t="str">
        <x:v>Law &amp; Order</x:v>
      </x:c>
      <x:c r="F857" s="33" t="str">
        <x:v>core</x:v>
      </x:c>
      <x:c r="G857" s="50" t="n">
        <x:v>12</x:v>
      </x:c>
      <x:c r="H857" s="50" t="n">
        <x:v>7</x:v>
      </x:c>
      <x:c r="I857" s="44" t="str">
        <x:v>12.07</x:v>
      </x:c>
      <x:c r="J857" s="33" t="str">
        <x:v>Myth of Fingerprints</x:v>
      </x:c>
      <x:c r="K857" s="33" t="str"/>
      <x:c r="L857" s="33" t="str"/>
      <x:c r="M857" s="44" t="str"/>
      <x:c r="N857" s="50" t="n">
        <x:v>45</x:v>
      </x:c>
      <x:c r="O857" s="53" t="str">
        <x:v>A murder investigation uncovers deliberately faulty forensics in the wrongful conviction of two men 12 years earlier in the case that paved the way for Van Buren's promotion.</x:v>
      </x:c>
      <x:c r="P857" s="53" t="str">
        <x:v>Core Law &amp; Order franchise</x:v>
      </x:c>
      <x:c r="Q857" s="17" t="str">
        <x:v>34314</x:v>
      </x:c>
      <x:c r="R857" s="17" t="str">
        <x:v>tt0629350</x:v>
      </x:c>
      <x:c r="S857" s="17" t="str">
        <x:v>497</x:v>
      </x:c>
    </x:row>
    <x:row r="858">
      <x:c r="A858" s="43" t="n">
        <x:v>854</x:v>
      </x:c>
      <x:c r="B858" s="44" t="str">
        <x:v>Watched</x:v>
      </x:c>
      <x:c r="C858" s="45" t="n">
        <x:v>37211</x:v>
      </x:c>
      <x:c r="D858" s="33" t="str">
        <x:v>Law &amp; Order: Special Victims Unit</x:v>
      </x:c>
      <x:c r="E858" s="33" t="str">
        <x:v>Law &amp; Order</x:v>
      </x:c>
      <x:c r="F858" s="33" t="str">
        <x:v>core</x:v>
      </x:c>
      <x:c r="G858" s="50" t="n">
        <x:v>3</x:v>
      </x:c>
      <x:c r="H858" s="50" t="n">
        <x:v>8</x:v>
      </x:c>
      <x:c r="I858" s="44" t="str">
        <x:v>03.08</x:v>
      </x:c>
      <x:c r="J858" s="33" t="str">
        <x:v>Inheritance</x:v>
      </x:c>
      <x:c r="K858" s="33" t="str"/>
      <x:c r="L858" s="33" t="str"/>
      <x:c r="M858" s="44" t="str"/>
      <x:c r="N858" s="50" t="n">
        <x:v>43</x:v>
      </x:c>
      <x:c r="O858" s="53" t="str">
        <x:v>A series of brutal rapes and attacks on Asian women lead the police to a suspect who was himself a product of rape - his father being a rapist who was convicted. The question is brought to court of whether his genetic make-up was responsible for the crimes.</x:v>
      </x:c>
      <x:c r="P858" s="53" t="str">
        <x:v>Core Law &amp; Order franchise</x:v>
      </x:c>
      <x:c r="Q858" s="17" t="str">
        <x:v>224991</x:v>
      </x:c>
      <x:c r="R858" s="17" t="str">
        <x:v>tt0629672</x:v>
      </x:c>
      <x:c r="S858" s="17" t="str">
        <x:v>498</x:v>
      </x:c>
    </x:row>
    <x:row r="859">
      <x:c r="A859" s="43" t="n">
        <x:v>855</x:v>
      </x:c>
      <x:c r="B859" s="44" t="str">
        <x:v>Not Started</x:v>
      </x:c>
      <x:c r="C859" s="45" t="n">
        <x:v>37213</x:v>
      </x:c>
      <x:c r="D859" s="33" t="str">
        <x:v>Law &amp; Order: Criminal Intent</x:v>
      </x:c>
      <x:c r="E859" s="33" t="str">
        <x:v>Law &amp; Order</x:v>
      </x:c>
      <x:c r="F859" s="33" t="str">
        <x:v>core</x:v>
      </x:c>
      <x:c r="G859" s="50" t="n">
        <x:v>1</x:v>
      </x:c>
      <x:c r="H859" s="50" t="n">
        <x:v>8</x:v>
      </x:c>
      <x:c r="I859" s="44" t="str">
        <x:v>01.08</x:v>
      </x:c>
      <x:c r="J859" s="33" t="str">
        <x:v>The Pardoner's Tale</x:v>
      </x:c>
      <x:c r="K859" s="33" t="str"/>
      <x:c r="L859" s="33" t="str"/>
      <x:c r="M859" s="44" t="str"/>
      <x:c r="N859" s="50" t="n">
        <x:v>44</x:v>
      </x:c>
      <x:c r="O859" s="53" t="str">
        <x:v>The deaths of a reporter and his fiancée, gunned down on orders, leads the detectives to investigate political bribery involving the governor's office, which Deakins isn't pleased with.</x:v>
      </x:c>
      <x:c r="P859" s="53" t="str">
        <x:v>Core Law &amp; Order franchise</x:v>
      </x:c>
      <x:c r="Q859" s="17" t="str">
        <x:v>341219</x:v>
      </x:c>
      <x:c r="R859" s="17" t="str">
        <x:v>tt0629588</x:v>
      </x:c>
      <x:c r="S859" s="17" t="str">
        <x:v>499</x:v>
      </x:c>
    </x:row>
    <x:row r="860">
      <x:c r="A860" s="43" t="n">
        <x:v>856</x:v>
      </x:c>
      <x:c r="B860" s="44" t="str">
        <x:v>Not Started</x:v>
      </x:c>
      <x:c r="C860" s="45" t="n">
        <x:v>37216</x:v>
      </x:c>
      <x:c r="D860" s="33" t="str">
        <x:v>Law &amp; Order</x:v>
      </x:c>
      <x:c r="E860" s="33" t="str">
        <x:v>Law &amp; Order</x:v>
      </x:c>
      <x:c r="F860" s="33" t="str">
        <x:v>core</x:v>
      </x:c>
      <x:c r="G860" s="50" t="n">
        <x:v>12</x:v>
      </x:c>
      <x:c r="H860" s="50" t="n">
        <x:v>8</x:v>
      </x:c>
      <x:c r="I860" s="44" t="str">
        <x:v>12.08</x:v>
      </x:c>
      <x:c r="J860" s="33" t="str">
        <x:v>The Fire This Time</x:v>
      </x:c>
      <x:c r="K860" s="33" t="str"/>
      <x:c r="L860" s="33" t="str"/>
      <x:c r="M860" s="44" t="str"/>
      <x:c r="N860" s="50" t="n">
        <x:v>45</x:v>
      </x:c>
      <x:c r="O860" s="53" t="str">
        <x:v>When a building is set ablaze, a girl must be identified despite her fatal burns. Through further investigation, it turns out that an extreme environmentalist group struck the match...</x:v>
      </x:c>
      <x:c r="P860" s="53" t="str">
        <x:v>Core Law &amp; Order franchise</x:v>
      </x:c>
      <x:c r="Q860" s="17" t="str">
        <x:v>34315</x:v>
      </x:c>
      <x:c r="R860" s="17" t="str">
        <x:v>tt0629456</x:v>
      </x:c>
      <x:c r="S860" s="17" t="str">
        <x:v>500</x:v>
      </x:c>
    </x:row>
    <x:row r="861">
      <x:c r="A861" s="43" t="n">
        <x:v>857</x:v>
      </x:c>
      <x:c r="B861" s="44" t="str">
        <x:v>Watched</x:v>
      </x:c>
      <x:c r="C861" s="45" t="n">
        <x:v>37218</x:v>
      </x:c>
      <x:c r="D861" s="33" t="str">
        <x:v>Law &amp; Order: Special Victims Unit</x:v>
      </x:c>
      <x:c r="E861" s="33" t="str">
        <x:v>Law &amp; Order</x:v>
      </x:c>
      <x:c r="F861" s="33" t="str">
        <x:v>core</x:v>
      </x:c>
      <x:c r="G861" s="50" t="n">
        <x:v>3</x:v>
      </x:c>
      <x:c r="H861" s="50" t="n">
        <x:v>9</x:v>
      </x:c>
      <x:c r="I861" s="44" t="str">
        <x:v>03.09</x:v>
      </x:c>
      <x:c r="J861" s="33" t="str">
        <x:v>Care</x:v>
      </x:c>
      <x:c r="K861" s="33" t="str"/>
      <x:c r="L861" s="33" t="str"/>
      <x:c r="M861" s="44" t="str"/>
      <x:c r="N861" s="50" t="n">
        <x:v>43</x:v>
      </x:c>
      <x:c r="O861" s="53" t="str">
        <x:v>The battered body of a five-year-old girl in foster care is discovered and suspicion soon turns to members of the girl's foster family as well as to the girl's biological mother; who is the real guilty party and who is only a red herring?</x:v>
      </x:c>
      <x:c r="P861" s="53" t="str">
        <x:v>Core Law &amp; Order franchise</x:v>
      </x:c>
      <x:c r="Q861" s="17" t="str">
        <x:v>224992</x:v>
      </x:c>
      <x:c r="R861" s="17" t="str">
        <x:v>tt0629620</x:v>
      </x:c>
      <x:c r="S861" s="17" t="str">
        <x:v>501</x:v>
      </x:c>
    </x:row>
    <x:row r="862">
      <x:c r="A862" s="43" t="n">
        <x:v>858</x:v>
      </x:c>
      <x:c r="B862" s="44" t="str">
        <x:v>Not Started</x:v>
      </x:c>
      <x:c r="C862" s="45" t="n">
        <x:v>37220</x:v>
      </x:c>
      <x:c r="D862" s="33" t="str">
        <x:v>Law &amp; Order: Criminal Intent</x:v>
      </x:c>
      <x:c r="E862" s="33" t="str">
        <x:v>Law &amp; Order</x:v>
      </x:c>
      <x:c r="F862" s="33" t="str">
        <x:v>core</x:v>
      </x:c>
      <x:c r="G862" s="50" t="n">
        <x:v>1</x:v>
      </x:c>
      <x:c r="H862" s="50" t="n">
        <x:v>9</x:v>
      </x:c>
      <x:c r="I862" s="44" t="str">
        <x:v>01.09</x:v>
      </x:c>
      <x:c r="J862" s="33" t="str">
        <x:v>The Good Doctor</x:v>
      </x:c>
      <x:c r="K862" s="33" t="str"/>
      <x:c r="L862" s="33" t="str"/>
      <x:c r="M862" s="44" t="str"/>
      <x:c r="N862" s="50" t="n">
        <x:v>44</x:v>
      </x:c>
      <x:c r="O862" s="53" t="str">
        <x:v>A plastic surgeon reports his drug-abusing wife missing, and ends up being the prime suspect after detectives learn he had good reason to want her out of his life.</x:v>
      </x:c>
      <x:c r="P862" s="53" t="str">
        <x:v>Core Law &amp; Order franchise</x:v>
      </x:c>
      <x:c r="Q862" s="17" t="str">
        <x:v>341220</x:v>
      </x:c>
      <x:c r="R862" s="17" t="str">
        <x:v>tt0629586</x:v>
      </x:c>
      <x:c r="S862" s="17" t="str">
        <x:v>502</x:v>
      </x:c>
    </x:row>
    <x:row r="863">
      <x:c r="A863" s="43" t="n">
        <x:v>859</x:v>
      </x:c>
      <x:c r="B863" s="44" t="str">
        <x:v>Not Started</x:v>
      </x:c>
      <x:c r="C863" s="45" t="n">
        <x:v>37223</x:v>
      </x:c>
      <x:c r="D863" s="33" t="str">
        <x:v>Law &amp; Order</x:v>
      </x:c>
      <x:c r="E863" s="33" t="str">
        <x:v>Law &amp; Order</x:v>
      </x:c>
      <x:c r="F863" s="33" t="str">
        <x:v>core</x:v>
      </x:c>
      <x:c r="G863" s="50" t="n">
        <x:v>12</x:v>
      </x:c>
      <x:c r="H863" s="50" t="n">
        <x:v>9</x:v>
      </x:c>
      <x:c r="I863" s="44" t="str">
        <x:v>12.09</x:v>
      </x:c>
      <x:c r="J863" s="33" t="str">
        <x:v>3 Dawg Night</x:v>
      </x:c>
      <x:c r="K863" s="33" t="str"/>
      <x:c r="L863" s="33" t="str"/>
      <x:c r="M863" s="44" t="str"/>
      <x:c r="N863" s="50" t="n">
        <x:v>45</x:v>
      </x:c>
      <x:c r="O863" s="53" t="str">
        <x:v>When a celebrity is implicated in a nightclub murder, McCoy and Southerlyn battle the flaks who attempt to insulate their client from any involvement or interrogation.</x:v>
      </x:c>
      <x:c r="P863" s="53" t="str">
        <x:v>Core Law &amp; Order franchise</x:v>
      </x:c>
      <x:c r="Q863" s="17" t="str">
        <x:v>34316</x:v>
      </x:c>
      <x:c r="R863" s="17" t="str">
        <x:v>tt0629139</x:v>
      </x:c>
      <x:c r="S863" s="17" t="str">
        <x:v>503</x:v>
      </x:c>
    </x:row>
    <x:row r="864">
      <x:c r="A864" s="43" t="n">
        <x:v>860</x:v>
      </x:c>
      <x:c r="B864" s="44" t="str">
        <x:v>Not Started</x:v>
      </x:c>
      <x:c r="C864" s="45" t="n">
        <x:v>37234</x:v>
      </x:c>
      <x:c r="D864" s="33" t="str">
        <x:v>Law &amp; Order: Criminal Intent</x:v>
      </x:c>
      <x:c r="E864" s="33" t="str">
        <x:v>Law &amp; Order</x:v>
      </x:c>
      <x:c r="F864" s="33" t="str">
        <x:v>core</x:v>
      </x:c>
      <x:c r="G864" s="50" t="n">
        <x:v>1</x:v>
      </x:c>
      <x:c r="H864" s="50" t="n">
        <x:v>10</x:v>
      </x:c>
      <x:c r="I864" s="44" t="str">
        <x:v>01.10</x:v>
      </x:c>
      <x:c r="J864" s="33" t="str">
        <x:v>Enemy Within</x:v>
      </x:c>
      <x:c r="K864" s="33" t="str"/>
      <x:c r="L864" s="33" t="str"/>
      <x:c r="M864" s="44" t="str"/>
      <x:c r="N864" s="50" t="n">
        <x:v>44</x:v>
      </x:c>
      <x:c r="O864" s="53" t="str">
        <x:v>The death of an eccentric banker in his nintieth floor apartment leads the detectives to investigate his professional contacts and family members.</x:v>
      </x:c>
      <x:c r="P864" s="53" t="str">
        <x:v>Core Law &amp; Order franchise</x:v>
      </x:c>
      <x:c r="Q864" s="17" t="str">
        <x:v>341221</x:v>
      </x:c>
      <x:c r="R864" s="17" t="str">
        <x:v>tt0629528</x:v>
      </x:c>
      <x:c r="S864" s="17" t="str">
        <x:v>504</x:v>
      </x:c>
    </x:row>
    <x:row r="865">
      <x:c r="A865" s="43" t="n">
        <x:v>861</x:v>
      </x:c>
      <x:c r="B865" s="44" t="str">
        <x:v>Not Started</x:v>
      </x:c>
      <x:c r="C865" s="45" t="n">
        <x:v>37237</x:v>
      </x:c>
      <x:c r="D865" s="33" t="str">
        <x:v>Law &amp; Order</x:v>
      </x:c>
      <x:c r="E865" s="33" t="str">
        <x:v>Law &amp; Order</x:v>
      </x:c>
      <x:c r="F865" s="33" t="str">
        <x:v>core</x:v>
      </x:c>
      <x:c r="G865" s="50" t="n">
        <x:v>12</x:v>
      </x:c>
      <x:c r="H865" s="50" t="n">
        <x:v>10</x:v>
      </x:c>
      <x:c r="I865" s="44" t="str">
        <x:v>12.10</x:v>
      </x:c>
      <x:c r="J865" s="33" t="str">
        <x:v>Prejudice</x:v>
      </x:c>
      <x:c r="K865" s="33" t="str"/>
      <x:c r="L865" s="33" t="str"/>
      <x:c r="M865" s="44" t="str"/>
      <x:c r="N865" s="50" t="n">
        <x:v>45</x:v>
      </x:c>
      <x:c r="O865" s="53" t="str">
        <x:v>The murder of a magazine publishing company's black CEO leads to a suspect who has a clear streak of racism and whose attorney intends on using that as a mental defect.</x:v>
      </x:c>
      <x:c r="P865" s="53" t="str">
        <x:v>Core Law &amp; Order franchise</x:v>
      </x:c>
      <x:c r="Q865" s="17" t="str">
        <x:v>34317</x:v>
      </x:c>
      <x:c r="R865" s="17" t="str">
        <x:v>tt0629379</x:v>
      </x:c>
      <x:c r="S865" s="17" t="str">
        <x:v>505</x:v>
      </x:c>
    </x:row>
    <x:row r="866">
      <x:c r="A866" s="43" t="n">
        <x:v>862</x:v>
      </x:c>
      <x:c r="B866" s="44" t="str">
        <x:v>Watched</x:v>
      </x:c>
      <x:c r="C866" s="45" t="n">
        <x:v>37239</x:v>
      </x:c>
      <x:c r="D866" s="33" t="str">
        <x:v>Law &amp; Order: Special Victims Unit</x:v>
      </x:c>
      <x:c r="E866" s="33" t="str">
        <x:v>Law &amp; Order</x:v>
      </x:c>
      <x:c r="F866" s="33" t="str">
        <x:v>core</x:v>
      </x:c>
      <x:c r="G866" s="50" t="n">
        <x:v>3</x:v>
      </x:c>
      <x:c r="H866" s="50" t="n">
        <x:v>10</x:v>
      </x:c>
      <x:c r="I866" s="44" t="str">
        <x:v>03.10</x:v>
      </x:c>
      <x:c r="J866" s="33" t="str">
        <x:v>Ridicule</x:v>
      </x:c>
      <x:c r="K866" s="33" t="str"/>
      <x:c r="L866" s="33" t="str"/>
      <x:c r="M866" s="44" t="str"/>
      <x:c r="N866" s="50" t="n">
        <x:v>43</x:v>
      </x:c>
      <x:c r="O866" s="53" t="str">
        <x:v>What appears as a bizarre accidental death leads to a case involving a male stripper who claims that the deceased was one of three powerful women who raped him at a bachelorette party.</x:v>
      </x:c>
      <x:c r="P866" s="53" t="str">
        <x:v>Core Law &amp; Order franchise</x:v>
      </x:c>
      <x:c r="Q866" s="17" t="str">
        <x:v>224993</x:v>
      </x:c>
      <x:c r="R866" s="17" t="str">
        <x:v>tt0629717</x:v>
      </x:c>
      <x:c r="S866" s="17" t="str">
        <x:v>506</x:v>
      </x:c>
    </x:row>
    <x:row r="867">
      <x:c r="A867" s="43" t="n">
        <x:v>863</x:v>
      </x:c>
      <x:c r="B867" s="44" t="str">
        <x:v>Watched</x:v>
      </x:c>
      <x:c r="C867" s="45" t="n">
        <x:v>37260</x:v>
      </x:c>
      <x:c r="D867" s="33" t="str">
        <x:v>Law &amp; Order: Special Victims Unit</x:v>
      </x:c>
      <x:c r="E867" s="33" t="str">
        <x:v>Law &amp; Order</x:v>
      </x:c>
      <x:c r="F867" s="33" t="str">
        <x:v>core</x:v>
      </x:c>
      <x:c r="G867" s="50" t="n">
        <x:v>3</x:v>
      </x:c>
      <x:c r="H867" s="50" t="n">
        <x:v>11</x:v>
      </x:c>
      <x:c r="I867" s="44" t="str">
        <x:v>03.11</x:v>
      </x:c>
      <x:c r="J867" s="33" t="str">
        <x:v>Monogamy</x:v>
      </x:c>
      <x:c r="K867" s="33" t="str"/>
      <x:c r="L867" s="33" t="str"/>
      <x:c r="M867" s="44" t="str"/>
      <x:c r="N867" s="50" t="n">
        <x:v>44</x:v>
      </x:c>
      <x:c r="O867" s="53" t="str">
        <x:v>The pregnant wife of a psychiatrist is found in a parking garage, unconscious and bleeding from a gaping abdominal wound with her fetus missing. The investigation leads to infedility and uncertainty as to the paternity, adding fuel to the fire of an already agitated Stabler.</x:v>
      </x:c>
      <x:c r="P867" s="53" t="str">
        <x:v>Core Law &amp; Order franchise</x:v>
      </x:c>
      <x:c r="Q867" s="17" t="str">
        <x:v>224994</x:v>
      </x:c>
      <x:c r="R867" s="17" t="str">
        <x:v>tt0629686</x:v>
      </x:c>
      <x:c r="S867" s="17" t="str">
        <x:v>507</x:v>
      </x:c>
    </x:row>
    <x:row r="868">
      <x:c r="A868" s="43" t="n">
        <x:v>864</x:v>
      </x:c>
      <x:c r="B868" s="44" t="str">
        <x:v>Not Started</x:v>
      </x:c>
      <x:c r="C868" s="45" t="n">
        <x:v>37262</x:v>
      </x:c>
      <x:c r="D868" s="33" t="str">
        <x:v>Law &amp; Order: Criminal Intent</x:v>
      </x:c>
      <x:c r="E868" s="33" t="str">
        <x:v>Law &amp; Order</x:v>
      </x:c>
      <x:c r="F868" s="33" t="str">
        <x:v>core</x:v>
      </x:c>
      <x:c r="G868" s="50" t="n">
        <x:v>1</x:v>
      </x:c>
      <x:c r="H868" s="50" t="n">
        <x:v>11</x:v>
      </x:c>
      <x:c r="I868" s="44" t="str">
        <x:v>01.11</x:v>
      </x:c>
      <x:c r="J868" s="33" t="str">
        <x:v>The Third Horseman</x:v>
      </x:c>
      <x:c r="K868" s="33" t="str"/>
      <x:c r="L868" s="33" t="str"/>
      <x:c r="M868" s="44" t="str"/>
      <x:c r="N868" s="50" t="n">
        <x:v>44</x:v>
      </x:c>
      <x:c r="O868" s="53" t="str">
        <x:v>The killing of an abortion doctor who was shot in his own apartment sends the detectives on a search for the sniper before someone else becomes the next victim. Carver worries that the case will end up being all about abortion rights.</x:v>
      </x:c>
      <x:c r="P868" s="53" t="str">
        <x:v>Core Law &amp; Order franchise</x:v>
      </x:c>
      <x:c r="Q868" s="17" t="str">
        <x:v>341222</x:v>
      </x:c>
      <x:c r="R868" s="17" t="str">
        <x:v>tt0629592</x:v>
      </x:c>
      <x:c r="S868" s="17" t="str">
        <x:v>508</x:v>
      </x:c>
    </x:row>
    <x:row r="869">
      <x:c r="A869" s="43" t="n">
        <x:v>865</x:v>
      </x:c>
      <x:c r="B869" s="44" t="str">
        <x:v>Not Started</x:v>
      </x:c>
      <x:c r="C869" s="45" t="n">
        <x:v>37265</x:v>
      </x:c>
      <x:c r="D869" s="33" t="str">
        <x:v>Law &amp; Order</x:v>
      </x:c>
      <x:c r="E869" s="33" t="str">
        <x:v>Law &amp; Order</x:v>
      </x:c>
      <x:c r="F869" s="33" t="str">
        <x:v>core</x:v>
      </x:c>
      <x:c r="G869" s="50" t="n">
        <x:v>12</x:v>
      </x:c>
      <x:c r="H869" s="50" t="n">
        <x:v>11</x:v>
      </x:c>
      <x:c r="I869" s="44" t="str">
        <x:v>12.11</x:v>
      </x:c>
      <x:c r="J869" s="33" t="str">
        <x:v>The Collar</x:v>
      </x:c>
      <x:c r="K869" s="33" t="str"/>
      <x:c r="L869" s="33" t="str"/>
      <x:c r="M869" s="44" t="str"/>
      <x:c r="N869" s="50" t="n">
        <x:v>45</x:v>
      </x:c>
      <x:c r="O869" s="53" t="str">
        <x:v>The death of a cleric leads the detectives to a priest who was given information by a murder suspect outside of the church but insists that he can't discuss anything about it, bringing McCoy to question whether the confessional seal should apply.</x:v>
      </x:c>
      <x:c r="P869" s="53" t="str">
        <x:v>Core Law &amp; Order franchise</x:v>
      </x:c>
      <x:c r="Q869" s="17" t="str">
        <x:v>34318</x:v>
      </x:c>
      <x:c r="R869" s="17" t="str">
        <x:v>tt0629453</x:v>
      </x:c>
      <x:c r="S869" s="17" t="str">
        <x:v>509</x:v>
      </x:c>
    </x:row>
    <x:row r="870">
      <x:c r="A870" s="43" t="n">
        <x:v>866</x:v>
      </x:c>
      <x:c r="B870" s="44" t="str">
        <x:v>Watched</x:v>
      </x:c>
      <x:c r="C870" s="45" t="n">
        <x:v>37267</x:v>
      </x:c>
      <x:c r="D870" s="33" t="str">
        <x:v>Law &amp; Order: Special Victims Unit</x:v>
      </x:c>
      <x:c r="E870" s="33" t="str">
        <x:v>Law &amp; Order</x:v>
      </x:c>
      <x:c r="F870" s="33" t="str">
        <x:v>core</x:v>
      </x:c>
      <x:c r="G870" s="50" t="n">
        <x:v>3</x:v>
      </x:c>
      <x:c r="H870" s="50" t="n">
        <x:v>12</x:v>
      </x:c>
      <x:c r="I870" s="44" t="str">
        <x:v>03.12</x:v>
      </x:c>
      <x:c r="J870" s="33" t="str">
        <x:v>Protection</x:v>
      </x:c>
      <x:c r="K870" s="33" t="str"/>
      <x:c r="L870" s="33" t="str"/>
      <x:c r="M870" s="44" t="str"/>
      <x:c r="N870" s="50" t="n">
        <x:v>44</x:v>
      </x:c>
      <x:c r="O870" s="53" t="str">
        <x:v>A 6-year-old boy wounded in a shooting is brought to the ER but abandoned by his brother, who reported it, and their mother, who fears for her own life. The case leads the detectives to a woman who is on the run from an abusive drug-dealer boyfriend.</x:v>
      </x:c>
      <x:c r="P870" s="53" t="str">
        <x:v>Core Law &amp; Order franchise</x:v>
      </x:c>
      <x:c r="Q870" s="17" t="str">
        <x:v>224995</x:v>
      </x:c>
      <x:c r="R870" s="17" t="str">
        <x:v>tt0629708</x:v>
      </x:c>
      <x:c r="S870" s="17" t="str">
        <x:v>510</x:v>
      </x:c>
    </x:row>
    <x:row r="871">
      <x:c r="A871" s="43" t="n">
        <x:v>867</x:v>
      </x:c>
      <x:c r="B871" s="44" t="str">
        <x:v>Not Started</x:v>
      </x:c>
      <x:c r="C871" s="45" t="n">
        <x:v>37269</x:v>
      </x:c>
      <x:c r="D871" s="33" t="str">
        <x:v>Law &amp; Order: Criminal Intent</x:v>
      </x:c>
      <x:c r="E871" s="33" t="str">
        <x:v>Law &amp; Order</x:v>
      </x:c>
      <x:c r="F871" s="33" t="str">
        <x:v>core</x:v>
      </x:c>
      <x:c r="G871" s="50" t="n">
        <x:v>1</x:v>
      </x:c>
      <x:c r="H871" s="50" t="n">
        <x:v>12</x:v>
      </x:c>
      <x:c r="I871" s="44" t="str">
        <x:v>01.12</x:v>
      </x:c>
      <x:c r="J871" s="33" t="str">
        <x:v>Crazy</x:v>
      </x:c>
      <x:c r="K871" s="33" t="str"/>
      <x:c r="L871" s="33" t="str"/>
      <x:c r="M871" s="44" t="str"/>
      <x:c r="N871" s="50" t="n">
        <x:v>44</x:v>
      </x:c>
      <x:c r="O871" s="53" t="str">
        <x:v>A psychiatrist who provides expert testimony at criminal trials lays down an insanity defense to hide his obsession for his younger girlfriend after revealing to her that he hired a corrupt detective to murder her brother-in-law at his son's Bar Mitzvah after alleged reports that her niece had been abused by him.</x:v>
      </x:c>
      <x:c r="P871" s="53" t="str">
        <x:v>Core Law &amp; Order franchise</x:v>
      </x:c>
      <x:c r="Q871" s="17" t="str">
        <x:v>341223</x:v>
      </x:c>
      <x:c r="R871" s="17" t="str">
        <x:v>tt0629521</x:v>
      </x:c>
      <x:c r="S871" s="17" t="str">
        <x:v>511</x:v>
      </x:c>
    </x:row>
    <x:row r="872">
      <x:c r="A872" s="43" t="n">
        <x:v>868</x:v>
      </x:c>
      <x:c r="B872" s="44" t="str">
        <x:v>Not Started</x:v>
      </x:c>
      <x:c r="C872" s="45" t="n">
        <x:v>37272</x:v>
      </x:c>
      <x:c r="D872" s="33" t="str">
        <x:v>Law &amp; Order</x:v>
      </x:c>
      <x:c r="E872" s="33" t="str">
        <x:v>Law &amp; Order</x:v>
      </x:c>
      <x:c r="F872" s="33" t="str">
        <x:v>core</x:v>
      </x:c>
      <x:c r="G872" s="50" t="n">
        <x:v>12</x:v>
      </x:c>
      <x:c r="H872" s="50" t="n">
        <x:v>12</x:v>
      </x:c>
      <x:c r="I872" s="44" t="str">
        <x:v>12.12</x:v>
      </x:c>
      <x:c r="J872" s="33" t="str">
        <x:v>Undercovered</x:v>
      </x:c>
      <x:c r="K872" s="33" t="str"/>
      <x:c r="L872" s="33" t="str"/>
      <x:c r="M872" s="44" t="str"/>
      <x:c r="N872" s="50" t="n">
        <x:v>45</x:v>
      </x:c>
      <x:c r="O872" s="53" t="str">
        <x:v>The father of a dying girl gets his revenge on an insurance executive who denied a certain leukemia treatment for his daughter. One problem arises when the father is technically on both sides of the law.</x:v>
      </x:c>
      <x:c r="P872" s="53" t="str">
        <x:v>Core Law &amp; Order franchise</x:v>
      </x:c>
      <x:c r="Q872" s="17" t="str">
        <x:v>34319</x:v>
      </x:c>
      <x:c r="R872" s="17" t="str">
        <x:v>tt0629482</x:v>
      </x:c>
      <x:c r="S872" s="17" t="str">
        <x:v>512</x:v>
      </x:c>
    </x:row>
    <x:row r="873">
      <x:c r="A873" s="43" t="n">
        <x:v>869</x:v>
      </x:c>
      <x:c r="B873" s="44" t="str">
        <x:v>Watched</x:v>
      </x:c>
      <x:c r="C873" s="45" t="n">
        <x:v>37274</x:v>
      </x:c>
      <x:c r="D873" s="33" t="str">
        <x:v>Law &amp; Order: Special Victims Unit</x:v>
      </x:c>
      <x:c r="E873" s="33" t="str">
        <x:v>Law &amp; Order</x:v>
      </x:c>
      <x:c r="F873" s="33" t="str">
        <x:v>core</x:v>
      </x:c>
      <x:c r="G873" s="50" t="n">
        <x:v>3</x:v>
      </x:c>
      <x:c r="H873" s="50" t="n">
        <x:v>13</x:v>
      </x:c>
      <x:c r="I873" s="44" t="str">
        <x:v>03.13</x:v>
      </x:c>
      <x:c r="J873" s="33" t="str">
        <x:v>Prodigy</x:v>
      </x:c>
      <x:c r="K873" s="33" t="str"/>
      <x:c r="L873" s="33" t="str"/>
      <x:c r="M873" s="44" t="str"/>
      <x:c r="N873" s="50" t="n">
        <x:v>43</x:v>
      </x:c>
      <x:c r="O873" s="53" t="str">
        <x:v>Two people are found murdered in the park, including an animal rights activist who has been raped and then decapitated. Benson and Stabler must determine which of their two main suspects -- a sociopathic teenager and a recently paroled rapist -- is responsible for the murder.</x:v>
      </x:c>
      <x:c r="P873" s="53" t="str">
        <x:v>Core Law &amp; Order franchise</x:v>
      </x:c>
      <x:c r="Q873" s="17" t="str">
        <x:v>224996</x:v>
      </x:c>
      <x:c r="R873" s="17" t="str">
        <x:v>tt0629707</x:v>
      </x:c>
      <x:c r="S873" s="17" t="str">
        <x:v>513</x:v>
      </x:c>
    </x:row>
    <x:row r="874">
      <x:c r="A874" s="43" t="n">
        <x:v>870</x:v>
      </x:c>
      <x:c r="B874" s="44" t="str">
        <x:v>Watched</x:v>
      </x:c>
      <x:c r="C874" s="45" t="n">
        <x:v>37281</x:v>
      </x:c>
      <x:c r="D874" s="33" t="str">
        <x:v>Law &amp; Order: Special Victims Unit</x:v>
      </x:c>
      <x:c r="E874" s="33" t="str">
        <x:v>Law &amp; Order</x:v>
      </x:c>
      <x:c r="F874" s="33" t="str">
        <x:v>core</x:v>
      </x:c>
      <x:c r="G874" s="50" t="n">
        <x:v>3</x:v>
      </x:c>
      <x:c r="H874" s="50" t="n">
        <x:v>14</x:v>
      </x:c>
      <x:c r="I874" s="44" t="str">
        <x:v>03.14</x:v>
      </x:c>
      <x:c r="J874" s="33" t="str">
        <x:v>Counterfeit</x:v>
      </x:c>
      <x:c r="K874" s="33" t="str"/>
      <x:c r="L874" s="33" t="str"/>
      <x:c r="M874" s="44" t="str"/>
      <x:c r="N874" s="50" t="n">
        <x:v>44</x:v>
      </x:c>
      <x:c r="O874" s="53" t="str">
        <x:v>A woman is found raped and killed by her car. Then, a similar rape is committed and the victim says that a police officer raped her after pulling her over for a supposed driving violation. This leads police to look at one of their own, until they realize the suspect is not who they think he is.</x:v>
      </x:c>
      <x:c r="P874" s="53" t="str">
        <x:v>Core Law &amp; Order franchise</x:v>
      </x:c>
      <x:c r="Q874" s="17" t="str">
        <x:v>224997</x:v>
      </x:c>
      <x:c r="R874" s="17" t="str">
        <x:v>tt0629636</x:v>
      </x:c>
      <x:c r="S874" s="17" t="str">
        <x:v>514</x:v>
      </x:c>
    </x:row>
    <x:row r="875">
      <x:c r="A875" s="43" t="n">
        <x:v>871</x:v>
      </x:c>
      <x:c r="B875" s="44" t="str">
        <x:v>Not Started</x:v>
      </x:c>
      <x:c r="C875" s="45" t="n">
        <x:v>37283</x:v>
      </x:c>
      <x:c r="D875" s="33" t="str">
        <x:v>Law &amp; Order: Criminal Intent</x:v>
      </x:c>
      <x:c r="E875" s="33" t="str">
        <x:v>Law &amp; Order</x:v>
      </x:c>
      <x:c r="F875" s="33" t="str">
        <x:v>core</x:v>
      </x:c>
      <x:c r="G875" s="50" t="n">
        <x:v>1</x:v>
      </x:c>
      <x:c r="H875" s="50" t="n">
        <x:v>13</x:v>
      </x:c>
      <x:c r="I875" s="44" t="str">
        <x:v>01.13</x:v>
      </x:c>
      <x:c r="J875" s="33" t="str">
        <x:v>The Insider</x:v>
      </x:c>
      <x:c r="K875" s="33" t="str"/>
      <x:c r="L875" s="33" t="str"/>
      <x:c r="M875" s="44" t="str"/>
      <x:c r="N875" s="50" t="n">
        <x:v>44</x:v>
      </x:c>
      <x:c r="O875" s="53" t="str">
        <x:v>When the father of a young woman who has been out all night clubbing is found dead in his boat house, Goren and Eames investigate the mysterious club owner only to realise that he is an undercover FBI agent and that the Bureau will not risk their undercover operation even to stop a killer.</x:v>
      </x:c>
      <x:c r="P875" s="53" t="str">
        <x:v>Core Law &amp; Order franchise</x:v>
      </x:c>
      <x:c r="Q875" s="17" t="str">
        <x:v>341224</x:v>
      </x:c>
      <x:c r="R875" s="17" t="str">
        <x:v>tt0629587</x:v>
      </x:c>
      <x:c r="S875" s="17" t="str">
        <x:v>515</x:v>
      </x:c>
    </x:row>
    <x:row r="876">
      <x:c r="A876" s="43" t="n">
        <x:v>872</x:v>
      </x:c>
      <x:c r="B876" s="44" t="str">
        <x:v>Not Started</x:v>
      </x:c>
      <x:c r="C876" s="45" t="n">
        <x:v>37286</x:v>
      </x:c>
      <x:c r="D876" s="33" t="str">
        <x:v>Law &amp; Order</x:v>
      </x:c>
      <x:c r="E876" s="33" t="str">
        <x:v>Law &amp; Order</x:v>
      </x:c>
      <x:c r="F876" s="33" t="str">
        <x:v>core</x:v>
      </x:c>
      <x:c r="G876" s="50" t="n">
        <x:v>12</x:v>
      </x:c>
      <x:c r="H876" s="50" t="n">
        <x:v>13</x:v>
      </x:c>
      <x:c r="I876" s="44" t="str">
        <x:v>12.13</x:v>
      </x:c>
      <x:c r="J876" s="33" t="str">
        <x:v>DR 1-102</x:v>
      </x:c>
      <x:c r="K876" s="33" t="str"/>
      <x:c r="L876" s="33" t="str"/>
      <x:c r="M876" s="44" t="str"/>
      <x:c r="N876" s="50" t="n">
        <x:v>45</x:v>
      </x:c>
      <x:c r="O876" s="53" t="str">
        <x:v>The bludgeoning of two women in their apartment leads the detectives to a suspect who has taken a hostage while demanding legal representation ... and Southerlyn's actions, while heroic, results in disbarment proceedings against her for violation of Disciplinary Rule 1-102.</x:v>
      </x:c>
      <x:c r="P876" s="53" t="str">
        <x:v>Core Law &amp; Order franchise</x:v>
      </x:c>
      <x:c r="Q876" s="17" t="str">
        <x:v>34320</x:v>
      </x:c>
      <x:c r="R876" s="17" t="str">
        <x:v>tt0629227</x:v>
      </x:c>
      <x:c r="S876" s="17" t="str">
        <x:v>516</x:v>
      </x:c>
    </x:row>
    <x:row r="877">
      <x:c r="A877" s="43" t="n">
        <x:v>873</x:v>
      </x:c>
      <x:c r="B877" s="44" t="str">
        <x:v>Watched</x:v>
      </x:c>
      <x:c r="C877" s="45" t="n">
        <x:v>37288</x:v>
      </x:c>
      <x:c r="D877" s="33" t="str">
        <x:v>Law &amp; Order: Special Victims Unit</x:v>
      </x:c>
      <x:c r="E877" s="33" t="str">
        <x:v>Law &amp; Order</x:v>
      </x:c>
      <x:c r="F877" s="33" t="str">
        <x:v>core</x:v>
      </x:c>
      <x:c r="G877" s="50" t="n">
        <x:v>3</x:v>
      </x:c>
      <x:c r="H877" s="50" t="n">
        <x:v>15</x:v>
      </x:c>
      <x:c r="I877" s="44" t="str">
        <x:v>03.15</x:v>
      </x:c>
      <x:c r="J877" s="33" t="str">
        <x:v>Execution</x:v>
      </x:c>
      <x:c r="K877" s="33" t="str"/>
      <x:c r="L877" s="33" t="str"/>
      <x:c r="M877" s="44" t="str"/>
      <x:c r="N877" s="50" t="n">
        <x:v>42</x:v>
      </x:c>
      <x:c r="O877" s="53" t="str">
        <x:v>Detective Stabler and Dr. Huang question a convicted serial killer on death row, hours before his execution, with the hope of solving an old murder case for the sake of the victim's parents. The investigation goes haywire with mixed results.</x:v>
      </x:c>
      <x:c r="P877" s="53" t="str">
        <x:v>Core Law &amp; Order franchise</x:v>
      </x:c>
      <x:c r="Q877" s="17" t="str">
        <x:v>224998</x:v>
      </x:c>
      <x:c r="R877" s="17" t="str">
        <x:v>tt0629652</x:v>
      </x:c>
      <x:c r="S877" s="17" t="str">
        <x:v>517</x:v>
      </x:c>
    </x:row>
    <x:row r="878">
      <x:c r="A878" s="43" t="n">
        <x:v>874</x:v>
      </x:c>
      <x:c r="B878" s="44" t="str">
        <x:v>Not Started</x:v>
      </x:c>
      <x:c r="C878" s="45" t="n">
        <x:v>37293</x:v>
      </x:c>
      <x:c r="D878" s="33" t="str">
        <x:v>Law &amp; Order</x:v>
      </x:c>
      <x:c r="E878" s="33" t="str">
        <x:v>Law &amp; Order</x:v>
      </x:c>
      <x:c r="F878" s="33" t="str">
        <x:v>core</x:v>
      </x:c>
      <x:c r="G878" s="50" t="n">
        <x:v>12</x:v>
      </x:c>
      <x:c r="H878" s="50" t="n">
        <x:v>14</x:v>
      </x:c>
      <x:c r="I878" s="44" t="str">
        <x:v>12.14</x:v>
      </x:c>
      <x:c r="J878" s="33" t="str">
        <x:v>Missing</x:v>
      </x:c>
      <x:c r="K878" s="33" t="str"/>
      <x:c r="L878" s="33" t="str"/>
      <x:c r="M878" s="44" t="str"/>
      <x:c r="N878" s="50" t="n">
        <x:v>45</x:v>
      </x:c>
      <x:c r="O878" s="53" t="str">
        <x:v>When a girl's parents frantically search for her, Briscoe and Green see that the girl's belongings were packed up in her apartment. They learn that the girl had been seeing a married man -- her boss. When the boss is brought up on charges, his wife sheds some new evidence.</x:v>
      </x:c>
      <x:c r="P878" s="53" t="str">
        <x:v>Core Law &amp; Order franchise</x:v>
      </x:c>
      <x:c r="Q878" s="17" t="str">
        <x:v>34321</x:v>
      </x:c>
      <x:c r="R878" s="17" t="str">
        <x:v>tt0629344</x:v>
      </x:c>
      <x:c r="S878" s="17" t="str">
        <x:v>518</x:v>
      </x:c>
    </x:row>
    <x:row r="879">
      <x:c r="A879" s="43" t="n">
        <x:v>875</x:v>
      </x:c>
      <x:c r="B879" s="44" t="str">
        <x:v>Not Started</x:v>
      </x:c>
      <x:c r="C879" s="45" t="n">
        <x:v>37314</x:v>
      </x:c>
      <x:c r="D879" s="33" t="str">
        <x:v>Law &amp; Order</x:v>
      </x:c>
      <x:c r="E879" s="33" t="str">
        <x:v>Law &amp; Order</x:v>
      </x:c>
      <x:c r="F879" s="33" t="str">
        <x:v>core</x:v>
      </x:c>
      <x:c r="G879" s="50" t="n">
        <x:v>12</x:v>
      </x:c>
      <x:c r="H879" s="50" t="n">
        <x:v>15</x:v>
      </x:c>
      <x:c r="I879" s="44" t="str">
        <x:v>12.15</x:v>
      </x:c>
      <x:c r="J879" s="33" t="str">
        <x:v>Access Nation</x:v>
      </x:c>
      <x:c r="K879" s="33" t="str"/>
      <x:c r="L879" s="33" t="str"/>
      <x:c r="M879" s="44" t="str"/>
      <x:c r="N879" s="50" t="n">
        <x:v>45</x:v>
      </x:c>
      <x:c r="O879" s="53" t="str">
        <x:v>The murder of a psychologist leads to a case involving a computer company that sells information and their responsibility in shielding their clients' history in order to serve their needs.</x:v>
      </x:c>
      <x:c r="P879" s="53" t="str">
        <x:v>Core Law &amp; Order franchise</x:v>
      </x:c>
      <x:c r="Q879" s="17" t="str">
        <x:v>34322</x:v>
      </x:c>
      <x:c r="R879" s="17" t="str">
        <x:v>tt0629143</x:v>
      </x:c>
      <x:c r="S879" s="17" t="str">
        <x:v>519</x:v>
      </x:c>
    </x:row>
    <x:row r="880">
      <x:c r="A880" s="43" t="n">
        <x:v>876</x:v>
      </x:c>
      <x:c r="B880" s="44" t="str">
        <x:v>Watched</x:v>
      </x:c>
      <x:c r="C880" s="45" t="n">
        <x:v>37316</x:v>
      </x:c>
      <x:c r="D880" s="33" t="str">
        <x:v>Law &amp; Order: Special Victims Unit</x:v>
      </x:c>
      <x:c r="E880" s="33" t="str">
        <x:v>Law &amp; Order</x:v>
      </x:c>
      <x:c r="F880" s="33" t="str">
        <x:v>core</x:v>
      </x:c>
      <x:c r="G880" s="50" t="n">
        <x:v>3</x:v>
      </x:c>
      <x:c r="H880" s="50" t="n">
        <x:v>16</x:v>
      </x:c>
      <x:c r="I880" s="44" t="str">
        <x:v>03.16</x:v>
      </x:c>
      <x:c r="J880" s="33" t="str">
        <x:v>Popular</x:v>
      </x:c>
      <x:c r="K880" s="33" t="str"/>
      <x:c r="L880" s="33" t="str"/>
      <x:c r="M880" s="44" t="str"/>
      <x:c r="N880" s="50" t="n">
        <x:v>43</x:v>
      </x:c>
      <x:c r="O880" s="53" t="str">
        <x:v>Stabler's wife tells him that her friend, a high school nurse, treated a young girl for rape. Despite being advised not to find out further details, Stabler, with help from Benson, crack open the case to disturbing details.</x:v>
      </x:c>
      <x:c r="P880" s="53" t="str">
        <x:v>Core Law &amp; Order franchise</x:v>
      </x:c>
      <x:c r="Q880" s="17" t="str">
        <x:v>224999</x:v>
      </x:c>
      <x:c r="R880" s="17" t="str">
        <x:v>tt0629705</x:v>
      </x:c>
      <x:c r="S880" s="17" t="str">
        <x:v>520</x:v>
      </x:c>
    </x:row>
    <x:row r="881">
      <x:c r="A881" s="43" t="n">
        <x:v>877</x:v>
      </x:c>
      <x:c r="B881" s="44" t="str">
        <x:v>Not Started</x:v>
      </x:c>
      <x:c r="C881" s="45" t="n">
        <x:v>37318</x:v>
      </x:c>
      <x:c r="D881" s="33" t="str">
        <x:v>Law &amp; Order: Criminal Intent</x:v>
      </x:c>
      <x:c r="E881" s="33" t="str">
        <x:v>Law &amp; Order</x:v>
      </x:c>
      <x:c r="F881" s="33" t="str">
        <x:v>core</x:v>
      </x:c>
      <x:c r="G881" s="50" t="n">
        <x:v>1</x:v>
      </x:c>
      <x:c r="H881" s="50" t="n">
        <x:v>14</x:v>
      </x:c>
      <x:c r="I881" s="44" t="str">
        <x:v>01.14</x:v>
      </x:c>
      <x:c r="J881" s="33" t="str">
        <x:v>Homo Homini Lupis</x:v>
      </x:c>
      <x:c r="K881" s="33" t="str"/>
      <x:c r="L881" s="33" t="str"/>
      <x:c r="M881" s="44" t="str"/>
      <x:c r="N881" s="50" t="n">
        <x:v>44</x:v>
      </x:c>
      <x:c r="O881" s="53" t="str">
        <x:v>When an business executive's wife and two daughters are kidnapped for a loanshark because the loan hasn't been paid off, Goren and Eames are frustrated by the man's lack of cooperation, which stymies them further when the man's released daughter proves to have been sexually assaulted.</x:v>
      </x:c>
      <x:c r="P881" s="53" t="str">
        <x:v>Core Law &amp; Order franchise</x:v>
      </x:c>
      <x:c r="Q881" s="17" t="str">
        <x:v>341225</x:v>
      </x:c>
      <x:c r="R881" s="17" t="str">
        <x:v>tt0629541</x:v>
      </x:c>
      <x:c r="S881" s="17" t="str">
        <x:v>521</x:v>
      </x:c>
    </x:row>
    <x:row r="882">
      <x:c r="A882" s="43" t="n">
        <x:v>878</x:v>
      </x:c>
      <x:c r="B882" s="44" t="str">
        <x:v>Not Started</x:v>
      </x:c>
      <x:c r="C882" s="45" t="n">
        <x:v>37321</x:v>
      </x:c>
      <x:c r="D882" s="33" t="str">
        <x:v>Law &amp; Order</x:v>
      </x:c>
      <x:c r="E882" s="33" t="str">
        <x:v>Law &amp; Order</x:v>
      </x:c>
      <x:c r="F882" s="33" t="str">
        <x:v>core</x:v>
      </x:c>
      <x:c r="G882" s="50" t="n">
        <x:v>12</x:v>
      </x:c>
      <x:c r="H882" s="50" t="n">
        <x:v>16</x:v>
      </x:c>
      <x:c r="I882" s="44" t="str">
        <x:v>12.16</x:v>
      </x:c>
      <x:c r="J882" s="33" t="str">
        <x:v>Born Again</x:v>
      </x:c>
      <x:c r="K882" s="33" t="str"/>
      <x:c r="L882" s="33" t="str"/>
      <x:c r="M882" s="44" t="str"/>
      <x:c r="N882" s="50" t="n">
        <x:v>45</x:v>
      </x:c>
      <x:c r="O882" s="53" t="str">
        <x:v>The investigation into the death of an 11-year-old girl uncovers the possible culpability of the child's mother and a rebirthing therapist.</x:v>
      </x:c>
      <x:c r="P882" s="53" t="str">
        <x:v>Core Law &amp; Order franchise</x:v>
      </x:c>
      <x:c r="Q882" s="17" t="str">
        <x:v>34323</x:v>
      </x:c>
      <x:c r="R882" s="17" t="str">
        <x:v>tt0629186</x:v>
      </x:c>
      <x:c r="S882" s="17" t="str">
        <x:v>522</x:v>
      </x:c>
    </x:row>
    <x:row r="883">
      <x:c r="A883" s="43" t="n">
        <x:v>879</x:v>
      </x:c>
      <x:c r="B883" s="44" t="str">
        <x:v>Watched</x:v>
      </x:c>
      <x:c r="C883" s="45" t="n">
        <x:v>37323</x:v>
      </x:c>
      <x:c r="D883" s="33" t="str">
        <x:v>Law &amp; Order: Special Victims Unit</x:v>
      </x:c>
      <x:c r="E883" s="33" t="str">
        <x:v>Law &amp; Order</x:v>
      </x:c>
      <x:c r="F883" s="33" t="str">
        <x:v>core</x:v>
      </x:c>
      <x:c r="G883" s="50" t="n">
        <x:v>3</x:v>
      </x:c>
      <x:c r="H883" s="50" t="n">
        <x:v>17</x:v>
      </x:c>
      <x:c r="I883" s="44" t="str">
        <x:v>03.17</x:v>
      </x:c>
      <x:c r="J883" s="33" t="str">
        <x:v>Surveillance</x:v>
      </x:c>
      <x:c r="K883" s="33" t="str"/>
      <x:c r="L883" s="33" t="str"/>
      <x:c r="M883" s="44" t="str"/>
      <x:c r="N883" s="50" t="n">
        <x:v>43</x:v>
      </x:c>
      <x:c r="O883" s="53" t="str">
        <x:v>An accomplished cellist is raped in her own apartment and the detectives are lead to a stalker who uses surveillance equipment and has been watching her every move.</x:v>
      </x:c>
      <x:c r="P883" s="53" t="str">
        <x:v>Core Law &amp; Order franchise</x:v>
      </x:c>
      <x:c r="Q883" s="17" t="str">
        <x:v>225000</x:v>
      </x:c>
      <x:c r="R883" s="17" t="str">
        <x:v>tt0629743</x:v>
      </x:c>
      <x:c r="S883" s="17" t="str">
        <x:v>523</x:v>
      </x:c>
    </x:row>
    <x:row r="884">
      <x:c r="A884" s="43" t="n">
        <x:v>880</x:v>
      </x:c>
      <x:c r="B884" s="44" t="str">
        <x:v>Not Started</x:v>
      </x:c>
      <x:c r="C884" s="45" t="n">
        <x:v>37325</x:v>
      </x:c>
      <x:c r="D884" s="33" t="str">
        <x:v>Law &amp; Order: Criminal Intent</x:v>
      </x:c>
      <x:c r="E884" s="33" t="str">
        <x:v>Law &amp; Order</x:v>
      </x:c>
      <x:c r="F884" s="33" t="str">
        <x:v>core</x:v>
      </x:c>
      <x:c r="G884" s="50" t="n">
        <x:v>1</x:v>
      </x:c>
      <x:c r="H884" s="50" t="n">
        <x:v>15</x:v>
      </x:c>
      <x:c r="I884" s="44" t="str">
        <x:v>01.15</x:v>
      </x:c>
      <x:c r="J884" s="33" t="str">
        <x:v>Semi-Professional</x:v>
      </x:c>
      <x:c r="K884" s="33" t="str"/>
      <x:c r="L884" s="33" t="str"/>
      <x:c r="M884" s="44" t="str"/>
      <x:c r="N884" s="50" t="n">
        <x:v>44</x:v>
      </x:c>
      <x:c r="O884" s="53" t="str">
        <x:v>The detectives investigate the murder of a judge's clerk, with their attention initially going to the judge himself, who had been having an affair with the young woman.</x:v>
      </x:c>
      <x:c r="P884" s="53" t="str">
        <x:v>Core Law &amp; Order franchise</x:v>
      </x:c>
      <x:c r="Q884" s="17" t="str">
        <x:v>341226</x:v>
      </x:c>
      <x:c r="R884" s="17" t="str">
        <x:v>tt0629570</x:v>
      </x:c>
      <x:c r="S884" s="17" t="str">
        <x:v>524</x:v>
      </x:c>
    </x:row>
    <x:row r="885">
      <x:c r="A885" s="43" t="n">
        <x:v>881</x:v>
      </x:c>
      <x:c r="B885" s="44" t="str">
        <x:v>Not Started</x:v>
      </x:c>
      <x:c r="C885" s="45" t="n">
        <x:v>37332</x:v>
      </x:c>
      <x:c r="D885" s="33" t="str">
        <x:v>Law &amp; Order: Criminal Intent</x:v>
      </x:c>
      <x:c r="E885" s="33" t="str">
        <x:v>Law &amp; Order</x:v>
      </x:c>
      <x:c r="F885" s="33" t="str">
        <x:v>core</x:v>
      </x:c>
      <x:c r="G885" s="50" t="n">
        <x:v>1</x:v>
      </x:c>
      <x:c r="H885" s="50" t="n">
        <x:v>16</x:v>
      </x:c>
      <x:c r="I885" s="44" t="str">
        <x:v>01.16</x:v>
      </x:c>
      <x:c r="J885" s="33" t="str">
        <x:v>Phantom</x:v>
      </x:c>
      <x:c r="K885" s="33" t="str"/>
      <x:c r="L885" s="33" t="str"/>
      <x:c r="M885" s="44" t="str"/>
      <x:c r="N885" s="50" t="n">
        <x:v>44</x:v>
      </x:c>
      <x:c r="O885" s="53" t="str">
        <x:v>The detectives investigate a slain bank robber and check out his sister, who is involved with a bogus United Nations economist. As the detectives close in on the suspect, Goren learns the suspect wants his children's approval and must stop him before any more murders.</x:v>
      </x:c>
      <x:c r="P885" s="53" t="str">
        <x:v>Core Law &amp; Order franchise</x:v>
      </x:c>
      <x:c r="Q885" s="17" t="str">
        <x:v>341227</x:v>
      </x:c>
      <x:c r="R885" s="17" t="str">
        <x:v>tt0629559</x:v>
      </x:c>
      <x:c r="S885" s="17" t="str">
        <x:v>525</x:v>
      </x:c>
    </x:row>
    <x:row r="886">
      <x:c r="A886" s="43" t="n">
        <x:v>882</x:v>
      </x:c>
      <x:c r="B886" s="44" t="str">
        <x:v>Not Started</x:v>
      </x:c>
      <x:c r="C886" s="45" t="n">
        <x:v>37342</x:v>
      </x:c>
      <x:c r="D886" s="33" t="str">
        <x:v>Law &amp; Order</x:v>
      </x:c>
      <x:c r="E886" s="33" t="str">
        <x:v>Law &amp; Order</x:v>
      </x:c>
      <x:c r="F886" s="33" t="str">
        <x:v>core</x:v>
      </x:c>
      <x:c r="G886" s="50" t="n">
        <x:v>12</x:v>
      </x:c>
      <x:c r="H886" s="50" t="n">
        <x:v>17</x:v>
      </x:c>
      <x:c r="I886" s="44" t="str">
        <x:v>12.17</x:v>
      </x:c>
      <x:c r="J886" s="33" t="str">
        <x:v>Girl Most Likely</x:v>
      </x:c>
      <x:c r="K886" s="33" t="str"/>
      <x:c r="L886" s="33" t="str"/>
      <x:c r="M886" s="44" t="str"/>
      <x:c r="N886" s="50" t="n">
        <x:v>45</x:v>
      </x:c>
      <x:c r="O886" s="53" t="str">
        <x:v>When a high school student is found dead in an apartment building, Briscoe and Green suspect that the murder was a result of her running a website. As McCoy and Southerlyn investigate the case further, they realize that her best friend, who was reluctant to come forward as a witness, may be the answer to the murder.</x:v>
      </x:c>
      <x:c r="P886" s="53" t="str">
        <x:v>Core Law &amp; Order franchise</x:v>
      </x:c>
      <x:c r="Q886" s="17" t="str">
        <x:v>34324</x:v>
      </x:c>
      <x:c r="R886" s="17" t="str">
        <x:v>tt0629277</x:v>
      </x:c>
      <x:c r="S886" s="17" t="str">
        <x:v>526</x:v>
      </x:c>
    </x:row>
    <x:row r="887">
      <x:c r="A887" s="43" t="n">
        <x:v>883</x:v>
      </x:c>
      <x:c r="B887" s="44" t="str">
        <x:v>Watched</x:v>
      </x:c>
      <x:c r="C887" s="45" t="n">
        <x:v>37344</x:v>
      </x:c>
      <x:c r="D887" s="33" t="str">
        <x:v>Law &amp; Order: Special Victims Unit</x:v>
      </x:c>
      <x:c r="E887" s="33" t="str">
        <x:v>Law &amp; Order</x:v>
      </x:c>
      <x:c r="F887" s="33" t="str">
        <x:v>core</x:v>
      </x:c>
      <x:c r="G887" s="50" t="n">
        <x:v>3</x:v>
      </x:c>
      <x:c r="H887" s="50" t="n">
        <x:v>18</x:v>
      </x:c>
      <x:c r="I887" s="44" t="str">
        <x:v>03.18</x:v>
      </x:c>
      <x:c r="J887" s="33" t="str">
        <x:v>Guilt</x:v>
      </x:c>
      <x:c r="K887" s="33" t="str"/>
      <x:c r="L887" s="33" t="str"/>
      <x:c r="M887" s="44" t="str"/>
      <x:c r="N887" s="50" t="n">
        <x:v>44</x:v>
      </x:c>
      <x:c r="O887" s="53" t="str">
        <x:v>When A.D.A. Cabot is faced with a reluctant teenage witness in a child molestation case, she goes above and beyond the normal scope of duty in her search for evidence to convict the serial abuser. But her passion supercedes her compliance with the law, jeopardizing not only her case, but the careers of all involved.</x:v>
      </x:c>
      <x:c r="P887" s="53" t="str">
        <x:v>Core Law &amp; Order franchise</x:v>
      </x:c>
      <x:c r="Q887" s="17" t="str">
        <x:v>225001</x:v>
      </x:c>
      <x:c r="R887" s="17" t="str">
        <x:v>tt0629662</x:v>
      </x:c>
      <x:c r="S887" s="17" t="str">
        <x:v>527</x:v>
      </x:c>
    </x:row>
    <x:row r="888">
      <x:c r="A888" s="43" t="n">
        <x:v>884</x:v>
      </x:c>
      <x:c r="B888" s="44" t="str">
        <x:v>Not Started</x:v>
      </x:c>
      <x:c r="C888" s="45" t="n">
        <x:v>37346</x:v>
      </x:c>
      <x:c r="D888" s="33" t="str">
        <x:v>Law &amp; Order: Criminal Intent</x:v>
      </x:c>
      <x:c r="E888" s="33" t="str">
        <x:v>Law &amp; Order</x:v>
      </x:c>
      <x:c r="F888" s="33" t="str">
        <x:v>core</x:v>
      </x:c>
      <x:c r="G888" s="50" t="n">
        <x:v>1</x:v>
      </x:c>
      <x:c r="H888" s="50" t="n">
        <x:v>17</x:v>
      </x:c>
      <x:c r="I888" s="44" t="str">
        <x:v>01.17</x:v>
      </x:c>
      <x:c r="J888" s="33" t="str">
        <x:v>Seizure</x:v>
      </x:c>
      <x:c r="K888" s="33" t="str"/>
      <x:c r="L888" s="33" t="str"/>
      <x:c r="M888" s="44" t="str"/>
      <x:c r="N888" s="50" t="n">
        <x:v>44</x:v>
      </x:c>
      <x:c r="O888" s="53" t="str">
        <x:v>When the body of a bisexual young woman is found slain, Goren and Eames note the similarities between her death and a number of murders committed by a convicted serial killer, turning their attention to a human-behavior researcher.</x:v>
      </x:c>
      <x:c r="P888" s="53" t="str">
        <x:v>Core Law &amp; Order franchise</x:v>
      </x:c>
      <x:c r="Q888" s="17" t="str">
        <x:v>341228</x:v>
      </x:c>
      <x:c r="R888" s="17" t="str">
        <x:v>tt0629568</x:v>
      </x:c>
      <x:c r="S888" s="17" t="str">
        <x:v>528</x:v>
      </x:c>
    </x:row>
    <x:row r="889">
      <x:c r="A889" s="43" t="n">
        <x:v>885</x:v>
      </x:c>
      <x:c r="B889" s="44" t="str">
        <x:v>Not Started</x:v>
      </x:c>
      <x:c r="C889" s="45" t="n">
        <x:v>37349</x:v>
      </x:c>
      <x:c r="D889" s="33" t="str">
        <x:v>Law &amp; Order</x:v>
      </x:c>
      <x:c r="E889" s="33" t="str">
        <x:v>Law &amp; Order</x:v>
      </x:c>
      <x:c r="F889" s="33" t="str">
        <x:v>core</x:v>
      </x:c>
      <x:c r="G889" s="50" t="n">
        <x:v>12</x:v>
      </x:c>
      <x:c r="H889" s="50" t="n">
        <x:v>18</x:v>
      </x:c>
      <x:c r="I889" s="44" t="str">
        <x:v>12.18</x:v>
      </x:c>
      <x:c r="J889" s="33" t="str">
        <x:v>Equal Rights</x:v>
      </x:c>
      <x:c r="K889" s="33" t="str"/>
      <x:c r="L889" s="33" t="str"/>
      <x:c r="M889" s="44" t="str"/>
      <x:c r="N889" s="50" t="n">
        <x:v>45</x:v>
      </x:c>
      <x:c r="O889" s="53" t="str">
        <x:v>A stock analyst's murder leads the detectives to a corporation whose stock had fallen ... and plenty of suspects in the investors.</x:v>
      </x:c>
      <x:c r="P889" s="53" t="str">
        <x:v>Core Law &amp; Order franchise</x:v>
      </x:c>
      <x:c r="Q889" s="17" t="str">
        <x:v>34325</x:v>
      </x:c>
      <x:c r="R889" s="17" t="str">
        <x:v>tt0629254</x:v>
      </x:c>
      <x:c r="S889" s="17" t="str">
        <x:v>529</x:v>
      </x:c>
    </x:row>
    <x:row r="890">
      <x:c r="A890" s="43" t="n">
        <x:v>886</x:v>
      </x:c>
      <x:c r="B890" s="44" t="str">
        <x:v>Watched</x:v>
      </x:c>
      <x:c r="C890" s="45" t="n">
        <x:v>37351</x:v>
      </x:c>
      <x:c r="D890" s="33" t="str">
        <x:v>Law &amp; Order: Special Victims Unit</x:v>
      </x:c>
      <x:c r="E890" s="33" t="str">
        <x:v>Law &amp; Order</x:v>
      </x:c>
      <x:c r="F890" s="33" t="str">
        <x:v>core</x:v>
      </x:c>
      <x:c r="G890" s="50" t="n">
        <x:v>3</x:v>
      </x:c>
      <x:c r="H890" s="50" t="n">
        <x:v>19</x:v>
      </x:c>
      <x:c r="I890" s="44" t="str">
        <x:v>03.19</x:v>
      </x:c>
      <x:c r="J890" s="33" t="str">
        <x:v>Justice</x:v>
      </x:c>
      <x:c r="K890" s="33" t="str"/>
      <x:c r="L890" s="33" t="str"/>
      <x:c r="M890" s="44" t="str"/>
      <x:c r="N890" s="50" t="n">
        <x:v>43</x:v>
      </x:c>
      <x:c r="O890" s="53" t="str">
        <x:v>A rebellious 16-year-old teenager is raped and murdered; the case becomes complex when they learn that her stepfather is a judge with whom she has had major problems.</x:v>
      </x:c>
      <x:c r="P890" s="53" t="str">
        <x:v>Core Law &amp; Order franchise</x:v>
      </x:c>
      <x:c r="Q890" s="17" t="str">
        <x:v>225002</x:v>
      </x:c>
      <x:c r="R890" s="17" t="str">
        <x:v>tt0629674</x:v>
      </x:c>
      <x:c r="S890" s="17" t="str">
        <x:v>530</x:v>
      </x:c>
    </x:row>
    <x:row r="891">
      <x:c r="A891" s="43" t="n">
        <x:v>887</x:v>
      </x:c>
      <x:c r="B891" s="44" t="str">
        <x:v>Not Started</x:v>
      </x:c>
      <x:c r="C891" s="45" t="n">
        <x:v>37356</x:v>
      </x:c>
      <x:c r="D891" s="33" t="str">
        <x:v>Law &amp; Order</x:v>
      </x:c>
      <x:c r="E891" s="33" t="str">
        <x:v>Law &amp; Order</x:v>
      </x:c>
      <x:c r="F891" s="33" t="str">
        <x:v>core</x:v>
      </x:c>
      <x:c r="G891" s="50" t="n">
        <x:v>12</x:v>
      </x:c>
      <x:c r="H891" s="50" t="n">
        <x:v>19</x:v>
      </x:c>
      <x:c r="I891" s="44" t="str">
        <x:v>12.19</x:v>
      </x:c>
      <x:c r="J891" s="33" t="str">
        <x:v>Slaughter</x:v>
      </x:c>
      <x:c r="K891" s="33" t="str"/>
      <x:c r="L891" s="33" t="str"/>
      <x:c r="M891" s="44" t="str"/>
      <x:c r="N891" s="50" t="n">
        <x:v>45</x:v>
      </x:c>
      <x:c r="O891" s="53" t="str">
        <x:v>The investigation of a student's killing leads to a case involving meat contamination at a food service.</x:v>
      </x:c>
      <x:c r="P891" s="53" t="str">
        <x:v>Core Law &amp; Order franchise</x:v>
      </x:c>
      <x:c r="Q891" s="17" t="str">
        <x:v>34326</x:v>
      </x:c>
      <x:c r="R891" s="17" t="str">
        <x:v>tt0629426</x:v>
      </x:c>
      <x:c r="S891" s="17" t="str">
        <x:v>531</x:v>
      </x:c>
    </x:row>
    <x:row r="892">
      <x:c r="A892" s="43" t="n">
        <x:v>888</x:v>
      </x:c>
      <x:c r="B892" s="44" t="str">
        <x:v>Not Started</x:v>
      </x:c>
      <x:c r="C892" s="45" t="n">
        <x:v>37360</x:v>
      </x:c>
      <x:c r="D892" s="33" t="str">
        <x:v>Law &amp; Order: Criminal Intent</x:v>
      </x:c>
      <x:c r="E892" s="33" t="str">
        <x:v>Law &amp; Order</x:v>
      </x:c>
      <x:c r="F892" s="33" t="str">
        <x:v>core</x:v>
      </x:c>
      <x:c r="G892" s="50" t="n">
        <x:v>1</x:v>
      </x:c>
      <x:c r="H892" s="50" t="n">
        <x:v>18</x:v>
      </x:c>
      <x:c r="I892" s="44" t="str">
        <x:v>01.18</x:v>
      </x:c>
      <x:c r="J892" s="33" t="str">
        <x:v>Yesterday</x:v>
      </x:c>
      <x:c r="K892" s="33" t="str"/>
      <x:c r="L892" s="33" t="str"/>
      <x:c r="M892" s="44" t="str"/>
      <x:c r="N892" s="50" t="n">
        <x:v>44</x:v>
      </x:c>
      <x:c r="O892" s="53" t="str">
        <x:v>When the well-preserved body of a woman tortured and murdered twenty years earlier appears on the banks of the Bronx River, chemical residue on the body leads Goren and Eames to the basement of the house in which the body had originally been buried and to the junkie whose parents owned the home. When the junkie ends up murdered as well, their investigation focuses on his college classmate, a man with a history of drugging and sexually assaulting women.</x:v>
      </x:c>
      <x:c r="P892" s="53" t="str">
        <x:v>Core Law &amp; Order franchise</x:v>
      </x:c>
      <x:c r="Q892" s="17" t="str">
        <x:v>341229</x:v>
      </x:c>
      <x:c r="R892" s="17" t="str">
        <x:v>tt0629603</x:v>
      </x:c>
      <x:c r="S892" s="17" t="str">
        <x:v>532</x:v>
      </x:c>
    </x:row>
    <x:row r="893">
      <x:c r="A893" s="43" t="n">
        <x:v>889</x:v>
      </x:c>
      <x:c r="B893" s="44" t="str">
        <x:v>Not Started</x:v>
      </x:c>
      <x:c r="C893" s="45" t="n">
        <x:v>37367</x:v>
      </x:c>
      <x:c r="D893" s="33" t="str">
        <x:v>Law &amp; Order: Criminal Intent</x:v>
      </x:c>
      <x:c r="E893" s="33" t="str">
        <x:v>Law &amp; Order</x:v>
      </x:c>
      <x:c r="F893" s="33" t="str">
        <x:v>core</x:v>
      </x:c>
      <x:c r="G893" s="50" t="n">
        <x:v>1</x:v>
      </x:c>
      <x:c r="H893" s="50" t="n">
        <x:v>19</x:v>
      </x:c>
      <x:c r="I893" s="44" t="str">
        <x:v>01.19</x:v>
      </x:c>
      <x:c r="J893" s="33" t="str">
        <x:v>Maledictus</x:v>
      </x:c>
      <x:c r="K893" s="33" t="str"/>
      <x:c r="L893" s="33" t="str"/>
      <x:c r="M893" s="44" t="str"/>
      <x:c r="N893" s="50" t="n">
        <x:v>44</x:v>
      </x:c>
      <x:c r="O893" s="53" t="str">
        <x:v>Goren and Eames investigate the murder of a Russian mob princess, initially believing she may have been slain in a revenge act against her father, but their attention later turns to a classmate who could be destroyed by the woman's upcoming tell-all book.</x:v>
      </x:c>
      <x:c r="P893" s="53" t="str">
        <x:v>Core Law &amp; Order franchise</x:v>
      </x:c>
      <x:c r="Q893" s="17" t="str">
        <x:v>341230</x:v>
      </x:c>
      <x:c r="R893" s="17" t="str">
        <x:v>tt0629551</x:v>
      </x:c>
      <x:c r="S893" s="17" t="str">
        <x:v>533</x:v>
      </x:c>
    </x:row>
    <x:row r="894">
      <x:c r="A894" s="43" t="n">
        <x:v>890</x:v>
      </x:c>
      <x:c r="B894" s="44" t="str">
        <x:v>Not Started</x:v>
      </x:c>
      <x:c r="C894" s="45" t="n">
        <x:v>37370</x:v>
      </x:c>
      <x:c r="D894" s="33" t="str">
        <x:v>Law &amp; Order</x:v>
      </x:c>
      <x:c r="E894" s="33" t="str">
        <x:v>Law &amp; Order</x:v>
      </x:c>
      <x:c r="F894" s="33" t="str">
        <x:v>core</x:v>
      </x:c>
      <x:c r="G894" s="50" t="n">
        <x:v>12</x:v>
      </x:c>
      <x:c r="H894" s="50" t="n">
        <x:v>20</x:v>
      </x:c>
      <x:c r="I894" s="44" t="str">
        <x:v>12.20</x:v>
      </x:c>
      <x:c r="J894" s="33" t="str">
        <x:v>Dazzled</x:v>
      </x:c>
      <x:c r="K894" s="33" t="str"/>
      <x:c r="L894" s="33" t="str"/>
      <x:c r="M894" s="44" t="str"/>
      <x:c r="N894" s="50" t="n">
        <x:v>45</x:v>
      </x:c>
      <x:c r="O894" s="53" t="str">
        <x:v>A woman is drugged and falls to her death, and the evidence suggests that her ex-boyfriend and her current husband's ex-wife may have conspired to kill her.</x:v>
      </x:c>
      <x:c r="P894" s="53" t="str">
        <x:v>Core Law &amp; Order franchise</x:v>
      </x:c>
      <x:c r="Q894" s="17" t="str">
        <x:v>34327</x:v>
      </x:c>
      <x:c r="R894" s="17" t="str">
        <x:v>tt0629231</x:v>
      </x:c>
      <x:c r="S894" s="17" t="str">
        <x:v>534</x:v>
      </x:c>
    </x:row>
    <x:row r="895">
      <x:c r="A895" s="43" t="n">
        <x:v>891</x:v>
      </x:c>
      <x:c r="B895" s="44" t="str">
        <x:v>Watched</x:v>
      </x:c>
      <x:c r="C895" s="45" t="n">
        <x:v>37372</x:v>
      </x:c>
      <x:c r="D895" s="33" t="str">
        <x:v>Law &amp; Order: Special Victims Unit</x:v>
      </x:c>
      <x:c r="E895" s="33" t="str">
        <x:v>Law &amp; Order</x:v>
      </x:c>
      <x:c r="F895" s="33" t="str">
        <x:v>core</x:v>
      </x:c>
      <x:c r="G895" s="50" t="n">
        <x:v>3</x:v>
      </x:c>
      <x:c r="H895" s="50" t="n">
        <x:v>20</x:v>
      </x:c>
      <x:c r="I895" s="44" t="str">
        <x:v>03.20</x:v>
      </x:c>
      <x:c r="J895" s="33" t="str">
        <x:v>Greed</x:v>
      </x:c>
      <x:c r="K895" s="33" t="str"/>
      <x:c r="L895" s="33" t="str"/>
      <x:c r="M895" s="44" t="str"/>
      <x:c r="N895" s="50" t="n">
        <x:v>44</x:v>
      </x:c>
      <x:c r="O895" s="53" t="str">
        <x:v>Investigating the rape of the wife of a restaurateur during a robbery, leads the detectives to a similar assault, and to a locksmith.</x:v>
      </x:c>
      <x:c r="P895" s="53" t="str">
        <x:v>Core Law &amp; Order franchise</x:v>
      </x:c>
      <x:c r="Q895" s="17" t="str">
        <x:v>225003</x:v>
      </x:c>
      <x:c r="R895" s="17" t="str">
        <x:v>tt0629660</x:v>
      </x:c>
      <x:c r="S895" s="17" t="str">
        <x:v>535</x:v>
      </x:c>
    </x:row>
    <x:row r="896">
      <x:c r="A896" s="43" t="n">
        <x:v>892</x:v>
      </x:c>
      <x:c r="B896" s="44" t="str">
        <x:v>Not Started</x:v>
      </x:c>
      <x:c r="C896" s="45" t="n">
        <x:v>37374</x:v>
      </x:c>
      <x:c r="D896" s="33" t="str">
        <x:v>Law &amp; Order: Criminal Intent</x:v>
      </x:c>
      <x:c r="E896" s="33" t="str">
        <x:v>Law &amp; Order</x:v>
      </x:c>
      <x:c r="F896" s="33" t="str">
        <x:v>core</x:v>
      </x:c>
      <x:c r="G896" s="50" t="n">
        <x:v>1</x:v>
      </x:c>
      <x:c r="H896" s="50" t="n">
        <x:v>20</x:v>
      </x:c>
      <x:c r="I896" s="44" t="str">
        <x:v>01.20</x:v>
      </x:c>
      <x:c r="J896" s="33" t="str">
        <x:v>Badge</x:v>
      </x:c>
      <x:c r="K896" s="33" t="str"/>
      <x:c r="L896" s="33" t="str"/>
      <x:c r="M896" s="44" t="str"/>
      <x:c r="N896" s="50" t="n">
        <x:v>44</x:v>
      </x:c>
      <x:c r="O896" s="53" t="str">
        <x:v>When the murder of a city auditor and his family seems too perfect, Goren and Eames turn their attention towards law enforcement personnel after learning that the auditor was investigating a number of former cops upon suspicion of double-dipping.</x:v>
      </x:c>
      <x:c r="P896" s="53" t="str">
        <x:v>Core Law &amp; Order franchise</x:v>
      </x:c>
      <x:c r="Q896" s="17" t="str">
        <x:v>341231</x:v>
      </x:c>
      <x:c r="R896" s="17" t="str">
        <x:v>tt0629507</x:v>
      </x:c>
      <x:c r="S896" s="17" t="str">
        <x:v>536</x:v>
      </x:c>
    </x:row>
    <x:row r="897">
      <x:c r="A897" s="43" t="n">
        <x:v>893</x:v>
      </x:c>
      <x:c r="B897" s="44" t="str">
        <x:v>Not Started</x:v>
      </x:c>
      <x:c r="C897" s="45" t="n">
        <x:v>37374</x:v>
      </x:c>
      <x:c r="D897" s="33" t="str">
        <x:v>Law &amp; Order: Criminal Intent</x:v>
      </x:c>
      <x:c r="E897" s="33" t="str">
        <x:v>Law &amp; Order</x:v>
      </x:c>
      <x:c r="F897" s="33" t="str">
        <x:v>core</x:v>
      </x:c>
      <x:c r="G897" s="50" t="n">
        <x:v>1</x:v>
      </x:c>
      <x:c r="H897" s="50" t="n">
        <x:v>21</x:v>
      </x:c>
      <x:c r="I897" s="44" t="str">
        <x:v>01.21</x:v>
      </x:c>
      <x:c r="J897" s="33" t="str">
        <x:v>Faith</x:v>
      </x:c>
      <x:c r="K897" s="33" t="str"/>
      <x:c r="L897" s="33" t="str"/>
      <x:c r="M897" s="44" t="str"/>
      <x:c r="N897" s="50" t="n">
        <x:v>44</x:v>
      </x:c>
      <x:c r="O897" s="53" t="str">
        <x:v>When a wealthy publisher is murdered to prevent him from exposing an elaborate confidence game that enveloped him, his company and one of his editors, Goren and Eames run their own con to extract a confession from the killer.</x:v>
      </x:c>
      <x:c r="P897" s="53" t="str">
        <x:v>Core Law &amp; Order franchise</x:v>
      </x:c>
      <x:c r="Q897" s="17" t="str">
        <x:v>341232</x:v>
      </x:c>
      <x:c r="R897" s="17" t="str">
        <x:v>tt0629532</x:v>
      </x:c>
      <x:c r="S897" s="17" t="str">
        <x:v>537</x:v>
      </x:c>
    </x:row>
    <x:row r="898">
      <x:c r="A898" s="43" t="n">
        <x:v>894</x:v>
      </x:c>
      <x:c r="B898" s="44" t="str">
        <x:v>Not Started</x:v>
      </x:c>
      <x:c r="C898" s="45" t="n">
        <x:v>37377</x:v>
      </x:c>
      <x:c r="D898" s="33" t="str">
        <x:v>Law &amp; Order</x:v>
      </x:c>
      <x:c r="E898" s="33" t="str">
        <x:v>Law &amp; Order</x:v>
      </x:c>
      <x:c r="F898" s="33" t="str">
        <x:v>core</x:v>
      </x:c>
      <x:c r="G898" s="50" t="n">
        <x:v>12</x:v>
      </x:c>
      <x:c r="H898" s="50" t="n">
        <x:v>21</x:v>
      </x:c>
      <x:c r="I898" s="44" t="str">
        <x:v>12.21</x:v>
      </x:c>
      <x:c r="J898" s="33" t="str">
        <x:v>Foul Play</x:v>
      </x:c>
      <x:c r="K898" s="33" t="str"/>
      <x:c r="L898" s="33" t="str"/>
      <x:c r="M898" s="44" t="str"/>
      <x:c r="N898" s="50" t="n">
        <x:v>45</x:v>
      </x:c>
      <x:c r="O898" s="53" t="str">
        <x:v>The investigation into the death of a private investigator uncovers corruption, deceit, and immigration fraud in a Youth Baseball League whose manager will go to any lengths to win.</x:v>
      </x:c>
      <x:c r="P898" s="53" t="str">
        <x:v>Core Law &amp; Order franchise</x:v>
      </x:c>
      <x:c r="Q898" s="17" t="str">
        <x:v>34328</x:v>
      </x:c>
      <x:c r="R898" s="17" t="str">
        <x:v>tt0629273</x:v>
      </x:c>
      <x:c r="S898" s="17" t="str">
        <x:v>538</x:v>
      </x:c>
    </x:row>
    <x:row r="899">
      <x:c r="A899" s="43" t="n">
        <x:v>895</x:v>
      </x:c>
      <x:c r="B899" s="44" t="str">
        <x:v>Watched</x:v>
      </x:c>
      <x:c r="C899" s="45" t="n">
        <x:v>37379</x:v>
      </x:c>
      <x:c r="D899" s="33" t="str">
        <x:v>Law &amp; Order: Special Victims Unit</x:v>
      </x:c>
      <x:c r="E899" s="33" t="str">
        <x:v>Law &amp; Order</x:v>
      </x:c>
      <x:c r="F899" s="33" t="str">
        <x:v>core</x:v>
      </x:c>
      <x:c r="G899" s="50" t="n">
        <x:v>3</x:v>
      </x:c>
      <x:c r="H899" s="50" t="n">
        <x:v>21</x:v>
      </x:c>
      <x:c r="I899" s="44" t="str">
        <x:v>03.21</x:v>
      </x:c>
      <x:c r="J899" s="33" t="str">
        <x:v>Denial</x:v>
      </x:c>
      <x:c r="K899" s="33" t="str"/>
      <x:c r="L899" s="33" t="str"/>
      <x:c r="M899" s="44" t="str"/>
      <x:c r="N899" s="50" t="n">
        <x:v>44</x:v>
      </x:c>
      <x:c r="O899" s="53" t="str">
        <x:v>When a heroin junkie is found raped, Tutuola takes an interest in her, but he's not the only one. The case turns into a bizarre murder investigation when the finger of a small child is found in the victim's purse opening a can of worms that spans back thirteen years.</x:v>
      </x:c>
      <x:c r="P899" s="53" t="str">
        <x:v>Core Law &amp; Order franchise</x:v>
      </x:c>
      <x:c r="Q899" s="17" t="str">
        <x:v>225004</x:v>
      </x:c>
      <x:c r="R899" s="17" t="str">
        <x:v>tt0629642</x:v>
      </x:c>
      <x:c r="S899" s="17" t="str">
        <x:v>539</x:v>
      </x:c>
    </x:row>
    <x:row r="900">
      <x:c r="A900" s="43" t="n">
        <x:v>896</x:v>
      </x:c>
      <x:c r="B900" s="44" t="str">
        <x:v>Not Started</x:v>
      </x:c>
      <x:c r="C900" s="45" t="n">
        <x:v>37384</x:v>
      </x:c>
      <x:c r="D900" s="33" t="str">
        <x:v>Law &amp; Order</x:v>
      </x:c>
      <x:c r="E900" s="33" t="str">
        <x:v>Law &amp; Order</x:v>
      </x:c>
      <x:c r="F900" s="33" t="str">
        <x:v>core</x:v>
      </x:c>
      <x:c r="G900" s="50" t="n">
        <x:v>12</x:v>
      </x:c>
      <x:c r="H900" s="50" t="n">
        <x:v>22</x:v>
      </x:c>
      <x:c r="I900" s="44" t="str">
        <x:v>12.22</x:v>
      </x:c>
      <x:c r="J900" s="33" t="str">
        <x:v>Attorney Client</x:v>
      </x:c>
      <x:c r="K900" s="33" t="str"/>
      <x:c r="L900" s="33" t="str"/>
      <x:c r="M900" s="44" t="str"/>
      <x:c r="N900" s="50" t="n">
        <x:v>45</x:v>
      </x:c>
      <x:c r="O900" s="53" t="str">
        <x:v>The wife of an attorney with many disgruntled clients is killed but the detectives believe that he was the intended target as he was willing to reveal information despite confidentially agreements. As the investigation continues, his tumultuous love life is exposed and the prosecutors are suspicious of his desire to return to the courtroom.</x:v>
      </x:c>
      <x:c r="P900" s="53" t="str">
        <x:v>Core Law &amp; Order franchise</x:v>
      </x:c>
      <x:c r="Q900" s="17" t="str">
        <x:v>34329</x:v>
      </x:c>
      <x:c r="R900" s="17" t="str">
        <x:v>tt0629165</x:v>
      </x:c>
      <x:c r="S900" s="17" t="str">
        <x:v>540</x:v>
      </x:c>
    </x:row>
    <x:row r="901">
      <x:c r="A901" s="43" t="n">
        <x:v>897</x:v>
      </x:c>
      <x:c r="B901" s="44" t="str">
        <x:v>Not Started</x:v>
      </x:c>
      <x:c r="C901" s="45" t="n">
        <x:v>37386</x:v>
      </x:c>
      <x:c r="D901" s="33" t="str">
        <x:v>Law &amp; Order: Criminal Intent</x:v>
      </x:c>
      <x:c r="E901" s="33" t="str">
        <x:v>Law &amp; Order</x:v>
      </x:c>
      <x:c r="F901" s="33" t="str">
        <x:v>core</x:v>
      </x:c>
      <x:c r="G901" s="50" t="n">
        <x:v>1</x:v>
      </x:c>
      <x:c r="H901" s="50" t="n">
        <x:v>22</x:v>
      </x:c>
      <x:c r="I901" s="44" t="str">
        <x:v>01.22</x:v>
      </x:c>
      <x:c r="J901" s="33" t="str">
        <x:v>Tuxedo Hill</x:v>
      </x:c>
      <x:c r="K901" s="33" t="str"/>
      <x:c r="L901" s="33" t="str"/>
      <x:c r="M901" s="44" t="str"/>
      <x:c r="N901" s="50" t="n">
        <x:v>44</x:v>
      </x:c>
      <x:c r="O901" s="53" t="str">
        <x:v>When Goren and Eames investigate the murder of a man linked to a corporate finance officer, they uncover a stock manipulation scheme which enriched the corporate executives by defrauding investors.</x:v>
      </x:c>
      <x:c r="P901" s="53" t="str">
        <x:v>Core Law &amp; Order franchise</x:v>
      </x:c>
      <x:c r="Q901" s="17" t="str">
        <x:v>341233</x:v>
      </x:c>
      <x:c r="R901" s="17" t="str">
        <x:v>tt0629595</x:v>
      </x:c>
      <x:c r="S901" s="17" t="str">
        <x:v>542</x:v>
      </x:c>
    </x:row>
    <x:row r="902">
      <x:c r="A902" s="43" t="n">
        <x:v>898</x:v>
      </x:c>
      <x:c r="B902" s="44" t="str">
        <x:v>Watched</x:v>
      </x:c>
      <x:c r="C902" s="45" t="n">
        <x:v>37386</x:v>
      </x:c>
      <x:c r="D902" s="33" t="str">
        <x:v>Law &amp; Order: Special Victims Unit</x:v>
      </x:c>
      <x:c r="E902" s="33" t="str">
        <x:v>Law &amp; Order</x:v>
      </x:c>
      <x:c r="F902" s="33" t="str">
        <x:v>core</x:v>
      </x:c>
      <x:c r="G902" s="50" t="n">
        <x:v>3</x:v>
      </x:c>
      <x:c r="H902" s="50" t="n">
        <x:v>22</x:v>
      </x:c>
      <x:c r="I902" s="44" t="str">
        <x:v>03.22</x:v>
      </x:c>
      <x:c r="J902" s="33" t="str">
        <x:v>Competence</x:v>
      </x:c>
      <x:c r="K902" s="33" t="str"/>
      <x:c r="L902" s="33" t="str"/>
      <x:c r="M902" s="44" t="str"/>
      <x:c r="N902" s="50" t="n">
        <x:v>42</x:v>
      </x:c>
      <x:c r="O902" s="53" t="str">
        <x:v>A mentally challenged girl with Down's Syndrome is pregnant, and the question is, was she raped or did she consent and is she competent enough to keep her child?</x:v>
      </x:c>
      <x:c r="P902" s="53" t="str">
        <x:v>Core Law &amp; Order franchise</x:v>
      </x:c>
      <x:c r="Q902" s="17" t="str">
        <x:v>225005</x:v>
      </x:c>
      <x:c r="R902" s="17" t="str">
        <x:v>tt0629629</x:v>
      </x:c>
      <x:c r="S902" s="17" t="str">
        <x:v>541</x:v>
      </x:c>
    </x:row>
    <x:row r="903">
      <x:c r="A903" s="43" t="n">
        <x:v>899</x:v>
      </x:c>
      <x:c r="B903" s="44" t="str">
        <x:v>Not Started</x:v>
      </x:c>
      <x:c r="C903" s="45" t="n">
        <x:v>37391</x:v>
      </x:c>
      <x:c r="D903" s="33" t="str">
        <x:v>Law &amp; Order</x:v>
      </x:c>
      <x:c r="E903" s="33" t="str">
        <x:v>Law &amp; Order</x:v>
      </x:c>
      <x:c r="F903" s="33" t="str">
        <x:v>core</x:v>
      </x:c>
      <x:c r="G903" s="50" t="n">
        <x:v>12</x:v>
      </x:c>
      <x:c r="H903" s="50" t="n">
        <x:v>23</x:v>
      </x:c>
      <x:c r="I903" s="44" t="str">
        <x:v>12.23</x:v>
      </x:c>
      <x:c r="J903" s="33" t="str">
        <x:v>Oxymoron</x:v>
      </x:c>
      <x:c r="K903" s="33" t="str"/>
      <x:c r="L903" s="33" t="str"/>
      <x:c r="M903" s="44" t="str"/>
      <x:c r="N903" s="50" t="n">
        <x:v>45</x:v>
      </x:c>
      <x:c r="O903" s="53" t="str">
        <x:v>The investigation of a woman's strangulation leads to a case involving the selling of drugs and a gangster's son.</x:v>
      </x:c>
      <x:c r="P903" s="53" t="str">
        <x:v>Core Law &amp; Order franchise</x:v>
      </x:c>
      <x:c r="Q903" s="17" t="str">
        <x:v>34330</x:v>
      </x:c>
      <x:c r="R903" s="17" t="str">
        <x:v>tt0629363</x:v>
      </x:c>
      <x:c r="S903" s="17" t="str">
        <x:v>543</x:v>
      </x:c>
    </x:row>
    <x:row r="904">
      <x:c r="A904" s="43" t="n">
        <x:v>900</x:v>
      </x:c>
      <x:c r="B904" s="44" t="str">
        <x:v>Watched</x:v>
      </x:c>
      <x:c r="C904" s="45" t="n">
        <x:v>37393</x:v>
      </x:c>
      <x:c r="D904" s="33" t="str">
        <x:v>Law &amp; Order: Special Victims Unit</x:v>
      </x:c>
      <x:c r="E904" s="33" t="str">
        <x:v>Law &amp; Order</x:v>
      </x:c>
      <x:c r="F904" s="33" t="str">
        <x:v>core</x:v>
      </x:c>
      <x:c r="G904" s="50" t="n">
        <x:v>3</x:v>
      </x:c>
      <x:c r="H904" s="50" t="n">
        <x:v>23</x:v>
      </x:c>
      <x:c r="I904" s="44" t="str">
        <x:v>03.23</x:v>
      </x:c>
      <x:c r="J904" s="33" t="str">
        <x:v>Silence</x:v>
      </x:c>
      <x:c r="K904" s="33" t="str"/>
      <x:c r="L904" s="33" t="str"/>
      <x:c r="M904" s="44" t="str"/>
      <x:c r="N904" s="50" t="n">
        <x:v>44</x:v>
      </x:c>
      <x:c r="O904" s="53" t="str">
        <x:v>A murder in a church of a young cross-dresser leads Benson and Stabler to an alleged cover-up involving sexual child abuse by a priest.</x:v>
      </x:c>
      <x:c r="P904" s="53" t="str">
        <x:v>Core Law &amp; Order franchise</x:v>
      </x:c>
      <x:c r="Q904" s="17" t="str">
        <x:v>225006</x:v>
      </x:c>
      <x:c r="R904" s="17" t="str">
        <x:v>tt0629733</x:v>
      </x:c>
      <x:c r="S904" s="17" t="str">
        <x:v>544</x:v>
      </x:c>
    </x:row>
    <x:row r="905">
      <x:c r="A905" s="43" t="n">
        <x:v>901</x:v>
      </x:c>
      <x:c r="B905" s="44" t="str">
        <x:v>Not Started</x:v>
      </x:c>
      <x:c r="C905" s="45" t="n">
        <x:v>37398</x:v>
      </x:c>
      <x:c r="D905" s="33" t="str">
        <x:v>Law &amp; Order</x:v>
      </x:c>
      <x:c r="E905" s="33" t="str">
        <x:v>Law &amp; Order</x:v>
      </x:c>
      <x:c r="F905" s="33" t="str">
        <x:v>core</x:v>
      </x:c>
      <x:c r="G905" s="50" t="n">
        <x:v>12</x:v>
      </x:c>
      <x:c r="H905" s="50" t="n">
        <x:v>24</x:v>
      </x:c>
      <x:c r="I905" s="44" t="str">
        <x:v>12.24</x:v>
      </x:c>
      <x:c r="J905" s="33" t="str">
        <x:v>Patriot</x:v>
      </x:c>
      <x:c r="K905" s="33" t="str"/>
      <x:c r="L905" s="33" t="str"/>
      <x:c r="M905" s="44" t="str"/>
      <x:c r="N905" s="50" t="n">
        <x:v>45</x:v>
      </x:c>
      <x:c r="O905" s="53" t="str">
        <x:v>A tenement building explodes and the lone victim is Joseph Haden. The building was rent controlled and there had been a tenant strike, so the police initially suspect arson. But the landlord doesn't have insurance, ruling out their arson theory, and the medical examiner discovers that Haden's neck was broken and he was tied up before the explosion happened. Trying to figure out Haden is even more difficult. He didn't appear to have a family or a girlfriend and never got any substantial mail. He worked at the Jiffy Job service station making minimum wage, yet had $90,000 in the bank. Briscoe and Green do some more digging and find out that Haden was using an alias, and his real name was Yusuf Haddad.</x:v>
      </x:c>
      <x:c r="P905" s="53" t="str">
        <x:v>Core Law &amp; Order franchise</x:v>
      </x:c>
      <x:c r="Q905" s="17" t="str">
        <x:v>34331</x:v>
      </x:c>
      <x:c r="R905" s="17" t="str">
        <x:v>tt0629370</x:v>
      </x:c>
      <x:c r="S905" s="17" t="str">
        <x:v>545</x:v>
      </x:c>
    </x:row>
    <x:row r="906">
      <x:c r="A906" s="43" t="n">
        <x:v>902</x:v>
      </x:c>
      <x:c r="B906" s="44" t="str">
        <x:v>Not Started</x:v>
      </x:c>
      <x:c r="C906" s="45" t="n">
        <x:v>37423</x:v>
      </x:c>
      <x:c r="D906" s="33" t="str">
        <x:v>Crime &amp; Punishment</x:v>
      </x:c>
      <x:c r="E906" s="33" t="str">
        <x:v>Crossover Adjacent</x:v>
      </x:c>
      <x:c r="F906" s="33" t="str">
        <x:v>complete</x:v>
      </x:c>
      <x:c r="G906" s="50" t="n">
        <x:v>1</x:v>
      </x:c>
      <x:c r="H906" s="50" t="n">
        <x:v>1</x:v>
      </x:c>
      <x:c r="I906" s="44" t="str">
        <x:v>01.01</x:v>
      </x:c>
      <x:c r="J906" s="33" t="str">
        <x:v>People v. Dailey</x:v>
      </x:c>
      <x:c r="K906" s="33" t="str"/>
      <x:c r="L906" s="33" t="str"/>
      <x:c r="M906" s="44" t="str"/>
      <x:c r="N906" s="50" t="n">
        <x:v>60</x:v>
      </x:c>
      <x:c r="O906" s="53" t="str">
        <x:v>The first episode chronicles the trial of John Dailey, who is accused of murdering his wife.  Many witnesses attest to the fact that Dailey had often spoken about graphically killing her, but there was no body for evidence.  The prosecutor was able to sway the jury through intelligent remarks and stong witnesses.  John Dailey was given a sentence of 25 years to life in jail.</x:v>
      </x:c>
      <x:c r="P906" s="53" t="str">
        <x:v>Dick Wolf reality/legal series</x:v>
      </x:c>
      <x:c r="Q906" s="17" t="str">
        <x:v>177238</x:v>
      </x:c>
      <x:c r="R906" s="17" t="str"/>
      <x:c r="S906" s="17" t="str"/>
    </x:row>
    <x:row r="907">
      <x:c r="A907" s="43" t="n">
        <x:v>903</x:v>
      </x:c>
      <x:c r="B907" s="44" t="str">
        <x:v>Not Started</x:v>
      </x:c>
      <x:c r="C907" s="45" t="n">
        <x:v>37430</x:v>
      </x:c>
      <x:c r="D907" s="33" t="str">
        <x:v>Crime &amp; Punishment</x:v>
      </x:c>
      <x:c r="E907" s="33" t="str">
        <x:v>Crossover Adjacent</x:v>
      </x:c>
      <x:c r="F907" s="33" t="str">
        <x:v>complete</x:v>
      </x:c>
      <x:c r="G907" s="50" t="n">
        <x:v>1</x:v>
      </x:c>
      <x:c r="H907" s="50" t="n">
        <x:v>2</x:v>
      </x:c>
      <x:c r="I907" s="44" t="str">
        <x:v>01.02</x:v>
      </x:c>
      <x:c r="J907" s="33" t="str">
        <x:v>People v. Jones</x:v>
      </x:c>
      <x:c r="K907" s="33" t="str"/>
      <x:c r="L907" s="33" t="str"/>
      <x:c r="M907" s="44" t="str"/>
      <x:c r="N907" s="50" t="n">
        <x:v>60</x:v>
      </x:c>
      <x:c r="O907" s="53" t="str">
        <x:v>Deputy District Attorney Garry Haehnle prosecutes Marshall Jones, a father accused of suffocating his 4-month-old son and burying the body in a shallow grave in the woods.  Attempting to pass the murder off as an unfortunate accident, the defense paints the picture of a loving father who made one bad decision, which Haehnle must disprove in the eyes of the jury.  After Jones is convicted, during the sentencing hearing, he domonstrates his callousness and ultimately his guilt.  The judge strongly rebukes him and gives him the maximum sentence.</x:v>
      </x:c>
      <x:c r="P907" s="53" t="str">
        <x:v>Dick Wolf reality/legal series</x:v>
      </x:c>
      <x:c r="Q907" s="17" t="str">
        <x:v>177239</x:v>
      </x:c>
      <x:c r="R907" s="17" t="str"/>
      <x:c r="S907" s="17" t="str"/>
    </x:row>
    <x:row r="908">
      <x:c r="A908" s="43" t="n">
        <x:v>904</x:v>
      </x:c>
      <x:c r="B908" s="44" t="str">
        <x:v>Not Started</x:v>
      </x:c>
      <x:c r="C908" s="45" t="n">
        <x:v>37437</x:v>
      </x:c>
      <x:c r="D908" s="33" t="str">
        <x:v>Crime &amp; Punishment</x:v>
      </x:c>
      <x:c r="E908" s="33" t="str">
        <x:v>Crossover Adjacent</x:v>
      </x:c>
      <x:c r="F908" s="33" t="str">
        <x:v>complete</x:v>
      </x:c>
      <x:c r="G908" s="50" t="n">
        <x:v>1</x:v>
      </x:c>
      <x:c r="H908" s="50" t="n">
        <x:v>3</x:v>
      </x:c>
      <x:c r="I908" s="44" t="str">
        <x:v>01.03</x:v>
      </x:c>
      <x:c r="J908" s="33" t="str">
        <x:v>People v. Vasquez</x:v>
      </x:c>
      <x:c r="K908" s="33" t="str"/>
      <x:c r="L908" s="33" t="str"/>
      <x:c r="M908" s="44" t="str"/>
      <x:c r="N908" s="50" t="n">
        <x:v>60</x:v>
      </x:c>
      <x:c r="O908" s="53" t="str">
        <x:v>A man is tried for murder in the first degree. He had supposedly stabbed his girlfriend out of jealousy.  However, the intent that the prosecutor describes does not match up with the lustful insanity that the defense describes.  After credible witnesses help the case, Vasquez is sentenced.  During the sentencing, Vasquez and his brother attack the prosecutor (Lindberg) and they both are given extended jail sentences.</x:v>
      </x:c>
      <x:c r="P908" s="53" t="str">
        <x:v>Dick Wolf reality/legal series</x:v>
      </x:c>
      <x:c r="Q908" s="17" t="str">
        <x:v>177240</x:v>
      </x:c>
      <x:c r="R908" s="17" t="str"/>
      <x:c r="S908" s="17" t="str"/>
    </x:row>
    <x:row r="909">
      <x:c r="A909" s="43" t="n">
        <x:v>905</x:v>
      </x:c>
      <x:c r="B909" s="44" t="str">
        <x:v>Not Started</x:v>
      </x:c>
      <x:c r="C909" s="45" t="n">
        <x:v>37444</x:v>
      </x:c>
      <x:c r="D909" s="33" t="str">
        <x:v>Crime &amp; Punishment</x:v>
      </x:c>
      <x:c r="E909" s="33" t="str">
        <x:v>Crossover Adjacent</x:v>
      </x:c>
      <x:c r="F909" s="33" t="str">
        <x:v>complete</x:v>
      </x:c>
      <x:c r="G909" s="50" t="n">
        <x:v>1</x:v>
      </x:c>
      <x:c r="H909" s="50" t="n">
        <x:v>4</x:v>
      </x:c>
      <x:c r="I909" s="44" t="str">
        <x:v>01.04</x:v>
      </x:c>
      <x:c r="J909" s="33" t="str">
        <x:v>People v. Sanabria</x:v>
      </x:c>
      <x:c r="K909" s="33" t="str"/>
      <x:c r="L909" s="33" t="str"/>
      <x:c r="M909" s="44" t="str"/>
      <x:c r="N909" s="50" t="n">
        <x:v>60</x:v>
      </x:c>
      <x:c r="O909" s="53" t="str">
        <x:v>A man is tried for the rape of a woman.  What would seem like an easy case, difficulties appear because the victim had been inebriated and may have not been fully aware of her actions.  Luckily, the defendant gives the least plausible testimony that he could give, which would give him a jail sentence.</x:v>
      </x:c>
      <x:c r="P909" s="53" t="str">
        <x:v>Dick Wolf reality/legal series</x:v>
      </x:c>
      <x:c r="Q909" s="17" t="str">
        <x:v>177241</x:v>
      </x:c>
      <x:c r="R909" s="17" t="str"/>
      <x:c r="S909" s="17" t="str"/>
    </x:row>
    <x:row r="910">
      <x:c r="A910" s="43" t="n">
        <x:v>906</x:v>
      </x:c>
      <x:c r="B910" s="44" t="str">
        <x:v>Not Started</x:v>
      </x:c>
      <x:c r="C910" s="45" t="n">
        <x:v>37451</x:v>
      </x:c>
      <x:c r="D910" s="33" t="str">
        <x:v>Crime &amp; Punishment</x:v>
      </x:c>
      <x:c r="E910" s="33" t="str">
        <x:v>Crossover Adjacent</x:v>
      </x:c>
      <x:c r="F910" s="33" t="str">
        <x:v>complete</x:v>
      </x:c>
      <x:c r="G910" s="50" t="n">
        <x:v>1</x:v>
      </x:c>
      <x:c r="H910" s="50" t="n">
        <x:v>5</x:v>
      </x:c>
      <x:c r="I910" s="44" t="str">
        <x:v>01.05</x:v>
      </x:c>
      <x:c r="J910" s="33" t="str">
        <x:v>People v. Curry</x:v>
      </x:c>
      <x:c r="K910" s="33" t="str"/>
      <x:c r="L910" s="33" t="str"/>
      <x:c r="M910" s="44" t="str"/>
      <x:c r="N910" s="50" t="n">
        <x:v>60</x:v>
      </x:c>
      <x:c r="O910" s="53" t="str">
        <x:v>A girlfriend of a gang member is found dead from a bullet behind a dumpster.  With a minimal amount of evidence and a difficult judge, it becomes difficult for the District Attorney to convince the jury that the murderer was the victim's boyfriend.</x:v>
      </x:c>
      <x:c r="P910" s="53" t="str">
        <x:v>Dick Wolf reality/legal series</x:v>
      </x:c>
      <x:c r="Q910" s="17" t="str">
        <x:v>177242</x:v>
      </x:c>
      <x:c r="R910" s="17" t="str"/>
      <x:c r="S910" s="17" t="str"/>
    </x:row>
    <x:row r="911">
      <x:c r="A911" s="43" t="n">
        <x:v>907</x:v>
      </x:c>
      <x:c r="B911" s="44" t="str">
        <x:v>Not Started</x:v>
      </x:c>
      <x:c r="C911" s="45" t="n">
        <x:v>37458</x:v>
      </x:c>
      <x:c r="D911" s="33" t="str">
        <x:v>Crime &amp; Punishment</x:v>
      </x:c>
      <x:c r="E911" s="33" t="str">
        <x:v>Crossover Adjacent</x:v>
      </x:c>
      <x:c r="F911" s="33" t="str">
        <x:v>complete</x:v>
      </x:c>
      <x:c r="G911" s="50" t="n">
        <x:v>1</x:v>
      </x:c>
      <x:c r="H911" s="50" t="n">
        <x:v>6</x:v>
      </x:c>
      <x:c r="I911" s="44" t="str">
        <x:v>01.06</x:v>
      </x:c>
      <x:c r="J911" s="33" t="str">
        <x:v>People v. Scheirbaum (and) People v. Villa</x:v>
      </x:c>
      <x:c r="K911" s="33" t="str"/>
      <x:c r="L911" s="33" t="str"/>
      <x:c r="M911" s="44" t="str"/>
      <x:c r="N911" s="50" t="n">
        <x:v>60</x:v>
      </x:c>
      <x:c r="O911" s="53" t="str">
        <x:v>In the first case of Villa, the defendant is brought up on charges of beating his wife and committing a third strike of domestic abuse.  In another case, the Deputy District Attorney tries to get Schierbaum convicted of crimes including kidnapping and sexual assault, and attempted murder.  The parallels between the cases can be seen in the domestic abuse of Villa and the violence made by Schierbaum towards his children and wife.</x:v>
      </x:c>
      <x:c r="P911" s="53" t="str">
        <x:v>Dick Wolf reality/legal series</x:v>
      </x:c>
      <x:c r="Q911" s="17" t="str">
        <x:v>177243</x:v>
      </x:c>
      <x:c r="R911" s="17" t="str"/>
      <x:c r="S911" s="17" t="str"/>
    </x:row>
    <x:row r="912">
      <x:c r="A912" s="43" t="n">
        <x:v>908</x:v>
      </x:c>
      <x:c r="B912" s="44" t="str">
        <x:v>Not Started</x:v>
      </x:c>
      <x:c r="C912" s="45" t="n">
        <x:v>37465</x:v>
      </x:c>
      <x:c r="D912" s="33" t="str">
        <x:v>Crime &amp; Punishment</x:v>
      </x:c>
      <x:c r="E912" s="33" t="str">
        <x:v>Crossover Adjacent</x:v>
      </x:c>
      <x:c r="F912" s="33" t="str">
        <x:v>complete</x:v>
      </x:c>
      <x:c r="G912" s="50" t="n">
        <x:v>1</x:v>
      </x:c>
      <x:c r="H912" s="50" t="n">
        <x:v>7</x:v>
      </x:c>
      <x:c r="I912" s="44" t="str">
        <x:v>01.07</x:v>
      </x:c>
      <x:c r="J912" s="33" t="str">
        <x:v>People v. Taitano</x:v>
      </x:c>
      <x:c r="K912" s="33" t="str"/>
      <x:c r="L912" s="33" t="str"/>
      <x:c r="M912" s="44" t="str"/>
      <x:c r="N912" s="50" t="n">
        <x:v>60</x:v>
      </x:c>
      <x:c r="O912" s="53" t="str">
        <x:v>A girl who had been kidnapped and abused within her own apartment complex comes to the stand to give her attacker a prison sentence.  Difficulties arise when the both parties admit to a candy exchange on more than one instance.  Given the fact that Taitano's roommate had a record of child abuse, the defense tries to persuade a jury that the roommate had been the perpetrator in the incident. Despite a believable plea, the defense does not sway the jury...fully.</x:v>
      </x:c>
      <x:c r="P912" s="53" t="str">
        <x:v>Dick Wolf reality/legal series</x:v>
      </x:c>
      <x:c r="Q912" s="17" t="str">
        <x:v>177244</x:v>
      </x:c>
      <x:c r="R912" s="17" t="str"/>
      <x:c r="S912" s="17" t="str"/>
    </x:row>
    <x:row r="913">
      <x:c r="A913" s="43" t="n">
        <x:v>909</x:v>
      </x:c>
      <x:c r="B913" s="44" t="str">
        <x:v>Not Started</x:v>
      </x:c>
      <x:c r="C913" s="45" t="n">
        <x:v>37472</x:v>
      </x:c>
      <x:c r="D913" s="33" t="str">
        <x:v>Crime &amp; Punishment</x:v>
      </x:c>
      <x:c r="E913" s="33" t="str">
        <x:v>Crossover Adjacent</x:v>
      </x:c>
      <x:c r="F913" s="33" t="str">
        <x:v>complete</x:v>
      </x:c>
      <x:c r="G913" s="50" t="n">
        <x:v>1</x:v>
      </x:c>
      <x:c r="H913" s="50" t="n">
        <x:v>8</x:v>
      </x:c>
      <x:c r="I913" s="44" t="str">
        <x:v>01.08</x:v>
      </x:c>
      <x:c r="J913" s="33" t="str">
        <x:v>People v. Garcia</x:v>
      </x:c>
      <x:c r="K913" s="33" t="str"/>
      <x:c r="L913" s="33" t="str"/>
      <x:c r="M913" s="44" t="str"/>
      <x:c r="N913" s="50" t="n">
        <x:v>60</x:v>
      </x:c>
      <x:c r="O913" s="53" t="str">
        <x:v>For a strange twist in the series, this case has a living victim that supports the defendant.  When Garcia is found by his wife wearing her lingerie and partaking in controversial activities, he becomes enraged and stabs her.  She survives and makes a case against her husband difficult because her guilt compels her to want to save him from a sentence.</x:v>
      </x:c>
      <x:c r="P913" s="53" t="str">
        <x:v>Dick Wolf reality/legal series</x:v>
      </x:c>
      <x:c r="Q913" s="17" t="str">
        <x:v>177245</x:v>
      </x:c>
      <x:c r="R913" s="17" t="str"/>
      <x:c r="S913" s="17" t="str"/>
    </x:row>
    <x:row r="914">
      <x:c r="A914" s="43" t="n">
        <x:v>910</x:v>
      </x:c>
      <x:c r="B914" s="44" t="str">
        <x:v>Not Started</x:v>
      </x:c>
      <x:c r="C914" s="45" t="n">
        <x:v>37479</x:v>
      </x:c>
      <x:c r="D914" s="33" t="str">
        <x:v>Crime &amp; Punishment</x:v>
      </x:c>
      <x:c r="E914" s="33" t="str">
        <x:v>Crossover Adjacent</x:v>
      </x:c>
      <x:c r="F914" s="33" t="str">
        <x:v>complete</x:v>
      </x:c>
      <x:c r="G914" s="50" t="n">
        <x:v>1</x:v>
      </x:c>
      <x:c r="H914" s="50" t="n">
        <x:v>9</x:v>
      </x:c>
      <x:c r="I914" s="44" t="str">
        <x:v>01.09</x:v>
      </x:c>
      <x:c r="J914" s="33" t="str">
        <x:v>People v. Kayser (and) People v. Palomino</x:v>
      </x:c>
      <x:c r="K914" s="33" t="str"/>
      <x:c r="L914" s="33" t="str"/>
      <x:c r="M914" s="44" t="str"/>
      <x:c r="N914" s="50" t="n">
        <x:v>60</x:v>
      </x:c>
      <x:c r="O914" s="53" t="str">
        <x:v>A District Attorney with a heavy caseload tries two cases in this episode.  The first case has a high media spotlight because Kayser is being tried on DWI charges.  He had killed a 13 year old boy while driving. emotions are unleashed by the boy's family and the case is followed closely in the news.  Bowman's second case deals with Palomino, who is convicted of possessing crystal meth.  The case becomes more complicated because it was not his first parole violation.</x:v>
      </x:c>
      <x:c r="P914" s="53" t="str">
        <x:v>Dick Wolf reality/legal series</x:v>
      </x:c>
      <x:c r="Q914" s="17" t="str">
        <x:v>177246</x:v>
      </x:c>
      <x:c r="R914" s="17" t="str"/>
      <x:c r="S914" s="17" t="str"/>
    </x:row>
    <x:row r="915">
      <x:c r="A915" s="43" t="n">
        <x:v>911</x:v>
      </x:c>
      <x:c r="B915" s="44" t="str">
        <x:v>Not Started</x:v>
      </x:c>
      <x:c r="C915" s="45" t="n">
        <x:v>37486</x:v>
      </x:c>
      <x:c r="D915" s="33" t="str">
        <x:v>Crime &amp; Punishment</x:v>
      </x:c>
      <x:c r="E915" s="33" t="str">
        <x:v>Crossover Adjacent</x:v>
      </x:c>
      <x:c r="F915" s="33" t="str">
        <x:v>complete</x:v>
      </x:c>
      <x:c r="G915" s="50" t="n">
        <x:v>1</x:v>
      </x:c>
      <x:c r="H915" s="50" t="n">
        <x:v>10</x:v>
      </x:c>
      <x:c r="I915" s="44" t="str">
        <x:v>01.10</x:v>
      </x:c>
      <x:c r="J915" s="33" t="str">
        <x:v>People v. Wells</x:v>
      </x:c>
      <x:c r="K915" s="33" t="str"/>
      <x:c r="L915" s="33" t="str"/>
      <x:c r="M915" s="44" t="str"/>
      <x:c r="N915" s="50" t="n">
        <x:v>60</x:v>
      </x:c>
      <x:c r="O915" s="53" t="str">
        <x:v>When a man is killed, matters become complicated when it becomes apparents that California gangs are entrenched in the incident.  An eye-witness is killed before the hearing and other witnesses lose any recollection of the murder.  Even though there are many charges, Redondo is only found guilty of only one.  A mistrial is called due to a deadlock on other charges.</x:v>
      </x:c>
      <x:c r="P915" s="53" t="str">
        <x:v>Dick Wolf reality/legal series</x:v>
      </x:c>
      <x:c r="Q915" s="17" t="str">
        <x:v>177247</x:v>
      </x:c>
      <x:c r="R915" s="17" t="str"/>
      <x:c r="S915" s="17" t="str"/>
    </x:row>
    <x:row r="916">
      <x:c r="A916" s="43" t="n">
        <x:v>912</x:v>
      </x:c>
      <x:c r="B916" s="44" t="str">
        <x:v>Not Started</x:v>
      </x:c>
      <x:c r="C916" s="45" t="n">
        <x:v>37493</x:v>
      </x:c>
      <x:c r="D916" s="33" t="str">
        <x:v>Crime &amp; Punishment</x:v>
      </x:c>
      <x:c r="E916" s="33" t="str">
        <x:v>Crossover Adjacent</x:v>
      </x:c>
      <x:c r="F916" s="33" t="str">
        <x:v>complete</x:v>
      </x:c>
      <x:c r="G916" s="50" t="n">
        <x:v>1</x:v>
      </x:c>
      <x:c r="H916" s="50" t="n">
        <x:v>11</x:v>
      </x:c>
      <x:c r="I916" s="44" t="str">
        <x:v>01.11</x:v>
      </x:c>
      <x:c r="J916" s="33" t="str">
        <x:v>People v. Scott (and) People v. Smith</x:v>
      </x:c>
      <x:c r="K916" s="33" t="str"/>
      <x:c r="L916" s="33" t="str"/>
      <x:c r="M916" s="44" t="str"/>
      <x:c r="N916" s="50" t="n">
        <x:v>60</x:v>
      </x:c>
      <x:c r="O916" s="53" t="str">
        <x:v>Keeshawn Scott seems anything but innocent when he is accused of an unsolicited premeditated murder.  He shoots a man in his girlfriend's home but the crime is deemed a murder in the first-degree.  The second case explores a serious offense when a teenager is brought up on charges after purportedly threatening high school students that survived high school shootings through e-mail.</x:v>
      </x:c>
      <x:c r="P916" s="53" t="str">
        <x:v>Dick Wolf reality/legal series</x:v>
      </x:c>
      <x:c r="Q916" s="17" t="str">
        <x:v>177248</x:v>
      </x:c>
      <x:c r="R916" s="17" t="str"/>
      <x:c r="S916" s="17" t="str"/>
    </x:row>
    <x:row r="917">
      <x:c r="A917" s="43" t="n">
        <x:v>913</x:v>
      </x:c>
      <x:c r="B917" s="44" t="str">
        <x:v>Not Started</x:v>
      </x:c>
      <x:c r="C917" s="45" t="n">
        <x:v>37500</x:v>
      </x:c>
      <x:c r="D917" s="33" t="str">
        <x:v>Crime &amp; Punishment</x:v>
      </x:c>
      <x:c r="E917" s="33" t="str">
        <x:v>Crossover Adjacent</x:v>
      </x:c>
      <x:c r="F917" s="33" t="str">
        <x:v>complete</x:v>
      </x:c>
      <x:c r="G917" s="50" t="n">
        <x:v>1</x:v>
      </x:c>
      <x:c r="H917" s="50" t="n">
        <x:v>12</x:v>
      </x:c>
      <x:c r="I917" s="44" t="str">
        <x:v>01.12</x:v>
      </x:c>
      <x:c r="J917" s="33" t="str">
        <x:v>People v. Mayta</x:v>
      </x:c>
      <x:c r="K917" s="33" t="str"/>
      <x:c r="L917" s="33" t="str"/>
      <x:c r="M917" s="44" t="str"/>
      <x:c r="N917" s="50" t="n">
        <x:v>60</x:v>
      </x:c>
      <x:c r="O917" s="53" t="str">
        <x:v>A drunken murder occurs when an inebriated Mayta becomes upset at a popular gay night club.  Mayta is unhappy when a man he is seeking is uninterested which prompts the defendant to kill a bystander.  However, the District Attorney is convinced that the murder was not a drunken crime of passion but rather a premeditated crime.</x:v>
      </x:c>
      <x:c r="P917" s="53" t="str">
        <x:v>Dick Wolf reality/legal series</x:v>
      </x:c>
      <x:c r="Q917" s="17" t="str">
        <x:v>177249</x:v>
      </x:c>
      <x:c r="R917" s="17" t="str"/>
      <x:c r="S917" s="17" t="str"/>
    </x:row>
    <x:row r="918">
      <x:c r="A918" s="43" t="n">
        <x:v>914</x:v>
      </x:c>
      <x:c r="B918" s="44" t="str">
        <x:v>Watched</x:v>
      </x:c>
      <x:c r="C918" s="45" t="n">
        <x:v>37526</x:v>
      </x:c>
      <x:c r="D918" s="33" t="str">
        <x:v>Law &amp; Order: Special Victims Unit</x:v>
      </x:c>
      <x:c r="E918" s="33" t="str">
        <x:v>Law &amp; Order</x:v>
      </x:c>
      <x:c r="F918" s="33" t="str">
        <x:v>core</x:v>
      </x:c>
      <x:c r="G918" s="50" t="n">
        <x:v>4</x:v>
      </x:c>
      <x:c r="H918" s="50" t="n">
        <x:v>1</x:v>
      </x:c>
      <x:c r="I918" s="44" t="str">
        <x:v>04.01</x:v>
      </x:c>
      <x:c r="J918" s="33" t="str">
        <x:v>Chameleon</x:v>
      </x:c>
      <x:c r="K918" s="33" t="str"/>
      <x:c r="L918" s="33" t="str"/>
      <x:c r="M918" s="44" t="str"/>
      <x:c r="N918" s="50" t="n">
        <x:v>43</x:v>
      </x:c>
      <x:c r="O918" s="53" t="str">
        <x:v>The detectives are on the trail of a recently paroled rapist responsible for the murder of a prostitute during a raid at a men's club and are called to the scene where he was shot in self defense by his own gun. However, the murder weapon was also used in another crime while he was still in prison, leading the detectives to investigate the victim through a trail of previously unsolved cases, a spending spree and another victim. They uncover a more serious criminal in the process.</x:v>
      </x:c>
      <x:c r="P918" s="53" t="str">
        <x:v>Core Law &amp; Order franchise</x:v>
      </x:c>
      <x:c r="Q918" s="17" t="str">
        <x:v>225007</x:v>
      </x:c>
      <x:c r="R918" s="17" t="str">
        <x:v>tt0629622</x:v>
      </x:c>
      <x:c r="S918" s="17" t="str">
        <x:v>546</x:v>
      </x:c>
    </x:row>
    <x:row r="919">
      <x:c r="A919" s="43" t="n">
        <x:v>915</x:v>
      </x:c>
      <x:c r="B919" s="44" t="str">
        <x:v>Not Started</x:v>
      </x:c>
      <x:c r="C919" s="45" t="n">
        <x:v>37528</x:v>
      </x:c>
      <x:c r="D919" s="33" t="str">
        <x:v>Law &amp; Order: Criminal Intent</x:v>
      </x:c>
      <x:c r="E919" s="33" t="str">
        <x:v>Law &amp; Order</x:v>
      </x:c>
      <x:c r="F919" s="33" t="str">
        <x:v>core</x:v>
      </x:c>
      <x:c r="G919" s="50" t="n">
        <x:v>2</x:v>
      </x:c>
      <x:c r="H919" s="50" t="n">
        <x:v>1</x:v>
      </x:c>
      <x:c r="I919" s="44" t="str">
        <x:v>02.01</x:v>
      </x:c>
      <x:c r="J919" s="33" t="str">
        <x:v>Dead</x:v>
      </x:c>
      <x:c r="K919" s="33" t="str"/>
      <x:c r="L919" s="33" t="str"/>
      <x:c r="M919" s="44" t="str"/>
      <x:c r="N919" s="50" t="n">
        <x:v>44</x:v>
      </x:c>
      <x:c r="O919" s="53" t="str">
        <x:v>The murder of a mortician and the discovery of corpses at a crematorium lead the detectives to a family man claiming to have a consulting business but suspected of being a contract killer with a penchant for perfection. Goren attempts to prove this by setting up a scheme that puts his "fear of making a mistake" in jeopardy.</x:v>
      </x:c>
      <x:c r="P919" s="53" t="str">
        <x:v>Core Law &amp; Order franchise</x:v>
      </x:c>
      <x:c r="Q919" s="17" t="str">
        <x:v>341234</x:v>
      </x:c>
      <x:c r="R919" s="17" t="str">
        <x:v>tt0629524</x:v>
      </x:c>
      <x:c r="S919" s="17" t="str">
        <x:v>547</x:v>
      </x:c>
    </x:row>
    <x:row r="920">
      <x:c r="A920" s="43" t="n">
        <x:v>916</x:v>
      </x:c>
      <x:c r="B920" s="44" t="str">
        <x:v>Not Started</x:v>
      </x:c>
      <x:c r="C920" s="45" t="n">
        <x:v>37531</x:v>
      </x:c>
      <x:c r="D920" s="33" t="str">
        <x:v>Law &amp; Order</x:v>
      </x:c>
      <x:c r="E920" s="33" t="str">
        <x:v>Law &amp; Order</x:v>
      </x:c>
      <x:c r="F920" s="33" t="str">
        <x:v>core</x:v>
      </x:c>
      <x:c r="G920" s="50" t="n">
        <x:v>13</x:v>
      </x:c>
      <x:c r="H920" s="50" t="n">
        <x:v>1</x:v>
      </x:c>
      <x:c r="I920" s="44" t="str">
        <x:v>13.01</x:v>
      </x:c>
      <x:c r="J920" s="33" t="str">
        <x:v>American Jihad</x:v>
      </x:c>
      <x:c r="K920" s="33" t="str"/>
      <x:c r="L920" s="33" t="str"/>
      <x:c r="M920" s="44" t="str"/>
      <x:c r="N920" s="50" t="n">
        <x:v>45</x:v>
      </x:c>
      <x:c r="O920" s="53" t="str">
        <x:v>An American Muslim becomes the prime suspect in a double murder after an academic challenges his religious beliefs.</x:v>
      </x:c>
      <x:c r="P920" s="53" t="str">
        <x:v>Core Law &amp; Order franchise</x:v>
      </x:c>
      <x:c r="Q920" s="17" t="str">
        <x:v>34332</x:v>
      </x:c>
      <x:c r="R920" s="17" t="str">
        <x:v>tt0629156</x:v>
      </x:c>
      <x:c r="S920" s="17" t="str">
        <x:v>548</x:v>
      </x:c>
    </x:row>
    <x:row r="921">
      <x:c r="A921" s="43" t="n">
        <x:v>917</x:v>
      </x:c>
      <x:c r="B921" s="44" t="str">
        <x:v>Watched</x:v>
      </x:c>
      <x:c r="C921" s="45" t="n">
        <x:v>37533</x:v>
      </x:c>
      <x:c r="D921" s="33" t="str">
        <x:v>Law &amp; Order: Special Victims Unit</x:v>
      </x:c>
      <x:c r="E921" s="33" t="str">
        <x:v>Law &amp; Order</x:v>
      </x:c>
      <x:c r="F921" s="33" t="str">
        <x:v>core</x:v>
      </x:c>
      <x:c r="G921" s="50" t="n">
        <x:v>4</x:v>
      </x:c>
      <x:c r="H921" s="50" t="n">
        <x:v>2</x:v>
      </x:c>
      <x:c r="I921" s="44" t="str">
        <x:v>04.02</x:v>
      </x:c>
      <x:c r="J921" s="33" t="str">
        <x:v>Deception</x:v>
      </x:c>
      <x:c r="K921" s="33" t="str"/>
      <x:c r="L921" s="33" t="str"/>
      <x:c r="M921" s="44" t="str"/>
      <x:c r="N921" s="50" t="n">
        <x:v>44</x:v>
      </x:c>
      <x:c r="O921" s="53" t="str">
        <x:v>A family portrait painted by a kindergartner leads the detectives to investigate her mother for child sexual abuse of her teenage stepson. When the boy's father is found murdered, the focus of the investigation shifts to the boy -- and his stepmother goes to great lengths to protect him and prevent the detectives from learning the truth.</x:v>
      </x:c>
      <x:c r="P921" s="53" t="str">
        <x:v>Core Law &amp; Order franchise</x:v>
      </x:c>
      <x:c r="Q921" s="17" t="str">
        <x:v>225008</x:v>
      </x:c>
      <x:c r="R921" s="17" t="str">
        <x:v>tt0629640</x:v>
      </x:c>
      <x:c r="S921" s="17" t="str">
        <x:v>549</x:v>
      </x:c>
    </x:row>
    <x:row r="922">
      <x:c r="A922" s="43" t="n">
        <x:v>918</x:v>
      </x:c>
      <x:c r="B922" s="44" t="str">
        <x:v>Not Started</x:v>
      </x:c>
      <x:c r="C922" s="45" t="n">
        <x:v>37535</x:v>
      </x:c>
      <x:c r="D922" s="33" t="str">
        <x:v>Law &amp; Order: Criminal Intent</x:v>
      </x:c>
      <x:c r="E922" s="33" t="str">
        <x:v>Law &amp; Order</x:v>
      </x:c>
      <x:c r="F922" s="33" t="str">
        <x:v>core</x:v>
      </x:c>
      <x:c r="G922" s="50" t="n">
        <x:v>2</x:v>
      </x:c>
      <x:c r="H922" s="50" t="n">
        <x:v>2</x:v>
      </x:c>
      <x:c r="I922" s="44" t="str">
        <x:v>02.02</x:v>
      </x:c>
      <x:c r="J922" s="33" t="str">
        <x:v>Bright Boy</x:v>
      </x:c>
      <x:c r="K922" s="33" t="str"/>
      <x:c r="L922" s="33" t="str"/>
      <x:c r="M922" s="44" t="str"/>
      <x:c r="N922" s="50" t="n">
        <x:v>43</x:v>
      </x:c>
      <x:c r="O922" s="53" t="str">
        <x:v>The double murder of a social services worker and a deputy mayor lead the detectives to suspect a couple who may have a grudge against the social worker for taking away their children. When they learn that the social worker had taken special interest in a child prodigy being considered for admission to a prestigious, accelerated school, they examine both the boy and his obsessive father.</x:v>
      </x:c>
      <x:c r="P922" s="53" t="str">
        <x:v>Core Law &amp; Order franchise</x:v>
      </x:c>
      <x:c r="Q922" s="17" t="str">
        <x:v>341235</x:v>
      </x:c>
      <x:c r="R922" s="17" t="str">
        <x:v>tt0629512</x:v>
      </x:c>
      <x:c r="S922" s="17" t="str">
        <x:v>550</x:v>
      </x:c>
    </x:row>
    <x:row r="923">
      <x:c r="A923" s="43" t="n">
        <x:v>919</x:v>
      </x:c>
      <x:c r="B923" s="44" t="str">
        <x:v>Not Started</x:v>
      </x:c>
      <x:c r="C923" s="45" t="n">
        <x:v>37538</x:v>
      </x:c>
      <x:c r="D923" s="33" t="str">
        <x:v>Law &amp; Order</x:v>
      </x:c>
      <x:c r="E923" s="33" t="str">
        <x:v>Law &amp; Order</x:v>
      </x:c>
      <x:c r="F923" s="33" t="str">
        <x:v>core</x:v>
      </x:c>
      <x:c r="G923" s="50" t="n">
        <x:v>13</x:v>
      </x:c>
      <x:c r="H923" s="50" t="n">
        <x:v>2</x:v>
      </x:c>
      <x:c r="I923" s="44" t="str">
        <x:v>13.02</x:v>
      </x:c>
      <x:c r="J923" s="33" t="str">
        <x:v>Shangri-La</x:v>
      </x:c>
      <x:c r="K923" s="33" t="str"/>
      <x:c r="L923" s="33" t="str"/>
      <x:c r="M923" s="44" t="str"/>
      <x:c r="N923" s="50" t="n">
        <x:v>45</x:v>
      </x:c>
      <x:c r="O923" s="53" t="str">
        <x:v>The murder of a female high school English teacher uncovers a love triangle that includes a female student and a male teacher, both of whom become suspects. The prosecutors have to deal with the student's multiple identities and refusal to live past adolescence.</x:v>
      </x:c>
      <x:c r="P923" s="53" t="str">
        <x:v>Core Law &amp; Order franchise</x:v>
      </x:c>
      <x:c r="Q923" s="17" t="str">
        <x:v>34333</x:v>
      </x:c>
      <x:c r="R923" s="17" t="str">
        <x:v>tt0629418</x:v>
      </x:c>
      <x:c r="S923" s="17" t="str">
        <x:v>551</x:v>
      </x:c>
    </x:row>
    <x:row r="924">
      <x:c r="A924" s="43" t="n">
        <x:v>920</x:v>
      </x:c>
      <x:c r="B924" s="44" t="str">
        <x:v>Watched</x:v>
      </x:c>
      <x:c r="C924" s="45" t="n">
        <x:v>37540</x:v>
      </x:c>
      <x:c r="D924" s="33" t="str">
        <x:v>Law &amp; Order: Special Victims Unit</x:v>
      </x:c>
      <x:c r="E924" s="33" t="str">
        <x:v>Law &amp; Order</x:v>
      </x:c>
      <x:c r="F924" s="33" t="str">
        <x:v>core</x:v>
      </x:c>
      <x:c r="G924" s="50" t="n">
        <x:v>4</x:v>
      </x:c>
      <x:c r="H924" s="50" t="n">
        <x:v>3</x:v>
      </x:c>
      <x:c r="I924" s="44" t="str">
        <x:v>04.03</x:v>
      </x:c>
      <x:c r="J924" s="33" t="str">
        <x:v>Vulnerable</x:v>
      </x:c>
      <x:c r="K924" s="33" t="str"/>
      <x:c r="L924" s="33" t="str"/>
      <x:c r="M924" s="44" t="str"/>
      <x:c r="N924" s="50" t="n">
        <x:v>43</x:v>
      </x:c>
      <x:c r="O924" s="53" t="str">
        <x:v>When an elderly woman with Alzheimer's breaks into an apartment, the detectives discover she had been abused, triggering memories of similar crimes from her childhood. They discover that she had been released from a nursing home to the custody of her financially scheming son who becomes the prime suspect. However, they go back to the nursing home to find a pair of suspects; the real crime is what's being done to the elderly.</x:v>
      </x:c>
      <x:c r="P924" s="53" t="str">
        <x:v>Core Law &amp; Order franchise</x:v>
      </x:c>
      <x:c r="Q924" s="17" t="str">
        <x:v>225009</x:v>
      </x:c>
      <x:c r="R924" s="17" t="str">
        <x:v>tt0629752</x:v>
      </x:c>
      <x:c r="S924" s="17" t="str">
        <x:v>552</x:v>
      </x:c>
    </x:row>
    <x:row r="925">
      <x:c r="A925" s="43" t="n">
        <x:v>921</x:v>
      </x:c>
      <x:c r="B925" s="44" t="str">
        <x:v>Not Started</x:v>
      </x:c>
      <x:c r="C925" s="45" t="n">
        <x:v>37542</x:v>
      </x:c>
      <x:c r="D925" s="33" t="str">
        <x:v>Law &amp; Order: Criminal Intent</x:v>
      </x:c>
      <x:c r="E925" s="33" t="str">
        <x:v>Law &amp; Order</x:v>
      </x:c>
      <x:c r="F925" s="33" t="str">
        <x:v>core</x:v>
      </x:c>
      <x:c r="G925" s="50" t="n">
        <x:v>2</x:v>
      </x:c>
      <x:c r="H925" s="50" t="n">
        <x:v>3</x:v>
      </x:c>
      <x:c r="I925" s="44" t="str">
        <x:v>02.03</x:v>
      </x:c>
      <x:c r="J925" s="33" t="str">
        <x:v>Anti-Thesis</x:v>
      </x:c>
      <x:c r="K925" s="33" t="str"/>
      <x:c r="L925" s="33" t="str"/>
      <x:c r="M925" s="44" t="str"/>
      <x:c r="N925" s="50" t="n">
        <x:v>44</x:v>
      </x:c>
      <x:c r="O925" s="53" t="str">
        <x:v>As Goren and Eames sift through the likely suspects in the murder of a university president and his assistant, they discover that the culprit is a wily adversary who has more than these crimes to hide.</x:v>
      </x:c>
      <x:c r="P925" s="53" t="str">
        <x:v>Core Law &amp; Order franchise</x:v>
      </x:c>
      <x:c r="Q925" s="17" t="str">
        <x:v>341236</x:v>
      </x:c>
      <x:c r="R925" s="17" t="str">
        <x:v>tt0629505</x:v>
      </x:c>
      <x:c r="S925" s="17" t="str">
        <x:v>553</x:v>
      </x:c>
    </x:row>
    <x:row r="926">
      <x:c r="A926" s="43" t="n">
        <x:v>922</x:v>
      </x:c>
      <x:c r="B926" s="44" t="str">
        <x:v>Not Started</x:v>
      </x:c>
      <x:c r="C926" s="45" t="n">
        <x:v>37545</x:v>
      </x:c>
      <x:c r="D926" s="33" t="str">
        <x:v>Law &amp; Order</x:v>
      </x:c>
      <x:c r="E926" s="33" t="str">
        <x:v>Law &amp; Order</x:v>
      </x:c>
      <x:c r="F926" s="33" t="str">
        <x:v>core</x:v>
      </x:c>
      <x:c r="G926" s="50" t="n">
        <x:v>13</x:v>
      </x:c>
      <x:c r="H926" s="50" t="n">
        <x:v>3</x:v>
      </x:c>
      <x:c r="I926" s="44" t="str">
        <x:v>13.03</x:v>
      </x:c>
      <x:c r="J926" s="33" t="str">
        <x:v>True Crime</x:v>
      </x:c>
      <x:c r="K926" s="33" t="str"/>
      <x:c r="L926" s="33" t="str"/>
      <x:c r="M926" s="44" t="str"/>
      <x:c r="N926" s="50" t="n">
        <x:v>45</x:v>
      </x:c>
      <x:c r="O926" s="53" t="str">
        <x:v>Investigating the death of a rock band singer who had large amounts of cocaine and heroin in her system, the detectives question a former boyfriend who was a disgruntled band mate of her late husband. The prosecuters are hampered by the actions of a retired detective, who worked a case with Briscoe several years back, turned writer whose unconventional research tactics makes him a suspect as well.</x:v>
      </x:c>
      <x:c r="P926" s="53" t="str">
        <x:v>Core Law &amp; Order franchise</x:v>
      </x:c>
      <x:c r="Q926" s="17" t="str">
        <x:v>34334</x:v>
      </x:c>
      <x:c r="R926" s="17" t="str">
        <x:v>tt0629476</x:v>
      </x:c>
      <x:c r="S926" s="17" t="str">
        <x:v>554</x:v>
      </x:c>
    </x:row>
    <x:row r="927">
      <x:c r="A927" s="43" t="n">
        <x:v>923</x:v>
      </x:c>
      <x:c r="B927" s="44" t="str">
        <x:v>Watched</x:v>
      </x:c>
      <x:c r="C927" s="45" t="n">
        <x:v>37547</x:v>
      </x:c>
      <x:c r="D927" s="33" t="str">
        <x:v>Law &amp; Order: Special Victims Unit</x:v>
      </x:c>
      <x:c r="E927" s="33" t="str">
        <x:v>Law &amp; Order</x:v>
      </x:c>
      <x:c r="F927" s="33" t="str">
        <x:v>core</x:v>
      </x:c>
      <x:c r="G927" s="50" t="n">
        <x:v>4</x:v>
      </x:c>
      <x:c r="H927" s="50" t="n">
        <x:v>4</x:v>
      </x:c>
      <x:c r="I927" s="44" t="str">
        <x:v>04.04</x:v>
      </x:c>
      <x:c r="J927" s="33" t="str">
        <x:v>Lust</x:v>
      </x:c>
      <x:c r="K927" s="33" t="str"/>
      <x:c r="L927" s="33" t="str"/>
      <x:c r="M927" s="44" t="str"/>
      <x:c r="N927" s="50" t="n">
        <x:v>44</x:v>
      </x:c>
      <x:c r="O927" s="53" t="str">
        <x:v>A public health doctor, the wife of a retired attorney, who tracked HIV cases is found murdered and raped in Central Park. Her work involved contacting sexual partners of HIV patients which gives the detectives a long list of suspects and the detectives try to link threatening phone calls to the crime. The discovery of a second body in Central Park with the same signature shifts the focus to a possible serial killer.</x:v>
      </x:c>
      <x:c r="P927" s="53" t="str">
        <x:v>Core Law &amp; Order franchise</x:v>
      </x:c>
      <x:c r="Q927" s="17" t="str">
        <x:v>225010</x:v>
      </x:c>
      <x:c r="R927" s="17" t="str">
        <x:v>tt0629680</x:v>
      </x:c>
      <x:c r="S927" s="17" t="str">
        <x:v>555</x:v>
      </x:c>
    </x:row>
    <x:row r="928">
      <x:c r="A928" s="43" t="n">
        <x:v>924</x:v>
      </x:c>
      <x:c r="B928" s="44" t="str">
        <x:v>Not Started</x:v>
      </x:c>
      <x:c r="C928" s="45" t="n">
        <x:v>37549</x:v>
      </x:c>
      <x:c r="D928" s="33" t="str">
        <x:v>Law &amp; Order: Criminal Intent</x:v>
      </x:c>
      <x:c r="E928" s="33" t="str">
        <x:v>Law &amp; Order</x:v>
      </x:c>
      <x:c r="F928" s="33" t="str">
        <x:v>core</x:v>
      </x:c>
      <x:c r="G928" s="50" t="n">
        <x:v>2</x:v>
      </x:c>
      <x:c r="H928" s="50" t="n">
        <x:v>4</x:v>
      </x:c>
      <x:c r="I928" s="44" t="str">
        <x:v>02.04</x:v>
      </x:c>
      <x:c r="J928" s="33" t="str">
        <x:v>Best Defense</x:v>
      </x:c>
      <x:c r="K928" s="33" t="str"/>
      <x:c r="L928" s="33" t="str"/>
      <x:c r="M928" s="44" t="str"/>
      <x:c r="N928" s="50" t="n">
        <x:v>44</x:v>
      </x:c>
      <x:c r="O928" s="53" t="str">
        <x:v>The detectives follow the trail when an assistant district attorney confronts and kills a hired gunman following a series of death threats. They first suspect his wife, a prominent defense attorney, through a convict whose case was being prosecuted by the A.D.A. and the rumors of her romantic affairs. When they realise that there are cracks in their seemingly airtight case, Goren has to keep Carver in the dark about some details to prove his theory.</x:v>
      </x:c>
      <x:c r="P928" s="53" t="str">
        <x:v>Core Law &amp; Order franchise</x:v>
      </x:c>
      <x:c r="Q928" s="17" t="str">
        <x:v>341237</x:v>
      </x:c>
      <x:c r="R928" s="17" t="str">
        <x:v>tt0629510</x:v>
      </x:c>
      <x:c r="S928" s="17" t="str">
        <x:v>556</x:v>
      </x:c>
    </x:row>
    <x:row r="929">
      <x:c r="A929" s="43" t="n">
        <x:v>925</x:v>
      </x:c>
      <x:c r="B929" s="44" t="str">
        <x:v>Watched</x:v>
      </x:c>
      <x:c r="C929" s="45" t="n">
        <x:v>37554</x:v>
      </x:c>
      <x:c r="D929" s="33" t="str">
        <x:v>Law &amp; Order: Special Victims Unit</x:v>
      </x:c>
      <x:c r="E929" s="33" t="str">
        <x:v>Law &amp; Order</x:v>
      </x:c>
      <x:c r="F929" s="33" t="str">
        <x:v>core</x:v>
      </x:c>
      <x:c r="G929" s="50" t="n">
        <x:v>4</x:v>
      </x:c>
      <x:c r="H929" s="50" t="n">
        <x:v>5</x:v>
      </x:c>
      <x:c r="I929" s="44" t="str">
        <x:v>04.05</x:v>
      </x:c>
      <x:c r="J929" s="33" t="str">
        <x:v>Disappearing Acts</x:v>
      </x:c>
      <x:c r="K929" s="33" t="str"/>
      <x:c r="L929" s="33" t="str"/>
      <x:c r="M929" s="44" t="str"/>
      <x:c r="N929" s="50" t="n">
        <x:v>43</x:v>
      </x:c>
      <x:c r="O929" s="53" t="str">
        <x:v>A high-powered executive is raped, but the situation is complicated by her involvement with the Feds and the Russian mob - as well as a father-son duo who are in the federal witness protection program and an agent who appears bound and determined to protect them, regardless of consequence.</x:v>
      </x:c>
      <x:c r="P929" s="53" t="str">
        <x:v>Core Law &amp; Order franchise</x:v>
      </x:c>
      <x:c r="Q929" s="17" t="str">
        <x:v>225011</x:v>
      </x:c>
      <x:c r="R929" s="17" t="str">
        <x:v>tt0629645</x:v>
      </x:c>
      <x:c r="S929" s="17" t="str">
        <x:v>557</x:v>
      </x:c>
    </x:row>
    <x:row r="930">
      <x:c r="A930" s="43" t="n">
        <x:v>926</x:v>
      </x:c>
      <x:c r="B930" s="44" t="str">
        <x:v>Not Started</x:v>
      </x:c>
      <x:c r="C930" s="45" t="n">
        <x:v>37556</x:v>
      </x:c>
      <x:c r="D930" s="33" t="str">
        <x:v>Law &amp; Order: Criminal Intent</x:v>
      </x:c>
      <x:c r="E930" s="33" t="str">
        <x:v>Law &amp; Order</x:v>
      </x:c>
      <x:c r="F930" s="33" t="str">
        <x:v>core</x:v>
      </x:c>
      <x:c r="G930" s="50" t="n">
        <x:v>2</x:v>
      </x:c>
      <x:c r="H930" s="50" t="n">
        <x:v>5</x:v>
      </x:c>
      <x:c r="I930" s="44" t="str">
        <x:v>02.05</x:v>
      </x:c>
      <x:c r="J930" s="33" t="str">
        <x:v>Chinoiserie</x:v>
      </x:c>
      <x:c r="K930" s="33" t="str"/>
      <x:c r="L930" s="33" t="str"/>
      <x:c r="M930" s="44" t="str"/>
      <x:c r="N930" s="50" t="n">
        <x:v>44</x:v>
      </x:c>
      <x:c r="O930" s="53" t="str">
        <x:v>After a mother of two is shot dead in Chinatown, Goren and Eames first believe that her death may be connected to the Tianamen Square massacre, but then their investigation leads them to a smuggling ring dealing in antiquities.</x:v>
      </x:c>
      <x:c r="P930" s="53" t="str">
        <x:v>Core Law &amp; Order franchise</x:v>
      </x:c>
      <x:c r="Q930" s="17" t="str">
        <x:v>341238</x:v>
      </x:c>
      <x:c r="R930" s="17" t="str">
        <x:v>tt0629515</x:v>
      </x:c>
      <x:c r="S930" s="17" t="str">
        <x:v>558</x:v>
      </x:c>
    </x:row>
    <x:row r="931">
      <x:c r="A931" s="43" t="n">
        <x:v>927</x:v>
      </x:c>
      <x:c r="B931" s="44" t="str">
        <x:v>Not Started</x:v>
      </x:c>
      <x:c r="C931" s="45" t="n">
        <x:v>37559</x:v>
      </x:c>
      <x:c r="D931" s="33" t="str">
        <x:v>Law &amp; Order</x:v>
      </x:c>
      <x:c r="E931" s="33" t="str">
        <x:v>Law &amp; Order</x:v>
      </x:c>
      <x:c r="F931" s="33" t="str">
        <x:v>core</x:v>
      </x:c>
      <x:c r="G931" s="50" t="n">
        <x:v>13</x:v>
      </x:c>
      <x:c r="H931" s="50" t="n">
        <x:v>4</x:v>
      </x:c>
      <x:c r="I931" s="44" t="str">
        <x:v>13.04</x:v>
      </x:c>
      <x:c r="J931" s="33" t="str">
        <x:v>Tragedy on Rye</x:v>
      </x:c>
      <x:c r="K931" s="33" t="str"/>
      <x:c r="L931" s="33" t="str"/>
      <x:c r="M931" s="44" t="str"/>
      <x:c r="N931" s="50" t="n">
        <x:v>44</x:v>
      </x:c>
      <x:c r="O931" s="53" t="str">
        <x:v>A struggling actress is murdered in an apparent robbery-homicide where a video tape, made by a couple touring the city sold to a local news station, shows three suspects loading the stolen property into an SUV. They are charged with felony murder, a capital crime, and causes unrest with Southerlyn surrounding the death penalty.</x:v>
      </x:c>
      <x:c r="P931" s="53" t="str">
        <x:v>Core Law &amp; Order franchise</x:v>
      </x:c>
      <x:c r="Q931" s="17" t="str">
        <x:v>34335</x:v>
      </x:c>
      <x:c r="R931" s="17" t="str">
        <x:v>tt0629474</x:v>
      </x:c>
      <x:c r="S931" s="17" t="str">
        <x:v>559</x:v>
      </x:c>
    </x:row>
    <x:row r="932">
      <x:c r="A932" s="43" t="n">
        <x:v>928</x:v>
      </x:c>
      <x:c r="B932" s="44" t="str">
        <x:v>Watched</x:v>
      </x:c>
      <x:c r="C932" s="45" t="n">
        <x:v>37561</x:v>
      </x:c>
      <x:c r="D932" s="33" t="str">
        <x:v>Law &amp; Order: Special Victims Unit</x:v>
      </x:c>
      <x:c r="E932" s="33" t="str">
        <x:v>Law &amp; Order</x:v>
      </x:c>
      <x:c r="F932" s="33" t="str">
        <x:v>core</x:v>
      </x:c>
      <x:c r="G932" s="50" t="n">
        <x:v>4</x:v>
      </x:c>
      <x:c r="H932" s="50" t="n">
        <x:v>6</x:v>
      </x:c>
      <x:c r="I932" s="44" t="str">
        <x:v>04.06</x:v>
      </x:c>
      <x:c r="J932" s="33" t="str">
        <x:v>Angels</x:v>
      </x:c>
      <x:c r="K932" s="33" t="str"/>
      <x:c r="L932" s="33" t="str"/>
      <x:c r="M932" s="44" t="str"/>
      <x:c r="N932" s="50" t="n">
        <x:v>44</x:v>
      </x:c>
      <x:c r="O932" s="53" t="str">
        <x:v>A battered young boy suffocates while hiding in the luggage compartment of an airport shuttle bus and it leads the detectives to his guardian and into the investigation of a perverted child molestation ring.</x:v>
      </x:c>
      <x:c r="P932" s="53" t="str">
        <x:v>Core Law &amp; Order franchise</x:v>
      </x:c>
      <x:c r="Q932" s="17" t="str">
        <x:v>225012</x:v>
      </x:c>
      <x:c r="R932" s="17" t="str">
        <x:v>tt0629610</x:v>
      </x:c>
      <x:c r="S932" s="17" t="str">
        <x:v>560</x:v>
      </x:c>
    </x:row>
    <x:row r="933">
      <x:c r="A933" s="43" t="n">
        <x:v>929</x:v>
      </x:c>
      <x:c r="B933" s="44" t="str">
        <x:v>Not Started</x:v>
      </x:c>
      <x:c r="C933" s="45" t="n">
        <x:v>37563</x:v>
      </x:c>
      <x:c r="D933" s="33" t="str">
        <x:v>Law &amp; Order: Criminal Intent</x:v>
      </x:c>
      <x:c r="E933" s="33" t="str">
        <x:v>Law &amp; Order</x:v>
      </x:c>
      <x:c r="F933" s="33" t="str">
        <x:v>core</x:v>
      </x:c>
      <x:c r="G933" s="50" t="n">
        <x:v>2</x:v>
      </x:c>
      <x:c r="H933" s="50" t="n">
        <x:v>6</x:v>
      </x:c>
      <x:c r="I933" s="44" t="str">
        <x:v>02.06</x:v>
      </x:c>
      <x:c r="J933" s="33" t="str">
        <x:v>Malignant</x:v>
      </x:c>
      <x:c r="K933" s="33" t="str"/>
      <x:c r="L933" s="33" t="str"/>
      <x:c r="M933" s="44" t="str"/>
      <x:c r="N933" s="50" t="n">
        <x:v>44</x:v>
      </x:c>
      <x:c r="O933" s="53" t="str">
        <x:v>A robbery that involved two fatalities leads to the discovery of a long-running case of tampering with drugs. Goren and Eames have to figure out a way of catching a pharmacist who has been diluting cancer medication without using the exhumated bodies of patients who had been given the medicine.</x:v>
      </x:c>
      <x:c r="P933" s="53" t="str">
        <x:v>Core Law &amp; Order franchise</x:v>
      </x:c>
      <x:c r="Q933" s="17" t="str">
        <x:v>341239</x:v>
      </x:c>
      <x:c r="R933" s="17" t="str">
        <x:v>tt0629552</x:v>
      </x:c>
      <x:c r="S933" s="17" t="str">
        <x:v>561</x:v>
      </x:c>
    </x:row>
    <x:row r="934">
      <x:c r="A934" s="43" t="n">
        <x:v>930</x:v>
      </x:c>
      <x:c r="B934" s="44" t="str">
        <x:v>Not Started</x:v>
      </x:c>
      <x:c r="C934" s="45" t="n">
        <x:v>37566</x:v>
      </x:c>
      <x:c r="D934" s="33" t="str">
        <x:v>Law &amp; Order</x:v>
      </x:c>
      <x:c r="E934" s="33" t="str">
        <x:v>Law &amp; Order</x:v>
      </x:c>
      <x:c r="F934" s="33" t="str">
        <x:v>core</x:v>
      </x:c>
      <x:c r="G934" s="50" t="n">
        <x:v>13</x:v>
      </x:c>
      <x:c r="H934" s="50" t="n">
        <x:v>5</x:v>
      </x:c>
      <x:c r="I934" s="44" t="str">
        <x:v>13.05</x:v>
      </x:c>
      <x:c r="J934" s="33" t="str">
        <x:v>The Ring</x:v>
      </x:c>
      <x:c r="K934" s="33" t="str"/>
      <x:c r="L934" s="33" t="str"/>
      <x:c r="M934" s="44" t="str"/>
      <x:c r="N934" s="50" t="n">
        <x:v>43</x:v>
      </x:c>
      <x:c r="O934" s="53" t="str">
        <x:v>The discovery of a body in Hells Kitchen who had been wearing a $40,000 diamond ring leads the detectives back to the World Trade Center attacks as the victim had been reported to have died when Tower One collapsed. The ensuing investigation leads to a fiancee and a lover and the determination that the events of 9/11 may have been good timing to hide the fact that she was murdered the night before.</x:v>
      </x:c>
      <x:c r="P934" s="53" t="str">
        <x:v>Core Law &amp; Order franchise</x:v>
      </x:c>
      <x:c r="Q934" s="17" t="str">
        <x:v>34336</x:v>
      </x:c>
      <x:c r="R934" s="17" t="str">
        <x:v>tt0629459</x:v>
      </x:c>
      <x:c r="S934" s="17" t="str">
        <x:v>562</x:v>
      </x:c>
    </x:row>
    <x:row r="935">
      <x:c r="A935" s="43" t="n">
        <x:v>931</x:v>
      </x:c>
      <x:c r="B935" s="44" t="str">
        <x:v>Watched</x:v>
      </x:c>
      <x:c r="C935" s="45" t="n">
        <x:v>37568</x:v>
      </x:c>
      <x:c r="D935" s="33" t="str">
        <x:v>Law &amp; Order: Special Victims Unit</x:v>
      </x:c>
      <x:c r="E935" s="33" t="str">
        <x:v>Law &amp; Order</x:v>
      </x:c>
      <x:c r="F935" s="33" t="str">
        <x:v>core</x:v>
      </x:c>
      <x:c r="G935" s="50" t="n">
        <x:v>4</x:v>
      </x:c>
      <x:c r="H935" s="50" t="n">
        <x:v>7</x:v>
      </x:c>
      <x:c r="I935" s="44" t="str">
        <x:v>04.07</x:v>
      </x:c>
      <x:c r="J935" s="33" t="str">
        <x:v>Dolls</x:v>
      </x:c>
      <x:c r="K935" s="33" t="str"/>
      <x:c r="L935" s="33" t="str"/>
      <x:c r="M935" s="44" t="str"/>
      <x:c r="N935" s="50" t="n">
        <x:v>43</x:v>
      </x:c>
      <x:c r="O935" s="53" t="str">
        <x:v>Detectives try and solve the gruesome murder of a sexually molested five-year-old girl whose killer, a serial pedophile, has an obsession with dolls. They race to save the life of his latest victim.</x:v>
      </x:c>
      <x:c r="P935" s="53" t="str">
        <x:v>Core Law &amp; Order franchise</x:v>
      </x:c>
      <x:c r="Q935" s="17" t="str">
        <x:v>225013</x:v>
      </x:c>
      <x:c r="R935" s="17" t="str">
        <x:v>tt0629647</x:v>
      </x:c>
      <x:c r="S935" s="17" t="str">
        <x:v>563</x:v>
      </x:c>
    </x:row>
    <x:row r="936">
      <x:c r="A936" s="43" t="n">
        <x:v>932</x:v>
      </x:c>
      <x:c r="B936" s="44" t="str">
        <x:v>Not Started</x:v>
      </x:c>
      <x:c r="C936" s="45" t="n">
        <x:v>37570</x:v>
      </x:c>
      <x:c r="D936" s="33" t="str">
        <x:v>Law &amp; Order: Criminal Intent</x:v>
      </x:c>
      <x:c r="E936" s="33" t="str">
        <x:v>Law &amp; Order</x:v>
      </x:c>
      <x:c r="F936" s="33" t="str">
        <x:v>core</x:v>
      </x:c>
      <x:c r="G936" s="50" t="n">
        <x:v>2</x:v>
      </x:c>
      <x:c r="H936" s="50" t="n">
        <x:v>7</x:v>
      </x:c>
      <x:c r="I936" s="44" t="str">
        <x:v>02.07</x:v>
      </x:c>
      <x:c r="J936" s="33" t="str">
        <x:v>Tomorrow</x:v>
      </x:c>
      <x:c r="K936" s="33" t="str"/>
      <x:c r="L936" s="33" t="str"/>
      <x:c r="M936" s="44" t="str"/>
      <x:c r="N936" s="50" t="n">
        <x:v>44</x:v>
      </x:c>
      <x:c r="O936" s="53" t="str">
        <x:v>The detectives investigate a triple murder, including the son and daughter of a wealthy businessman, that occurred in his apartment. After investigating the childrens' stepmother (his second wife), they turn to a pair of nannies, one of whom works for the family. However, the detectives must reach back to the nannies' history as children, and a television soap opera, in order to better understand the motives for the crime.</x:v>
      </x:c>
      <x:c r="P936" s="53" t="str">
        <x:v>Core Law &amp; Order franchise</x:v>
      </x:c>
      <x:c r="Q936" s="17" t="str">
        <x:v>341240</x:v>
      </x:c>
      <x:c r="R936" s="17" t="str">
        <x:v>tt0629594</x:v>
      </x:c>
      <x:c r="S936" s="17" t="str">
        <x:v>564</x:v>
      </x:c>
    </x:row>
    <x:row r="937">
      <x:c r="A937" s="43" t="n">
        <x:v>933</x:v>
      </x:c>
      <x:c r="B937" s="44" t="str">
        <x:v>Not Started</x:v>
      </x:c>
      <x:c r="C937" s="45" t="n">
        <x:v>37573</x:v>
      </x:c>
      <x:c r="D937" s="33" t="str">
        <x:v>Law &amp; Order</x:v>
      </x:c>
      <x:c r="E937" s="33" t="str">
        <x:v>Law &amp; Order</x:v>
      </x:c>
      <x:c r="F937" s="33" t="str">
        <x:v>core</x:v>
      </x:c>
      <x:c r="G937" s="50" t="n">
        <x:v>13</x:v>
      </x:c>
      <x:c r="H937" s="50" t="n">
        <x:v>6</x:v>
      </x:c>
      <x:c r="I937" s="44" t="str">
        <x:v>13.06</x:v>
      </x:c>
      <x:c r="J937" s="33" t="str">
        <x:v>Hitman</x:v>
      </x:c>
      <x:c r="K937" s="33" t="str"/>
      <x:c r="L937" s="33" t="str"/>
      <x:c r="M937" s="44" t="str"/>
      <x:c r="N937" s="50" t="n">
        <x:v>45</x:v>
      </x:c>
      <x:c r="O937" s="53" t="str">
        <x:v>The execution style shooting of a city contractor leads Detectives Briscoe and Green to suspect a professional hitman. They first focus upon possible enemies of the victim, but end up suspecting the victim's wife and her boyfried of hiring the killer. However later discovered evidence leads McCoy and Southerlyn to a conspirator that no one had suspected.</x:v>
      </x:c>
      <x:c r="P937" s="53" t="str">
        <x:v>Core Law &amp; Order franchise</x:v>
      </x:c>
      <x:c r="Q937" s="17" t="str">
        <x:v>34337</x:v>
      </x:c>
      <x:c r="R937" s="17" t="str">
        <x:v>tt0629298</x:v>
      </x:c>
      <x:c r="S937" s="17" t="str">
        <x:v>565</x:v>
      </x:c>
    </x:row>
    <x:row r="938">
      <x:c r="A938" s="43" t="n">
        <x:v>934</x:v>
      </x:c>
      <x:c r="B938" s="44" t="str">
        <x:v>Watched</x:v>
      </x:c>
      <x:c r="C938" s="45" t="n">
        <x:v>37575</x:v>
      </x:c>
      <x:c r="D938" s="33" t="str">
        <x:v>Law &amp; Order: Special Victims Unit</x:v>
      </x:c>
      <x:c r="E938" s="33" t="str">
        <x:v>Law &amp; Order</x:v>
      </x:c>
      <x:c r="F938" s="33" t="str">
        <x:v>core</x:v>
      </x:c>
      <x:c r="G938" s="50" t="n">
        <x:v>4</x:v>
      </x:c>
      <x:c r="H938" s="50" t="n">
        <x:v>8</x:v>
      </x:c>
      <x:c r="I938" s="44" t="str">
        <x:v>04.08</x:v>
      </x:c>
      <x:c r="J938" s="33" t="str">
        <x:v>Waste</x:v>
      </x:c>
      <x:c r="K938" s="33" t="str"/>
      <x:c r="L938" s="33" t="str"/>
      <x:c r="M938" s="44" t="str"/>
      <x:c r="N938" s="50" t="n">
        <x:v>44</x:v>
      </x:c>
      <x:c r="O938" s="53" t="str">
        <x:v>The Detectives investigate the rape of a woman who's been in a coma for a year, and after eliminating a huge pool of suspects, they make a startling discovery.</x:v>
      </x:c>
      <x:c r="P938" s="53" t="str">
        <x:v>Core Law &amp; Order franchise</x:v>
      </x:c>
      <x:c r="Q938" s="17" t="str">
        <x:v>225014</x:v>
      </x:c>
      <x:c r="R938" s="17" t="str">
        <x:v>tt0629754</x:v>
      </x:c>
      <x:c r="S938" s="17" t="str">
        <x:v>566</x:v>
      </x:c>
    </x:row>
    <x:row r="939">
      <x:c r="A939" s="43" t="n">
        <x:v>935</x:v>
      </x:c>
      <x:c r="B939" s="44" t="str">
        <x:v>Not Started</x:v>
      </x:c>
      <x:c r="C939" s="45" t="n">
        <x:v>37577</x:v>
      </x:c>
      <x:c r="D939" s="33" t="str">
        <x:v>Law &amp; Order: Criminal Intent</x:v>
      </x:c>
      <x:c r="E939" s="33" t="str">
        <x:v>Law &amp; Order</x:v>
      </x:c>
      <x:c r="F939" s="33" t="str">
        <x:v>core</x:v>
      </x:c>
      <x:c r="G939" s="50" t="n">
        <x:v>2</x:v>
      </x:c>
      <x:c r="H939" s="50" t="n">
        <x:v>8</x:v>
      </x:c>
      <x:c r="I939" s="44" t="str">
        <x:v>02.08</x:v>
      </x:c>
      <x:c r="J939" s="33" t="str">
        <x:v>The Pilgrim</x:v>
      </x:c>
      <x:c r="K939" s="33" t="str"/>
      <x:c r="L939" s="33" t="str"/>
      <x:c r="M939" s="44" t="str"/>
      <x:c r="N939" s="50" t="n">
        <x:v>44</x:v>
      </x:c>
      <x:c r="O939" s="53" t="str">
        <x:v>The detectives are called to investigate the adult daughter of a retired officer which takes them to a case of terrorism involving someone she knew that includes a shipment of explosives.</x:v>
      </x:c>
      <x:c r="P939" s="53" t="str">
        <x:v>Core Law &amp; Order franchise</x:v>
      </x:c>
      <x:c r="Q939" s="17" t="str">
        <x:v>341241</x:v>
      </x:c>
      <x:c r="R939" s="17" t="str">
        <x:v>tt0629589</x:v>
      </x:c>
      <x:c r="S939" s="17" t="str">
        <x:v>567</x:v>
      </x:c>
    </x:row>
    <x:row r="940">
      <x:c r="A940" s="43" t="n">
        <x:v>936</x:v>
      </x:c>
      <x:c r="B940" s="44" t="str">
        <x:v>Not Started</x:v>
      </x:c>
      <x:c r="C940" s="45" t="n">
        <x:v>37580</x:v>
      </x:c>
      <x:c r="D940" s="33" t="str">
        <x:v>Law &amp; Order</x:v>
      </x:c>
      <x:c r="E940" s="33" t="str">
        <x:v>Law &amp; Order</x:v>
      </x:c>
      <x:c r="F940" s="33" t="str">
        <x:v>core</x:v>
      </x:c>
      <x:c r="G940" s="50" t="n">
        <x:v>13</x:v>
      </x:c>
      <x:c r="H940" s="50" t="n">
        <x:v>7</x:v>
      </x:c>
      <x:c r="I940" s="44" t="str">
        <x:v>13.07</x:v>
      </x:c>
      <x:c r="J940" s="33" t="str">
        <x:v>Open Season</x:v>
      </x:c>
      <x:c r="K940" s="33" t="str"/>
      <x:c r="L940" s="33" t="str"/>
      <x:c r="M940" s="44" t="str"/>
      <x:c r="N940" s="50" t="n">
        <x:v>45</x:v>
      </x:c>
      <x:c r="O940" s="53" t="str">
        <x:v>A defense attorney who had just acquitted a cop killer is gunned down outside a Manhattan restaurant. The detectives start with police officers in the precinct of the injured officer, then to his brother, before they are led to a white supremacist who is part of a national network. McCoy is faced with the unlikely prospect that the defendant's attorney, his friend of 20 years and a friend of the slain lawyer, played a part in the murder of a Florida district attorney following the defendant's arrest. McCoy is able to make a deal that perserves the integrity of his adversary, but not without a cost.</x:v>
      </x:c>
      <x:c r="P940" s="53" t="str">
        <x:v>Core Law &amp; Order franchise</x:v>
      </x:c>
      <x:c r="Q940" s="17" t="str">
        <x:v>34338</x:v>
      </x:c>
      <x:c r="R940" s="17" t="str">
        <x:v>tt0629360</x:v>
      </x:c>
      <x:c r="S940" s="17" t="str">
        <x:v>568</x:v>
      </x:c>
    </x:row>
    <x:row r="941">
      <x:c r="A941" s="43" t="n">
        <x:v>937</x:v>
      </x:c>
      <x:c r="B941" s="44" t="str">
        <x:v>Watched</x:v>
      </x:c>
      <x:c r="C941" s="45" t="n">
        <x:v>37582</x:v>
      </x:c>
      <x:c r="D941" s="33" t="str">
        <x:v>Law &amp; Order: Special Victims Unit</x:v>
      </x:c>
      <x:c r="E941" s="33" t="str">
        <x:v>Law &amp; Order</x:v>
      </x:c>
      <x:c r="F941" s="33" t="str">
        <x:v>core</x:v>
      </x:c>
      <x:c r="G941" s="50" t="n">
        <x:v>4</x:v>
      </x:c>
      <x:c r="H941" s="50" t="n">
        <x:v>9</x:v>
      </x:c>
      <x:c r="I941" s="44" t="str">
        <x:v>04.09</x:v>
      </x:c>
      <x:c r="J941" s="33" t="str">
        <x:v>Juvenile</x:v>
      </x:c>
      <x:c r="K941" s="33" t="str"/>
      <x:c r="L941" s="33" t="str"/>
      <x:c r="M941" s="44" t="str"/>
      <x:c r="N941" s="50" t="n">
        <x:v>42</x:v>
      </x:c>
      <x:c r="O941" s="53" t="str">
        <x:v>A cancer patient, who was growing marijuana in her apartment and selling it, is found raped and murdered, sending the detectives on a hunt for two middle school students, each blaming the other.</x:v>
      </x:c>
      <x:c r="P941" s="53" t="str">
        <x:v>Core Law &amp; Order franchise</x:v>
      </x:c>
      <x:c r="Q941" s="17" t="str">
        <x:v>225015</x:v>
      </x:c>
      <x:c r="R941" s="17" t="str">
        <x:v>tt0629675</x:v>
      </x:c>
      <x:c r="S941" s="17" t="str">
        <x:v>569</x:v>
      </x:c>
    </x:row>
    <x:row r="942">
      <x:c r="A942" s="43" t="n">
        <x:v>938</x:v>
      </x:c>
      <x:c r="B942" s="44" t="str">
        <x:v>Not Started</x:v>
      </x:c>
      <x:c r="C942" s="45" t="n">
        <x:v>37587</x:v>
      </x:c>
      <x:c r="D942" s="33" t="str">
        <x:v>Law &amp; Order</x:v>
      </x:c>
      <x:c r="E942" s="33" t="str">
        <x:v>Law &amp; Order</x:v>
      </x:c>
      <x:c r="F942" s="33" t="str">
        <x:v>core</x:v>
      </x:c>
      <x:c r="G942" s="50" t="n">
        <x:v>13</x:v>
      </x:c>
      <x:c r="H942" s="50" t="n">
        <x:v>8</x:v>
      </x:c>
      <x:c r="I942" s="44" t="str">
        <x:v>13.08</x:v>
      </x:c>
      <x:c r="J942" s="33" t="str">
        <x:v>Asterisk</x:v>
      </x:c>
      <x:c r="K942" s="33" t="str"/>
      <x:c r="L942" s="33" t="str"/>
      <x:c r="M942" s="44" t="str"/>
      <x:c r="N942" s="50" t="n">
        <x:v>44</x:v>
      </x:c>
      <x:c r="O942" s="53" t="str">
        <x:v>A star baseball player becomes the prime suspect in the murder of his limousine driver when it is discovered that the driver regularly supplied steroids to the sports icon. The subsequent investigation reveals blackmail as the underlying motive for the murder.</x:v>
      </x:c>
      <x:c r="P942" s="53" t="str">
        <x:v>Core Law &amp; Order franchise</x:v>
      </x:c>
      <x:c r="Q942" s="17" t="str">
        <x:v>34339</x:v>
      </x:c>
      <x:c r="R942" s="17" t="str">
        <x:v>tt0629162</x:v>
      </x:c>
      <x:c r="S942" s="17" t="str">
        <x:v>570</x:v>
      </x:c>
    </x:row>
    <x:row r="943">
      <x:c r="A943" s="43" t="n">
        <x:v>939</x:v>
      </x:c>
      <x:c r="B943" s="44" t="str">
        <x:v>Not Started</x:v>
      </x:c>
      <x:c r="C943" s="45" t="n">
        <x:v>37591</x:v>
      </x:c>
      <x:c r="D943" s="33" t="str">
        <x:v>Law &amp; Order: Criminal Intent</x:v>
      </x:c>
      <x:c r="E943" s="33" t="str">
        <x:v>Law &amp; Order</x:v>
      </x:c>
      <x:c r="F943" s="33" t="str">
        <x:v>core</x:v>
      </x:c>
      <x:c r="G943" s="50" t="n">
        <x:v>2</x:v>
      </x:c>
      <x:c r="H943" s="50" t="n">
        <x:v>9</x:v>
      </x:c>
      <x:c r="I943" s="44" t="str">
        <x:v>02.09</x:v>
      </x:c>
      <x:c r="J943" s="33" t="str">
        <x:v>Shandeh</x:v>
      </x:c>
      <x:c r="K943" s="33" t="str"/>
      <x:c r="L943" s="33" t="str"/>
      <x:c r="M943" s="44" t="str"/>
      <x:c r="N943" s="50" t="n">
        <x:v>44</x:v>
      </x:c>
      <x:c r="O943" s="53" t="str">
        <x:v>The investigation into the murder of a Jewish woman turns towards her family once Goren and Eames find out about her husband's affair.</x:v>
      </x:c>
      <x:c r="P943" s="53" t="str">
        <x:v>Core Law &amp; Order franchise</x:v>
      </x:c>
      <x:c r="Q943" s="17" t="str">
        <x:v>341242</x:v>
      </x:c>
      <x:c r="R943" s="17" t="str">
        <x:v>tt0629572</x:v>
      </x:c>
      <x:c r="S943" s="17" t="str">
        <x:v>571</x:v>
      </x:c>
    </x:row>
    <x:row r="944">
      <x:c r="A944" s="43" t="n">
        <x:v>940</x:v>
      </x:c>
      <x:c r="B944" s="44" t="str">
        <x:v>Watched</x:v>
      </x:c>
      <x:c r="C944" s="45" t="n">
        <x:v>37596</x:v>
      </x:c>
      <x:c r="D944" s="33" t="str">
        <x:v>Law &amp; Order: Special Victims Unit</x:v>
      </x:c>
      <x:c r="E944" s="33" t="str">
        <x:v>Law &amp; Order</x:v>
      </x:c>
      <x:c r="F944" s="33" t="str">
        <x:v>core</x:v>
      </x:c>
      <x:c r="G944" s="50" t="n">
        <x:v>4</x:v>
      </x:c>
      <x:c r="H944" s="50" t="n">
        <x:v>10</x:v>
      </x:c>
      <x:c r="I944" s="44" t="str">
        <x:v>04.10</x:v>
      </x:c>
      <x:c r="J944" s="33" t="str">
        <x:v>Resilience</x:v>
      </x:c>
      <x:c r="K944" s="33" t="str"/>
      <x:c r="L944" s="33" t="str"/>
      <x:c r="M944" s="44" t="str"/>
      <x:c r="N944" s="50" t="n">
        <x:v>43</x:v>
      </x:c>
      <x:c r="O944" s="53" t="str">
        <x:v>A 14-year-old girl tries to commit suicide by jumping in front of a train after she is raped. She falsely accuses an ex-boyfriend but when the search turns to her dysfunctional family, surprise discoveries are made and SVU discovers that the family is even worse off than they thought.</x:v>
      </x:c>
      <x:c r="P944" s="53" t="str">
        <x:v>Core Law &amp; Order franchise</x:v>
      </x:c>
      <x:c r="Q944" s="17" t="str">
        <x:v>225016</x:v>
      </x:c>
      <x:c r="R944" s="17" t="str">
        <x:v>tt0629716</x:v>
      </x:c>
      <x:c r="S944" s="17" t="str">
        <x:v>572</x:v>
      </x:c>
    </x:row>
    <x:row r="945">
      <x:c r="A945" s="43" t="n">
        <x:v>941</x:v>
      </x:c>
      <x:c r="B945" s="44" t="str">
        <x:v>Not Started</x:v>
      </x:c>
      <x:c r="C945" s="45" t="n">
        <x:v>37601</x:v>
      </x:c>
      <x:c r="D945" s="33" t="str">
        <x:v>Law &amp; Order</x:v>
      </x:c>
      <x:c r="E945" s="33" t="str">
        <x:v>Law &amp; Order</x:v>
      </x:c>
      <x:c r="F945" s="33" t="str">
        <x:v>core</x:v>
      </x:c>
      <x:c r="G945" s="50" t="n">
        <x:v>13</x:v>
      </x:c>
      <x:c r="H945" s="50" t="n">
        <x:v>9</x:v>
      </x:c>
      <x:c r="I945" s="44" t="str">
        <x:v>13.09</x:v>
      </x:c>
      <x:c r="J945" s="33" t="str">
        <x:v>The Wheel</x:v>
      </x:c>
      <x:c r="K945" s="33" t="str"/>
      <x:c r="L945" s="33" t="str"/>
      <x:c r="M945" s="44" t="str"/>
      <x:c r="N945" s="50" t="n">
        <x:v>43</x:v>
      </x:c>
      <x:c r="O945" s="53" t="str">
        <x:v>The smoldering corpse of an Asian girl found outside the Chinese consul general's apartment leads the detectives to believe she had made a political statement. When forensics shows that she had been murdered beforehand, they find themselves in the middle of a religious conflict with the consul general their prime suspect and his attorney an old friend of District Attorney Branch.</x:v>
      </x:c>
      <x:c r="P945" s="53" t="str">
        <x:v>Core Law &amp; Order franchise</x:v>
      </x:c>
      <x:c r="Q945" s="17" t="str">
        <x:v>34340</x:v>
      </x:c>
      <x:c r="R945" s="17" t="str">
        <x:v>tt0629468</x:v>
      </x:c>
      <x:c r="S945" s="17" t="str">
        <x:v>573</x:v>
      </x:c>
    </x:row>
    <x:row r="946">
      <x:c r="A946" s="43" t="n">
        <x:v>942</x:v>
      </x:c>
      <x:c r="B946" s="44" t="str">
        <x:v>Not Started</x:v>
      </x:c>
      <x:c r="C946" s="45" t="n">
        <x:v>37626</x:v>
      </x:c>
      <x:c r="D946" s="33" t="str">
        <x:v>Law &amp; Order: Criminal Intent</x:v>
      </x:c>
      <x:c r="E946" s="33" t="str">
        <x:v>Law &amp; Order</x:v>
      </x:c>
      <x:c r="F946" s="33" t="str">
        <x:v>core</x:v>
      </x:c>
      <x:c r="G946" s="50" t="n">
        <x:v>2</x:v>
      </x:c>
      <x:c r="H946" s="50" t="n">
        <x:v>10</x:v>
      </x:c>
      <x:c r="I946" s="44" t="str">
        <x:v>02.10</x:v>
      </x:c>
      <x:c r="J946" s="33" t="str">
        <x:v>Con-Text</x:v>
      </x:c>
      <x:c r="K946" s="33" t="str"/>
      <x:c r="L946" s="33" t="str"/>
      <x:c r="M946" s="44" t="str"/>
      <x:c r="N946" s="50" t="n">
        <x:v>44</x:v>
      </x:c>
      <x:c r="O946" s="53" t="str">
        <x:v>Goren and Eames run a con of their own on a phony motivational speaker whom they suspect exploited a fragile disciple by convincing him to commit murder for profit.</x:v>
      </x:c>
      <x:c r="P946" s="53" t="str">
        <x:v>Core Law &amp; Order franchise</x:v>
      </x:c>
      <x:c r="Q946" s="17" t="str">
        <x:v>341243</x:v>
      </x:c>
      <x:c r="R946" s="17" t="str">
        <x:v>tt0629518</x:v>
      </x:c>
      <x:c r="S946" s="17" t="str">
        <x:v>574</x:v>
      </x:c>
    </x:row>
    <x:row r="947">
      <x:c r="A947" s="43" t="n">
        <x:v>943</x:v>
      </x:c>
      <x:c r="B947" s="44" t="str">
        <x:v>Not Started</x:v>
      </x:c>
      <x:c r="C947" s="45" t="n">
        <x:v>37629</x:v>
      </x:c>
      <x:c r="D947" s="33" t="str">
        <x:v>Law &amp; Order</x:v>
      </x:c>
      <x:c r="E947" s="33" t="str">
        <x:v>Law &amp; Order</x:v>
      </x:c>
      <x:c r="F947" s="33" t="str">
        <x:v>core</x:v>
      </x:c>
      <x:c r="G947" s="50" t="n">
        <x:v>13</x:v>
      </x:c>
      <x:c r="H947" s="50" t="n">
        <x:v>10</x:v>
      </x:c>
      <x:c r="I947" s="44" t="str">
        <x:v>13.10</x:v>
      </x:c>
      <x:c r="J947" s="33" t="str">
        <x:v>Mother's Day</x:v>
      </x:c>
      <x:c r="K947" s="33" t="str"/>
      <x:c r="L947" s="33" t="str"/>
      <x:c r="M947" s="44" t="str"/>
      <x:c r="N947" s="50" t="n">
        <x:v>45</x:v>
      </x:c>
      <x:c r="O947" s="53" t="str">
        <x:v>The hit-and-run death of a popular high-school student leaves the detectives suspecting the girl's father was the real target. When evidence reveals that the death was possibly a random killing, they are able to track down their suspect to his apartment. However things get complicated when their killer is murdered, and the person who committed the crime happens to be the victim's mother.</x:v>
      </x:c>
      <x:c r="P947" s="53" t="str">
        <x:v>Core Law &amp; Order franchise</x:v>
      </x:c>
      <x:c r="Q947" s="17" t="str">
        <x:v>34341</x:v>
      </x:c>
      <x:c r="R947" s="17" t="str">
        <x:v>tt0629347</x:v>
      </x:c>
      <x:c r="S947" s="17" t="str">
        <x:v>575</x:v>
      </x:c>
    </x:row>
    <x:row r="948">
      <x:c r="A948" s="43" t="n">
        <x:v>944</x:v>
      </x:c>
      <x:c r="B948" s="44" t="str">
        <x:v>Watched</x:v>
      </x:c>
      <x:c r="C948" s="45" t="n">
        <x:v>37631</x:v>
      </x:c>
      <x:c r="D948" s="33" t="str">
        <x:v>Law &amp; Order: Special Victims Unit</x:v>
      </x:c>
      <x:c r="E948" s="33" t="str">
        <x:v>Law &amp; Order</x:v>
      </x:c>
      <x:c r="F948" s="33" t="str">
        <x:v>core</x:v>
      </x:c>
      <x:c r="G948" s="50" t="n">
        <x:v>4</x:v>
      </x:c>
      <x:c r="H948" s="50" t="n">
        <x:v>11</x:v>
      </x:c>
      <x:c r="I948" s="44" t="str">
        <x:v>04.11</x:v>
      </x:c>
      <x:c r="J948" s="33" t="str">
        <x:v>Damaged</x:v>
      </x:c>
      <x:c r="K948" s="33" t="str"/>
      <x:c r="L948" s="33" t="str"/>
      <x:c r="M948" s="44" t="str"/>
      <x:c r="N948" s="50" t="n">
        <x:v>43</x:v>
      </x:c>
      <x:c r="O948" s="53" t="str">
        <x:v>A six-year-old girl is critically injured in an apparent robbery-gone-bad and later dies. The investigation gets complicated when it is discovered that the murders were designed to silence the young girl, who was sexually abused.</x:v>
      </x:c>
      <x:c r="P948" s="53" t="str">
        <x:v>Core Law &amp; Order franchise</x:v>
      </x:c>
      <x:c r="Q948" s="17" t="str">
        <x:v>225017</x:v>
      </x:c>
      <x:c r="R948" s="17" t="str">
        <x:v>tt0629638</x:v>
      </x:c>
      <x:c r="S948" s="17" t="str">
        <x:v>576</x:v>
      </x:c>
    </x:row>
    <x:row r="949">
      <x:c r="A949" s="43" t="n">
        <x:v>945</x:v>
      </x:c>
      <x:c r="B949" s="44" t="str">
        <x:v>Not Started</x:v>
      </x:c>
      <x:c r="C949" s="45" t="n">
        <x:v>37633</x:v>
      </x:c>
      <x:c r="D949" s="33" t="str">
        <x:v>Law &amp; Order: Criminal Intent</x:v>
      </x:c>
      <x:c r="E949" s="33" t="str">
        <x:v>Law &amp; Order</x:v>
      </x:c>
      <x:c r="F949" s="33" t="str">
        <x:v>core</x:v>
      </x:c>
      <x:c r="G949" s="50" t="n">
        <x:v>2</x:v>
      </x:c>
      <x:c r="H949" s="50" t="n">
        <x:v>11</x:v>
      </x:c>
      <x:c r="I949" s="44" t="str">
        <x:v>02.11</x:v>
      </x:c>
      <x:c r="J949" s="33" t="str">
        <x:v>Baggage</x:v>
      </x:c>
      <x:c r="K949" s="33" t="str"/>
      <x:c r="L949" s="33" t="str"/>
      <x:c r="M949" s="44" t="str"/>
      <x:c r="N949" s="50" t="n">
        <x:v>44</x:v>
      </x:c>
      <x:c r="O949" s="53" t="str">
        <x:v>When an airline baggage supervisor is found murdered in the trunk of her car, the detectives investigate the employees listed in a sexual harrassment complaint which leads them to a scam involving credit cards and credit reports with foreign links.</x:v>
      </x:c>
      <x:c r="P949" s="53" t="str">
        <x:v>Core Law &amp; Order franchise</x:v>
      </x:c>
      <x:c r="Q949" s="17" t="str">
        <x:v>341244</x:v>
      </x:c>
      <x:c r="R949" s="17" t="str">
        <x:v>tt0629508</x:v>
      </x:c>
      <x:c r="S949" s="17" t="str">
        <x:v>577</x:v>
      </x:c>
    </x:row>
    <x:row r="950">
      <x:c r="A950" s="43" t="n">
        <x:v>946</x:v>
      </x:c>
      <x:c r="B950" s="44" t="str">
        <x:v>Not Started</x:v>
      </x:c>
      <x:c r="C950" s="45" t="n">
        <x:v>37636</x:v>
      </x:c>
      <x:c r="D950" s="33" t="str">
        <x:v>Law &amp; Order</x:v>
      </x:c>
      <x:c r="E950" s="33" t="str">
        <x:v>Law &amp; Order</x:v>
      </x:c>
      <x:c r="F950" s="33" t="str">
        <x:v>core</x:v>
      </x:c>
      <x:c r="G950" s="50" t="n">
        <x:v>13</x:v>
      </x:c>
      <x:c r="H950" s="50" t="n">
        <x:v>11</x:v>
      </x:c>
      <x:c r="I950" s="44" t="str">
        <x:v>13.11</x:v>
      </x:c>
      <x:c r="J950" s="33" t="str">
        <x:v>Chosen</x:v>
      </x:c>
      <x:c r="K950" s="33" t="str"/>
      <x:c r="L950" s="33" t="str"/>
      <x:c r="M950" s="44" t="str"/>
      <x:c r="N950" s="50" t="n">
        <x:v>45</x:v>
      </x:c>
      <x:c r="O950" s="53" t="str">
        <x:v>The murder of a bookie with a high-class clientelle leads the detectives to arrest his partner. Charged with first-degree murder, his attorney puts forth an unusual defense strategy that turns the trial into a political statement.</x:v>
      </x:c>
      <x:c r="P950" s="53" t="str">
        <x:v>Core Law &amp; Order franchise</x:v>
      </x:c>
      <x:c r="Q950" s="17" t="str">
        <x:v>34342</x:v>
      </x:c>
      <x:c r="R950" s="17" t="str">
        <x:v>tt0629205</x:v>
      </x:c>
      <x:c r="S950" s="17" t="str">
        <x:v>578</x:v>
      </x:c>
    </x:row>
    <x:row r="951">
      <x:c r="A951" s="43" t="n">
        <x:v>947</x:v>
      </x:c>
      <x:c r="B951" s="44" t="str">
        <x:v>Watched</x:v>
      </x:c>
      <x:c r="C951" s="45" t="n">
        <x:v>37638</x:v>
      </x:c>
      <x:c r="D951" s="33" t="str">
        <x:v>Law &amp; Order: Special Victims Unit</x:v>
      </x:c>
      <x:c r="E951" s="33" t="str">
        <x:v>Law &amp; Order</x:v>
      </x:c>
      <x:c r="F951" s="33" t="str">
        <x:v>core</x:v>
      </x:c>
      <x:c r="G951" s="50" t="n">
        <x:v>4</x:v>
      </x:c>
      <x:c r="H951" s="50" t="n">
        <x:v>12</x:v>
      </x:c>
      <x:c r="I951" s="44" t="str">
        <x:v>04.12</x:v>
      </x:c>
      <x:c r="J951" s="33" t="str">
        <x:v>Risk</x:v>
      </x:c>
      <x:c r="K951" s="33" t="str"/>
      <x:c r="L951" s="33" t="str"/>
      <x:c r="M951" s="44" t="str"/>
      <x:c r="N951" s="50" t="n">
        <x:v>41</x:v>
      </x:c>
      <x:c r="O951" s="53" t="str">
        <x:v>An infant ingests pure cocaine disguised in baby formula, uncovering a complicated narcotics ring with unlikely participants and the entire squad goes undercover to flush them out.</x:v>
      </x:c>
      <x:c r="P951" s="53" t="str">
        <x:v>Core Law &amp; Order franchise</x:v>
      </x:c>
      <x:c r="Q951" s="17" t="str">
        <x:v>225018</x:v>
      </x:c>
      <x:c r="R951" s="17" t="str">
        <x:v>tt0629719</x:v>
      </x:c>
      <x:c r="S951" s="17" t="str">
        <x:v>579</x:v>
      </x:c>
    </x:row>
    <x:row r="952">
      <x:c r="A952" s="43" t="n">
        <x:v>948</x:v>
      </x:c>
      <x:c r="B952" s="44" t="str">
        <x:v>Watched</x:v>
      </x:c>
      <x:c r="C952" s="45" t="n">
        <x:v>37645</x:v>
      </x:c>
      <x:c r="D952" s="33" t="str">
        <x:v>Law &amp; Order: Special Victims Unit</x:v>
      </x:c>
      <x:c r="E952" s="33" t="str">
        <x:v>Law &amp; Order</x:v>
      </x:c>
      <x:c r="F952" s="33" t="str">
        <x:v>core</x:v>
      </x:c>
      <x:c r="G952" s="50" t="n">
        <x:v>4</x:v>
      </x:c>
      <x:c r="H952" s="50" t="n">
        <x:v>13</x:v>
      </x:c>
      <x:c r="I952" s="44" t="str">
        <x:v>04.13</x:v>
      </x:c>
      <x:c r="J952" s="33" t="str">
        <x:v>Rotten</x:v>
      </x:c>
      <x:c r="K952" s="33" t="str"/>
      <x:c r="L952" s="33" t="str"/>
      <x:c r="M952" s="44" t="str"/>
      <x:c r="N952" s="50" t="n">
        <x:v>42</x:v>
      </x:c>
      <x:c r="O952" s="53" t="str">
        <x:v>In their investigation of a prisoner's death, Benson and Tutuola learn that he was sexually assaulted before being incarcerated and since it happened while in custody, the police are suspected.</x:v>
      </x:c>
      <x:c r="P952" s="53" t="str">
        <x:v>Core Law &amp; Order franchise</x:v>
      </x:c>
      <x:c r="Q952" s="17" t="str">
        <x:v>225019</x:v>
      </x:c>
      <x:c r="R952" s="17" t="str">
        <x:v>tt0629723</x:v>
      </x:c>
      <x:c r="S952" s="17" t="str">
        <x:v>580</x:v>
      </x:c>
    </x:row>
    <x:row r="953">
      <x:c r="A953" s="43" t="n">
        <x:v>949</x:v>
      </x:c>
      <x:c r="B953" s="44" t="str">
        <x:v>Watched</x:v>
      </x:c>
      <x:c r="C953" s="45" t="n">
        <x:v>37652</x:v>
      </x:c>
      <x:c r="D953" s="33" t="str">
        <x:v>Law &amp; Order: Special Victims Unit</x:v>
      </x:c>
      <x:c r="E953" s="33" t="str">
        <x:v>Law &amp; Order</x:v>
      </x:c>
      <x:c r="F953" s="33" t="str">
        <x:v>core</x:v>
      </x:c>
      <x:c r="G953" s="50" t="n">
        <x:v>4</x:v>
      </x:c>
      <x:c r="H953" s="50" t="n">
        <x:v>14</x:v>
      </x:c>
      <x:c r="I953" s="44" t="str">
        <x:v>04.14</x:v>
      </x:c>
      <x:c r="J953" s="33" t="str">
        <x:v>Mercy</x:v>
      </x:c>
      <x:c r="K953" s="33" t="str"/>
      <x:c r="L953" s="33" t="str"/>
      <x:c r="M953" s="44" t="str"/>
      <x:c r="N953" s="50" t="n">
        <x:v>43</x:v>
      </x:c>
      <x:c r="O953" s="53" t="str">
        <x:v>When the body of a 1-month-old baby girl is found stuffed inside a cooler, the detectives are horrified. But they soon learn that the baby had a genetic disorder known as Tay-Sachs disease, and it may have been a mercy killing.</x:v>
      </x:c>
      <x:c r="P953" s="53" t="str">
        <x:v>Core Law &amp; Order franchise</x:v>
      </x:c>
      <x:c r="Q953" s="17" t="str">
        <x:v>225020</x:v>
      </x:c>
      <x:c r="R953" s="17" t="str">
        <x:v>tt0629684</x:v>
      </x:c>
      <x:c r="S953" s="17" t="str">
        <x:v>581</x:v>
      </x:c>
    </x:row>
    <x:row r="954">
      <x:c r="A954" s="43" t="n">
        <x:v>950</x:v>
      </x:c>
      <x:c r="B954" s="44" t="str">
        <x:v>Not Started</x:v>
      </x:c>
      <x:c r="C954" s="45" t="n">
        <x:v>37654</x:v>
      </x:c>
      <x:c r="D954" s="33" t="str">
        <x:v>L.A. Dragnet</x:v>
      </x:c>
      <x:c r="E954" s="33" t="str">
        <x:v>Wolf Adjacent</x:v>
      </x:c>
      <x:c r="F954" s="33" t="str">
        <x:v>adjacent</x:v>
      </x:c>
      <x:c r="G954" s="50" t="n">
        <x:v>1</x:v>
      </x:c>
      <x:c r="H954" s="50" t="n">
        <x:v>1</x:v>
      </x:c>
      <x:c r="I954" s="44" t="str">
        <x:v>01.01</x:v>
      </x:c>
      <x:c r="J954" s="33" t="str">
        <x:v>The Silver Slayer</x:v>
      </x:c>
      <x:c r="K954" s="33" t="str"/>
      <x:c r="L954" s="33" t="str"/>
      <x:c r="M954" s="44" t="str"/>
      <x:c r="N954" s="50" t="n">
        <x:v>41</x:v>
      </x:c>
      <x:c r="O954" s="53" t="str">
        <x:v>There is a series of murders involving woman and silver found on their bodies. Detectives Friday and Smith think that they have their killer, a man they caught near the second crime scene but he is greatly wounded during the chase. He dies soon after.</x:v>
      </x:c>
      <x:c r="P954" s="53" t="str">
        <x:v>2003 Dick Wolf-created Dragnet revival; kept separate from the 1950s Dragnet.</x:v>
      </x:c>
      <x:c r="Q954" s="17" t="str">
        <x:v>909234</x:v>
      </x:c>
      <x:c r="R954" s="17" t="str">
        <x:v>tt0565995</x:v>
      </x:c>
      <x:c r="S954" s="17" t="str"/>
    </x:row>
    <x:row r="955">
      <x:c r="A955" s="43" t="n">
        <x:v>951</x:v>
      </x:c>
      <x:c r="B955" s="44" t="str">
        <x:v>Not Started</x:v>
      </x:c>
      <x:c r="C955" s="45" t="n">
        <x:v>37654</x:v>
      </x:c>
      <x:c r="D955" s="33" t="str">
        <x:v>Law &amp; Order: Criminal Intent</x:v>
      </x:c>
      <x:c r="E955" s="33" t="str">
        <x:v>Law &amp; Order</x:v>
      </x:c>
      <x:c r="F955" s="33" t="str">
        <x:v>core</x:v>
      </x:c>
      <x:c r="G955" s="50" t="n">
        <x:v>2</x:v>
      </x:c>
      <x:c r="H955" s="50" t="n">
        <x:v>12</x:v>
      </x:c>
      <x:c r="I955" s="44" t="str">
        <x:v>02.12</x:v>
      </x:c>
      <x:c r="J955" s="33" t="str">
        <x:v>Suite Sorrow</x:v>
      </x:c>
      <x:c r="K955" s="33" t="str"/>
      <x:c r="L955" s="33" t="str"/>
      <x:c r="M955" s="44" t="str"/>
      <x:c r="N955" s="50" t="n">
        <x:v>44</x:v>
      </x:c>
      <x:c r="O955" s="53" t="str">
        <x:v>After the tyrannical owner of a Manhattan luxury hotel is found submerged in her bathtub, evidence seems increasingly to indicate that the woman's death was the work of her deeply frustrated, long-suffering daughter.</x:v>
      </x:c>
      <x:c r="P955" s="53" t="str">
        <x:v>Core Law &amp; Order franchise</x:v>
      </x:c>
      <x:c r="Q955" s="17" t="str">
        <x:v>341245</x:v>
      </x:c>
      <x:c r="R955" s="17" t="str">
        <x:v>tt0629581</x:v>
      </x:c>
      <x:c r="S955" s="17" t="str">
        <x:v>582</x:v>
      </x:c>
    </x:row>
    <x:row r="956">
      <x:c r="A956" s="43" t="n">
        <x:v>952</x:v>
      </x:c>
      <x:c r="B956" s="44" t="str">
        <x:v>Not Started</x:v>
      </x:c>
      <x:c r="C956" s="45" t="n">
        <x:v>37657</x:v>
      </x:c>
      <x:c r="D956" s="33" t="str">
        <x:v>Law &amp; Order</x:v>
      </x:c>
      <x:c r="E956" s="33" t="str">
        <x:v>Law &amp; Order</x:v>
      </x:c>
      <x:c r="F956" s="33" t="str">
        <x:v>core</x:v>
      </x:c>
      <x:c r="G956" s="50" t="n">
        <x:v>13</x:v>
      </x:c>
      <x:c r="H956" s="50" t="n">
        <x:v>12</x:v>
      </x:c>
      <x:c r="I956" s="44" t="str">
        <x:v>13.12</x:v>
      </x:c>
      <x:c r="J956" s="33" t="str">
        <x:v>Under God</x:v>
      </x:c>
      <x:c r="K956" s="33" t="str"/>
      <x:c r="L956" s="33" t="str"/>
      <x:c r="M956" s="44" t="str"/>
      <x:c r="N956" s="50" t="n">
        <x:v>45</x:v>
      </x:c>
      <x:c r="O956" s="53" t="str">
        <x:v>A dead teenager's father and a vigilante priest are suspects in the killing of a drug dealer.</x:v>
      </x:c>
      <x:c r="P956" s="53" t="str">
        <x:v>Core Law &amp; Order franchise</x:v>
      </x:c>
      <x:c r="Q956" s="17" t="str">
        <x:v>34343</x:v>
      </x:c>
      <x:c r="R956" s="17" t="str">
        <x:v>tt0629480</x:v>
      </x:c>
      <x:c r="S956" s="17" t="str">
        <x:v>583</x:v>
      </x:c>
    </x:row>
    <x:row r="957">
      <x:c r="A957" s="43" t="n">
        <x:v>953</x:v>
      </x:c>
      <x:c r="B957" s="44" t="str">
        <x:v>Watched</x:v>
      </x:c>
      <x:c r="C957" s="45" t="n">
        <x:v>37659</x:v>
      </x:c>
      <x:c r="D957" s="33" t="str">
        <x:v>Law &amp; Order: Special Victims Unit</x:v>
      </x:c>
      <x:c r="E957" s="33" t="str">
        <x:v>Law &amp; Order</x:v>
      </x:c>
      <x:c r="F957" s="33" t="str">
        <x:v>core</x:v>
      </x:c>
      <x:c r="G957" s="50" t="n">
        <x:v>4</x:v>
      </x:c>
      <x:c r="H957" s="50" t="n">
        <x:v>15</x:v>
      </x:c>
      <x:c r="I957" s="44" t="str">
        <x:v>04.15</x:v>
      </x:c>
      <x:c r="J957" s="33" t="str">
        <x:v>Pandora</x:v>
      </x:c>
      <x:c r="K957" s="33" t="str"/>
      <x:c r="L957" s="33" t="str"/>
      <x:c r="M957" s="44" t="str"/>
      <x:c r="N957" s="50" t="n">
        <x:v>43</x:v>
      </x:c>
      <x:c r="O957" s="53" t="str">
        <x:v>The brutal rape, and subsequent death, of a female motorist turns out to be an undercover FBI informant acting as a cyber vigilante for catching online pedophiles to capture the predator trafficking internet porn. The detectives find the victim's husband murdered and follow the trail of evidence for the latest victim she had been tracking, which ​turns into an international case of teenage prostitution, with ties to the Czech Republic.</x:v>
      </x:c>
      <x:c r="P957" s="53" t="str">
        <x:v>Core Law &amp; Order franchise</x:v>
      </x:c>
      <x:c r="Q957" s="17" t="str">
        <x:v>225021</x:v>
      </x:c>
      <x:c r="R957" s="17" t="str">
        <x:v>tt0629696</x:v>
      </x:c>
      <x:c r="S957" s="17" t="str">
        <x:v>584</x:v>
      </x:c>
    </x:row>
    <x:row r="958">
      <x:c r="A958" s="43" t="n">
        <x:v>954</x:v>
      </x:c>
      <x:c r="B958" s="44" t="str">
        <x:v>Not Started</x:v>
      </x:c>
      <x:c r="C958" s="45" t="n">
        <x:v>37661</x:v>
      </x:c>
      <x:c r="D958" s="33" t="str">
        <x:v>L.A. Dragnet</x:v>
      </x:c>
      <x:c r="E958" s="33" t="str">
        <x:v>Wolf Adjacent</x:v>
      </x:c>
      <x:c r="F958" s="33" t="str">
        <x:v>adjacent</x:v>
      </x:c>
      <x:c r="G958" s="50" t="n">
        <x:v>1</x:v>
      </x:c>
      <x:c r="H958" s="50" t="n">
        <x:v>2</x:v>
      </x:c>
      <x:c r="I958" s="44" t="str">
        <x:v>01.02</x:v>
      </x:c>
      <x:c r="J958" s="33" t="str">
        <x:v>The Big Ruckus</x:v>
      </x:c>
      <x:c r="K958" s="33" t="str"/>
      <x:c r="L958" s="33" t="str"/>
      <x:c r="M958" s="44" t="str"/>
      <x:c r="N958" s="50" t="n">
        <x:v>41</x:v>
      </x:c>
      <x:c r="O958" s="53" t="str">
        <x:v>Friday and Smith are assigned to a case which involves a body found at MacArthur Park. The body is a rich college student. They figure that it was a drug deal that had gone bad but as they find more clues, they find that it had nothing to do with drugs.</x:v>
      </x:c>
      <x:c r="P958" s="53" t="str">
        <x:v>2003 Dick Wolf-created Dragnet revival; kept separate from the 1950s Dragnet.</x:v>
      </x:c>
      <x:c r="Q958" s="17" t="str">
        <x:v>909235</x:v>
      </x:c>
      <x:c r="R958" s="17" t="str">
        <x:v>tt0565990</x:v>
      </x:c>
      <x:c r="S958" s="17" t="str"/>
    </x:row>
    <x:row r="959">
      <x:c r="A959" s="43" t="n">
        <x:v>955</x:v>
      </x:c>
      <x:c r="B959" s="44" t="str">
        <x:v>Not Started</x:v>
      </x:c>
      <x:c r="C959" s="45" t="n">
        <x:v>37661</x:v>
      </x:c>
      <x:c r="D959" s="33" t="str">
        <x:v>Law &amp; Order: Criminal Intent</x:v>
      </x:c>
      <x:c r="E959" s="33" t="str">
        <x:v>Law &amp; Order</x:v>
      </x:c>
      <x:c r="F959" s="33" t="str">
        <x:v>core</x:v>
      </x:c>
      <x:c r="G959" s="50" t="n">
        <x:v>2</x:v>
      </x:c>
      <x:c r="H959" s="50" t="n">
        <x:v>13</x:v>
      </x:c>
      <x:c r="I959" s="44" t="str">
        <x:v>02.13</x:v>
      </x:c>
      <x:c r="J959" s="33" t="str">
        <x:v>See Me</x:v>
      </x:c>
      <x:c r="K959" s="33" t="str"/>
      <x:c r="L959" s="33" t="str"/>
      <x:c r="M959" s="44" t="str"/>
      <x:c r="N959" s="50" t="n">
        <x:v>44</x:v>
      </x:c>
      <x:c r="O959" s="53" t="str">
        <x:v>Detectives Goren and Eames come to believe a doctor conducted shameful experiments on the residents of a halfway house.</x:v>
      </x:c>
      <x:c r="P959" s="53" t="str">
        <x:v>Core Law &amp; Order franchise</x:v>
      </x:c>
      <x:c r="Q959" s="17" t="str">
        <x:v>341246</x:v>
      </x:c>
      <x:c r="R959" s="17" t="str">
        <x:v>tt0629567</x:v>
      </x:c>
      <x:c r="S959" s="17" t="str">
        <x:v>585</x:v>
      </x:c>
    </x:row>
    <x:row r="960">
      <x:c r="A960" s="43" t="n">
        <x:v>956</x:v>
      </x:c>
      <x:c r="B960" s="44" t="str">
        <x:v>Not Started</x:v>
      </x:c>
      <x:c r="C960" s="45" t="n">
        <x:v>37664</x:v>
      </x:c>
      <x:c r="D960" s="33" t="str">
        <x:v>Law &amp; Order</x:v>
      </x:c>
      <x:c r="E960" s="33" t="str">
        <x:v>Law &amp; Order</x:v>
      </x:c>
      <x:c r="F960" s="33" t="str">
        <x:v>core</x:v>
      </x:c>
      <x:c r="G960" s="50" t="n">
        <x:v>13</x:v>
      </x:c>
      <x:c r="H960" s="50" t="n">
        <x:v>13</x:v>
      </x:c>
      <x:c r="I960" s="44" t="str">
        <x:v>13.13</x:v>
      </x:c>
      <x:c r="J960" s="33" t="str">
        <x:v>Absentia</x:v>
      </x:c>
      <x:c r="K960" s="33" t="str"/>
      <x:c r="L960" s="33" t="str"/>
      <x:c r="M960" s="44" t="str"/>
      <x:c r="N960" s="50" t="n">
        <x:v>45</x:v>
      </x:c>
      <x:c r="O960" s="53" t="str">
        <x:v>When the witness in a jewelry store robbery-homicide fails to appear in court, McCoy suspects foul play until he discovers that the man is a fugitive in a 20-year-old murder case.</x:v>
      </x:c>
      <x:c r="P960" s="53" t="str">
        <x:v>Core Law &amp; Order franchise</x:v>
      </x:c>
      <x:c r="Q960" s="17" t="str">
        <x:v>34344</x:v>
      </x:c>
      <x:c r="R960" s="17" t="str">
        <x:v>tt0629142</x:v>
      </x:c>
      <x:c r="S960" s="17" t="str">
        <x:v>586</x:v>
      </x:c>
    </x:row>
    <x:row r="961">
      <x:c r="A961" s="43" t="n">
        <x:v>957</x:v>
      </x:c>
      <x:c r="B961" s="44" t="str">
        <x:v>Watched</x:v>
      </x:c>
      <x:c r="C961" s="45" t="n">
        <x:v>37666</x:v>
      </x:c>
      <x:c r="D961" s="33" t="str">
        <x:v>Law &amp; Order: Special Victims Unit</x:v>
      </x:c>
      <x:c r="E961" s="33" t="str">
        <x:v>Law &amp; Order</x:v>
      </x:c>
      <x:c r="F961" s="33" t="str">
        <x:v>core</x:v>
      </x:c>
      <x:c r="G961" s="50" t="n">
        <x:v>4</x:v>
      </x:c>
      <x:c r="H961" s="50" t="n">
        <x:v>16</x:v>
      </x:c>
      <x:c r="I961" s="44" t="str">
        <x:v>04.16</x:v>
      </x:c>
      <x:c r="J961" s="33" t="str">
        <x:v>Tortured</x:v>
      </x:c>
      <x:c r="K961" s="33" t="str"/>
      <x:c r="L961" s="33" t="str"/>
      <x:c r="M961" s="44" t="str"/>
      <x:c r="N961" s="50" t="n">
        <x:v>43</x:v>
      </x:c>
      <x:c r="O961" s="53" t="str">
        <x:v>A Tibetan woman who was tortured in her home country is found murdered, with her foot missing, and after an exhaustive search of potential suspects, the killer is a victim of torture himself.</x:v>
      </x:c>
      <x:c r="P961" s="53" t="str">
        <x:v>Core Law &amp; Order franchise</x:v>
      </x:c>
      <x:c r="Q961" s="17" t="str">
        <x:v>225022</x:v>
      </x:c>
      <x:c r="R961" s="17" t="str">
        <x:v>tt0629748</x:v>
      </x:c>
      <x:c r="S961" s="17" t="str">
        <x:v>587</x:v>
      </x:c>
    </x:row>
    <x:row r="962">
      <x:c r="A962" s="43" t="n">
        <x:v>958</x:v>
      </x:c>
      <x:c r="B962" s="44" t="str">
        <x:v>Not Started</x:v>
      </x:c>
      <x:c r="C962" s="45" t="n">
        <x:v>37668</x:v>
      </x:c>
      <x:c r="D962" s="33" t="str">
        <x:v>L.A. Dragnet</x:v>
      </x:c>
      <x:c r="E962" s="33" t="str">
        <x:v>Wolf Adjacent</x:v>
      </x:c>
      <x:c r="F962" s="33" t="str">
        <x:v>adjacent</x:v>
      </x:c>
      <x:c r="G962" s="50" t="n">
        <x:v>1</x:v>
      </x:c>
      <x:c r="H962" s="50" t="n">
        <x:v>3</x:v>
      </x:c>
      <x:c r="I962" s="44" t="str">
        <x:v>01.03</x:v>
      </x:c>
      <x:c r="J962" s="33" t="str">
        <x:v>All That Glitters</x:v>
      </x:c>
      <x:c r="K962" s="33" t="str"/>
      <x:c r="L962" s="33" t="str"/>
      <x:c r="M962" s="44" t="str"/>
      <x:c r="N962" s="50" t="n">
        <x:v>41</x:v>
      </x:c>
      <x:c r="O962" s="53" t="str">
        <x:v>Detective Friday is concerned that a small-time movie executive isn't telling all she knows regarding her investors and the gangland style murder in Malibu of one of her co-workers.</x:v>
      </x:c>
      <x:c r="P962" s="53" t="str">
        <x:v>2003 Dick Wolf-created Dragnet revival; kept separate from the 1950s Dragnet.</x:v>
      </x:c>
      <x:c r="Q962" s="17" t="str">
        <x:v>909236</x:v>
      </x:c>
      <x:c r="R962" s="17" t="str"/>
      <x:c r="S962" s="17" t="str"/>
    </x:row>
    <x:row r="963">
      <x:c r="A963" s="43" t="n">
        <x:v>959</x:v>
      </x:c>
      <x:c r="B963" s="44" t="str">
        <x:v>Not Started</x:v>
      </x:c>
      <x:c r="C963" s="45" t="n">
        <x:v>37668</x:v>
      </x:c>
      <x:c r="D963" s="33" t="str">
        <x:v>Law &amp; Order: Criminal Intent</x:v>
      </x:c>
      <x:c r="E963" s="33" t="str">
        <x:v>Law &amp; Order</x:v>
      </x:c>
      <x:c r="F963" s="33" t="str">
        <x:v>core</x:v>
      </x:c>
      <x:c r="G963" s="50" t="n">
        <x:v>2</x:v>
      </x:c>
      <x:c r="H963" s="50" t="n">
        <x:v>14</x:v>
      </x:c>
      <x:c r="I963" s="44" t="str">
        <x:v>02.14</x:v>
      </x:c>
      <x:c r="J963" s="33" t="str">
        <x:v>Probability</x:v>
      </x:c>
      <x:c r="K963" s="33" t="str"/>
      <x:c r="L963" s="33" t="str"/>
      <x:c r="M963" s="44" t="str"/>
      <x:c r="N963" s="50" t="n">
        <x:v>44</x:v>
      </x:c>
      <x:c r="O963" s="53" t="str">
        <x:v>While probing the seemingly random murders of several homeless men, Goren and Eames uncover a scam involving a crooked insurance agent. However, an unsual twist leads the detectives to an unlikely suspect.</x:v>
      </x:c>
      <x:c r="P963" s="53" t="str">
        <x:v>Core Law &amp; Order franchise</x:v>
      </x:c>
      <x:c r="Q963" s="17" t="str">
        <x:v>341247</x:v>
      </x:c>
      <x:c r="R963" s="17" t="str">
        <x:v>tt0629563</x:v>
      </x:c>
      <x:c r="S963" s="17" t="str">
        <x:v>588</x:v>
      </x:c>
    </x:row>
    <x:row r="964">
      <x:c r="A964" s="43" t="n">
        <x:v>960</x:v>
      </x:c>
      <x:c r="B964" s="44" t="str">
        <x:v>Not Started</x:v>
      </x:c>
      <x:c r="C964" s="45" t="n">
        <x:v>37671</x:v>
      </x:c>
      <x:c r="D964" s="33" t="str">
        <x:v>Law &amp; Order</x:v>
      </x:c>
      <x:c r="E964" s="33" t="str">
        <x:v>Law &amp; Order</x:v>
      </x:c>
      <x:c r="F964" s="33" t="str">
        <x:v>core</x:v>
      </x:c>
      <x:c r="G964" s="50" t="n">
        <x:v>13</x:v>
      </x:c>
      <x:c r="H964" s="50" t="n">
        <x:v>14</x:v>
      </x:c>
      <x:c r="I964" s="44" t="str">
        <x:v>13.14</x:v>
      </x:c>
      <x:c r="J964" s="33" t="str">
        <x:v>Star Crossed</x:v>
      </x:c>
      <x:c r="K964" s="33" t="str"/>
      <x:c r="L964" s="33" t="str"/>
      <x:c r="M964" s="44" t="str"/>
      <x:c r="N964" s="50" t="n">
        <x:v>45</x:v>
      </x:c>
      <x:c r="O964" s="53" t="str">
        <x:v>The bludgeoning of a luxury sports car dealer leads the detectives to a mentally challenged man and his girlfriend who is extremely attractive and whose expensive tastes leads her to be equally manipulative.</x:v>
      </x:c>
      <x:c r="P964" s="53" t="str">
        <x:v>Core Law &amp; Order franchise</x:v>
      </x:c>
      <x:c r="Q964" s="17" t="str">
        <x:v>34345</x:v>
      </x:c>
      <x:c r="R964" s="17" t="str">
        <x:v>tt0629435</x:v>
      </x:c>
      <x:c r="S964" s="17" t="str">
        <x:v>589</x:v>
      </x:c>
    </x:row>
    <x:row r="965">
      <x:c r="A965" s="43" t="n">
        <x:v>961</x:v>
      </x:c>
      <x:c r="B965" s="44" t="str">
        <x:v>Watched</x:v>
      </x:c>
      <x:c r="C965" s="45" t="n">
        <x:v>37673</x:v>
      </x:c>
      <x:c r="D965" s="33" t="str">
        <x:v>Law &amp; Order: Special Victims Unit</x:v>
      </x:c>
      <x:c r="E965" s="33" t="str">
        <x:v>Law &amp; Order</x:v>
      </x:c>
      <x:c r="F965" s="33" t="str">
        <x:v>core</x:v>
      </x:c>
      <x:c r="G965" s="50" t="n">
        <x:v>4</x:v>
      </x:c>
      <x:c r="H965" s="50" t="n">
        <x:v>17</x:v>
      </x:c>
      <x:c r="I965" s="44" t="str">
        <x:v>04.17</x:v>
      </x:c>
      <x:c r="J965" s="33" t="str">
        <x:v>Privilege</x:v>
      </x:c>
      <x:c r="K965" s="33" t="str"/>
      <x:c r="L965" s="33" t="str"/>
      <x:c r="M965" s="44" t="str"/>
      <x:c r="N965" s="50" t="n">
        <x:v>43</x:v>
      </x:c>
      <x:c r="O965" s="53" t="str">
        <x:v>A young female film student dressed in a maid's uniform has apparently committed suicide but it's very suspicious. The detectives learn that she just broke up with her very rich and powerful boyfriend.</x:v>
      </x:c>
      <x:c r="P965" s="53" t="str">
        <x:v>Core Law &amp; Order franchise</x:v>
      </x:c>
      <x:c r="Q965" s="17" t="str">
        <x:v>225023</x:v>
      </x:c>
      <x:c r="R965" s="17" t="str">
        <x:v>tt0629706</x:v>
      </x:c>
      <x:c r="S965" s="17" t="str">
        <x:v>590</x:v>
      </x:c>
    </x:row>
    <x:row r="966">
      <x:c r="A966" s="43" t="n">
        <x:v>962</x:v>
      </x:c>
      <x:c r="B966" s="44" t="str">
        <x:v>Not Started</x:v>
      </x:c>
      <x:c r="C966" s="45" t="n">
        <x:v>37675</x:v>
      </x:c>
      <x:c r="D966" s="33" t="str">
        <x:v>L.A. Dragnet</x:v>
      </x:c>
      <x:c r="E966" s="33" t="str">
        <x:v>Wolf Adjacent</x:v>
      </x:c>
      <x:c r="F966" s="33" t="str">
        <x:v>adjacent</x:v>
      </x:c>
      <x:c r="G966" s="50" t="n">
        <x:v>1</x:v>
      </x:c>
      <x:c r="H966" s="50" t="n">
        <x:v>4</x:v>
      </x:c>
      <x:c r="I966" s="44" t="str">
        <x:v>01.04</x:v>
      </x:c>
      <x:c r="J966" s="33" t="str">
        <x:v>Well Endowed</x:v>
      </x:c>
      <x:c r="K966" s="33" t="str"/>
      <x:c r="L966" s="33" t="str"/>
      <x:c r="M966" s="44" t="str"/>
      <x:c r="N966" s="50" t="n">
        <x:v>41</x:v>
      </x:c>
      <x:c r="O966" s="53" t="str">
        <x:v>While investigating the brutal murder of a little-known actress, Detectives Friday and Smith come across a number of people who might have information including a tabloid journalist, a wannabe porn star and a socially prominent Los Angeles family.</x:v>
      </x:c>
      <x:c r="P966" s="53" t="str">
        <x:v>2003 Dick Wolf-created Dragnet revival; kept separate from the 1950s Dragnet.</x:v>
      </x:c>
      <x:c r="Q966" s="17" t="str">
        <x:v>909237</x:v>
      </x:c>
      <x:c r="R966" s="17" t="str"/>
      <x:c r="S966" s="17" t="str"/>
    </x:row>
    <x:row r="967">
      <x:c r="A967" s="43" t="n">
        <x:v>963</x:v>
      </x:c>
      <x:c r="B967" s="44" t="str">
        <x:v>Not Started</x:v>
      </x:c>
      <x:c r="C967" s="45" t="n">
        <x:v>37678</x:v>
      </x:c>
      <x:c r="D967" s="33" t="str">
        <x:v>Law &amp; Order</x:v>
      </x:c>
      <x:c r="E967" s="33" t="str">
        <x:v>Law &amp; Order</x:v>
      </x:c>
      <x:c r="F967" s="33" t="str">
        <x:v>core</x:v>
      </x:c>
      <x:c r="G967" s="50" t="n">
        <x:v>13</x:v>
      </x:c>
      <x:c r="H967" s="50" t="n">
        <x:v>15</x:v>
      </x:c>
      <x:c r="I967" s="44" t="str">
        <x:v>13.15</x:v>
      </x:c>
      <x:c r="J967" s="33" t="str">
        <x:v>Bitch</x:v>
      </x:c>
      <x:c r="K967" s="33" t="str"/>
      <x:c r="L967" s="33" t="str"/>
      <x:c r="M967" s="44" t="str"/>
      <x:c r="N967" s="50" t="n">
        <x:v>45</x:v>
      </x:c>
      <x:c r="O967" s="53" t="str">
        <x:v>The death of a stockbroker leads the detectives to his girlfriend whose mother is a cosmetics mogul who has a long standing friendship with Branch, and will stop at nothing to protect her corporate image by using hormone replacement therapy withdrawal as the basis for her defense.</x:v>
      </x:c>
      <x:c r="P967" s="53" t="str">
        <x:v>Core Law &amp; Order franchise</x:v>
      </x:c>
      <x:c r="Q967" s="17" t="str">
        <x:v>34346</x:v>
      </x:c>
      <x:c r="R967" s="17" t="str">
        <x:v>tt0629166</x:v>
      </x:c>
      <x:c r="S967" s="17" t="str">
        <x:v>591</x:v>
      </x:c>
    </x:row>
    <x:row r="968">
      <x:c r="A968" s="43" t="n">
        <x:v>964</x:v>
      </x:c>
      <x:c r="B968" s="44" t="str">
        <x:v>Not Started</x:v>
      </x:c>
      <x:c r="C968" s="45" t="n">
        <x:v>37682</x:v>
      </x:c>
      <x:c r="D968" s="33" t="str">
        <x:v>L.A. Dragnet</x:v>
      </x:c>
      <x:c r="E968" s="33" t="str">
        <x:v>Wolf Adjacent</x:v>
      </x:c>
      <x:c r="F968" s="33" t="str">
        <x:v>adjacent</x:v>
      </x:c>
      <x:c r="G968" s="50" t="n">
        <x:v>1</x:v>
      </x:c>
      <x:c r="H968" s="50" t="n">
        <x:v>5</x:v>
      </x:c>
      <x:c r="I968" s="44" t="str">
        <x:v>01.05</x:v>
      </x:c>
      <x:c r="J968" s="33" t="str">
        <x:v>The Cutting of the Swath</x:v>
      </x:c>
      <x:c r="K968" s="33" t="str"/>
      <x:c r="L968" s="33" t="str"/>
      <x:c r="M968" s="44" t="str"/>
      <x:c r="N968" s="50" t="n">
        <x:v>41</x:v>
      </x:c>
      <x:c r="O968" s="53" t="str">
        <x:v>Detectives Friday and Smith race to find the young son of a deranged man who's on a rampage to kill his entire family; and Smith takes the case a little too personally.</x:v>
      </x:c>
      <x:c r="P968" s="53" t="str">
        <x:v>2003 Dick Wolf-created Dragnet revival; kept separate from the 1950s Dragnet.</x:v>
      </x:c>
      <x:c r="Q968" s="17" t="str">
        <x:v>909238</x:v>
      </x:c>
      <x:c r="R968" s="17" t="str"/>
      <x:c r="S968" s="17" t="str"/>
    </x:row>
    <x:row r="969">
      <x:c r="A969" s="43" t="n">
        <x:v>965</x:v>
      </x:c>
      <x:c r="B969" s="44" t="str">
        <x:v>Not Started</x:v>
      </x:c>
      <x:c r="C969" s="45" t="n">
        <x:v>37682</x:v>
      </x:c>
      <x:c r="D969" s="33" t="str">
        <x:v>Law &amp; Order: Criminal Intent</x:v>
      </x:c>
      <x:c r="E969" s="33" t="str">
        <x:v>Law &amp; Order</x:v>
      </x:c>
      <x:c r="F969" s="33" t="str">
        <x:v>core</x:v>
      </x:c>
      <x:c r="G969" s="50" t="n">
        <x:v>2</x:v>
      </x:c>
      <x:c r="H969" s="50" t="n">
        <x:v>15</x:v>
      </x:c>
      <x:c r="I969" s="44" t="str">
        <x:v>02.15</x:v>
      </x:c>
      <x:c r="J969" s="33" t="str">
        <x:v>Monster</x:v>
      </x:c>
      <x:c r="K969" s="33" t="str"/>
      <x:c r="L969" s="33" t="str"/>
      <x:c r="M969" s="44" t="str"/>
      <x:c r="N969" s="50" t="n">
        <x:v>44</x:v>
      </x:c>
      <x:c r="O969" s="53" t="str">
        <x:v>The murder of a woman in her apartment results in her son, recently paroled after serving 15 years for murder, becoming the prime suspect. Having consulted with the lead detective on the old case, Goren and Eames discover he was involved in a cover-up to rush other cases to closure.</x:v>
      </x:c>
      <x:c r="P969" s="53" t="str">
        <x:v>Core Law &amp; Order franchise</x:v>
      </x:c>
      <x:c r="Q969" s="17" t="str">
        <x:v>341248</x:v>
      </x:c>
      <x:c r="R969" s="17" t="str">
        <x:v>tt0629554</x:v>
      </x:c>
      <x:c r="S969" s="17" t="str">
        <x:v>592</x:v>
      </x:c>
    </x:row>
    <x:row r="970">
      <x:c r="A970" s="43" t="n">
        <x:v>966</x:v>
      </x:c>
      <x:c r="B970" s="44" t="str">
        <x:v>Not Started</x:v>
      </x:c>
      <x:c r="C970" s="45" t="n">
        <x:v>37689</x:v>
      </x:c>
      <x:c r="D970" s="33" t="str">
        <x:v>L.A. Dragnet</x:v>
      </x:c>
      <x:c r="E970" s="33" t="str">
        <x:v>Wolf Adjacent</x:v>
      </x:c>
      <x:c r="F970" s="33" t="str">
        <x:v>adjacent</x:v>
      </x:c>
      <x:c r="G970" s="50" t="n">
        <x:v>1</x:v>
      </x:c>
      <x:c r="H970" s="50" t="n">
        <x:v>6</x:v>
      </x:c>
      <x:c r="I970" s="44" t="str">
        <x:v>01.06</x:v>
      </x:c>
      <x:c r="J970" s="33" t="str">
        <x:v>The Brass Ring</x:v>
      </x:c>
      <x:c r="K970" s="33" t="str"/>
      <x:c r="L970" s="33" t="str"/>
      <x:c r="M970" s="44" t="str"/>
      <x:c r="N970" s="50" t="n">
        <x:v>41</x:v>
      </x:c>
      <x:c r="O970" s="53" t="str">
        <x:v>The fiancÃ© of a rising young Hollywood actress is found stabbed to death in the Hollywood Hills. Detectives Friday and Smith visit a movie studio head and a drug dealer to look for clues and find a shocking secret.</x:v>
      </x:c>
      <x:c r="P970" s="53" t="str">
        <x:v>2003 Dick Wolf-created Dragnet revival; kept separate from the 1950s Dragnet.</x:v>
      </x:c>
      <x:c r="Q970" s="17" t="str">
        <x:v>909239</x:v>
      </x:c>
      <x:c r="R970" s="17" t="str"/>
      <x:c r="S970" s="17" t="str"/>
    </x:row>
    <x:row r="971">
      <x:c r="A971" s="43" t="n">
        <x:v>967</x:v>
      </x:c>
      <x:c r="B971" s="44" t="str">
        <x:v>Not Started</x:v>
      </x:c>
      <x:c r="C971" s="45" t="n">
        <x:v>37689</x:v>
      </x:c>
      <x:c r="D971" s="33" t="str">
        <x:v>Law &amp; Order: Criminal Intent</x:v>
      </x:c>
      <x:c r="E971" s="33" t="str">
        <x:v>Law &amp; Order</x:v>
      </x:c>
      <x:c r="F971" s="33" t="str">
        <x:v>core</x:v>
      </x:c>
      <x:c r="G971" s="50" t="n">
        <x:v>2</x:v>
      </x:c>
      <x:c r="H971" s="50" t="n">
        <x:v>16</x:v>
      </x:c>
      <x:c r="I971" s="44" t="str">
        <x:v>02.16</x:v>
      </x:c>
      <x:c r="J971" s="33" t="str">
        <x:v>Cuba Libre</x:v>
      </x:c>
      <x:c r="K971" s="33" t="str"/>
      <x:c r="L971" s="33" t="str"/>
      <x:c r="M971" s="44" t="str"/>
      <x:c r="N971" s="50" t="n">
        <x:v>44</x:v>
      </x:c>
      <x:c r="O971" s="53" t="str">
        <x:v>After the trophy wife of a recently released prison inmate is murdered, Goren plays on the man's paranoia to find a connection to another inmate with a hit list.</x:v>
      </x:c>
      <x:c r="P971" s="53" t="str">
        <x:v>Core Law &amp; Order franchise</x:v>
      </x:c>
      <x:c r="Q971" s="17" t="str">
        <x:v>341249</x:v>
      </x:c>
      <x:c r="R971" s="17" t="str">
        <x:v>tt0629522</x:v>
      </x:c>
      <x:c r="S971" s="17" t="str">
        <x:v>593</x:v>
      </x:c>
    </x:row>
    <x:row r="972">
      <x:c r="A972" s="43" t="n">
        <x:v>968</x:v>
      </x:c>
      <x:c r="B972" s="44" t="str">
        <x:v>Watched</x:v>
      </x:c>
      <x:c r="C972" s="45" t="n">
        <x:v>37694</x:v>
      </x:c>
      <x:c r="D972" s="33" t="str">
        <x:v>Law &amp; Order: Special Victims Unit</x:v>
      </x:c>
      <x:c r="E972" s="33" t="str">
        <x:v>Law &amp; Order</x:v>
      </x:c>
      <x:c r="F972" s="33" t="str">
        <x:v>core</x:v>
      </x:c>
      <x:c r="G972" s="50" t="n">
        <x:v>4</x:v>
      </x:c>
      <x:c r="H972" s="50" t="n">
        <x:v>18</x:v>
      </x:c>
      <x:c r="I972" s="44" t="str">
        <x:v>04.18</x:v>
      </x:c>
      <x:c r="J972" s="33" t="str">
        <x:v>Desperate</x:v>
      </x:c>
      <x:c r="K972" s="33" t="str"/>
      <x:c r="L972" s="33" t="str"/>
      <x:c r="M972" s="44" t="str"/>
      <x:c r="N972" s="50" t="n">
        <x:v>43</x:v>
      </x:c>
      <x:c r="O972" s="53" t="str">
        <x:v>After a young boy witnesses the brutal sexual assault and murder of his stepmother, he is too terrified to tell the detectives who attacked her.</x:v>
      </x:c>
      <x:c r="P972" s="53" t="str">
        <x:v>Core Law &amp; Order franchise</x:v>
      </x:c>
      <x:c r="Q972" s="17" t="str">
        <x:v>225024</x:v>
      </x:c>
      <x:c r="R972" s="17" t="str">
        <x:v>tt0629644</x:v>
      </x:c>
      <x:c r="S972" s="17" t="str">
        <x:v>594</x:v>
      </x:c>
    </x:row>
    <x:row r="973">
      <x:c r="A973" s="43" t="n">
        <x:v>969</x:v>
      </x:c>
      <x:c r="B973" s="44" t="str">
        <x:v>Not Started</x:v>
      </x:c>
      <x:c r="C973" s="45" t="n">
        <x:v>37696</x:v>
      </x:c>
      <x:c r="D973" s="33" t="str">
        <x:v>L.A. Dragnet</x:v>
      </x:c>
      <x:c r="E973" s="33" t="str">
        <x:v>Wolf Adjacent</x:v>
      </x:c>
      <x:c r="F973" s="33" t="str">
        <x:v>adjacent</x:v>
      </x:c>
      <x:c r="G973" s="50" t="n">
        <x:v>1</x:v>
      </x:c>
      <x:c r="H973" s="50" t="n">
        <x:v>7</x:v>
      </x:c>
      <x:c r="I973" s="44" t="str">
        <x:v>01.07</x:v>
      </x:c>
      <x:c r="J973" s="33" t="str">
        <x:v>The Artful Dodger</x:v>
      </x:c>
      <x:c r="K973" s="33" t="str"/>
      <x:c r="L973" s="33" t="str"/>
      <x:c r="M973" s="44" t="str"/>
      <x:c r="N973" s="50" t="n">
        <x:v>41</x:v>
      </x:c>
      <x:c r="O973" s="53" t="str">
        <x:v>A customer is killed during a multimillion dollar jewelry robbery. During the investigation, Friday and Smith meet a British insurance company P.I. who attempts to use them to recover the stolen jewels. Friday also knocks heads with the arrogant owner of a private security company.</x:v>
      </x:c>
      <x:c r="P973" s="53" t="str">
        <x:v>2003 Dick Wolf-created Dragnet revival; kept separate from the 1950s Dragnet.</x:v>
      </x:c>
      <x:c r="Q973" s="17" t="str">
        <x:v>909240</x:v>
      </x:c>
      <x:c r="R973" s="17" t="str"/>
      <x:c r="S973" s="17" t="str"/>
    </x:row>
    <x:row r="974">
      <x:c r="A974" s="43" t="n">
        <x:v>970</x:v>
      </x:c>
      <x:c r="B974" s="44" t="str">
        <x:v>Not Started</x:v>
      </x:c>
      <x:c r="C974" s="45" t="n">
        <x:v>37706</x:v>
      </x:c>
      <x:c r="D974" s="33" t="str">
        <x:v>Law &amp; Order</x:v>
      </x:c>
      <x:c r="E974" s="33" t="str">
        <x:v>Law &amp; Order</x:v>
      </x:c>
      <x:c r="F974" s="33" t="str">
        <x:v>core</x:v>
      </x:c>
      <x:c r="G974" s="50" t="n">
        <x:v>13</x:v>
      </x:c>
      <x:c r="H974" s="50" t="n">
        <x:v>16</x:v>
      </x:c>
      <x:c r="I974" s="44" t="str">
        <x:v>13.16</x:v>
      </x:c>
      <x:c r="J974" s="33" t="str">
        <x:v>Suicide Box</x:v>
      </x:c>
      <x:c r="K974" s="33" t="str"/>
      <x:c r="L974" s="33" t="str"/>
      <x:c r="M974" s="44" t="str"/>
      <x:c r="N974" s="50" t="n">
        <x:v>45</x:v>
      </x:c>
      <x:c r="O974" s="53" t="str">
        <x:v>A media-savvy attorney defends a black teenager accused of shooting an off-duty policy officer.</x:v>
      </x:c>
      <x:c r="P974" s="53" t="str">
        <x:v>Core Law &amp; Order franchise</x:v>
      </x:c>
      <x:c r="Q974" s="17" t="str">
        <x:v>34347</x:v>
      </x:c>
      <x:c r="R974" s="17" t="str">
        <x:v>tt0629439</x:v>
      </x:c>
      <x:c r="S974" s="17" t="str">
        <x:v>595</x:v>
      </x:c>
    </x:row>
    <x:row r="975">
      <x:c r="A975" s="43" t="n">
        <x:v>971</x:v>
      </x:c>
      <x:c r="B975" s="44" t="str">
        <x:v>Watched</x:v>
      </x:c>
      <x:c r="C975" s="45" t="n">
        <x:v>37708</x:v>
      </x:c>
      <x:c r="D975" s="33" t="str">
        <x:v>Law &amp; Order: Special Victims Unit</x:v>
      </x:c>
      <x:c r="E975" s="33" t="str">
        <x:v>Law &amp; Order</x:v>
      </x:c>
      <x:c r="F975" s="33" t="str">
        <x:v>core</x:v>
      </x:c>
      <x:c r="G975" s="50" t="n">
        <x:v>4</x:v>
      </x:c>
      <x:c r="H975" s="50" t="n">
        <x:v>19</x:v>
      </x:c>
      <x:c r="I975" s="44" t="str">
        <x:v>04.19</x:v>
      </x:c>
      <x:c r="J975" s="33" t="str">
        <x:v>Appearances</x:v>
      </x:c>
      <x:c r="K975" s="33" t="str"/>
      <x:c r="L975" s="33" t="str"/>
      <x:c r="M975" s="44" t="str"/>
      <x:c r="N975" s="50" t="n">
        <x:v>43</x:v>
      </x:c>
      <x:c r="O975" s="53" t="str">
        <x:v>The body of a nine-year-old beauty pageant contestant is found raped and murdered on a bus, but the case goes beyond the killer when it leads detectives to a virtual-pornography website.</x:v>
      </x:c>
      <x:c r="P975" s="53" t="str">
        <x:v>Core Law &amp; Order franchise</x:v>
      </x:c>
      <x:c r="Q975" s="17" t="str">
        <x:v>225025</x:v>
      </x:c>
      <x:c r="R975" s="17" t="str">
        <x:v>tt0629611</x:v>
      </x:c>
      <x:c r="S975" s="17" t="str">
        <x:v>596</x:v>
      </x:c>
    </x:row>
    <x:row r="976">
      <x:c r="A976" s="43" t="n">
        <x:v>972</x:v>
      </x:c>
      <x:c r="B976" s="44" t="str">
        <x:v>Not Started</x:v>
      </x:c>
      <x:c r="C976" s="45" t="n">
        <x:v>37710</x:v>
      </x:c>
      <x:c r="D976" s="33" t="str">
        <x:v>L.A. Dragnet</x:v>
      </x:c>
      <x:c r="E976" s="33" t="str">
        <x:v>Wolf Adjacent</x:v>
      </x:c>
      <x:c r="F976" s="33" t="str">
        <x:v>adjacent</x:v>
      </x:c>
      <x:c r="G976" s="50" t="n">
        <x:v>1</x:v>
      </x:c>
      <x:c r="H976" s="50" t="n">
        <x:v>8</x:v>
      </x:c>
      <x:c r="I976" s="44" t="str">
        <x:v>01.08</x:v>
      </x:c>
      <x:c r="J976" s="33" t="str">
        <x:v>Sticks and Stones</x:v>
      </x:c>
      <x:c r="K976" s="33" t="str"/>
      <x:c r="L976" s="33" t="str"/>
      <x:c r="M976" s="44" t="str"/>
      <x:c r="N976" s="50" t="n">
        <x:v>41</x:v>
      </x:c>
      <x:c r="O976" s="53" t="str">
        <x:v>Detectives Friday and Smith investigate the satanic ritual killing of a teen girl. They look at her classmates including one who admits he should be the prime suspect.</x:v>
      </x:c>
      <x:c r="P976" s="53" t="str">
        <x:v>2003 Dick Wolf-created Dragnet revival; kept separate from the 1950s Dragnet.</x:v>
      </x:c>
      <x:c r="Q976" s="17" t="str">
        <x:v>909241</x:v>
      </x:c>
      <x:c r="R976" s="17" t="str"/>
      <x:c r="S976" s="17" t="str"/>
    </x:row>
    <x:row r="977">
      <x:c r="A977" s="43" t="n">
        <x:v>973</x:v>
      </x:c>
      <x:c r="B977" s="44" t="str">
        <x:v>Not Started</x:v>
      </x:c>
      <x:c r="C977" s="45" t="n">
        <x:v>37710</x:v>
      </x:c>
      <x:c r="D977" s="33" t="str">
        <x:v>Law &amp; Order: Criminal Intent</x:v>
      </x:c>
      <x:c r="E977" s="33" t="str">
        <x:v>Law &amp; Order</x:v>
      </x:c>
      <x:c r="F977" s="33" t="str">
        <x:v>core</x:v>
      </x:c>
      <x:c r="G977" s="50" t="n">
        <x:v>2</x:v>
      </x:c>
      <x:c r="H977" s="50" t="n">
        <x:v>17</x:v>
      </x:c>
      <x:c r="I977" s="44" t="str">
        <x:v>02.17</x:v>
      </x:c>
      <x:c r="J977" s="33" t="str">
        <x:v>Cold Comfort</x:v>
      </x:c>
      <x:c r="K977" s="33" t="str"/>
      <x:c r="L977" s="33" t="str"/>
      <x:c r="M977" s="44" t="str"/>
      <x:c r="N977" s="50" t="n">
        <x:v>44</x:v>
      </x:c>
      <x:c r="O977" s="53" t="str">
        <x:v>When a woman suing her brother over the disposition of their father's remains is found murdered, Goren and Eames discover a concealed parentage and a man willing to go to any extremes to ensure his legacy.</x:v>
      </x:c>
      <x:c r="P977" s="53" t="str">
        <x:v>Core Law &amp; Order franchise</x:v>
      </x:c>
      <x:c r="Q977" s="17" t="str">
        <x:v>341250</x:v>
      </x:c>
      <x:c r="R977" s="17" t="str">
        <x:v>tt0629516</x:v>
      </x:c>
      <x:c r="S977" s="17" t="str">
        <x:v>597</x:v>
      </x:c>
    </x:row>
    <x:row r="978">
      <x:c r="A978" s="43" t="n">
        <x:v>974</x:v>
      </x:c>
      <x:c r="B978" s="44" t="str">
        <x:v>Not Started</x:v>
      </x:c>
      <x:c r="C978" s="45" t="n">
        <x:v>37713</x:v>
      </x:c>
      <x:c r="D978" s="33" t="str">
        <x:v>Law &amp; Order</x:v>
      </x:c>
      <x:c r="E978" s="33" t="str">
        <x:v>Law &amp; Order</x:v>
      </x:c>
      <x:c r="F978" s="33" t="str">
        <x:v>core</x:v>
      </x:c>
      <x:c r="G978" s="50" t="n">
        <x:v>13</x:v>
      </x:c>
      <x:c r="H978" s="50" t="n">
        <x:v>17</x:v>
      </x:c>
      <x:c r="I978" s="44" t="str">
        <x:v>13.17</x:v>
      </x:c>
      <x:c r="J978" s="33" t="str">
        <x:v>Genius</x:v>
      </x:c>
      <x:c r="K978" s="33" t="str"/>
      <x:c r="L978" s="33" t="str"/>
      <x:c r="M978" s="44" t="str"/>
      <x:c r="N978" s="50" t="n">
        <x:v>44</x:v>
      </x:c>
      <x:c r="O978" s="53" t="str">
        <x:v>Investigating the murder of a cab driver, the detectives come to suspect a famous author and his protege, a former child prodigy.</x:v>
      </x:c>
      <x:c r="P978" s="53" t="str">
        <x:v>Core Law &amp; Order franchise</x:v>
      </x:c>
      <x:c r="Q978" s="17" t="str">
        <x:v>34348</x:v>
      </x:c>
      <x:c r="R978" s="17" t="str">
        <x:v>tt0629275</x:v>
      </x:c>
      <x:c r="S978" s="17" t="str">
        <x:v>598</x:v>
      </x:c>
    </x:row>
    <x:row r="979">
      <x:c r="A979" s="43" t="n">
        <x:v>975</x:v>
      </x:c>
      <x:c r="B979" s="44" t="str">
        <x:v>Watched</x:v>
      </x:c>
      <x:c r="C979" s="45" t="n">
        <x:v>37715</x:v>
      </x:c>
      <x:c r="D979" s="33" t="str">
        <x:v>Law &amp; Order: Special Victims Unit</x:v>
      </x:c>
      <x:c r="E979" s="33" t="str">
        <x:v>Law &amp; Order</x:v>
      </x:c>
      <x:c r="F979" s="33" t="str">
        <x:v>core</x:v>
      </x:c>
      <x:c r="G979" s="50" t="n">
        <x:v>4</x:v>
      </x:c>
      <x:c r="H979" s="50" t="n">
        <x:v>20</x:v>
      </x:c>
      <x:c r="I979" s="44" t="str">
        <x:v>04.20</x:v>
      </x:c>
      <x:c r="J979" s="33" t="str">
        <x:v>Dominance</x:v>
      </x:c>
      <x:c r="K979" s="33" t="str"/>
      <x:c r="L979" s="33" t="str"/>
      <x:c r="M979" s="44" t="str"/>
      <x:c r="N979" s="50" t="n">
        <x:v>43</x:v>
      </x:c>
      <x:c r="O979" s="53" t="str">
        <x:v>A quadruple homicide with sexual overtones is just the start of an intense rampage of a serial killer that brings a homicide detective into the mix. As the entire squad races against time to prevent further victims, the evidence uncovers a horrible situation of incest and abuse.</x:v>
      </x:c>
      <x:c r="P979" s="53" t="str">
        <x:v>Core Law &amp; Order franchise</x:v>
      </x:c>
      <x:c r="Q979" s="17" t="str">
        <x:v>225026</x:v>
      </x:c>
      <x:c r="R979" s="17" t="str">
        <x:v>tt0629648</x:v>
      </x:c>
      <x:c r="S979" s="17" t="str">
        <x:v>599</x:v>
      </x:c>
    </x:row>
    <x:row r="980">
      <x:c r="A980" s="43" t="n">
        <x:v>976</x:v>
      </x:c>
      <x:c r="B980" s="44" t="str">
        <x:v>Not Started</x:v>
      </x:c>
      <x:c r="C980" s="45" t="n">
        <x:v>37717</x:v>
      </x:c>
      <x:c r="D980" s="33" t="str">
        <x:v>L.A. Dragnet</x:v>
      </x:c>
      <x:c r="E980" s="33" t="str">
        <x:v>Wolf Adjacent</x:v>
      </x:c>
      <x:c r="F980" s="33" t="str">
        <x:v>adjacent</x:v>
      </x:c>
      <x:c r="G980" s="50" t="n">
        <x:v>1</x:v>
      </x:c>
      <x:c r="H980" s="50" t="n">
        <x:v>9</x:v>
      </x:c>
      <x:c r="I980" s="44" t="str">
        <x:v>01.09</x:v>
      </x:c>
      <x:c r="J980" s="33" t="str">
        <x:v>Redemption</x:v>
      </x:c>
      <x:c r="K980" s="33" t="str"/>
      <x:c r="L980" s="33" t="str"/>
      <x:c r="M980" s="44" t="str"/>
      <x:c r="N980" s="50" t="n">
        <x:v>41</x:v>
      </x:c>
      <x:c r="O980" s="53" t="str">
        <x:v>Detective Friday and Detective Beltran find out a hidden secret behind a run of the mill suicide.</x:v>
      </x:c>
      <x:c r="P980" s="53" t="str">
        <x:v>2003 Dick Wolf-created Dragnet revival; kept separate from the 1950s Dragnet.</x:v>
      </x:c>
      <x:c r="Q980" s="17" t="str">
        <x:v>909242</x:v>
      </x:c>
      <x:c r="R980" s="17" t="str"/>
      <x:c r="S980" s="17" t="str"/>
    </x:row>
    <x:row r="981">
      <x:c r="A981" s="43" t="n">
        <x:v>977</x:v>
      </x:c>
      <x:c r="B981" s="44" t="str">
        <x:v>Not Started</x:v>
      </x:c>
      <x:c r="C981" s="45" t="n">
        <x:v>37717</x:v>
      </x:c>
      <x:c r="D981" s="33" t="str">
        <x:v>Law &amp; Order: Criminal Intent</x:v>
      </x:c>
      <x:c r="E981" s="33" t="str">
        <x:v>Law &amp; Order</x:v>
      </x:c>
      <x:c r="F981" s="33" t="str">
        <x:v>core</x:v>
      </x:c>
      <x:c r="G981" s="50" t="n">
        <x:v>2</x:v>
      </x:c>
      <x:c r="H981" s="50" t="n">
        <x:v>18</x:v>
      </x:c>
      <x:c r="I981" s="44" t="str">
        <x:v>02.18</x:v>
      </x:c>
      <x:c r="J981" s="33" t="str">
        <x:v>Legion</x:v>
      </x:c>
      <x:c r="K981" s="33" t="str"/>
      <x:c r="L981" s="33" t="str"/>
      <x:c r="M981" s="44" t="str"/>
      <x:c r="N981" s="50" t="n">
        <x:v>44</x:v>
      </x:c>
      <x:c r="O981" s="53" t="str">
        <x:v>When a father and son have their throats slit, the detectives discovers that a group of adolescent boys have disappeared from the same neighborhood. When the locals don't cooperate with the investigation, the cops think the boys are being used by someone operating a bicycle theft ring. The cops are led to a studio owner who brainwashes the boys to prove their worthiness.</x:v>
      </x:c>
      <x:c r="P981" s="53" t="str">
        <x:v>Core Law &amp; Order franchise</x:v>
      </x:c>
      <x:c r="Q981" s="17" t="str">
        <x:v>341251</x:v>
      </x:c>
      <x:c r="R981" s="17" t="str">
        <x:v>tt0629548</x:v>
      </x:c>
      <x:c r="S981" s="17" t="str">
        <x:v>600</x:v>
      </x:c>
    </x:row>
    <x:row r="982">
      <x:c r="A982" s="43" t="n">
        <x:v>978</x:v>
      </x:c>
      <x:c r="B982" s="44" t="str">
        <x:v>Not Started</x:v>
      </x:c>
      <x:c r="C982" s="45" t="n">
        <x:v>37724</x:v>
      </x:c>
      <x:c r="D982" s="33" t="str">
        <x:v>L.A. Dragnet</x:v>
      </x:c>
      <x:c r="E982" s="33" t="str">
        <x:v>Wolf Adjacent</x:v>
      </x:c>
      <x:c r="F982" s="33" t="str">
        <x:v>adjacent</x:v>
      </x:c>
      <x:c r="G982" s="50" t="n">
        <x:v>1</x:v>
      </x:c>
      <x:c r="H982" s="50" t="n">
        <x:v>10</x:v>
      </x:c>
      <x:c r="I982" s="44" t="str">
        <x:v>01.10</x:v>
      </x:c>
      <x:c r="J982" s="33" t="str">
        <x:v>Let's Make a Deal</x:v>
      </x:c>
      <x:c r="K982" s="33" t="str"/>
      <x:c r="L982" s="33" t="str"/>
      <x:c r="M982" s="44" t="str"/>
      <x:c r="N982" s="50" t="n">
        <x:v>41</x:v>
      </x:c>
      <x:c r="O982" s="53" t="str">
        <x:v>A Hollywood super-agent's infant son is kidnapped. It is discovered that the infant is the nanny's. That is the least of the problems for the Detectives on this case.</x:v>
      </x:c>
      <x:c r="P982" s="53" t="str">
        <x:v>2003 Dick Wolf-created Dragnet revival; kept separate from the 1950s Dragnet.</x:v>
      </x:c>
      <x:c r="Q982" s="17" t="str">
        <x:v>909243</x:v>
      </x:c>
      <x:c r="R982" s="17" t="str"/>
      <x:c r="S982" s="17" t="str"/>
    </x:row>
    <x:row r="983">
      <x:c r="A983" s="43" t="n">
        <x:v>979</x:v>
      </x:c>
      <x:c r="B983" s="44" t="str">
        <x:v>Not Started</x:v>
      </x:c>
      <x:c r="C983" s="45" t="n">
        <x:v>37728</x:v>
      </x:c>
      <x:c r="D983" s="33" t="str">
        <x:v>Law &amp; Order</x:v>
      </x:c>
      <x:c r="E983" s="33" t="str">
        <x:v>Law &amp; Order</x:v>
      </x:c>
      <x:c r="F983" s="33" t="str">
        <x:v>core</x:v>
      </x:c>
      <x:c r="G983" s="50" t="n">
        <x:v>13</x:v>
      </x:c>
      <x:c r="H983" s="50" t="n">
        <x:v>18</x:v>
      </x:c>
      <x:c r="I983" s="44" t="str">
        <x:v>13.18</x:v>
      </x:c>
      <x:c r="J983" s="33" t="str">
        <x:v>Maritime</x:v>
      </x:c>
      <x:c r="K983" s="33" t="str"/>
      <x:c r="L983" s="33" t="str"/>
      <x:c r="M983" s="44" t="str"/>
      <x:c r="N983" s="50" t="n">
        <x:v>44</x:v>
      </x:c>
      <x:c r="O983" s="53" t="str">
        <x:v>A missing football player becomes the prime suspect in the murder of a woman whose body is discovered floating in the East River.</x:v>
      </x:c>
      <x:c r="P983" s="53" t="str">
        <x:v>Core Law &amp; Order franchise</x:v>
      </x:c>
      <x:c r="Q983" s="17" t="str">
        <x:v>34349</x:v>
      </x:c>
      <x:c r="R983" s="17" t="str">
        <x:v>tt0629336</x:v>
      </x:c>
      <x:c r="S983" s="17" t="str">
        <x:v>601</x:v>
      </x:c>
    </x:row>
    <x:row r="984">
      <x:c r="A984" s="43" t="n">
        <x:v>980</x:v>
      </x:c>
      <x:c r="B984" s="44" t="str">
        <x:v>Watched</x:v>
      </x:c>
      <x:c r="C984" s="45" t="n">
        <x:v>37729</x:v>
      </x:c>
      <x:c r="D984" s="33" t="str">
        <x:v>Law &amp; Order: Special Victims Unit</x:v>
      </x:c>
      <x:c r="E984" s="33" t="str">
        <x:v>Law &amp; Order</x:v>
      </x:c>
      <x:c r="F984" s="33" t="str">
        <x:v>core</x:v>
      </x:c>
      <x:c r="G984" s="50" t="n">
        <x:v>4</x:v>
      </x:c>
      <x:c r="H984" s="50" t="n">
        <x:v>21</x:v>
      </x:c>
      <x:c r="I984" s="44" t="str">
        <x:v>04.21</x:v>
      </x:c>
      <x:c r="J984" s="33" t="str">
        <x:v>Fallacy</x:v>
      </x:c>
      <x:c r="K984" s="33" t="str"/>
      <x:c r="L984" s="33" t="str"/>
      <x:c r="M984" s="44" t="str"/>
      <x:c r="N984" s="50" t="n">
        <x:v>43</x:v>
      </x:c>
      <x:c r="O984" s="53" t="str">
        <x:v>A female party-goer and rape victim claims self-defense after killing her attacker. Events take an unusual turn when they find out that the victim is a pre-operative transgender.</x:v>
      </x:c>
      <x:c r="P984" s="53" t="str">
        <x:v>Core Law &amp; Order franchise</x:v>
      </x:c>
      <x:c r="Q984" s="17" t="str">
        <x:v>225027</x:v>
      </x:c>
      <x:c r="R984" s="17" t="str">
        <x:v>tt0629653</x:v>
      </x:c>
      <x:c r="S984" s="17" t="str">
        <x:v>602</x:v>
      </x:c>
    </x:row>
    <x:row r="985">
      <x:c r="A985" s="43" t="n">
        <x:v>981</x:v>
      </x:c>
      <x:c r="B985" s="44" t="str">
        <x:v>Not Started</x:v>
      </x:c>
      <x:c r="C985" s="45" t="n">
        <x:v>37734</x:v>
      </x:c>
      <x:c r="D985" s="33" t="str">
        <x:v>Law &amp; Order</x:v>
      </x:c>
      <x:c r="E985" s="33" t="str">
        <x:v>Law &amp; Order</x:v>
      </x:c>
      <x:c r="F985" s="33" t="str">
        <x:v>core</x:v>
      </x:c>
      <x:c r="G985" s="50" t="n">
        <x:v>13</x:v>
      </x:c>
      <x:c r="H985" s="50" t="n">
        <x:v>19</x:v>
      </x:c>
      <x:c r="I985" s="44" t="str">
        <x:v>13.19</x:v>
      </x:c>
      <x:c r="J985" s="33" t="str">
        <x:v>Seer</x:v>
      </x:c>
      <x:c r="K985" s="33" t="str"/>
      <x:c r="L985" s="33" t="str"/>
      <x:c r="M985" s="44" t="str"/>
      <x:c r="N985" s="50" t="n">
        <x:v>43</x:v>
      </x:c>
      <x:c r="O985" s="53" t="str">
        <x:v>The prime suspect in the murder of a woman outside a sex club claims to have merely witnessed the crime via a psychic vision.</x:v>
      </x:c>
      <x:c r="P985" s="53" t="str">
        <x:v>Core Law &amp; Order franchise</x:v>
      </x:c>
      <x:c r="Q985" s="17" t="str">
        <x:v>34350</x:v>
      </x:c>
      <x:c r="R985" s="17" t="str">
        <x:v>tt0629414</x:v>
      </x:c>
      <x:c r="S985" s="17" t="str">
        <x:v>603</x:v>
      </x:c>
    </x:row>
    <x:row r="986">
      <x:c r="A986" s="43" t="n">
        <x:v>982</x:v>
      </x:c>
      <x:c r="B986" s="44" t="str">
        <x:v>Watched</x:v>
      </x:c>
      <x:c r="C986" s="45" t="n">
        <x:v>37736</x:v>
      </x:c>
      <x:c r="D986" s="33" t="str">
        <x:v>Law &amp; Order: Special Victims Unit</x:v>
      </x:c>
      <x:c r="E986" s="33" t="str">
        <x:v>Law &amp; Order</x:v>
      </x:c>
      <x:c r="F986" s="33" t="str">
        <x:v>core</x:v>
      </x:c>
      <x:c r="G986" s="50" t="n">
        <x:v>4</x:v>
      </x:c>
      <x:c r="H986" s="50" t="n">
        <x:v>22</x:v>
      </x:c>
      <x:c r="I986" s="44" t="str">
        <x:v>04.22</x:v>
      </x:c>
      <x:c r="J986" s="33" t="str">
        <x:v>Futility</x:v>
      </x:c>
      <x:c r="K986" s="33" t="str"/>
      <x:c r="L986" s="33" t="str"/>
      <x:c r="M986" s="44" t="str"/>
      <x:c r="N986" s="50" t="n">
        <x:v>42</x:v>
      </x:c>
      <x:c r="O986" s="53" t="str">
        <x:v>A man accused of raping several neighborhood women denies everything and represents himself in court.</x:v>
      </x:c>
      <x:c r="P986" s="53" t="str">
        <x:v>Core Law &amp; Order franchise</x:v>
      </x:c>
      <x:c r="Q986" s="17" t="str">
        <x:v>225028</x:v>
      </x:c>
      <x:c r="R986" s="17" t="str">
        <x:v>tt0629656</x:v>
      </x:c>
      <x:c r="S986" s="17" t="str">
        <x:v>604</x:v>
      </x:c>
    </x:row>
    <x:row r="987">
      <x:c r="A987" s="43" t="n">
        <x:v>983</x:v>
      </x:c>
      <x:c r="B987" s="44" t="str">
        <x:v>Not Started</x:v>
      </x:c>
      <x:c r="C987" s="45" t="n">
        <x:v>37738</x:v>
      </x:c>
      <x:c r="D987" s="33" t="str">
        <x:v>L.A. Dragnet</x:v>
      </x:c>
      <x:c r="E987" s="33" t="str">
        <x:v>Wolf Adjacent</x:v>
      </x:c>
      <x:c r="F987" s="33" t="str">
        <x:v>adjacent</x:v>
      </x:c>
      <x:c r="G987" s="50" t="n">
        <x:v>1</x:v>
      </x:c>
      <x:c r="H987" s="50" t="n">
        <x:v>11</x:v>
      </x:c>
      <x:c r="I987" s="44" t="str">
        <x:v>01.11</x:v>
      </x:c>
      <x:c r="J987" s="33" t="str">
        <x:v>For Whom the Whistle Blows</x:v>
      </x:c>
      <x:c r="K987" s="33" t="str"/>
      <x:c r="L987" s="33" t="str"/>
      <x:c r="M987" s="44" t="str"/>
      <x:c r="N987" s="50" t="n">
        <x:v>41</x:v>
      </x:c>
      <x:c r="O987" s="53" t="str">
        <x:v>A woman, missing for six years, is found dead in her car in a canyon. The suspects in her death include her son, her husband, a lawyer, and the company she worked for.</x:v>
      </x:c>
      <x:c r="P987" s="53" t="str">
        <x:v>2003 Dick Wolf-created Dragnet revival; kept separate from the 1950s Dragnet.</x:v>
      </x:c>
      <x:c r="Q987" s="17" t="str">
        <x:v>909244</x:v>
      </x:c>
      <x:c r="R987" s="17" t="str"/>
      <x:c r="S987" s="17" t="str"/>
    </x:row>
    <x:row r="988">
      <x:c r="A988" s="43" t="n">
        <x:v>984</x:v>
      </x:c>
      <x:c r="B988" s="44" t="str">
        <x:v>Not Started</x:v>
      </x:c>
      <x:c r="C988" s="45" t="n">
        <x:v>37738</x:v>
      </x:c>
      <x:c r="D988" s="33" t="str">
        <x:v>Law &amp; Order: Criminal Intent</x:v>
      </x:c>
      <x:c r="E988" s="33" t="str">
        <x:v>Law &amp; Order</x:v>
      </x:c>
      <x:c r="F988" s="33" t="str">
        <x:v>core</x:v>
      </x:c>
      <x:c r="G988" s="50" t="n">
        <x:v>2</x:v>
      </x:c>
      <x:c r="H988" s="50" t="n">
        <x:v>19</x:v>
      </x:c>
      <x:c r="I988" s="44" t="str">
        <x:v>02.19</x:v>
      </x:c>
      <x:c r="J988" s="33" t="str">
        <x:v>Cherry Red</x:v>
      </x:c>
      <x:c r="K988" s="33" t="str"/>
      <x:c r="L988" s="33" t="str"/>
      <x:c r="M988" s="44" t="str"/>
      <x:c r="N988" s="50" t="n">
        <x:v>44</x:v>
      </x:c>
      <x:c r="O988" s="53" t="str">
        <x:v>The detectives try to figure out a mystery after an old woman dies in a fire. The mystery gets deeper when a young woman who is left some of the old woman estate is killed. The case takes them to a state public administrator who has invented a form of grave-robbing. The detective suspects the administrator has a weakness for valuable cars, but to make his case work, he has to exploit his quarry's personal relationships.</x:v>
      </x:c>
      <x:c r="P988" s="53" t="str">
        <x:v>Core Law &amp; Order franchise</x:v>
      </x:c>
      <x:c r="Q988" s="17" t="str">
        <x:v>341252</x:v>
      </x:c>
      <x:c r="R988" s="17" t="str">
        <x:v>tt0629514</x:v>
      </x:c>
      <x:c r="S988" s="17" t="str">
        <x:v>605</x:v>
      </x:c>
    </x:row>
    <x:row r="989">
      <x:c r="A989" s="43" t="n">
        <x:v>985</x:v>
      </x:c>
      <x:c r="B989" s="44" t="str">
        <x:v>Not Started</x:v>
      </x:c>
      <x:c r="C989" s="45" t="n">
        <x:v>37741</x:v>
      </x:c>
      <x:c r="D989" s="33" t="str">
        <x:v>Law &amp; Order</x:v>
      </x:c>
      <x:c r="E989" s="33" t="str">
        <x:v>Law &amp; Order</x:v>
      </x:c>
      <x:c r="F989" s="33" t="str">
        <x:v>core</x:v>
      </x:c>
      <x:c r="G989" s="50" t="n">
        <x:v>13</x:v>
      </x:c>
      <x:c r="H989" s="50" t="n">
        <x:v>20</x:v>
      </x:c>
      <x:c r="I989" s="44" t="str">
        <x:v>13.20</x:v>
      </x:c>
      <x:c r="J989" s="33" t="str">
        <x:v>Kid Pro Quo</x:v>
      </x:c>
      <x:c r="K989" s="33" t="str"/>
      <x:c r="L989" s="33" t="str"/>
      <x:c r="M989" s="44" t="str"/>
      <x:c r="N989" s="50" t="n">
        <x:v>43</x:v>
      </x:c>
      <x:c r="O989" s="53" t="str">
        <x:v>The murder of an admissions director of a private school leads the detectives to investigate a pair of angry parents whose children were denied admission, but then set their sights on the headmaster when they discover that the victim was about to go public with the denied admissions.</x:v>
      </x:c>
      <x:c r="P989" s="53" t="str">
        <x:v>Core Law &amp; Order franchise</x:v>
      </x:c>
      <x:c r="Q989" s="17" t="str">
        <x:v>34351</x:v>
      </x:c>
      <x:c r="R989" s="17" t="str">
        <x:v>tt0629322</x:v>
      </x:c>
      <x:c r="S989" s="17" t="str">
        <x:v>606</x:v>
      </x:c>
    </x:row>
    <x:row r="990">
      <x:c r="A990" s="43" t="n">
        <x:v>986</x:v>
      </x:c>
      <x:c r="B990" s="44" t="str">
        <x:v>Not Started</x:v>
      </x:c>
      <x:c r="C990" s="45" t="n">
        <x:v>37741</x:v>
      </x:c>
      <x:c r="D990" s="33" t="str">
        <x:v>Homicide: Life on the Street</x:v>
      </x:c>
      <x:c r="E990" s="33" t="str">
        <x:v>Law &amp; Order</x:v>
      </x:c>
      <x:c r="F990" s="33" t="str">
        <x:v>connected</x:v>
      </x:c>
      <x:c r="G990" s="50" t="n">
        <x:v>0</x:v>
      </x:c>
      <x:c r="H990" s="50" t="n">
        <x:v>4</x:v>
      </x:c>
      <x:c r="I990" s="44" t="str">
        <x:v>S00.04</x:v>
      </x:c>
      <x:c r="J990" s="33" t="str">
        <x:v>Homicide: Life at the Start</x:v>
      </x:c>
      <x:c r="K990" s="33" t="str"/>
      <x:c r="L990" s="33" t="str"/>
      <x:c r="M990" s="44" t="str"/>
      <x:c r="N990" s="50" t="n">
        <x:v>45</x:v>
      </x:c>
      <x:c r="O990" s="53" t="str">
        <x:v>An interview with Barry Levinson and Tom Fontana, narrated by Richard Belzer</x:v>
      </x:c>
      <x:c r="P990" s="53" t="str">
        <x:v>Direct crossover with Law &amp; Order; Munch bridge to SVU</x:v>
      </x:c>
      <x:c r="Q990" s="17" t="str">
        <x:v>5386041</x:v>
      </x:c>
      <x:c r="R990" s="17" t="str">
        <x:v>tt0629422</x:v>
      </x:c>
      <x:c r="S990" s="17" t="str"/>
    </x:row>
    <x:row r="991">
      <x:c r="A991" s="43" t="n">
        <x:v>987</x:v>
      </x:c>
      <x:c r="B991" s="44" t="str">
        <x:v>Watched</x:v>
      </x:c>
      <x:c r="C991" s="45" t="n">
        <x:v>37743</x:v>
      </x:c>
      <x:c r="D991" s="33" t="str">
        <x:v>Law &amp; Order: Special Victims Unit</x:v>
      </x:c>
      <x:c r="E991" s="33" t="str">
        <x:v>Law &amp; Order</x:v>
      </x:c>
      <x:c r="F991" s="33" t="str">
        <x:v>core</x:v>
      </x:c>
      <x:c r="G991" s="50" t="n">
        <x:v>4</x:v>
      </x:c>
      <x:c r="H991" s="50" t="n">
        <x:v>23</x:v>
      </x:c>
      <x:c r="I991" s="44" t="str">
        <x:v>04.23</x:v>
      </x:c>
      <x:c r="J991" s="33" t="str">
        <x:v>Grief</x:v>
      </x:c>
      <x:c r="K991" s="33" t="str"/>
      <x:c r="L991" s="33" t="str"/>
      <x:c r="M991" s="44" t="str"/>
      <x:c r="N991" s="50" t="n">
        <x:v>43</x:v>
      </x:c>
      <x:c r="O991" s="53" t="str">
        <x:v>A dead girl is found outside a bar. The death, however, is ruled a suicide, because the victim's boyfriend continually raped her. The victim's father vows revenge against his daughter's rapist.</x:v>
      </x:c>
      <x:c r="P991" s="53" t="str">
        <x:v>Core Law &amp; Order franchise</x:v>
      </x:c>
      <x:c r="Q991" s="17" t="str">
        <x:v>225029</x:v>
      </x:c>
      <x:c r="R991" s="17" t="str">
        <x:v>tt0629661</x:v>
      </x:c>
      <x:c r="S991" s="17" t="str">
        <x:v>607</x:v>
      </x:c>
    </x:row>
    <x:row r="992">
      <x:c r="A992" s="43" t="n">
        <x:v>988</x:v>
      </x:c>
      <x:c r="B992" s="44" t="str">
        <x:v>Not Started</x:v>
      </x:c>
      <x:c r="C992" s="45" t="n">
        <x:v>37745</x:v>
      </x:c>
      <x:c r="D992" s="33" t="str">
        <x:v>Law &amp; Order: Criminal Intent</x:v>
      </x:c>
      <x:c r="E992" s="33" t="str">
        <x:v>Law &amp; Order</x:v>
      </x:c>
      <x:c r="F992" s="33" t="str">
        <x:v>core</x:v>
      </x:c>
      <x:c r="G992" s="50" t="n">
        <x:v>2</x:v>
      </x:c>
      <x:c r="H992" s="50" t="n">
        <x:v>20</x:v>
      </x:c>
      <x:c r="I992" s="44" t="str">
        <x:v>02.20</x:v>
      </x:c>
      <x:c r="J992" s="33" t="str">
        <x:v>Blink</x:v>
      </x:c>
      <x:c r="K992" s="33" t="str"/>
      <x:c r="L992" s="33" t="str"/>
      <x:c r="M992" s="44" t="str"/>
      <x:c r="N992" s="50" t="n">
        <x:v>44</x:v>
      </x:c>
      <x:c r="O992" s="53" t="str">
        <x:v>The detectives investigate a murder of a math student who worked in a poker club as a card-counter. Their case brings the detectives to a group of computer nerds, but later they discover a computer gambling system which has tougher suspects. The detectives discovers that even there own workstations are hit by the ringleader of the group, who had bigger plans for his horseracing and other scams.</x:v>
      </x:c>
      <x:c r="P992" s="53" t="str">
        <x:v>Core Law &amp; Order franchise</x:v>
      </x:c>
      <x:c r="Q992" s="17" t="str">
        <x:v>341253</x:v>
      </x:c>
      <x:c r="R992" s="17" t="str">
        <x:v>tt0629511</x:v>
      </x:c>
      <x:c r="S992" s="17" t="str">
        <x:v>608</x:v>
      </x:c>
    </x:row>
    <x:row r="993">
      <x:c r="A993" s="43" t="n">
        <x:v>989</x:v>
      </x:c>
      <x:c r="B993" s="44" t="str">
        <x:v>Not Started</x:v>
      </x:c>
      <x:c r="C993" s="45" t="n">
        <x:v>37748</x:v>
      </x:c>
      <x:c r="D993" s="33" t="str">
        <x:v>Law &amp; Order</x:v>
      </x:c>
      <x:c r="E993" s="33" t="str">
        <x:v>Law &amp; Order</x:v>
      </x:c>
      <x:c r="F993" s="33" t="str">
        <x:v>core</x:v>
      </x:c>
      <x:c r="G993" s="50" t="n">
        <x:v>13</x:v>
      </x:c>
      <x:c r="H993" s="50" t="n">
        <x:v>21</x:v>
      </x:c>
      <x:c r="I993" s="44" t="str">
        <x:v>13.21</x:v>
      </x:c>
      <x:c r="J993" s="33" t="str">
        <x:v>House Calls</x:v>
      </x:c>
      <x:c r="K993" s="33" t="str"/>
      <x:c r="L993" s="33" t="str"/>
      <x:c r="M993" s="44" t="str"/>
      <x:c r="N993" s="50" t="n">
        <x:v>43</x:v>
      </x:c>
      <x:c r="O993" s="53" t="str">
        <x:v>The suspicious death of a Russian model leads the detectives to suspect medical malpractice.</x:v>
      </x:c>
      <x:c r="P993" s="53" t="str">
        <x:v>Core Law &amp; Order franchise</x:v>
      </x:c>
      <x:c r="Q993" s="17" t="str">
        <x:v>34352</x:v>
      </x:c>
      <x:c r="R993" s="17" t="str">
        <x:v>tt0629301</x:v>
      </x:c>
      <x:c r="S993" s="17" t="str">
        <x:v>609</x:v>
      </x:c>
    </x:row>
    <x:row r="994">
      <x:c r="A994" s="43" t="n">
        <x:v>990</x:v>
      </x:c>
      <x:c r="B994" s="44" t="str">
        <x:v>Watched</x:v>
      </x:c>
      <x:c r="C994" s="45" t="n">
        <x:v>37750</x:v>
      </x:c>
      <x:c r="D994" s="33" t="str">
        <x:v>Law &amp; Order: Special Victims Unit</x:v>
      </x:c>
      <x:c r="E994" s="33" t="str">
        <x:v>Law &amp; Order</x:v>
      </x:c>
      <x:c r="F994" s="33" t="str">
        <x:v>core</x:v>
      </x:c>
      <x:c r="G994" s="50" t="n">
        <x:v>4</x:v>
      </x:c>
      <x:c r="H994" s="50" t="n">
        <x:v>24</x:v>
      </x:c>
      <x:c r="I994" s="44" t="str">
        <x:v>04.24</x:v>
      </x:c>
      <x:c r="J994" s="33" t="str">
        <x:v>Perfect</x:v>
      </x:c>
      <x:c r="K994" s="33" t="str"/>
      <x:c r="L994" s="33" t="str"/>
      <x:c r="M994" s="44" t="str"/>
      <x:c r="N994" s="50" t="n">
        <x:v>43</x:v>
      </x:c>
      <x:c r="O994" s="53" t="str">
        <x:v>A murdered 14-year-old girl leads the detectives to a prominent physician who specializes in reproduction therapy and exposes a dangerous "foundation" where disenfranchised young women are brainwashed.</x:v>
      </x:c>
      <x:c r="P994" s="53" t="str">
        <x:v>Core Law &amp; Order franchise</x:v>
      </x:c>
      <x:c r="Q994" s="17" t="str">
        <x:v>225030</x:v>
      </x:c>
      <x:c r="R994" s="17" t="str">
        <x:v>tt0629701</x:v>
      </x:c>
      <x:c r="S994" s="17" t="str">
        <x:v>610</x:v>
      </x:c>
    </x:row>
    <x:row r="995">
      <x:c r="A995" s="43" t="n">
        <x:v>991</x:v>
      </x:c>
      <x:c r="B995" s="44" t="str">
        <x:v>Not Started</x:v>
      </x:c>
      <x:c r="C995" s="45" t="n">
        <x:v>37752</x:v>
      </x:c>
      <x:c r="D995" s="33" t="str">
        <x:v>L.A. Dragnet</x:v>
      </x:c>
      <x:c r="E995" s="33" t="str">
        <x:v>Wolf Adjacent</x:v>
      </x:c>
      <x:c r="F995" s="33" t="str">
        <x:v>adjacent</x:v>
      </x:c>
      <x:c r="G995" s="50" t="n">
        <x:v>1</x:v>
      </x:c>
      <x:c r="H995" s="50" t="n">
        <x:v>12</x:v>
      </x:c>
      <x:c r="I995" s="44" t="str">
        <x:v>01.12</x:v>
      </x:c>
      <x:c r="J995" s="33" t="str">
        <x:v>The Little Guy</x:v>
      </x:c>
      <x:c r="K995" s="33" t="str"/>
      <x:c r="L995" s="33" t="str"/>
      <x:c r="M995" s="44" t="str"/>
      <x:c r="N995" s="50" t="n">
        <x:v>41</x:v>
      </x:c>
      <x:c r="O995" s="53" t="str">
        <x:v>While trying to protect an innocent suspect linked to the Sanchez brothers, Friday puts his career on the line by killing a cop.</x:v>
      </x:c>
      <x:c r="P995" s="53" t="str">
        <x:v>2003 Dick Wolf-created Dragnet revival; kept separate from the 1950s Dragnet.</x:v>
      </x:c>
      <x:c r="Q995" s="17" t="str">
        <x:v>909245</x:v>
      </x:c>
      <x:c r="R995" s="17" t="str"/>
      <x:c r="S995" s="17" t="str"/>
    </x:row>
    <x:row r="996">
      <x:c r="A996" s="43" t="n">
        <x:v>992</x:v>
      </x:c>
      <x:c r="B996" s="44" t="str">
        <x:v>Not Started</x:v>
      </x:c>
      <x:c r="C996" s="45" t="n">
        <x:v>37752</x:v>
      </x:c>
      <x:c r="D996" s="33" t="str">
        <x:v>Law &amp; Order: Criminal Intent</x:v>
      </x:c>
      <x:c r="E996" s="33" t="str">
        <x:v>Law &amp; Order</x:v>
      </x:c>
      <x:c r="F996" s="33" t="str">
        <x:v>core</x:v>
      </x:c>
      <x:c r="G996" s="50" t="n">
        <x:v>2</x:v>
      </x:c>
      <x:c r="H996" s="50" t="n">
        <x:v>21</x:v>
      </x:c>
      <x:c r="I996" s="44" t="str">
        <x:v>02.21</x:v>
      </x:c>
      <x:c r="J996" s="33" t="str">
        <x:v>Graansha</x:v>
      </x:c>
      <x:c r="K996" s="33" t="str"/>
      <x:c r="L996" s="33" t="str"/>
      <x:c r="M996" s="44" t="str"/>
      <x:c r="N996" s="50" t="n">
        <x:v>44</x:v>
      </x:c>
      <x:c r="O996" s="53" t="str">
        <x:v>Goren and Eames enter the closed world of a thieving Irish Traveller clan when they investigate the death of a Ann Lawson, a probation officer who was run over three times after meeting a friend at the bar. They soon learn that Ann, a probation officer, had been involved with Malcolm Bryce, the father of Paul, one of her charges. It appears as though Ann is also very close with the thieving Irish Travellers they are investigating, determined to save a young girl from their style of life.</x:v>
      </x:c>
      <x:c r="P996" s="53" t="str">
        <x:v>Core Law &amp; Order franchise</x:v>
      </x:c>
      <x:c r="Q996" s="17" t="str">
        <x:v>341254</x:v>
      </x:c>
      <x:c r="R996" s="17" t="str">
        <x:v>tt0629537</x:v>
      </x:c>
      <x:c r="S996" s="17" t="str">
        <x:v>611</x:v>
      </x:c>
    </x:row>
    <x:row r="997">
      <x:c r="A997" s="43" t="n">
        <x:v>993</x:v>
      </x:c>
      <x:c r="B997" s="44" t="str">
        <x:v>Not Started</x:v>
      </x:c>
      <x:c r="C997" s="45" t="n">
        <x:v>37755</x:v>
      </x:c>
      <x:c r="D997" s="33" t="str">
        <x:v>Law &amp; Order</x:v>
      </x:c>
      <x:c r="E997" s="33" t="str">
        <x:v>Law &amp; Order</x:v>
      </x:c>
      <x:c r="F997" s="33" t="str">
        <x:v>core</x:v>
      </x:c>
      <x:c r="G997" s="50" t="n">
        <x:v>13</x:v>
      </x:c>
      <x:c r="H997" s="50" t="n">
        <x:v>22</x:v>
      </x:c>
      <x:c r="I997" s="44" t="str">
        <x:v>13.22</x:v>
      </x:c>
      <x:c r="J997" s="33" t="str">
        <x:v>Sheltered</x:v>
      </x:c>
      <x:c r="K997" s="33" t="str"/>
      <x:c r="L997" s="33" t="str"/>
      <x:c r="M997" s="44" t="str"/>
      <x:c r="N997" s="50" t="n">
        <x:v>45</x:v>
      </x:c>
      <x:c r="O997" s="53" t="str">
        <x:v>It's a race against time as the detectives go on the hunt for a sniper whose victims are shot in broad daylight.</x:v>
      </x:c>
      <x:c r="P997" s="53" t="str">
        <x:v>Core Law &amp; Order franchise</x:v>
      </x:c>
      <x:c r="Q997" s="17" t="str">
        <x:v>34353</x:v>
      </x:c>
      <x:c r="R997" s="17" t="str">
        <x:v>tt0629419</x:v>
      </x:c>
      <x:c r="S997" s="17" t="str">
        <x:v>612</x:v>
      </x:c>
    </x:row>
    <x:row r="998">
      <x:c r="A998" s="43" t="n">
        <x:v>994</x:v>
      </x:c>
      <x:c r="B998" s="44" t="str">
        <x:v>Watched</x:v>
      </x:c>
      <x:c r="C998" s="45" t="n">
        <x:v>37757</x:v>
      </x:c>
      <x:c r="D998" s="33" t="str">
        <x:v>Law &amp; Order: Special Victims Unit</x:v>
      </x:c>
      <x:c r="E998" s="33" t="str">
        <x:v>Law &amp; Order</x:v>
      </x:c>
      <x:c r="F998" s="33" t="str">
        <x:v>core</x:v>
      </x:c>
      <x:c r="G998" s="50" t="n">
        <x:v>4</x:v>
      </x:c>
      <x:c r="H998" s="50" t="n">
        <x:v>25</x:v>
      </x:c>
      <x:c r="I998" s="44" t="str">
        <x:v>04.25</x:v>
      </x:c>
      <x:c r="J998" s="33" t="str">
        <x:v>Soulless</x:v>
      </x:c>
      <x:c r="K998" s="33" t="str"/>
      <x:c r="L998" s="33" t="str"/>
      <x:c r="M998" s="44" t="str"/>
      <x:c r="N998" s="50" t="n">
        <x:v>43</x:v>
      </x:c>
      <x:c r="O998" s="53" t="str">
        <x:v>After a rape victim is abducted from the hospital and later found dead, the detectives suspect several young socialites of her rape, at a Manhattan nightclub, and subsequent murder.</x:v>
      </x:c>
      <x:c r="P998" s="53" t="str">
        <x:v>Core Law &amp; Order franchise</x:v>
      </x:c>
      <x:c r="Q998" s="17" t="str">
        <x:v>225031</x:v>
      </x:c>
      <x:c r="R998" s="17" t="str">
        <x:v>tt0629736</x:v>
      </x:c>
      <x:c r="S998" s="17" t="str">
        <x:v>613</x:v>
      </x:c>
    </x:row>
    <x:row r="999">
      <x:c r="A999" s="43" t="n">
        <x:v>995</x:v>
      </x:c>
      <x:c r="B999" s="44" t="str">
        <x:v>Not Started</x:v>
      </x:c>
      <x:c r="C999" s="45" t="n">
        <x:v>37759</x:v>
      </x:c>
      <x:c r="D999" s="33" t="str">
        <x:v>Law &amp; Order: Criminal Intent</x:v>
      </x:c>
      <x:c r="E999" s="33" t="str">
        <x:v>Law &amp; Order</x:v>
      </x:c>
      <x:c r="F999" s="33" t="str">
        <x:v>core</x:v>
      </x:c>
      <x:c r="G999" s="50" t="n">
        <x:v>2</x:v>
      </x:c>
      <x:c r="H999" s="50" t="n">
        <x:v>22</x:v>
      </x:c>
      <x:c r="I999" s="44" t="str">
        <x:v>02.22</x:v>
      </x:c>
      <x:c r="J999" s="33" t="str">
        <x:v>Zoonotic</x:v>
      </x:c>
      <x:c r="K999" s="33" t="str"/>
      <x:c r="L999" s="33" t="str"/>
      <x:c r="M999" s="44" t="str"/>
      <x:c r="N999" s="50" t="n">
        <x:v>44</x:v>
      </x:c>
      <x:c r="O999" s="53" t="str">
        <x:v>The investigation into the murder of a crooked cop leads to a preening veterinarian and his friend, an obsessive doctor whose ex-girlfriends who have all been infected with a rare disease.</x:v>
      </x:c>
      <x:c r="P999" s="53" t="str">
        <x:v>Core Law &amp; Order franchise</x:v>
      </x:c>
      <x:c r="Q999" s="17" t="str">
        <x:v>341255</x:v>
      </x:c>
      <x:c r="R999" s="17" t="str">
        <x:v>tt0629604</x:v>
      </x:c>
      <x:c r="S999" s="17" t="str">
        <x:v>614</x:v>
      </x:c>
    </x:row>
    <x:row r="1000">
      <x:c r="A1000" s="43" t="n">
        <x:v>996</x:v>
      </x:c>
      <x:c r="B1000" s="44" t="str">
        <x:v>Not Started</x:v>
      </x:c>
      <x:c r="C1000" s="45" t="n">
        <x:v>37759</x:v>
      </x:c>
      <x:c r="D1000" s="33" t="str">
        <x:v>Law &amp; Order: Criminal Intent</x:v>
      </x:c>
      <x:c r="E1000" s="33" t="str">
        <x:v>Law &amp; Order</x:v>
      </x:c>
      <x:c r="F1000" s="33" t="str">
        <x:v>core</x:v>
      </x:c>
      <x:c r="G1000" s="50" t="n">
        <x:v>2</x:v>
      </x:c>
      <x:c r="H1000" s="50" t="n">
        <x:v>23</x:v>
      </x:c>
      <x:c r="I1000" s="44" t="str">
        <x:v>02.23</x:v>
      </x:c>
      <x:c r="J1000" s="33" t="str">
        <x:v>A Person of Interest</x:v>
      </x:c>
      <x:c r="K1000" s="33" t="str"/>
      <x:c r="L1000" s="33" t="str"/>
      <x:c r="M1000" s="44" t="str"/>
      <x:c r="N1000" s="50" t="n">
        <x:v>44</x:v>
      </x:c>
      <x:c r="O1000" s="53" t="str">
        <x:v>Goren and Eames investigate the murder of a former nurse and discover a possible anthrax terrorist plot. The case takes a turn for the worse when Goren is blamed for driving a suspect to commit suicide. Now disgraced, Goren learns that a cunning adversary from his past may be involved.</x:v>
      </x:c>
      <x:c r="P1000" s="53" t="str">
        <x:v>Core Law &amp; Order franchise</x:v>
      </x:c>
      <x:c r="Q1000" s="17" t="str">
        <x:v>341256</x:v>
      </x:c>
      <x:c r="R1000" s="17" t="str">
        <x:v>tt0629503</x:v>
      </x:c>
      <x:c r="S1000" s="17" t="str">
        <x:v>615</x:v>
      </x:c>
    </x:row>
    <x:row r="1001">
      <x:c r="A1001" s="43" t="n">
        <x:v>997</x:v>
      </x:c>
      <x:c r="B1001" s="44" t="str">
        <x:v>Not Started</x:v>
      </x:c>
      <x:c r="C1001" s="45" t="n">
        <x:v>37762</x:v>
      </x:c>
      <x:c r="D1001" s="33" t="str">
        <x:v>Law &amp; Order</x:v>
      </x:c>
      <x:c r="E1001" s="33" t="str">
        <x:v>Law &amp; Order</x:v>
      </x:c>
      <x:c r="F1001" s="33" t="str">
        <x:v>core</x:v>
      </x:c>
      <x:c r="G1001" s="50" t="n">
        <x:v>13</x:v>
      </x:c>
      <x:c r="H1001" s="50" t="n">
        <x:v>23</x:v>
      </x:c>
      <x:c r="I1001" s="44" t="str">
        <x:v>13.23</x:v>
      </x:c>
      <x:c r="J1001" s="33" t="str">
        <x:v>Couples</x:v>
      </x:c>
      <x:c r="K1001" s="33" t="str"/>
      <x:c r="L1001" s="33" t="str"/>
      <x:c r="M1001" s="44" t="str"/>
      <x:c r="N1001" s="50" t="n">
        <x:v>42</x:v>
      </x:c>
      <x:c r="O1001" s="53" t="str">
        <x:v>Briscoe and Green catch four murders and a kidnapping on the same day, and get handed confessions in each case.</x:v>
      </x:c>
      <x:c r="P1001" s="53" t="str">
        <x:v>Core Law &amp; Order franchise</x:v>
      </x:c>
      <x:c r="Q1001" s="17" t="str">
        <x:v>34354</x:v>
      </x:c>
      <x:c r="R1001" s="17" t="str">
        <x:v>tt0629219</x:v>
      </x:c>
      <x:c r="S1001" s="17" t="str">
        <x:v>616</x:v>
      </x:c>
    </x:row>
    <x:row r="1002">
      <x:c r="A1002" s="43" t="n">
        <x:v>998</x:v>
      </x:c>
      <x:c r="B1002" s="44" t="str">
        <x:v>Not Started</x:v>
      </x:c>
      <x:c r="C1002" s="45" t="n">
        <x:v>37762</x:v>
      </x:c>
      <x:c r="D1002" s="33" t="str">
        <x:v>Law &amp; Order</x:v>
      </x:c>
      <x:c r="E1002" s="33" t="str">
        <x:v>Law &amp; Order</x:v>
      </x:c>
      <x:c r="F1002" s="33" t="str">
        <x:v>core</x:v>
      </x:c>
      <x:c r="G1002" s="50" t="n">
        <x:v>13</x:v>
      </x:c>
      <x:c r="H1002" s="50" t="n">
        <x:v>24</x:v>
      </x:c>
      <x:c r="I1002" s="44" t="str">
        <x:v>13.24</x:v>
      </x:c>
      <x:c r="J1002" s="33" t="str">
        <x:v>Smoke</x:v>
      </x:c>
      <x:c r="K1002" s="33" t="str"/>
      <x:c r="L1002" s="33" t="str"/>
      <x:c r="M1002" s="44" t="str"/>
      <x:c r="N1002" s="50" t="n">
        <x:v>45</x:v>
      </x:c>
      <x:c r="O1002" s="53" t="str">
        <x:v>Briscoe and Green are assigned to a case involving an eccentric comedian who may have killed his young son by dangling him off a ledge.</x:v>
      </x:c>
      <x:c r="P1002" s="53" t="str">
        <x:v>Core Law &amp; Order franchise</x:v>
      </x:c>
      <x:c r="Q1002" s="17" t="str">
        <x:v>34355</x:v>
      </x:c>
      <x:c r="R1002" s="17" t="str">
        <x:v>tt0629428</x:v>
      </x:c>
      <x:c r="S1002" s="17" t="str">
        <x:v>617</x:v>
      </x:c>
    </x:row>
    <x:row r="1003">
      <x:c r="A1003" s="43" t="n">
        <x:v>999</x:v>
      </x:c>
      <x:c r="B1003" s="44" t="str">
        <x:v>Not Started</x:v>
      </x:c>
      <x:c r="C1003" s="45" t="n">
        <x:v>37773</x:v>
      </x:c>
      <x:c r="D1003" s="33" t="str">
        <x:v>Crime &amp; Punishment</x:v>
      </x:c>
      <x:c r="E1003" s="33" t="str">
        <x:v>Crossover Adjacent</x:v>
      </x:c>
      <x:c r="F1003" s="33" t="str">
        <x:v>complete</x:v>
      </x:c>
      <x:c r="G1003" s="50" t="n">
        <x:v>2</x:v>
      </x:c>
      <x:c r="H1003" s="50" t="n">
        <x:v>1</x:v>
      </x:c>
      <x:c r="I1003" s="44" t="str">
        <x:v>02.01</x:v>
      </x:c>
      <x:c r="J1003" s="33" t="str">
        <x:v>People v. Richard Arnold</x:v>
      </x:c>
      <x:c r="K1003" s="33" t="str"/>
      <x:c r="L1003" s="33" t="str"/>
      <x:c r="M1003" s="44" t="str"/>
      <x:c r="N1003" s="50" t="n">
        <x:v>60</x:v>
      </x:c>
      <x:c r="O1003" s="53" t="str">
        <x:v>An especially heinous murder occurred, where the victim was stabbed and tortured to death.  The defendant had a shoddy record filled with violence and lack of temper control.  Witnesses testifying against Arnold included his son, wife, and parents.</x:v>
      </x:c>
      <x:c r="P1003" s="53" t="str">
        <x:v>Dick Wolf reality/legal series</x:v>
      </x:c>
      <x:c r="Q1003" s="17" t="str">
        <x:v>177252</x:v>
      </x:c>
      <x:c r="R1003" s="17" t="str"/>
      <x:c r="S1003" s="17" t="str"/>
    </x:row>
    <x:row r="1004">
      <x:c r="A1004" s="43" t="n">
        <x:v>1000</x:v>
      </x:c>
      <x:c r="B1004" s="44" t="str">
        <x:v>Not Started</x:v>
      </x:c>
      <x:c r="C1004" s="45" t="n">
        <x:v>37780</x:v>
      </x:c>
      <x:c r="D1004" s="33" t="str">
        <x:v>Crime &amp; Punishment</x:v>
      </x:c>
      <x:c r="E1004" s="33" t="str">
        <x:v>Crossover Adjacent</x:v>
      </x:c>
      <x:c r="F1004" s="33" t="str">
        <x:v>complete</x:v>
      </x:c>
      <x:c r="G1004" s="50" t="n">
        <x:v>2</x:v>
      </x:c>
      <x:c r="H1004" s="50" t="n">
        <x:v>2</x:v>
      </x:c>
      <x:c r="I1004" s="44" t="str">
        <x:v>02.02</x:v>
      </x:c>
      <x:c r="J1004" s="33" t="str">
        <x:v>People v. Ron Barker/NY Nourn</x:v>
      </x:c>
      <x:c r="K1004" s="33" t="str"/>
      <x:c r="L1004" s="33" t="str"/>
      <x:c r="M1004" s="44" t="str"/>
      <x:c r="N1004" s="50" t="n">
        <x:v>60</x:v>
      </x:c>
      <x:c r="O1004" s="53" t="str">
        <x:v>As the defendant is brought up on numerous charges, his biggest mistake (second only to the crimes) was representing himself.  By not having a layer, Nourn was unable to form directed questions or sway the jury in his favor.</x:v>
      </x:c>
      <x:c r="P1004" s="53" t="str">
        <x:v>Dick Wolf reality/legal series</x:v>
      </x:c>
      <x:c r="Q1004" s="17" t="str">
        <x:v>177253</x:v>
      </x:c>
      <x:c r="R1004" s="17" t="str"/>
      <x:c r="S1004" s="17" t="str"/>
    </x:row>
    <x:row r="1005">
      <x:c r="A1005" s="43" t="n">
        <x:v>1001</x:v>
      </x:c>
      <x:c r="B1005" s="44" t="str">
        <x:v>Not Started</x:v>
      </x:c>
      <x:c r="C1005" s="45" t="n">
        <x:v>37787</x:v>
      </x:c>
      <x:c r="D1005" s="33" t="str">
        <x:v>Crime &amp; Punishment</x:v>
      </x:c>
      <x:c r="E1005" s="33" t="str">
        <x:v>Crossover Adjacent</x:v>
      </x:c>
      <x:c r="F1005" s="33" t="str">
        <x:v>complete</x:v>
      </x:c>
      <x:c r="G1005" s="50" t="n">
        <x:v>2</x:v>
      </x:c>
      <x:c r="H1005" s="50" t="n">
        <x:v>3</x:v>
      </x:c>
      <x:c r="I1005" s="44" t="str">
        <x:v>02.03</x:v>
      </x:c>
      <x:c r="J1005" s="33" t="str">
        <x:v>People v. Clifford Smith</x:v>
      </x:c>
      <x:c r="K1005" s="33" t="str"/>
      <x:c r="L1005" s="33" t="str"/>
      <x:c r="M1005" s="44" t="str"/>
      <x:c r="N1005" s="50" t="n">
        <x:v>60</x:v>
      </x:c>
      <x:c r="O1005" s="53" t="str">
        <x:v>A man is brought up on 19 counts of sexual molestation for molesting his own children, relatives, and neighbors.  Because the charges are made years after the abuse, the defense claims that the witnesses formed their stories through suggestability.  The children supposedly has been offered stories through therapists and friends.  However, when the verdict was rendered, the suggestability went towards the defendant as he was found guilty on all charges.</x:v>
      </x:c>
      <x:c r="P1005" s="53" t="str">
        <x:v>Dick Wolf reality/legal series</x:v>
      </x:c>
      <x:c r="Q1005" s="17" t="str">
        <x:v>177254</x:v>
      </x:c>
      <x:c r="R1005" s="17" t="str"/>
      <x:c r="S1005" s="17" t="str"/>
    </x:row>
    <x:row r="1006">
      <x:c r="A1006" s="43" t="n">
        <x:v>1002</x:v>
      </x:c>
      <x:c r="B1006" s="44" t="str">
        <x:v>Not Started</x:v>
      </x:c>
      <x:c r="C1006" s="45" t="n">
        <x:v>37794</x:v>
      </x:c>
      <x:c r="D1006" s="33" t="str">
        <x:v>Crime &amp; Punishment</x:v>
      </x:c>
      <x:c r="E1006" s="33" t="str">
        <x:v>Crossover Adjacent</x:v>
      </x:c>
      <x:c r="F1006" s="33" t="str">
        <x:v>complete</x:v>
      </x:c>
      <x:c r="G1006" s="50" t="n">
        <x:v>2</x:v>
      </x:c>
      <x:c r="H1006" s="50" t="n">
        <x:v>4</x:v>
      </x:c>
      <x:c r="I1006" s="44" t="str">
        <x:v>02.04</x:v>
      </x:c>
      <x:c r="J1006" s="33" t="str">
        <x:v>People v. Emile Robershaw</x:v>
      </x:c>
      <x:c r="K1006" s="33" t="str"/>
      <x:c r="L1006" s="33" t="str"/>
      <x:c r="M1006" s="44" t="str"/>
      <x:c r="N1006" s="50" t="n">
        <x:v>60</x:v>
      </x:c>
      <x:c r="O1006" s="53" t="str">
        <x:v>Emile Robershaw is on trail for vehicular manslaughter and drinking under the influence.
He allegedly drove this girlfriend from a party very drunk. He crashed the truck and killed Josh.
Emile defense tells the jury it is inconclusive who was behind the wheel.
Sherea Boone, Emile's then girlfriend was injured in the crash. She was dazed but according to witnesses she was wandering around chatting to her boy friend.
Shannon Williams, who also got offered a ride home from josh. she was not drinking.
A short time later she was drinking home and saw the accident.
She testifies that Emile had no memory as to what happen and even to Josh was not drinking.
Josh mother Laura also testifies for emile.
They also called James Garrity as a witness.
The jury verdict is guilty.
Emile is sentenced to 4 years, 8 months of prison.</x:v>
      </x:c>
      <x:c r="P1006" s="53" t="str">
        <x:v>Dick Wolf reality/legal series</x:v>
      </x:c>
      <x:c r="Q1006" s="17" t="str">
        <x:v>177255</x:v>
      </x:c>
      <x:c r="R1006" s="17" t="str"/>
      <x:c r="S1006" s="17" t="str"/>
    </x:row>
    <x:row r="1007">
      <x:c r="A1007" s="43" t="n">
        <x:v>1003</x:v>
      </x:c>
      <x:c r="B1007" s="44" t="str">
        <x:v>Not Started</x:v>
      </x:c>
      <x:c r="C1007" s="45" t="n">
        <x:v>37801</x:v>
      </x:c>
      <x:c r="D1007" s="33" t="str">
        <x:v>Crime &amp; Punishment</x:v>
      </x:c>
      <x:c r="E1007" s="33" t="str">
        <x:v>Crossover Adjacent</x:v>
      </x:c>
      <x:c r="F1007" s="33" t="str">
        <x:v>complete</x:v>
      </x:c>
      <x:c r="G1007" s="50" t="n">
        <x:v>2</x:v>
      </x:c>
      <x:c r="H1007" s="50" t="n">
        <x:v>5</x:v>
      </x:c>
      <x:c r="I1007" s="44" t="str">
        <x:v>02.05</x:v>
      </x:c>
      <x:c r="J1007" s="33" t="str">
        <x:v>People v. Joseph Villarino</x:v>
      </x:c>
      <x:c r="K1007" s="33" t="str"/>
      <x:c r="L1007" s="33" t="str"/>
      <x:c r="M1007" s="44" t="str"/>
      <x:c r="N1007" s="50" t="n">
        <x:v>60</x:v>
      </x:c>
      <x:c r="O1007" s="53" t="str">
        <x:v>Deputy District Attorney Rachel Solovis prosecuting Joseph Villarino Jr. for kidnapping and five counts of rape.
The jury verdict is guilty he was charged with kidnapping and four counts of rape.
Villarino is sentenced to 228 years in prison after he arrogantly scolds the judge about the way the trail was handled.</x:v>
      </x:c>
      <x:c r="P1007" s="53" t="str">
        <x:v>Dick Wolf reality/legal series</x:v>
      </x:c>
      <x:c r="Q1007" s="17" t="str">
        <x:v>177256</x:v>
      </x:c>
      <x:c r="R1007" s="17" t="str"/>
      <x:c r="S1007" s="17" t="str"/>
    </x:row>
    <x:row r="1008">
      <x:c r="A1008" s="43" t="n">
        <x:v>1004</x:v>
      </x:c>
      <x:c r="B1008" s="44" t="str">
        <x:v>Not Started</x:v>
      </x:c>
      <x:c r="C1008" s="45" t="n">
        <x:v>37808</x:v>
      </x:c>
      <x:c r="D1008" s="33" t="str">
        <x:v>Crime &amp; Punishment</x:v>
      </x:c>
      <x:c r="E1008" s="33" t="str">
        <x:v>Crossover Adjacent</x:v>
      </x:c>
      <x:c r="F1008" s="33" t="str">
        <x:v>complete</x:v>
      </x:c>
      <x:c r="G1008" s="50" t="n">
        <x:v>2</x:v>
      </x:c>
      <x:c r="H1008" s="50" t="n">
        <x:v>6</x:v>
      </x:c>
      <x:c r="I1008" s="44" t="str">
        <x:v>02.06</x:v>
      </x:c>
      <x:c r="J1008" s="33" t="str">
        <x:v>People v. Hugo Alcazar</x:v>
      </x:c>
      <x:c r="K1008" s="33" t="str"/>
      <x:c r="L1008" s="33" t="str"/>
      <x:c r="M1008" s="44" t="str"/>
      <x:c r="N1008" s="50" t="n">
        <x:v>60</x:v>
      </x:c>
      <x:c r="O1008" s="53" t="str">
        <x:v>Hugo Alcazar is on trail for the rape of 14 year old Carla, and the rape, torture and murder of her friend Diana Rodriguez.
The jury reaches a very swift verdict.
Hugo Alcazar is guilty of first degree murder and is sentenced to life without parole.</x:v>
      </x:c>
      <x:c r="P1008" s="53" t="str">
        <x:v>Dick Wolf reality/legal series</x:v>
      </x:c>
      <x:c r="Q1008" s="17" t="str">
        <x:v>177257</x:v>
      </x:c>
      <x:c r="R1008" s="17" t="str"/>
      <x:c r="S1008" s="17" t="str"/>
    </x:row>
    <x:row r="1009">
      <x:c r="A1009" s="43" t="n">
        <x:v>1005</x:v>
      </x:c>
      <x:c r="B1009" s="44" t="str">
        <x:v>Not Started</x:v>
      </x:c>
      <x:c r="C1009" s="45" t="n">
        <x:v>37815</x:v>
      </x:c>
      <x:c r="D1009" s="33" t="str">
        <x:v>Crime &amp; Punishment</x:v>
      </x:c>
      <x:c r="E1009" s="33" t="str">
        <x:v>Crossover Adjacent</x:v>
      </x:c>
      <x:c r="F1009" s="33" t="str">
        <x:v>complete</x:v>
      </x:c>
      <x:c r="G1009" s="50" t="n">
        <x:v>2</x:v>
      </x:c>
      <x:c r="H1009" s="50" t="n">
        <x:v>7</x:v>
      </x:c>
      <x:c r="I1009" s="44" t="str">
        <x:v>02.07</x:v>
      </x:c>
      <x:c r="J1009" s="33" t="str">
        <x:v>People v. Delia Contreras</x:v>
      </x:c>
      <x:c r="K1009" s="33" t="str"/>
      <x:c r="L1009" s="33" t="str"/>
      <x:c r="M1009" s="44" t="str"/>
      <x:c r="N1009" s="50" t="n">
        <x:v>60</x:v>
      </x:c>
      <x:c r="O1009" s="53" t="str">
        <x:v>Delia Contreras was convicted for the 1998 ,urder of her husband, Anselmo Vasquez, and she's been incarcerated.
But an appeal on a Miranda Vislation brings her back to court and D.D.A. Jill DiCarlo is retrying the case.
The jury deliberates for several days, and in the end, they come back with 11-1 for guilty, but that one holdout means it's a hung jury, and a mistrail.
DiCarlo has to try the case again, hoping the thrid time's the ch</x:v>
      </x:c>
      <x:c r="P1009" s="53" t="str">
        <x:v>Dick Wolf reality/legal series</x:v>
      </x:c>
      <x:c r="Q1009" s="17" t="str">
        <x:v>177258</x:v>
      </x:c>
      <x:c r="R1009" s="17" t="str"/>
      <x:c r="S1009" s="17" t="str"/>
    </x:row>
    <x:row r="1010">
      <x:c r="A1010" s="43" t="n">
        <x:v>1006</x:v>
      </x:c>
      <x:c r="B1010" s="44" t="str">
        <x:v>Watched</x:v>
      </x:c>
      <x:c r="C1010" s="45" t="n">
        <x:v>37887</x:v>
      </x:c>
      <x:c r="D1010" s="33" t="str">
        <x:v>Law &amp; Order: Special Victims Unit</x:v>
      </x:c>
      <x:c r="E1010" s="33" t="str">
        <x:v>Law &amp; Order</x:v>
      </x:c>
      <x:c r="F1010" s="33" t="str">
        <x:v>core</x:v>
      </x:c>
      <x:c r="G1010" s="50" t="n">
        <x:v>5</x:v>
      </x:c>
      <x:c r="H1010" s="50" t="n">
        <x:v>1</x:v>
      </x:c>
      <x:c r="I1010" s="44" t="str">
        <x:v>05.01</x:v>
      </x:c>
      <x:c r="J1010" s="33" t="str">
        <x:v>Tragedy</x:v>
      </x:c>
      <x:c r="K1010" s="33" t="str"/>
      <x:c r="L1010" s="33" t="str"/>
      <x:c r="M1010" s="44" t="str"/>
      <x:c r="N1010" s="50" t="n">
        <x:v>42</x:v>
      </x:c>
      <x:c r="O1010" s="53" t="str">
        <x:v>A woman with a high-risk pregnancy disappears and her ex-boyfriend, who's the father, and engaged to the boss' daughter, is under suspicion. In a race against time to find her as her delivery date approaches, Benson and Stabler are faced with more than one suspect willing to take the fall for the crime.</x:v>
      </x:c>
      <x:c r="P1010" s="53" t="str">
        <x:v>Core Law &amp; Order franchise</x:v>
      </x:c>
      <x:c r="Q1010" s="17" t="str">
        <x:v>225032</x:v>
      </x:c>
      <x:c r="R1010" s="17" t="str">
        <x:v>tt0629749</x:v>
      </x:c>
      <x:c r="S1010" s="17" t="str">
        <x:v>618</x:v>
      </x:c>
    </x:row>
    <x:row r="1011">
      <x:c r="A1011" s="43" t="n">
        <x:v>1007</x:v>
      </x:c>
      <x:c r="B1011" s="44" t="str">
        <x:v>Not Started</x:v>
      </x:c>
      <x:c r="C1011" s="45" t="n">
        <x:v>37888</x:v>
      </x:c>
      <x:c r="D1011" s="33" t="str">
        <x:v>Law &amp; Order</x:v>
      </x:c>
      <x:c r="E1011" s="33" t="str">
        <x:v>Law &amp; Order</x:v>
      </x:c>
      <x:c r="F1011" s="33" t="str">
        <x:v>core</x:v>
      </x:c>
      <x:c r="G1011" s="50" t="n">
        <x:v>14</x:v>
      </x:c>
      <x:c r="H1011" s="50" t="n">
        <x:v>1</x:v>
      </x:c>
      <x:c r="I1011" s="44" t="str">
        <x:v>14.01</x:v>
      </x:c>
      <x:c r="J1011" s="33" t="str">
        <x:v>Bodies</x:v>
      </x:c>
      <x:c r="K1011" s="33" t="str"/>
      <x:c r="L1011" s="33" t="str"/>
      <x:c r="M1011" s="44" t="str"/>
      <x:c r="N1011" s="50" t="n">
        <x:v>45</x:v>
      </x:c>
      <x:c r="O1011" s="53" t="str">
        <x:v>While investigating the death of a teenaged girl, the detectives stumble on a pattern of crimes that indicate they are after a serial killer. The suspect, however, puts the prosecutors through an ethical ringer when he discloses his attorney's knowledge of the victims and their whereabouts.</x:v>
      </x:c>
      <x:c r="P1011" s="53" t="str">
        <x:v>Core Law &amp; Order franchise</x:v>
      </x:c>
      <x:c r="Q1011" s="17" t="str">
        <x:v>34356</x:v>
      </x:c>
      <x:c r="R1011" s="17" t="str">
        <x:v>tt0629185</x:v>
      </x:c>
      <x:c r="S1011" s="17" t="str">
        <x:v>619</x:v>
      </x:c>
    </x:row>
    <x:row r="1012">
      <x:c r="A1012" s="43" t="n">
        <x:v>1008</x:v>
      </x:c>
      <x:c r="B1012" s="44" t="str">
        <x:v>Not Started</x:v>
      </x:c>
      <x:c r="C1012" s="45" t="n">
        <x:v>37892</x:v>
      </x:c>
      <x:c r="D1012" s="33" t="str">
        <x:v>Law &amp; Order: Criminal Intent</x:v>
      </x:c>
      <x:c r="E1012" s="33" t="str">
        <x:v>Law &amp; Order</x:v>
      </x:c>
      <x:c r="F1012" s="33" t="str">
        <x:v>core</x:v>
      </x:c>
      <x:c r="G1012" s="50" t="n">
        <x:v>3</x:v>
      </x:c>
      <x:c r="H1012" s="50" t="n">
        <x:v>1</x:v>
      </x:c>
      <x:c r="I1012" s="44" t="str">
        <x:v>03.01</x:v>
      </x:c>
      <x:c r="J1012" s="33" t="str">
        <x:v>Undaunted Mettle</x:v>
      </x:c>
      <x:c r="K1012" s="33" t="str"/>
      <x:c r="L1012" s="33" t="str"/>
      <x:c r="M1012" s="44" t="str"/>
      <x:c r="N1012" s="50" t="n">
        <x:v>44</x:v>
      </x:c>
      <x:c r="O1012" s="53" t="str">
        <x:v>A very pregnant Eames reveals that she has offered to be a surrogate mother and carry her sister's child; a famous architect's promiscuity becomes the key to solving the murder of a promising young designer who was his closest competitor for a prestigious commission.</x:v>
      </x:c>
      <x:c r="P1012" s="53" t="str">
        <x:v>Core Law &amp; Order franchise</x:v>
      </x:c>
      <x:c r="Q1012" s="17" t="str">
        <x:v>341257</x:v>
      </x:c>
      <x:c r="R1012" s="17" t="str">
        <x:v>tt0629597</x:v>
      </x:c>
      <x:c r="S1012" s="17" t="str">
        <x:v>620</x:v>
      </x:c>
    </x:row>
    <x:row r="1013">
      <x:c r="A1013" s="43" t="n">
        <x:v>1009</x:v>
      </x:c>
      <x:c r="B1013" s="44" t="str">
        <x:v>Watched</x:v>
      </x:c>
      <x:c r="C1013" s="45" t="n">
        <x:v>37894</x:v>
      </x:c>
      <x:c r="D1013" s="33" t="str">
        <x:v>Law &amp; Order: Special Victims Unit</x:v>
      </x:c>
      <x:c r="E1013" s="33" t="str">
        <x:v>Law &amp; Order</x:v>
      </x:c>
      <x:c r="F1013" s="33" t="str">
        <x:v>core</x:v>
      </x:c>
      <x:c r="G1013" s="50" t="n">
        <x:v>5</x:v>
      </x:c>
      <x:c r="H1013" s="50" t="n">
        <x:v>2</x:v>
      </x:c>
      <x:c r="I1013" s="44" t="str">
        <x:v>05.02</x:v>
      </x:c>
      <x:c r="J1013" s="33" t="str">
        <x:v>Manic</x:v>
      </x:c>
      <x:c r="K1013" s="33" t="str"/>
      <x:c r="L1013" s="33" t="str"/>
      <x:c r="M1013" s="44" t="str"/>
      <x:c r="N1013" s="50" t="n">
        <x:v>44</x:v>
      </x:c>
      <x:c r="O1013" s="53" t="str">
        <x:v>Detectives enlist Dr. Huang's help as they investigate the deaths of two high-school basketball players gunned down while shooting hoops in the gymnasium and the connection to an illegal marketing campaign by a major pharmaceutical company.</x:v>
      </x:c>
      <x:c r="P1013" s="53" t="str">
        <x:v>Core Law &amp; Order franchise</x:v>
      </x:c>
      <x:c r="Q1013" s="17" t="str">
        <x:v>225033</x:v>
      </x:c>
      <x:c r="R1013" s="17" t="str">
        <x:v>tt0629682</x:v>
      </x:c>
      <x:c r="S1013" s="17" t="str">
        <x:v>621</x:v>
      </x:c>
    </x:row>
    <x:row r="1014">
      <x:c r="A1014" s="43" t="n">
        <x:v>1010</x:v>
      </x:c>
      <x:c r="B1014" s="44" t="str">
        <x:v>Not Started</x:v>
      </x:c>
      <x:c r="C1014" s="45" t="n">
        <x:v>37895</x:v>
      </x:c>
      <x:c r="D1014" s="33" t="str">
        <x:v>Law &amp; Order</x:v>
      </x:c>
      <x:c r="E1014" s="33" t="str">
        <x:v>Law &amp; Order</x:v>
      </x:c>
      <x:c r="F1014" s="33" t="str">
        <x:v>core</x:v>
      </x:c>
      <x:c r="G1014" s="50" t="n">
        <x:v>14</x:v>
      </x:c>
      <x:c r="H1014" s="50" t="n">
        <x:v>2</x:v>
      </x:c>
      <x:c r="I1014" s="44" t="str">
        <x:v>14.02</x:v>
      </x:c>
      <x:c r="J1014" s="33" t="str">
        <x:v>Bounty</x:v>
      </x:c>
      <x:c r="K1014" s="33" t="str"/>
      <x:c r="L1014" s="33" t="str"/>
      <x:c r="M1014" s="44" t="str"/>
      <x:c r="N1014" s="50" t="n">
        <x:v>45</x:v>
      </x:c>
      <x:c r="O1014" s="53" t="str">
        <x:v>The investigation into the murder of a bounty hunter leads to a reporter with compromised ethics and a dubious defense strategy.</x:v>
      </x:c>
      <x:c r="P1014" s="53" t="str">
        <x:v>Core Law &amp; Order franchise</x:v>
      </x:c>
      <x:c r="Q1014" s="17" t="str">
        <x:v>34357</x:v>
      </x:c>
      <x:c r="R1014" s="17" t="str">
        <x:v>tt0629188</x:v>
      </x:c>
      <x:c r="S1014" s="17" t="str">
        <x:v>622</x:v>
      </x:c>
    </x:row>
    <x:row r="1015">
      <x:c r="A1015" s="43" t="n">
        <x:v>1011</x:v>
      </x:c>
      <x:c r="B1015" s="44" t="str">
        <x:v>Not Started</x:v>
      </x:c>
      <x:c r="C1015" s="45" t="n">
        <x:v>37895</x:v>
      </x:c>
      <x:c r="D1015" s="33" t="str">
        <x:v>Homicide: Life on the Street</x:v>
      </x:c>
      <x:c r="E1015" s="33" t="str">
        <x:v>Law &amp; Order</x:v>
      </x:c>
      <x:c r="F1015" s="33" t="str">
        <x:v>connected</x:v>
      </x:c>
      <x:c r="G1015" s="50" t="n">
        <x:v>0</x:v>
      </x:c>
      <x:c r="H1015" s="50" t="n">
        <x:v>5</x:v>
      </x:c>
      <x:c r="I1015" s="44" t="str">
        <x:v>S00.05</x:v>
      </x:c>
      <x:c r="J1015" s="33" t="str">
        <x:v>Homicide: Life in Season 3</x:v>
      </x:c>
      <x:c r="K1015" s="33" t="str"/>
      <x:c r="L1015" s="33" t="str"/>
      <x:c r="M1015" s="44" t="str"/>
      <x:c r="N1015" s="50" t="n">
        <x:v>45</x:v>
      </x:c>
      <x:c r="O1015" s="53" t="str">
        <x:v>An interview with Barry Levinson, Tom Fontana, Henry Bromell, David Simon, and James Yoshimura, narrated by Daniel Baldwin</x:v>
      </x:c>
      <x:c r="P1015" s="53" t="str">
        <x:v>Direct crossover with Law &amp; Order; Munch bridge to SVU</x:v>
      </x:c>
      <x:c r="Q1015" s="17" t="str">
        <x:v>319975</x:v>
      </x:c>
      <x:c r="R1015" s="17" t="str">
        <x:v>tt0324999</x:v>
      </x:c>
      <x:c r="S1015" s="17" t="str"/>
    </x:row>
    <x:row r="1016">
      <x:c r="A1016" s="43" t="n">
        <x:v>1012</x:v>
      </x:c>
      <x:c r="B1016" s="44" t="str">
        <x:v>Not Started</x:v>
      </x:c>
      <x:c r="C1016" s="45" t="n">
        <x:v>37898</x:v>
      </x:c>
      <x:c r="D1016" s="33" t="str">
        <x:v>L.A. Dragnet</x:v>
      </x:c>
      <x:c r="E1016" s="33" t="str">
        <x:v>Wolf Adjacent</x:v>
      </x:c>
      <x:c r="F1016" s="33" t="str">
        <x:v>adjacent</x:v>
      </x:c>
      <x:c r="G1016" s="50" t="n">
        <x:v>2</x:v>
      </x:c>
      <x:c r="H1016" s="50" t="n">
        <x:v>1</x:v>
      </x:c>
      <x:c r="I1016" s="44" t="str">
        <x:v>02.01</x:v>
      </x:c>
      <x:c r="J1016" s="33" t="str">
        <x:v>Daddy's Girl</x:v>
      </x:c>
      <x:c r="K1016" s="33" t="str"/>
      <x:c r="L1016" s="33" t="str"/>
      <x:c r="M1016" s="44" t="str"/>
      <x:c r="N1016" s="50" t="n">
        <x:v>41</x:v>
      </x:c>
      <x:c r="O1016" s="53" t="str">
        <x:v>Joe and his crew investigate the murder of a teenager who was burned and left for dead.  Family honor is put to the test when the victom's father wants justice while assailant's father protects his child from the law.</x:v>
      </x:c>
      <x:c r="P1016" s="53" t="str">
        <x:v>2003 Dick Wolf-created Dragnet revival; kept separate from the 1950s Dragnet.</x:v>
      </x:c>
      <x:c r="Q1016" s="17" t="str">
        <x:v>909246</x:v>
      </x:c>
      <x:c r="R1016" s="17" t="str"/>
      <x:c r="S1016" s="17" t="str"/>
    </x:row>
    <x:row r="1017">
      <x:c r="A1017" s="43" t="n">
        <x:v>1013</x:v>
      </x:c>
      <x:c r="B1017" s="44" t="str">
        <x:v>Not Started</x:v>
      </x:c>
      <x:c r="C1017" s="45" t="n">
        <x:v>37899</x:v>
      </x:c>
      <x:c r="D1017" s="33" t="str">
        <x:v>Law &amp; Order: Criminal Intent</x:v>
      </x:c>
      <x:c r="E1017" s="33" t="str">
        <x:v>Law &amp; Order</x:v>
      </x:c>
      <x:c r="F1017" s="33" t="str">
        <x:v>core</x:v>
      </x:c>
      <x:c r="G1017" s="50" t="n">
        <x:v>3</x:v>
      </x:c>
      <x:c r="H1017" s="50" t="n">
        <x:v>2</x:v>
      </x:c>
      <x:c r="I1017" s="44" t="str">
        <x:v>03.02</x:v>
      </x:c>
      <x:c r="J1017" s="33" t="str">
        <x:v>Gemini</x:v>
      </x:c>
      <x:c r="K1017" s="33" t="str"/>
      <x:c r="L1017" s="33" t="str"/>
      <x:c r="M1017" s="44" t="str"/>
      <x:c r="N1017" s="50" t="n">
        <x:v>44</x:v>
      </x:c>
      <x:c r="O1017" s="53" t="str">
        <x:v>When a schizophrenic obsessed with Marilyn Monroe and the cult of the blond and the blue-eyed commits a series of murders to eradicate those he feels are responsible for promoting the homogenization of appearance rampant in society, Goren and Eames suspect that a person close to the man may have taken advantage of his illness and his crimes to commit extortion.</x:v>
      </x:c>
      <x:c r="P1017" s="53" t="str">
        <x:v>Core Law &amp; Order franchise</x:v>
      </x:c>
      <x:c r="Q1017" s="17" t="str">
        <x:v>341258</x:v>
      </x:c>
      <x:c r="R1017" s="17" t="str">
        <x:v>tt0629535</x:v>
      </x:c>
      <x:c r="S1017" s="17" t="str">
        <x:v>623</x:v>
      </x:c>
    </x:row>
    <x:row r="1018">
      <x:c r="A1018" s="43" t="n">
        <x:v>1014</x:v>
      </x:c>
      <x:c r="B1018" s="44" t="str">
        <x:v>Watched</x:v>
      </x:c>
      <x:c r="C1018" s="45" t="n">
        <x:v>37901</x:v>
      </x:c>
      <x:c r="D1018" s="33" t="str">
        <x:v>Law &amp; Order: Special Victims Unit</x:v>
      </x:c>
      <x:c r="E1018" s="33" t="str">
        <x:v>Law &amp; Order</x:v>
      </x:c>
      <x:c r="F1018" s="33" t="str">
        <x:v>core</x:v>
      </x:c>
      <x:c r="G1018" s="50" t="n">
        <x:v>5</x:v>
      </x:c>
      <x:c r="H1018" s="50" t="n">
        <x:v>3</x:v>
      </x:c>
      <x:c r="I1018" s="44" t="str">
        <x:v>05.03</x:v>
      </x:c>
      <x:c r="J1018" s="33" t="str">
        <x:v>Mother</x:v>
      </x:c>
      <x:c r="K1018" s="33" t="str"/>
      <x:c r="L1018" s="33" t="str"/>
      <x:c r="M1018" s="44" t="str"/>
      <x:c r="N1018" s="50" t="n">
        <x:v>44</x:v>
      </x:c>
      <x:c r="O1018" s="53" t="str">
        <x:v>A psychiatrist with unconventional methods is found sexually assaulted, unconscious and near death in a crack house. It's easier said than done to get her to cooperate with the investigation as they are hampered by doctor-patient confidentiality as she may have been attacked by one of her patients.</x:v>
      </x:c>
      <x:c r="P1018" s="53" t="str">
        <x:v>Core Law &amp; Order franchise</x:v>
      </x:c>
      <x:c r="Q1018" s="17" t="str">
        <x:v>225034</x:v>
      </x:c>
      <x:c r="R1018" s="17" t="str">
        <x:v>tt0629687</x:v>
      </x:c>
      <x:c r="S1018" s="17" t="str">
        <x:v>624</x:v>
      </x:c>
    </x:row>
    <x:row r="1019">
      <x:c r="A1019" s="43" t="n">
        <x:v>1015</x:v>
      </x:c>
      <x:c r="B1019" s="44" t="str">
        <x:v>Not Started</x:v>
      </x:c>
      <x:c r="C1019" s="45" t="n">
        <x:v>37902</x:v>
      </x:c>
      <x:c r="D1019" s="33" t="str">
        <x:v>Law &amp; Order</x:v>
      </x:c>
      <x:c r="E1019" s="33" t="str">
        <x:v>Law &amp; Order</x:v>
      </x:c>
      <x:c r="F1019" s="33" t="str">
        <x:v>core</x:v>
      </x:c>
      <x:c r="G1019" s="50" t="n">
        <x:v>14</x:v>
      </x:c>
      <x:c r="H1019" s="50" t="n">
        <x:v>3</x:v>
      </x:c>
      <x:c r="I1019" s="44" t="str">
        <x:v>14.03</x:v>
      </x:c>
      <x:c r="J1019" s="33" t="str">
        <x:v>Patient Zero</x:v>
      </x:c>
      <x:c r="K1019" s="33" t="str"/>
      <x:c r="L1019" s="33" t="str"/>
      <x:c r="M1019" s="44" t="str"/>
      <x:c r="N1019" s="50" t="n">
        <x:v>45</x:v>
      </x:c>
      <x:c r="O1019" s="53" t="str">
        <x:v>The investigation into the carjacking of a vehicle containing vials of a deadly virus leads the detectives on a search for the first person infected with the virus and a biochemist whose sinister motivations were driven by passion.</x:v>
      </x:c>
      <x:c r="P1019" s="53" t="str">
        <x:v>Core Law &amp; Order franchise</x:v>
      </x:c>
      <x:c r="Q1019" s="17" t="str">
        <x:v>34358</x:v>
      </x:c>
      <x:c r="R1019" s="17" t="str">
        <x:v>tt0629369</x:v>
      </x:c>
      <x:c r="S1019" s="17" t="str">
        <x:v>625</x:v>
      </x:c>
    </x:row>
    <x:row r="1020">
      <x:c r="A1020" s="43" t="n">
        <x:v>1016</x:v>
      </x:c>
      <x:c r="B1020" s="44" t="str">
        <x:v>Not Started</x:v>
      </x:c>
      <x:c r="C1020" s="45" t="n">
        <x:v>37905</x:v>
      </x:c>
      <x:c r="D1020" s="33" t="str">
        <x:v>L.A. Dragnet</x:v>
      </x:c>
      <x:c r="E1020" s="33" t="str">
        <x:v>Wolf Adjacent</x:v>
      </x:c>
      <x:c r="F1020" s="33" t="str">
        <x:v>adjacent</x:v>
      </x:c>
      <x:c r="G1020" s="50" t="n">
        <x:v>2</x:v>
      </x:c>
      <x:c r="H1020" s="50" t="n">
        <x:v>2</x:v>
      </x:c>
      <x:c r="I1020" s="44" t="str">
        <x:v>02.02</x:v>
      </x:c>
      <x:c r="J1020" s="33" t="str">
        <x:v>Coyote</x:v>
      </x:c>
      <x:c r="K1020" s="33" t="str"/>
      <x:c r="L1020" s="33" t="str"/>
      <x:c r="M1020" s="44" t="str"/>
      <x:c r="N1020" s="50" t="n">
        <x:v>41</x:v>
      </x:c>
      <x:c r="O1020" s="53" t="str">
        <x:v>The detectives discover a major prostitution ring while investigating a woman's murder.</x:v>
      </x:c>
      <x:c r="P1020" s="53" t="str">
        <x:v>2003 Dick Wolf-created Dragnet revival; kept separate from the 1950s Dragnet.</x:v>
      </x:c>
      <x:c r="Q1020" s="17" t="str">
        <x:v>909247</x:v>
      </x:c>
      <x:c r="R1020" s="17" t="str"/>
      <x:c r="S1020" s="17" t="str"/>
    </x:row>
    <x:row r="1021">
      <x:c r="A1021" s="43" t="n">
        <x:v>1017</x:v>
      </x:c>
      <x:c r="B1021" s="44" t="str">
        <x:v>Not Started</x:v>
      </x:c>
      <x:c r="C1021" s="45" t="n">
        <x:v>37906</x:v>
      </x:c>
      <x:c r="D1021" s="33" t="str">
        <x:v>Law &amp; Order: Criminal Intent</x:v>
      </x:c>
      <x:c r="E1021" s="33" t="str">
        <x:v>Law &amp; Order</x:v>
      </x:c>
      <x:c r="F1021" s="33" t="str">
        <x:v>core</x:v>
      </x:c>
      <x:c r="G1021" s="50" t="n">
        <x:v>3</x:v>
      </x:c>
      <x:c r="H1021" s="50" t="n">
        <x:v>3</x:v>
      </x:c>
      <x:c r="I1021" s="44" t="str">
        <x:v>03.03</x:v>
      </x:c>
      <x:c r="J1021" s="33" t="str">
        <x:v>The Gift</x:v>
      </x:c>
      <x:c r="K1021" s="33" t="str"/>
      <x:c r="L1021" s="33" t="str"/>
      <x:c r="M1021" s="44" t="str"/>
      <x:c r="N1021" s="50" t="n">
        <x:v>44</x:v>
      </x:c>
      <x:c r="O1021" s="53" t="str">
        <x:v>Santeria cultists kill the son of a women that believed from them she had psychic powers.</x:v>
      </x:c>
      <x:c r="P1021" s="53" t="str">
        <x:v>Core Law &amp; Order franchise</x:v>
      </x:c>
      <x:c r="Q1021" s="17" t="str">
        <x:v>341259</x:v>
      </x:c>
      <x:c r="R1021" s="17" t="str">
        <x:v>tt0629584</x:v>
      </x:c>
      <x:c r="S1021" s="17" t="str">
        <x:v>626</x:v>
      </x:c>
    </x:row>
    <x:row r="1022">
      <x:c r="A1022" s="43" t="n">
        <x:v>1018</x:v>
      </x:c>
      <x:c r="B1022" s="44" t="str">
        <x:v>Watched</x:v>
      </x:c>
      <x:c r="C1022" s="45" t="n">
        <x:v>37908</x:v>
      </x:c>
      <x:c r="D1022" s="33" t="str">
        <x:v>Law &amp; Order: Special Victims Unit</x:v>
      </x:c>
      <x:c r="E1022" s="33" t="str">
        <x:v>Law &amp; Order</x:v>
      </x:c>
      <x:c r="F1022" s="33" t="str">
        <x:v>core</x:v>
      </x:c>
      <x:c r="G1022" s="50" t="n">
        <x:v>5</x:v>
      </x:c>
      <x:c r="H1022" s="50" t="n">
        <x:v>4</x:v>
      </x:c>
      <x:c r="I1022" s="44" t="str">
        <x:v>05.04</x:v>
      </x:c>
      <x:c r="J1022" s="33" t="str">
        <x:v>Loss</x:v>
      </x:c>
      <x:c r="K1022" s="33" t="str"/>
      <x:c r="L1022" s="33" t="str"/>
      <x:c r="M1022" s="44" t="str"/>
      <x:c r="N1022" s="50" t="n">
        <x:v>44</x:v>
      </x:c>
      <x:c r="O1022" s="53" t="str">
        <x:v>A female undercover agent for the DEA is raped and murdered, leading to a complicated investigation and the arrest of a suspect highly connected with a Colombian drug cartel. This is the toughest case of Cabot's career as she is faced with death threats on herself and her family along with pressure to yield the case to federal authorities.</x:v>
      </x:c>
      <x:c r="P1022" s="53" t="str">
        <x:v>Core Law &amp; Order franchise</x:v>
      </x:c>
      <x:c r="Q1022" s="17" t="str">
        <x:v>225035</x:v>
      </x:c>
      <x:c r="R1022" s="17" t="str">
        <x:v>tt0629678</x:v>
      </x:c>
      <x:c r="S1022" s="17" t="str">
        <x:v>627</x:v>
      </x:c>
    </x:row>
    <x:row r="1023">
      <x:c r="A1023" s="43" t="n">
        <x:v>1019</x:v>
      </x:c>
      <x:c r="B1023" s="44" t="str">
        <x:v>Not Started</x:v>
      </x:c>
      <x:c r="C1023" s="45" t="n">
        <x:v>37912</x:v>
      </x:c>
      <x:c r="D1023" s="33" t="str">
        <x:v>L.A. Dragnet</x:v>
      </x:c>
      <x:c r="E1023" s="33" t="str">
        <x:v>Wolf Adjacent</x:v>
      </x:c>
      <x:c r="F1023" s="33" t="str">
        <x:v>adjacent</x:v>
      </x:c>
      <x:c r="G1023" s="50" t="n">
        <x:v>2</x:v>
      </x:c>
      <x:c r="H1023" s="50" t="n">
        <x:v>3</x:v>
      </x:c>
      <x:c r="I1023" s="44" t="str">
        <x:v>02.03</x:v>
      </x:c>
      <x:c r="J1023" s="33" t="str">
        <x:v>17 in 6</x:v>
      </x:c>
      <x:c r="K1023" s="33" t="str"/>
      <x:c r="L1023" s="33" t="str"/>
      <x:c r="M1023" s="44" t="str"/>
      <x:c r="N1023" s="50" t="n">
        <x:v>41</x:v>
      </x:c>
      <x:c r="O1023" s="53" t="str">
        <x:v>Detective Cooper looks for help to find those involved in a deadly gang war.</x:v>
      </x:c>
      <x:c r="P1023" s="53" t="str">
        <x:v>2003 Dick Wolf-created Dragnet revival; kept separate from the 1950s Dragnet.</x:v>
      </x:c>
      <x:c r="Q1023" s="17" t="str">
        <x:v>909248</x:v>
      </x:c>
      <x:c r="R1023" s="17" t="str"/>
      <x:c r="S1023" s="17" t="str"/>
    </x:row>
    <x:row r="1024">
      <x:c r="A1024" s="43" t="n">
        <x:v>1020</x:v>
      </x:c>
      <x:c r="B1024" s="44" t="str">
        <x:v>Not Started</x:v>
      </x:c>
      <x:c r="C1024" s="45" t="n">
        <x:v>37913</x:v>
      </x:c>
      <x:c r="D1024" s="33" t="str">
        <x:v>Law &amp; Order: Criminal Intent</x:v>
      </x:c>
      <x:c r="E1024" s="33" t="str">
        <x:v>Law &amp; Order</x:v>
      </x:c>
      <x:c r="F1024" s="33" t="str">
        <x:v>core</x:v>
      </x:c>
      <x:c r="G1024" s="50" t="n">
        <x:v>3</x:v>
      </x:c>
      <x:c r="H1024" s="50" t="n">
        <x:v>4</x:v>
      </x:c>
      <x:c r="I1024" s="44" t="str">
        <x:v>03.04</x:v>
      </x:c>
      <x:c r="J1024" s="33" t="str">
        <x:v>But not Forgotten</x:v>
      </x:c>
      <x:c r="K1024" s="33" t="str"/>
      <x:c r="L1024" s="33" t="str"/>
      <x:c r="M1024" s="44" t="str"/>
      <x:c r="N1024" s="50" t="n">
        <x:v>44</x:v>
      </x:c>
      <x:c r="O1024" s="53" t="str">
        <x:v>When a bookkeeper goes missing, Goren and Eames are led back to the death of her brother, a hitman, two years earlier. An imprisoned mobster seems to be their best bet, but when another body turns up it takes the case to a whole new level.</x:v>
      </x:c>
      <x:c r="P1024" s="53" t="str">
        <x:v>Core Law &amp; Order franchise</x:v>
      </x:c>
      <x:c r="Q1024" s="17" t="str">
        <x:v>341260</x:v>
      </x:c>
      <x:c r="R1024" s="17" t="str">
        <x:v>tt0629513</x:v>
      </x:c>
      <x:c r="S1024" s="17" t="str">
        <x:v>628</x:v>
      </x:c>
    </x:row>
    <x:row r="1025">
      <x:c r="A1025" s="43" t="n">
        <x:v>1021</x:v>
      </x:c>
      <x:c r="B1025" s="44" t="str">
        <x:v>Watched</x:v>
      </x:c>
      <x:c r="C1025" s="45" t="n">
        <x:v>37915</x:v>
      </x:c>
      <x:c r="D1025" s="33" t="str">
        <x:v>Law &amp; Order: Special Victims Unit</x:v>
      </x:c>
      <x:c r="E1025" s="33" t="str">
        <x:v>Law &amp; Order</x:v>
      </x:c>
      <x:c r="F1025" s="33" t="str">
        <x:v>core</x:v>
      </x:c>
      <x:c r="G1025" s="50" t="n">
        <x:v>5</x:v>
      </x:c>
      <x:c r="H1025" s="50" t="n">
        <x:v>5</x:v>
      </x:c>
      <x:c r="I1025" s="44" t="str">
        <x:v>05.05</x:v>
      </x:c>
      <x:c r="J1025" s="33" t="str">
        <x:v>Serendipity</x:v>
      </x:c>
      <x:c r="K1025" s="33" t="str"/>
      <x:c r="L1025" s="33" t="str"/>
      <x:c r="M1025" s="44" t="str"/>
      <x:c r="N1025" s="50" t="n">
        <x:v>42</x:v>
      </x:c>
      <x:c r="O1025" s="53" t="str">
        <x:v>A newborn baby is found dead in a gutter, sending the detectives on a hunt for the mother. She too turns up murdered, and the clues point to a serial child molester.</x:v>
      </x:c>
      <x:c r="P1025" s="53" t="str">
        <x:v>Core Law &amp; Order franchise</x:v>
      </x:c>
      <x:c r="Q1025" s="17" t="str">
        <x:v>225036</x:v>
      </x:c>
      <x:c r="R1025" s="17" t="str">
        <x:v>tt0629730</x:v>
      </x:c>
      <x:c r="S1025" s="17" t="str">
        <x:v>629</x:v>
      </x:c>
    </x:row>
    <x:row r="1026">
      <x:c r="A1026" s="43" t="n">
        <x:v>1022</x:v>
      </x:c>
      <x:c r="B1026" s="44" t="str">
        <x:v>Not Started</x:v>
      </x:c>
      <x:c r="C1026" s="45" t="n">
        <x:v>37916</x:v>
      </x:c>
      <x:c r="D1026" s="33" t="str">
        <x:v>Law &amp; Order</x:v>
      </x:c>
      <x:c r="E1026" s="33" t="str">
        <x:v>Law &amp; Order</x:v>
      </x:c>
      <x:c r="F1026" s="33" t="str">
        <x:v>core</x:v>
      </x:c>
      <x:c r="G1026" s="50" t="n">
        <x:v>14</x:v>
      </x:c>
      <x:c r="H1026" s="50" t="n">
        <x:v>4</x:v>
      </x:c>
      <x:c r="I1026" s="44" t="str">
        <x:v>14.04</x:v>
      </x:c>
      <x:c r="J1026" s="33" t="str">
        <x:v>Shrunk</x:v>
      </x:c>
      <x:c r="K1026" s="33" t="str"/>
      <x:c r="L1026" s="33" t="str"/>
      <x:c r="M1026" s="44" t="str"/>
      <x:c r="N1026" s="50" t="n">
        <x:v>45</x:v>
      </x:c>
      <x:c r="O1026" s="53" t="str">
        <x:v>The police and prosecutors investigate the connection between an award-winning songwriter and the young woman found murdered in his home to discover who would profit by her death at his hands.</x:v>
      </x:c>
      <x:c r="P1026" s="53" t="str">
        <x:v>Core Law &amp; Order franchise</x:v>
      </x:c>
      <x:c r="Q1026" s="17" t="str">
        <x:v>34359</x:v>
      </x:c>
      <x:c r="R1026" s="17" t="str">
        <x:v>tt0629421</x:v>
      </x:c>
      <x:c r="S1026" s="17" t="str">
        <x:v>630</x:v>
      </x:c>
    </x:row>
    <x:row r="1027">
      <x:c r="A1027" s="43" t="n">
        <x:v>1023</x:v>
      </x:c>
      <x:c r="B1027" s="44" t="str">
        <x:v>Not Started</x:v>
      </x:c>
      <x:c r="C1027" s="45" t="n">
        <x:v>37919</x:v>
      </x:c>
      <x:c r="D1027" s="33" t="str">
        <x:v>L.A. Dragnet</x:v>
      </x:c>
      <x:c r="E1027" s="33" t="str">
        <x:v>Wolf Adjacent</x:v>
      </x:c>
      <x:c r="F1027" s="33" t="str">
        <x:v>adjacent</x:v>
      </x:c>
      <x:c r="G1027" s="50" t="n">
        <x:v>2</x:v>
      </x:c>
      <x:c r="H1027" s="50" t="n">
        <x:v>4</x:v>
      </x:c>
      <x:c r="I1027" s="44" t="str">
        <x:v>02.04</x:v>
      </x:c>
      <x:c r="J1027" s="33" t="str">
        <x:v>The Magic Bullet</x:v>
      </x:c>
      <x:c r="K1027" s="33" t="str"/>
      <x:c r="L1027" s="33" t="str"/>
      <x:c r="M1027" s="44" t="str"/>
      <x:c r="N1027" s="50" t="n">
        <x:v>41</x:v>
      </x:c>
      <x:c r="O1027" s="53" t="str">
        <x:v>The death of a fan at a wild Hollywood party lead the detectives to a record producer with a gun fetish.</x:v>
      </x:c>
      <x:c r="P1027" s="53" t="str">
        <x:v>2003 Dick Wolf-created Dragnet revival; kept separate from the 1950s Dragnet.</x:v>
      </x:c>
      <x:c r="Q1027" s="17" t="str">
        <x:v>909249</x:v>
      </x:c>
      <x:c r="R1027" s="17" t="str"/>
      <x:c r="S1027" s="17" t="str"/>
    </x:row>
    <x:row r="1028">
      <x:c r="A1028" s="43" t="n">
        <x:v>1024</x:v>
      </x:c>
      <x:c r="B1028" s="44" t="str">
        <x:v>Not Started</x:v>
      </x:c>
      <x:c r="C1028" s="45" t="n">
        <x:v>37920</x:v>
      </x:c>
      <x:c r="D1028" s="33" t="str">
        <x:v>Law &amp; Order: Criminal Intent</x:v>
      </x:c>
      <x:c r="E1028" s="33" t="str">
        <x:v>Law &amp; Order</x:v>
      </x:c>
      <x:c r="F1028" s="33" t="str">
        <x:v>core</x:v>
      </x:c>
      <x:c r="G1028" s="50" t="n">
        <x:v>3</x:v>
      </x:c>
      <x:c r="H1028" s="50" t="n">
        <x:v>5</x:v>
      </x:c>
      <x:c r="I1028" s="44" t="str">
        <x:v>03.05</x:v>
      </x:c>
      <x:c r="J1028" s="33" t="str">
        <x:v>Pravda</x:v>
      </x:c>
      <x:c r="K1028" s="33" t="str"/>
      <x:c r="L1028" s="33" t="str"/>
      <x:c r="M1028" s="44" t="str"/>
      <x:c r="N1028" s="50" t="n">
        <x:v>44</x:v>
      </x:c>
      <x:c r="O1028" s="53" t="str">
        <x:v>Goren gets an interim partner when Eames goes on maternity leave, and focuses his investigation of a murder on a star reporter whose past contains a history of plagarism.</x:v>
      </x:c>
      <x:c r="P1028" s="53" t="str">
        <x:v>Core Law &amp; Order franchise</x:v>
      </x:c>
      <x:c r="Q1028" s="17" t="str">
        <x:v>341261</x:v>
      </x:c>
      <x:c r="R1028" s="17" t="str">
        <x:v>tt0629561</x:v>
      </x:c>
      <x:c r="S1028" s="17" t="str">
        <x:v>631</x:v>
      </x:c>
    </x:row>
    <x:row r="1029">
      <x:c r="A1029" s="43" t="n">
        <x:v>1025</x:v>
      </x:c>
      <x:c r="B1029" s="44" t="str">
        <x:v>Watched</x:v>
      </x:c>
      <x:c r="C1029" s="45" t="n">
        <x:v>37922</x:v>
      </x:c>
      <x:c r="D1029" s="33" t="str">
        <x:v>Law &amp; Order: Special Victims Unit</x:v>
      </x:c>
      <x:c r="E1029" s="33" t="str">
        <x:v>Law &amp; Order</x:v>
      </x:c>
      <x:c r="F1029" s="33" t="str">
        <x:v>core</x:v>
      </x:c>
      <x:c r="G1029" s="50" t="n">
        <x:v>5</x:v>
      </x:c>
      <x:c r="H1029" s="50" t="n">
        <x:v>6</x:v>
      </x:c>
      <x:c r="I1029" s="44" t="str">
        <x:v>05.06</x:v>
      </x:c>
      <x:c r="J1029" s="33" t="str">
        <x:v>Coerced</x:v>
      </x:c>
      <x:c r="K1029" s="33" t="str"/>
      <x:c r="L1029" s="33" t="str"/>
      <x:c r="M1029" s="44" t="str"/>
      <x:c r="N1029" s="50" t="n">
        <x:v>44</x:v>
      </x:c>
      <x:c r="O1029" s="53" t="str">
        <x:v>A schizophrenic homeless man kidnaps a boy he thinks is his son, murdering a man in the process. In resolving the case, with Dr. Huang's help, a private mental health facility is brought into question.</x:v>
      </x:c>
      <x:c r="P1029" s="53" t="str">
        <x:v>Core Law &amp; Order franchise</x:v>
      </x:c>
      <x:c r="Q1029" s="17" t="str">
        <x:v>225037</x:v>
      </x:c>
      <x:c r="R1029" s="17" t="str">
        <x:v>tt0629628</x:v>
      </x:c>
      <x:c r="S1029" s="17" t="str">
        <x:v>632</x:v>
      </x:c>
    </x:row>
    <x:row r="1030">
      <x:c r="A1030" s="43" t="n">
        <x:v>1026</x:v>
      </x:c>
      <x:c r="B1030" s="44" t="str">
        <x:v>Not Started</x:v>
      </x:c>
      <x:c r="C1030" s="45" t="n">
        <x:v>37923</x:v>
      </x:c>
      <x:c r="D1030" s="33" t="str">
        <x:v>Law &amp; Order</x:v>
      </x:c>
      <x:c r="E1030" s="33" t="str">
        <x:v>Law &amp; Order</x:v>
      </x:c>
      <x:c r="F1030" s="33" t="str">
        <x:v>core</x:v>
      </x:c>
      <x:c r="G1030" s="50" t="n">
        <x:v>14</x:v>
      </x:c>
      <x:c r="H1030" s="50" t="n">
        <x:v>5</x:v>
      </x:c>
      <x:c r="I1030" s="44" t="str">
        <x:v>14.05</x:v>
      </x:c>
      <x:c r="J1030" s="33" t="str">
        <x:v>Blaze</x:v>
      </x:c>
      <x:c r="K1030" s="33" t="str"/>
      <x:c r="L1030" s="33" t="str"/>
      <x:c r="M1030" s="44" t="str"/>
      <x:c r="N1030" s="50" t="n">
        <x:v>45</x:v>
      </x:c>
      <x:c r="O1030" s="53" t="str">
        <x:v>A teenager's need for parental love, acceptance and recognition sets in motion the events leading to the deaths of 23 concert goers for a band's illegal pyrotechnics.</x:v>
      </x:c>
      <x:c r="P1030" s="53" t="str">
        <x:v>Core Law &amp; Order franchise</x:v>
      </x:c>
      <x:c r="Q1030" s="17" t="str">
        <x:v>34360</x:v>
      </x:c>
      <x:c r="R1030" s="17" t="str">
        <x:v>tt0629179</x:v>
      </x:c>
      <x:c r="S1030" s="17" t="str">
        <x:v>633</x:v>
      </x:c>
    </x:row>
    <x:row r="1031">
      <x:c r="A1031" s="43" t="n">
        <x:v>1027</x:v>
      </x:c>
      <x:c r="B1031" s="44" t="str">
        <x:v>Not Started</x:v>
      </x:c>
      <x:c r="C1031" s="45" t="n">
        <x:v>37926</x:v>
      </x:c>
      <x:c r="D1031" s="33" t="str">
        <x:v>L.A. Dragnet</x:v>
      </x:c>
      <x:c r="E1031" s="33" t="str">
        <x:v>Wolf Adjacent</x:v>
      </x:c>
      <x:c r="F1031" s="33" t="str">
        <x:v>adjacent</x:v>
      </x:c>
      <x:c r="G1031" s="50" t="n">
        <x:v>2</x:v>
      </x:c>
      <x:c r="H1031" s="50" t="n">
        <x:v>5</x:v>
      </x:c>
      <x:c r="I1031" s="44" t="str">
        <x:v>02.05</x:v>
      </x:c>
      <x:c r="J1031" s="33" t="str">
        <x:v>Slice of Life</x:v>
      </x:c>
      <x:c r="K1031" s="33" t="str"/>
      <x:c r="L1031" s="33" t="str"/>
      <x:c r="M1031" s="44" t="str"/>
      <x:c r="N1031" s="50" t="n">
        <x:v>41</x:v>
      </x:c>
      <x:c r="O1031" s="53" t="str">
        <x:v>When fishermen find a woman's headless body offshore, detectives discover she had recently given birth, but there was no sign of the baby.</x:v>
      </x:c>
      <x:c r="P1031" s="53" t="str">
        <x:v>2003 Dick Wolf-created Dragnet revival; kept separate from the 1950s Dragnet.</x:v>
      </x:c>
      <x:c r="Q1031" s="17" t="str">
        <x:v>909250</x:v>
      </x:c>
      <x:c r="R1031" s="17" t="str"/>
      <x:c r="S1031" s="17" t="str"/>
    </x:row>
    <x:row r="1032">
      <x:c r="A1032" s="43" t="n">
        <x:v>1028</x:v>
      </x:c>
      <x:c r="B1032" s="44" t="str">
        <x:v>Not Started</x:v>
      </x:c>
      <x:c r="C1032" s="45" t="n">
        <x:v>37927</x:v>
      </x:c>
      <x:c r="D1032" s="33" t="str">
        <x:v>Law &amp; Order: Criminal Intent</x:v>
      </x:c>
      <x:c r="E1032" s="33" t="str">
        <x:v>Law &amp; Order</x:v>
      </x:c>
      <x:c r="F1032" s="33" t="str">
        <x:v>core</x:v>
      </x:c>
      <x:c r="G1032" s="50" t="n">
        <x:v>3</x:v>
      </x:c>
      <x:c r="H1032" s="50" t="n">
        <x:v>6</x:v>
      </x:c>
      <x:c r="I1032" s="44" t="str">
        <x:v>03.06</x:v>
      </x:c>
      <x:c r="J1032" s="33" t="str">
        <x:v>Stray</x:v>
      </x:c>
      <x:c r="K1032" s="33" t="str"/>
      <x:c r="L1032" s="33" t="str"/>
      <x:c r="M1032" s="44" t="str"/>
      <x:c r="N1032" s="50" t="n">
        <x:v>44</x:v>
      </x:c>
      <x:c r="O1032" s="53" t="str">
        <x:v>Tracking a modern-day Bonnie and Clyde, Goren deduces that one of his suspects has an injured foot. It isn't long before Goren and Bishop realise that the pair, who have already killed nine people including two undercover cops, are not the typical Bonnie and Clyde -- the female partner is obviously the one in control.</x:v>
      </x:c>
      <x:c r="P1032" s="53" t="str">
        <x:v>Core Law &amp; Order franchise</x:v>
      </x:c>
      <x:c r="Q1032" s="17" t="str">
        <x:v>341262</x:v>
      </x:c>
      <x:c r="R1032" s="17" t="str">
        <x:v>tt0629579</x:v>
      </x:c>
      <x:c r="S1032" s="17" t="str">
        <x:v>634</x:v>
      </x:c>
    </x:row>
    <x:row r="1033">
      <x:c r="A1033" s="43" t="n">
        <x:v>1029</x:v>
      </x:c>
      <x:c r="B1033" s="44" t="str">
        <x:v>Watched</x:v>
      </x:c>
      <x:c r="C1033" s="45" t="n">
        <x:v>37929</x:v>
      </x:c>
      <x:c r="D1033" s="33" t="str">
        <x:v>Law &amp; Order: Special Victims Unit</x:v>
      </x:c>
      <x:c r="E1033" s="33" t="str">
        <x:v>Law &amp; Order</x:v>
      </x:c>
      <x:c r="F1033" s="33" t="str">
        <x:v>core</x:v>
      </x:c>
      <x:c r="G1033" s="50" t="n">
        <x:v>5</x:v>
      </x:c>
      <x:c r="H1033" s="50" t="n">
        <x:v>7</x:v>
      </x:c>
      <x:c r="I1033" s="44" t="str">
        <x:v>05.07</x:v>
      </x:c>
      <x:c r="J1033" s="33" t="str">
        <x:v>Choice</x:v>
      </x:c>
      <x:c r="K1033" s="33" t="str"/>
      <x:c r="L1033" s="33" t="str"/>
      <x:c r="M1033" s="44" t="str"/>
      <x:c r="N1033" s="50" t="n">
        <x:v>43</x:v>
      </x:c>
      <x:c r="O1033" s="53" t="str">
        <x:v>While patrolling, police stumble upon an attack in progress at Momma Sue's restaurant on the pregnant owner. Her husband is arrested and then seeks to have her charged with neglect for drinking during her pregnancy. The detectives discover it's not the first time a child has been exposed to the devastating repercussions of her uncontrolled alcoholism.</x:v>
      </x:c>
      <x:c r="P1033" s="53" t="str">
        <x:v>Core Law &amp; Order franchise</x:v>
      </x:c>
      <x:c r="Q1033" s="17" t="str">
        <x:v>225038</x:v>
      </x:c>
      <x:c r="R1033" s="17" t="str">
        <x:v>tt0629625</x:v>
      </x:c>
      <x:c r="S1033" s="17" t="str">
        <x:v>635</x:v>
      </x:c>
    </x:row>
    <x:row r="1034">
      <x:c r="A1034" s="43" t="n">
        <x:v>1030</x:v>
      </x:c>
      <x:c r="B1034" s="44" t="str">
        <x:v>Not Started</x:v>
      </x:c>
      <x:c r="C1034" s="45" t="n">
        <x:v>37930</x:v>
      </x:c>
      <x:c r="D1034" s="33" t="str">
        <x:v>Law &amp; Order</x:v>
      </x:c>
      <x:c r="E1034" s="33" t="str">
        <x:v>Law &amp; Order</x:v>
      </x:c>
      <x:c r="F1034" s="33" t="str">
        <x:v>core</x:v>
      </x:c>
      <x:c r="G1034" s="50" t="n">
        <x:v>14</x:v>
      </x:c>
      <x:c r="H1034" s="50" t="n">
        <x:v>6</x:v>
      </x:c>
      <x:c r="I1034" s="44" t="str">
        <x:v>14.06</x:v>
      </x:c>
      <x:c r="J1034" s="33" t="str">
        <x:v>Identity</x:v>
      </x:c>
      <x:c r="K1034" s="33" t="str"/>
      <x:c r="L1034" s="33" t="str"/>
      <x:c r="M1034" s="44" t="str"/>
      <x:c r="N1034" s="50" t="n">
        <x:v>45</x:v>
      </x:c>
      <x:c r="O1034" s="53" t="str">
        <x:v>When a man is found murdered shortly after depositing almost $400,000 in his savings account, the investigation into the source of funds reveals that the victim ran an identity theft scam which left an elderly man homeless and impoverished.</x:v>
      </x:c>
      <x:c r="P1034" s="53" t="str">
        <x:v>Core Law &amp; Order franchise</x:v>
      </x:c>
      <x:c r="Q1034" s="17" t="str">
        <x:v>34361</x:v>
      </x:c>
      <x:c r="R1034" s="17" t="str">
        <x:v>tt0629308</x:v>
      </x:c>
      <x:c r="S1034" s="17" t="str">
        <x:v>636</x:v>
      </x:c>
    </x:row>
    <x:row r="1035">
      <x:c r="A1035" s="43" t="n">
        <x:v>1031</x:v>
      </x:c>
      <x:c r="B1035" s="44" t="str">
        <x:v>Not Started</x:v>
      </x:c>
      <x:c r="C1035" s="45" t="n">
        <x:v>37934</x:v>
      </x:c>
      <x:c r="D1035" s="33" t="str">
        <x:v>Law &amp; Order: Criminal Intent</x:v>
      </x:c>
      <x:c r="E1035" s="33" t="str">
        <x:v>Law &amp; Order</x:v>
      </x:c>
      <x:c r="F1035" s="33" t="str">
        <x:v>core</x:v>
      </x:c>
      <x:c r="G1035" s="50" t="n">
        <x:v>3</x:v>
      </x:c>
      <x:c r="H1035" s="50" t="n">
        <x:v>7</x:v>
      </x:c>
      <x:c r="I1035" s="44" t="str">
        <x:v>03.07</x:v>
      </x:c>
      <x:c r="J1035" s="33" t="str">
        <x:v>A Murderer Among Us</x:v>
      </x:c>
      <x:c r="K1035" s="33" t="str"/>
      <x:c r="L1035" s="33" t="str"/>
      <x:c r="M1035" s="44" t="str"/>
      <x:c r="N1035" s="50" t="n">
        <x:v>44</x:v>
      </x:c>
      <x:c r="O1035" s="53" t="str">
        <x:v>The detectives try to link the suicide of an Argentine immigrant to her husband who has a history of violence. While the subsequent investigation is not successful, they discover his hatred might be linked to a string of unsolved murders with the same MO.</x:v>
      </x:c>
      <x:c r="P1035" s="53" t="str">
        <x:v>Core Law &amp; Order franchise</x:v>
      </x:c>
      <x:c r="Q1035" s="17" t="str">
        <x:v>341263</x:v>
      </x:c>
      <x:c r="R1035" s="17" t="str">
        <x:v>tt0629502</x:v>
      </x:c>
      <x:c r="S1035" s="17" t="str">
        <x:v>637</x:v>
      </x:c>
    </x:row>
    <x:row r="1036">
      <x:c r="A1036" s="43" t="n">
        <x:v>1032</x:v>
      </x:c>
      <x:c r="B1036" s="44" t="str">
        <x:v>Watched</x:v>
      </x:c>
      <x:c r="C1036" s="45" t="n">
        <x:v>37936</x:v>
      </x:c>
      <x:c r="D1036" s="33" t="str">
        <x:v>Law &amp; Order: Special Victims Unit</x:v>
      </x:c>
      <x:c r="E1036" s="33" t="str">
        <x:v>Law &amp; Order</x:v>
      </x:c>
      <x:c r="F1036" s="33" t="str">
        <x:v>core</x:v>
      </x:c>
      <x:c r="G1036" s="50" t="n">
        <x:v>5</x:v>
      </x:c>
      <x:c r="H1036" s="50" t="n">
        <x:v>8</x:v>
      </x:c>
      <x:c r="I1036" s="44" t="str">
        <x:v>05.08</x:v>
      </x:c>
      <x:c r="J1036" s="33" t="str">
        <x:v>Abomination</x:v>
      </x:c>
      <x:c r="K1036" s="33" t="str"/>
      <x:c r="L1036" s="33" t="str"/>
      <x:c r="M1036" s="44" t="str"/>
      <x:c r="N1036" s="50" t="n">
        <x:v>43</x:v>
      </x:c>
      <x:c r="O1036" s="53" t="str">
        <x:v>Benson and Stabler have trouble identifying a male murder victim in his 20's found in a pile of sheets in the West Village; they later suspect an outspoken minister who was in the process of flooding the victim with hate mail and death threats. When the activist's alibi checks out, the detectives turn their attention to a professor who objects to the victim's thesis on the failure of sexual re-education groups.</x:v>
      </x:c>
      <x:c r="P1036" s="53" t="str">
        <x:v>Core Law &amp; Order franchise</x:v>
      </x:c>
      <x:c r="Q1036" s="17" t="str">
        <x:v>225039</x:v>
      </x:c>
      <x:c r="R1036" s="17" t="str">
        <x:v>tt0629607</x:v>
      </x:c>
      <x:c r="S1036" s="17" t="str">
        <x:v>638</x:v>
      </x:c>
    </x:row>
    <x:row r="1037">
      <x:c r="A1037" s="43" t="n">
        <x:v>1033</x:v>
      </x:c>
      <x:c r="B1037" s="44" t="str">
        <x:v>Not Started</x:v>
      </x:c>
      <x:c r="C1037" s="45" t="n">
        <x:v>37937</x:v>
      </x:c>
      <x:c r="D1037" s="33" t="str">
        <x:v>Law &amp; Order</x:v>
      </x:c>
      <x:c r="E1037" s="33" t="str">
        <x:v>Law &amp; Order</x:v>
      </x:c>
      <x:c r="F1037" s="33" t="str">
        <x:v>core</x:v>
      </x:c>
      <x:c r="G1037" s="50" t="n">
        <x:v>14</x:v>
      </x:c>
      <x:c r="H1037" s="50" t="n">
        <x:v>7</x:v>
      </x:c>
      <x:c r="I1037" s="44" t="str">
        <x:v>14.07</x:v>
      </x:c>
      <x:c r="J1037" s="33" t="str">
        <x:v>Floater</x:v>
      </x:c>
      <x:c r="K1037" s="33" t="str"/>
      <x:c r="L1037" s="33" t="str"/>
      <x:c r="M1037" s="44" t="str"/>
      <x:c r="N1037" s="50" t="n">
        <x:v>45</x:v>
      </x:c>
      <x:c r="O1037" s="53" t="str">
        <x:v>The husband of a woman whose partially decomposed body is found floating in the Hudson River becomes the prime suspect in her murder until the prosecutors uncover a connection between her prospective attorney and a judge who has heard a suspiciously high number of his cases.</x:v>
      </x:c>
      <x:c r="P1037" s="53" t="str">
        <x:v>Core Law &amp; Order franchise</x:v>
      </x:c>
      <x:c r="Q1037" s="17" t="str">
        <x:v>34362</x:v>
      </x:c>
      <x:c r="R1037" s="17" t="str">
        <x:v>tt0629267</x:v>
      </x:c>
      <x:c r="S1037" s="17" t="str">
        <x:v>639</x:v>
      </x:c>
    </x:row>
    <x:row r="1038">
      <x:c r="A1038" s="43" t="n">
        <x:v>1034</x:v>
      </x:c>
      <x:c r="B1038" s="44" t="str">
        <x:v>Not Started</x:v>
      </x:c>
      <x:c r="C1038" s="45" t="n">
        <x:v>37941</x:v>
      </x:c>
      <x:c r="D1038" s="33" t="str">
        <x:v>Law &amp; Order: Criminal Intent</x:v>
      </x:c>
      <x:c r="E1038" s="33" t="str">
        <x:v>Law &amp; Order</x:v>
      </x:c>
      <x:c r="F1038" s="33" t="str">
        <x:v>core</x:v>
      </x:c>
      <x:c r="G1038" s="50" t="n">
        <x:v>3</x:v>
      </x:c>
      <x:c r="H1038" s="50" t="n">
        <x:v>8</x:v>
      </x:c>
      <x:c r="I1038" s="44" t="str">
        <x:v>03.08</x:v>
      </x:c>
      <x:c r="J1038" s="33" t="str">
        <x:v>Sound Bodies</x:v>
      </x:c>
      <x:c r="K1038" s="33" t="str"/>
      <x:c r="L1038" s="33" t="str"/>
      <x:c r="M1038" s="44" t="str"/>
      <x:c r="N1038" s="50" t="n">
        <x:v>44</x:v>
      </x:c>
      <x:c r="O1038" s="53" t="str">
        <x:v>Goren and Bishop pursue a teenage Svengali who convinces three impressionable young girls to commit multiple homicides in the cause of a twisted philosophy.</x:v>
      </x:c>
      <x:c r="P1038" s="53" t="str">
        <x:v>Core Law &amp; Order franchise</x:v>
      </x:c>
      <x:c r="Q1038" s="17" t="str">
        <x:v>341264</x:v>
      </x:c>
      <x:c r="R1038" s="17" t="str">
        <x:v>tt0629578</x:v>
      </x:c>
      <x:c r="S1038" s="17" t="str">
        <x:v>640</x:v>
      </x:c>
    </x:row>
    <x:row r="1039">
      <x:c r="A1039" s="43" t="n">
        <x:v>1035</x:v>
      </x:c>
      <x:c r="B1039" s="44" t="str">
        <x:v>Watched</x:v>
      </x:c>
      <x:c r="C1039" s="45" t="n">
        <x:v>37943</x:v>
      </x:c>
      <x:c r="D1039" s="33" t="str">
        <x:v>Law &amp; Order: Special Victims Unit</x:v>
      </x:c>
      <x:c r="E1039" s="33" t="str">
        <x:v>Law &amp; Order</x:v>
      </x:c>
      <x:c r="F1039" s="33" t="str">
        <x:v>core</x:v>
      </x:c>
      <x:c r="G1039" s="50" t="n">
        <x:v>5</x:v>
      </x:c>
      <x:c r="H1039" s="50" t="n">
        <x:v>9</x:v>
      </x:c>
      <x:c r="I1039" s="44" t="str">
        <x:v>05.09</x:v>
      </x:c>
      <x:c r="J1039" s="33" t="str">
        <x:v>Control</x:v>
      </x:c>
      <x:c r="K1039" s="33" t="str"/>
      <x:c r="L1039" s="33" t="str"/>
      <x:c r="M1039" s="44" t="str"/>
      <x:c r="N1039" s="50" t="n">
        <x:v>44</x:v>
      </x:c>
      <x:c r="O1039" s="53" t="str">
        <x:v>A subway commuter is found castrated and bleeding profusely, leading the detectives to discover their "victim" may be the perpetrator in abducting women and forcing them to live in his dungeon for several years as his bride. As the detectives prepare to arrest their victim turned suspect, Benson arrives to find him murdered.</x:v>
      </x:c>
      <x:c r="P1039" s="53" t="str">
        <x:v>Core Law &amp; Order franchise</x:v>
      </x:c>
      <x:c r="Q1039" s="17" t="str">
        <x:v>225040</x:v>
      </x:c>
      <x:c r="R1039" s="17" t="str">
        <x:v>tt0629634</x:v>
      </x:c>
      <x:c r="S1039" s="17" t="str">
        <x:v>641</x:v>
      </x:c>
    </x:row>
    <x:row r="1040">
      <x:c r="A1040" s="43" t="n">
        <x:v>1036</x:v>
      </x:c>
      <x:c r="B1040" s="44" t="str">
        <x:v>Not Started</x:v>
      </x:c>
      <x:c r="C1040" s="45" t="n">
        <x:v>37944</x:v>
      </x:c>
      <x:c r="D1040" s="33" t="str">
        <x:v>Law &amp; Order</x:v>
      </x:c>
      <x:c r="E1040" s="33" t="str">
        <x:v>Law &amp; Order</x:v>
      </x:c>
      <x:c r="F1040" s="33" t="str">
        <x:v>core</x:v>
      </x:c>
      <x:c r="G1040" s="50" t="n">
        <x:v>14</x:v>
      </x:c>
      <x:c r="H1040" s="50" t="n">
        <x:v>8</x:v>
      </x:c>
      <x:c r="I1040" s="44" t="str">
        <x:v>14.08</x:v>
      </x:c>
      <x:c r="J1040" s="33" t="str">
        <x:v>Embedded</x:v>
      </x:c>
      <x:c r="K1040" s="33" t="str"/>
      <x:c r="L1040" s="33" t="str"/>
      <x:c r="M1040" s="44" t="str"/>
      <x:c r="N1040" s="50" t="n">
        <x:v>45</x:v>
      </x:c>
      <x:c r="O1040" s="53" t="str">
        <x:v>After a reporter accused of causing the deaths of soldiers with whom he was embedded in Iraq by reporting on their troop movements is shot and wounded on the eve of his return to the front, the ballistics report indicates that the gun belonged to one of the dead soldiers, leading the detectives to uncover who brought the gun back from the front and committed the crime.</x:v>
      </x:c>
      <x:c r="P1040" s="53" t="str">
        <x:v>Core Law &amp; Order franchise</x:v>
      </x:c>
      <x:c r="Q1040" s="17" t="str">
        <x:v>34363</x:v>
      </x:c>
      <x:c r="R1040" s="17" t="str">
        <x:v>tt0629247</x:v>
      </x:c>
      <x:c r="S1040" s="17" t="str">
        <x:v>642</x:v>
      </x:c>
    </x:row>
    <x:row r="1041">
      <x:c r="A1041" s="43" t="n">
        <x:v>1037</x:v>
      </x:c>
      <x:c r="B1041" s="44" t="str">
        <x:v>Not Started</x:v>
      </x:c>
      <x:c r="C1041" s="45" t="n">
        <x:v>37948</x:v>
      </x:c>
      <x:c r="D1041" s="33" t="str">
        <x:v>Law &amp; Order: Criminal Intent</x:v>
      </x:c>
      <x:c r="E1041" s="33" t="str">
        <x:v>Law &amp; Order</x:v>
      </x:c>
      <x:c r="F1041" s="33" t="str">
        <x:v>core</x:v>
      </x:c>
      <x:c r="G1041" s="50" t="n">
        <x:v>3</x:v>
      </x:c>
      <x:c r="H1041" s="50" t="n">
        <x:v>9</x:v>
      </x:c>
      <x:c r="I1041" s="44" t="str">
        <x:v>03.09</x:v>
      </x:c>
      <x:c r="J1041" s="33" t="str">
        <x:v>Happy Family</x:v>
      </x:c>
      <x:c r="K1041" s="33" t="str"/>
      <x:c r="L1041" s="33" t="str"/>
      <x:c r="M1041" s="44" t="str"/>
      <x:c r="N1041" s="50" t="n">
        <x:v>44</x:v>
      </x:c>
      <x:c r="O1041" s="53" t="str">
        <x:v>The bludgeoning of a rich family patriarch has the detectives investigating several suspects, each with their own motives: his estranged wife whom he was about to divorce, a male friend of hers who was a parolee, their childrens' nanny, the victim's brother in law who is a doctor, even the oldest son. Goren and Carver call the family of suspects together to sort it all out... in family court.</x:v>
      </x:c>
      <x:c r="P1041" s="53" t="str">
        <x:v>Core Law &amp; Order franchise</x:v>
      </x:c>
      <x:c r="Q1041" s="17" t="str">
        <x:v>341265</x:v>
      </x:c>
      <x:c r="R1041" s="17" t="str">
        <x:v>tt0629540</x:v>
      </x:c>
      <x:c r="S1041" s="17" t="str">
        <x:v>643</x:v>
      </x:c>
    </x:row>
    <x:row r="1042">
      <x:c r="A1042" s="43" t="n">
        <x:v>1038</x:v>
      </x:c>
      <x:c r="B1042" s="44" t="str">
        <x:v>Watched</x:v>
      </x:c>
      <x:c r="C1042" s="45" t="n">
        <x:v>37950</x:v>
      </x:c>
      <x:c r="D1042" s="33" t="str">
        <x:v>Law &amp; Order: Special Victims Unit</x:v>
      </x:c>
      <x:c r="E1042" s="33" t="str">
        <x:v>Law &amp; Order</x:v>
      </x:c>
      <x:c r="F1042" s="33" t="str">
        <x:v>core</x:v>
      </x:c>
      <x:c r="G1042" s="50" t="n">
        <x:v>5</x:v>
      </x:c>
      <x:c r="H1042" s="50" t="n">
        <x:v>10</x:v>
      </x:c>
      <x:c r="I1042" s="44" t="str">
        <x:v>05.10</x:v>
      </x:c>
      <x:c r="J1042" s="33" t="str">
        <x:v>Shaken</x:v>
      </x:c>
      <x:c r="K1042" s="33" t="str"/>
      <x:c r="L1042" s="33" t="str"/>
      <x:c r="M1042" s="44" t="str"/>
      <x:c r="N1042" s="50" t="n">
        <x:v>44</x:v>
      </x:c>
      <x:c r="O1042" s="53" t="str">
        <x:v>The discovery of a beaten infant leads detectives on a search for the attacker, who may be a pedophile. When the medical evidence shows the injuries were a result of shaken baby syndrome, their focus shifts to those closest to the child: her mother, the mother's boyfriend and the nannies.</x:v>
      </x:c>
      <x:c r="P1042" s="53" t="str">
        <x:v>Core Law &amp; Order franchise</x:v>
      </x:c>
      <x:c r="Q1042" s="17" t="str">
        <x:v>225041</x:v>
      </x:c>
      <x:c r="R1042" s="17" t="str">
        <x:v>tt0629731</x:v>
      </x:c>
      <x:c r="S1042" s="17" t="str">
        <x:v>644</x:v>
      </x:c>
    </x:row>
    <x:row r="1043">
      <x:c r="A1043" s="43" t="n">
        <x:v>1039</x:v>
      </x:c>
      <x:c r="B1043" s="44" t="str">
        <x:v>Not Started</x:v>
      </x:c>
      <x:c r="C1043" s="45" t="n">
        <x:v>37951</x:v>
      </x:c>
      <x:c r="D1043" s="33" t="str">
        <x:v>Law &amp; Order</x:v>
      </x:c>
      <x:c r="E1043" s="33" t="str">
        <x:v>Law &amp; Order</x:v>
      </x:c>
      <x:c r="F1043" s="33" t="str">
        <x:v>core</x:v>
      </x:c>
      <x:c r="G1043" s="50" t="n">
        <x:v>14</x:v>
      </x:c>
      <x:c r="H1043" s="50" t="n">
        <x:v>9</x:v>
      </x:c>
      <x:c r="I1043" s="44" t="str">
        <x:v>14.09</x:v>
      </x:c>
      <x:c r="J1043" s="33" t="str">
        <x:v>Compassion</x:v>
      </x:c>
      <x:c r="K1043" s="33" t="str"/>
      <x:c r="L1043" s="33" t="str"/>
      <x:c r="M1043" s="44" t="str"/>
      <x:c r="N1043" s="50" t="n">
        <x:v>45</x:v>
      </x:c>
      <x:c r="O1043" s="53" t="str">
        <x:v>When a con man passing himself off as a grief counselor is poisoned by a respected doctor he victimized, McCoy must determine whether revenge or insanity prompted the crime.</x:v>
      </x:c>
      <x:c r="P1043" s="53" t="str">
        <x:v>Core Law &amp; Order franchise</x:v>
      </x:c>
      <x:c r="Q1043" s="17" t="str">
        <x:v>34364</x:v>
      </x:c>
      <x:c r="R1043" s="17" t="str">
        <x:v>tt0629210</x:v>
      </x:c>
      <x:c r="S1043" s="17" t="str">
        <x:v>645</x:v>
      </x:c>
    </x:row>
    <x:row r="1044">
      <x:c r="A1044" s="43" t="n">
        <x:v>1040</x:v>
      </x:c>
      <x:c r="B1044" s="44" t="str">
        <x:v>Watched</x:v>
      </x:c>
      <x:c r="C1044" s="45" t="n">
        <x:v>37957</x:v>
      </x:c>
      <x:c r="D1044" s="33" t="str">
        <x:v>Law &amp; Order: Special Victims Unit</x:v>
      </x:c>
      <x:c r="E1044" s="33" t="str">
        <x:v>Law &amp; Order</x:v>
      </x:c>
      <x:c r="F1044" s="33" t="str">
        <x:v>core</x:v>
      </x:c>
      <x:c r="G1044" s="50" t="n">
        <x:v>5</x:v>
      </x:c>
      <x:c r="H1044" s="50" t="n">
        <x:v>11</x:v>
      </x:c>
      <x:c r="I1044" s="44" t="str">
        <x:v>05.11</x:v>
      </x:c>
      <x:c r="J1044" s="33" t="str">
        <x:v>Escape</x:v>
      </x:c>
      <x:c r="K1044" s="33" t="str"/>
      <x:c r="L1044" s="33" t="str"/>
      <x:c r="M1044" s="44" t="str"/>
      <x:c r="N1044" s="50" t="n">
        <x:v>43</x:v>
      </x:c>
      <x:c r="O1044" s="53" t="str">
        <x:v>When a convicted pedophile, desperate to prove his innocence before his terminally ill mother dies, escapes from a Virginia Correctional Facility and kidnaps his accuser to force him to recant his story, a Deputy Marshall teams up with Benson to track them down. Benson eventually finds herself in the middle of a hostage situation beginning to believe his story.</x:v>
      </x:c>
      <x:c r="P1044" s="53" t="str">
        <x:v>Core Law &amp; Order franchise</x:v>
      </x:c>
      <x:c r="Q1044" s="17" t="str">
        <x:v>225042</x:v>
      </x:c>
      <x:c r="R1044" s="17" t="str">
        <x:v>tt0629651</x:v>
      </x:c>
      <x:c r="S1044" s="17" t="str">
        <x:v>646</x:v>
      </x:c>
    </x:row>
    <x:row r="1045">
      <x:c r="A1045" s="43" t="n">
        <x:v>1041</x:v>
      </x:c>
      <x:c r="B1045" s="44" t="str">
        <x:v>Not Started</x:v>
      </x:c>
      <x:c r="C1045" s="45" t="n">
        <x:v>37958</x:v>
      </x:c>
      <x:c r="D1045" s="33" t="str">
        <x:v>Law &amp; Order</x:v>
      </x:c>
      <x:c r="E1045" s="33" t="str">
        <x:v>Law &amp; Order</x:v>
      </x:c>
      <x:c r="F1045" s="33" t="str">
        <x:v>core</x:v>
      </x:c>
      <x:c r="G1045" s="50" t="n">
        <x:v>14</x:v>
      </x:c>
      <x:c r="H1045" s="50" t="n">
        <x:v>10</x:v>
      </x:c>
      <x:c r="I1045" s="44" t="str">
        <x:v>14.10</x:v>
      </x:c>
      <x:c r="J1045" s="33" t="str">
        <x:v>Ill-Conceived</x:v>
      </x:c>
      <x:c r="K1045" s="33" t="str"/>
      <x:c r="L1045" s="33" t="str"/>
      <x:c r="M1045" s="44" t="str"/>
      <x:c r="N1045" s="50" t="n">
        <x:v>45</x:v>
      </x:c>
      <x:c r="O1045" s="53" t="str">
        <x:v>The owner of a clothing company with alien immigrant workers is found murdered which sends the detectives on a search for an unidentified evening caller whose girlfriend, also a worker in the factory, recently gave birth. Upon discovery that the victim was also the baby's father, the boyfriend is arrested with the motive being an office affair until the victim's widow discloses that it was a surrogate arrangement.</x:v>
      </x:c>
      <x:c r="P1045" s="53" t="str">
        <x:v>Core Law &amp; Order franchise</x:v>
      </x:c>
      <x:c r="Q1045" s="17" t="str">
        <x:v>34365</x:v>
      </x:c>
      <x:c r="R1045" s="17" t="str">
        <x:v>tt0629309</x:v>
      </x:c>
      <x:c r="S1045" s="17" t="str">
        <x:v>647</x:v>
      </x:c>
    </x:row>
    <x:row r="1046">
      <x:c r="A1046" s="43" t="n">
        <x:v>1042</x:v>
      </x:c>
      <x:c r="B1046" s="44" t="str">
        <x:v>Not Started</x:v>
      </x:c>
      <x:c r="C1046" s="45" t="n">
        <x:v>37990</x:v>
      </x:c>
      <x:c r="D1046" s="33" t="str">
        <x:v>Law &amp; Order: Criminal Intent</x:v>
      </x:c>
      <x:c r="E1046" s="33" t="str">
        <x:v>Law &amp; Order</x:v>
      </x:c>
      <x:c r="F1046" s="33" t="str">
        <x:v>core</x:v>
      </x:c>
      <x:c r="G1046" s="50" t="n">
        <x:v>3</x:v>
      </x:c>
      <x:c r="H1046" s="50" t="n">
        <x:v>10</x:v>
      </x:c>
      <x:c r="I1046" s="44" t="str">
        <x:v>03.10</x:v>
      </x:c>
      <x:c r="J1046" s="33" t="str">
        <x:v>F.P.S.</x:v>
      </x:c>
      <x:c r="K1046" s="33" t="str"/>
      <x:c r="L1046" s="33" t="str"/>
      <x:c r="M1046" s="44" t="str"/>
      <x:c r="N1046" s="50" t="n">
        <x:v>44</x:v>
      </x:c>
      <x:c r="O1046" s="53" t="str">
        <x:v>Goren reaches into his own experience working with a partner to solve the murder of a gamer who appears to be connected to a network of thieves using spyware to commit fraud. Eames gives birth.</x:v>
      </x:c>
      <x:c r="P1046" s="53" t="str">
        <x:v>Core Law &amp; Order franchise</x:v>
      </x:c>
      <x:c r="Q1046" s="17" t="str">
        <x:v>341266</x:v>
      </x:c>
      <x:c r="R1046" s="17" t="str">
        <x:v>tt0629531</x:v>
      </x:c>
      <x:c r="S1046" s="17" t="str">
        <x:v>648</x:v>
      </x:c>
    </x:row>
    <x:row r="1047">
      <x:c r="A1047" s="43" t="n">
        <x:v>1043</x:v>
      </x:c>
      <x:c r="B1047" s="44" t="str">
        <x:v>Watched</x:v>
      </x:c>
      <x:c r="C1047" s="45" t="n">
        <x:v>37992</x:v>
      </x:c>
      <x:c r="D1047" s="33" t="str">
        <x:v>Law &amp; Order: Special Victims Unit</x:v>
      </x:c>
      <x:c r="E1047" s="33" t="str">
        <x:v>Law &amp; Order</x:v>
      </x:c>
      <x:c r="F1047" s="33" t="str">
        <x:v>core</x:v>
      </x:c>
      <x:c r="G1047" s="50" t="n">
        <x:v>5</x:v>
      </x:c>
      <x:c r="H1047" s="50" t="n">
        <x:v>12</x:v>
      </x:c>
      <x:c r="I1047" s="44" t="str">
        <x:v>05.12</x:v>
      </x:c>
      <x:c r="J1047" s="33" t="str">
        <x:v>Brotherhood</x:v>
      </x:c>
      <x:c r="K1047" s="33" t="str"/>
      <x:c r="L1047" s="33" t="str"/>
      <x:c r="M1047" s="44" t="str"/>
      <x:c r="N1047" s="50" t="n">
        <x:v>44</x:v>
      </x:c>
      <x:c r="O1047" s="53" t="str">
        <x:v>When the body of young man is found in a tank at a wastewater treatment plant, the medical examiner identifies a tattoo that says TE, the symbol for the fraternity Tau Omega. The investigation into the murder and sodomy of this local fraternity pledge master leads the detectives to his pornographic website featuring college girls at a local bar.</x:v>
      </x:c>
      <x:c r="P1047" s="53" t="str">
        <x:v>Core Law &amp; Order franchise</x:v>
      </x:c>
      <x:c r="Q1047" s="17" t="str">
        <x:v>225043</x:v>
      </x:c>
      <x:c r="R1047" s="17" t="str">
        <x:v>tt0629619</x:v>
      </x:c>
      <x:c r="S1047" s="17" t="str">
        <x:v>649</x:v>
      </x:c>
    </x:row>
    <x:row r="1048">
      <x:c r="A1048" s="43" t="n">
        <x:v>1044</x:v>
      </x:c>
      <x:c r="B1048" s="44" t="str">
        <x:v>Not Started</x:v>
      </x:c>
      <x:c r="C1048" s="45" t="n">
        <x:v>37993</x:v>
      </x:c>
      <x:c r="D1048" s="33" t="str">
        <x:v>Law &amp; Order</x:v>
      </x:c>
      <x:c r="E1048" s="33" t="str">
        <x:v>Law &amp; Order</x:v>
      </x:c>
      <x:c r="F1048" s="33" t="str">
        <x:v>core</x:v>
      </x:c>
      <x:c r="G1048" s="50" t="n">
        <x:v>14</x:v>
      </x:c>
      <x:c r="H1048" s="50" t="n">
        <x:v>11</x:v>
      </x:c>
      <x:c r="I1048" s="44" t="str">
        <x:v>14.11</x:v>
      </x:c>
      <x:c r="J1048" s="33" t="str">
        <x:v>Darwinian</x:v>
      </x:c>
      <x:c r="K1048" s="33" t="str"/>
      <x:c r="L1048" s="33" t="str"/>
      <x:c r="M1048" s="44" t="str"/>
      <x:c r="N1048" s="50" t="n">
        <x:v>45</x:v>
      </x:c>
      <x:c r="O1048" s="53" t="str">
        <x:v>The apparent hit-and-run of a homeless man send the detectives on a search for the driver, a high profile female publicist, which fuels the fire for the prosecutors to obtain a murder conviction. Forensic evidence given during the trial reveal that the victim was severely beaten before being hit by the car which leads to a suspect within the homeless community.</x:v>
      </x:c>
      <x:c r="P1048" s="53" t="str">
        <x:v>Core Law &amp; Order franchise</x:v>
      </x:c>
      <x:c r="Q1048" s="17" t="str">
        <x:v>34366</x:v>
      </x:c>
      <x:c r="R1048" s="17" t="str">
        <x:v>tt0629230</x:v>
      </x:c>
      <x:c r="S1048" s="17" t="str">
        <x:v>650</x:v>
      </x:c>
    </x:row>
    <x:row r="1049">
      <x:c r="A1049" s="43" t="n">
        <x:v>1045</x:v>
      </x:c>
      <x:c r="B1049" s="44" t="str">
        <x:v>Not Started</x:v>
      </x:c>
      <x:c r="C1049" s="45" t="n">
        <x:v>37997</x:v>
      </x:c>
      <x:c r="D1049" s="33" t="str">
        <x:v>Law &amp; Order: Criminal Intent</x:v>
      </x:c>
      <x:c r="E1049" s="33" t="str">
        <x:v>Law &amp; Order</x:v>
      </x:c>
      <x:c r="F1049" s="33" t="str">
        <x:v>core</x:v>
      </x:c>
      <x:c r="G1049" s="50" t="n">
        <x:v>3</x:v>
      </x:c>
      <x:c r="H1049" s="50" t="n">
        <x:v>11</x:v>
      </x:c>
      <x:c r="I1049" s="44" t="str">
        <x:v>03.11</x:v>
      </x:c>
      <x:c r="J1049" s="33" t="str">
        <x:v>Mad Hops</x:v>
      </x:c>
      <x:c r="K1049" s="33" t="str"/>
      <x:c r="L1049" s="33" t="str"/>
      <x:c r="M1049" s="44" t="str"/>
      <x:c r="N1049" s="50" t="n">
        <x:v>44</x:v>
      </x:c>
      <x:c r="O1049" s="53" t="str">
        <x:v>The murder of a private investigator, who was tracking down the whereabouts of a prominent high school basketball player, has the detectives searching the local courts to discover a link to gamblers and college recruiters until they learn that several other prominent players were transferred to the same school - one with a championship tradition.</x:v>
      </x:c>
      <x:c r="P1049" s="53" t="str">
        <x:v>Core Law &amp; Order franchise</x:v>
      </x:c>
      <x:c r="Q1049" s="17" t="str">
        <x:v>341267</x:v>
      </x:c>
      <x:c r="R1049" s="17" t="str">
        <x:v>tt0629549</x:v>
      </x:c>
      <x:c r="S1049" s="17" t="str">
        <x:v>651</x:v>
      </x:c>
    </x:row>
    <x:row r="1050">
      <x:c r="A1050" s="43" t="n">
        <x:v>1046</x:v>
      </x:c>
      <x:c r="B1050" s="44" t="str">
        <x:v>Watched</x:v>
      </x:c>
      <x:c r="C1050" s="45" t="n">
        <x:v>37999</x:v>
      </x:c>
      <x:c r="D1050" s="33" t="str">
        <x:v>Law &amp; Order: Special Victims Unit</x:v>
      </x:c>
      <x:c r="E1050" s="33" t="str">
        <x:v>Law &amp; Order</x:v>
      </x:c>
      <x:c r="F1050" s="33" t="str">
        <x:v>core</x:v>
      </x:c>
      <x:c r="G1050" s="50" t="n">
        <x:v>5</x:v>
      </x:c>
      <x:c r="H1050" s="50" t="n">
        <x:v>13</x:v>
      </x:c>
      <x:c r="I1050" s="44" t="str">
        <x:v>05.13</x:v>
      </x:c>
      <x:c r="J1050" s="33" t="str">
        <x:v>Hate</x:v>
      </x:c>
      <x:c r="K1050" s="33" t="str"/>
      <x:c r="L1050" s="33" t="str"/>
      <x:c r="M1050" s="44" t="str"/>
      <x:c r="N1050" s="50" t="n">
        <x:v>43</x:v>
      </x:c>
      <x:c r="O1050" s="53" t="str">
        <x:v>A young Arab woman is brutally raped and burned, and after identifying her, the detectives suspect her husband and mother-in-law. After a man accused of the murders of three Arabs, he claims that he was genetically and biologically predisposed to hatred and violence, but soon they uncover the real impetus to the slayings.</x:v>
      </x:c>
      <x:c r="P1050" s="53" t="str">
        <x:v>Core Law &amp; Order franchise</x:v>
      </x:c>
      <x:c r="Q1050" s="17" t="str">
        <x:v>225044</x:v>
      </x:c>
      <x:c r="R1050" s="17" t="str">
        <x:v>tt0629663</x:v>
      </x:c>
      <x:c r="S1050" s="17" t="str">
        <x:v>652</x:v>
      </x:c>
    </x:row>
    <x:row r="1051">
      <x:c r="A1051" s="43" t="n">
        <x:v>1047</x:v>
      </x:c>
      <x:c r="B1051" s="44" t="str">
        <x:v>Not Started</x:v>
      </x:c>
      <x:c r="C1051" s="45" t="n">
        <x:v>38000</x:v>
      </x:c>
      <x:c r="D1051" s="33" t="str">
        <x:v>Law &amp; Order</x:v>
      </x:c>
      <x:c r="E1051" s="33" t="str">
        <x:v>Law &amp; Order</x:v>
      </x:c>
      <x:c r="F1051" s="33" t="str">
        <x:v>core</x:v>
      </x:c>
      <x:c r="G1051" s="50" t="n">
        <x:v>14</x:v>
      </x:c>
      <x:c r="H1051" s="50" t="n">
        <x:v>12</x:v>
      </x:c>
      <x:c r="I1051" s="44" t="str">
        <x:v>14.12</x:v>
      </x:c>
      <x:c r="J1051" s="33" t="str">
        <x:v>Payback</x:v>
      </x:c>
      <x:c r="K1051" s="33" t="str"/>
      <x:c r="L1051" s="33" t="str"/>
      <x:c r="M1051" s="44" t="str"/>
      <x:c r="N1051" s="50" t="n">
        <x:v>45</x:v>
      </x:c>
      <x:c r="O1051" s="53" t="str">
        <x:v>The investigation into the murder of a former bookie turned mob informant reveals a disturbing new wrinkle in organized crime involving legitimate businessmen moonlighting as contract hitmen in a battle for mob leadership, and ends with a Federal ploy to nullify the plea bargain in the case, leaving McCoy seething and two more people dead.</x:v>
      </x:c>
      <x:c r="P1051" s="53" t="str">
        <x:v>Core Law &amp; Order franchise</x:v>
      </x:c>
      <x:c r="Q1051" s="17" t="str">
        <x:v>34367</x:v>
      </x:c>
      <x:c r="R1051" s="17" t="str">
        <x:v>tt0629372</x:v>
      </x:c>
      <x:c r="S1051" s="17" t="str">
        <x:v>653</x:v>
      </x:c>
    </x:row>
    <x:row r="1052">
      <x:c r="A1052" s="43" t="n">
        <x:v>1048</x:v>
      </x:c>
      <x:c r="B1052" s="44" t="str">
        <x:v>Not Started</x:v>
      </x:c>
      <x:c r="C1052" s="45" t="n">
        <x:v>38004</x:v>
      </x:c>
      <x:c r="D1052" s="33" t="str">
        <x:v>Law &amp; Order: Criminal Intent</x:v>
      </x:c>
      <x:c r="E1052" s="33" t="str">
        <x:v>Law &amp; Order</x:v>
      </x:c>
      <x:c r="F1052" s="33" t="str">
        <x:v>core</x:v>
      </x:c>
      <x:c r="G1052" s="50" t="n">
        <x:v>3</x:v>
      </x:c>
      <x:c r="H1052" s="50" t="n">
        <x:v>12</x:v>
      </x:c>
      <x:c r="I1052" s="44" t="str">
        <x:v>03.12</x:v>
      </x:c>
      <x:c r="J1052" s="33" t="str">
        <x:v>Unrequited</x:v>
      </x:c>
      <x:c r="K1052" s="33" t="str"/>
      <x:c r="L1052" s="33" t="str"/>
      <x:c r="M1052" s="44" t="str"/>
      <x:c r="N1052" s="50" t="n">
        <x:v>44</x:v>
      </x:c>
      <x:c r="O1052" s="53" t="str">
        <x:v>Goren and Eames uncover how a rich woman's unrequited lust for fame and a professional fundraiser's desperation to pay off a loan shark may have contributed to the murders of the woman's husband and the fundraiser's mother.</x:v>
      </x:c>
      <x:c r="P1052" s="53" t="str">
        <x:v>Core Law &amp; Order franchise</x:v>
      </x:c>
      <x:c r="Q1052" s="17" t="str">
        <x:v>341268</x:v>
      </x:c>
      <x:c r="R1052" s="17" t="str">
        <x:v>tt0629598</x:v>
      </x:c>
      <x:c r="S1052" s="17" t="str">
        <x:v>654</x:v>
      </x:c>
    </x:row>
    <x:row r="1053">
      <x:c r="A1053" s="43" t="n">
        <x:v>1049</x:v>
      </x:c>
      <x:c r="B1053" s="44" t="str">
        <x:v>Watched</x:v>
      </x:c>
      <x:c r="C1053" s="45" t="n">
        <x:v>38020</x:v>
      </x:c>
      <x:c r="D1053" s="33" t="str">
        <x:v>Law &amp; Order: Special Victims Unit</x:v>
      </x:c>
      <x:c r="E1053" s="33" t="str">
        <x:v>Law &amp; Order</x:v>
      </x:c>
      <x:c r="F1053" s="33" t="str">
        <x:v>core</x:v>
      </x:c>
      <x:c r="G1053" s="50" t="n">
        <x:v>5</x:v>
      </x:c>
      <x:c r="H1053" s="50" t="n">
        <x:v>14</x:v>
      </x:c>
      <x:c r="I1053" s="44" t="str">
        <x:v>05.14</x:v>
      </x:c>
      <x:c r="J1053" s="33" t="str">
        <x:v>Ritual</x:v>
      </x:c>
      <x:c r="K1053" s="33" t="str"/>
      <x:c r="L1053" s="33" t="str"/>
      <x:c r="M1053" s="44" t="str"/>
      <x:c r="N1053" s="50" t="n">
        <x:v>42</x:v>
      </x:c>
      <x:c r="O1053" s="53" t="str">
        <x:v>Two garbage collectors discover what they first think is a scene of animal sacrifice but is the body of a young boy who appears to be the victim of a ritualistic killing. The investigation leads to the discovery of international child slavery.</x:v>
      </x:c>
      <x:c r="P1053" s="53" t="str">
        <x:v>Core Law &amp; Order franchise</x:v>
      </x:c>
      <x:c r="Q1053" s="17" t="str">
        <x:v>225045</x:v>
      </x:c>
      <x:c r="R1053" s="17" t="str">
        <x:v>tt0629720</x:v>
      </x:c>
      <x:c r="S1053" s="17" t="str">
        <x:v>655</x:v>
      </x:c>
    </x:row>
    <x:row r="1054">
      <x:c r="A1054" s="43" t="n">
        <x:v>1050</x:v>
      </x:c>
      <x:c r="B1054" s="44" t="str">
        <x:v>Not Started</x:v>
      </x:c>
      <x:c r="C1054" s="45" t="n">
        <x:v>38021</x:v>
      </x:c>
      <x:c r="D1054" s="33" t="str">
        <x:v>Law &amp; Order</x:v>
      </x:c>
      <x:c r="E1054" s="33" t="str">
        <x:v>Law &amp; Order</x:v>
      </x:c>
      <x:c r="F1054" s="33" t="str">
        <x:v>core</x:v>
      </x:c>
      <x:c r="G1054" s="50" t="n">
        <x:v>14</x:v>
      </x:c>
      <x:c r="H1054" s="50" t="n">
        <x:v>13</x:v>
      </x:c>
      <x:c r="I1054" s="44" t="str">
        <x:v>14.13</x:v>
      </x:c>
      <x:c r="J1054" s="33" t="str">
        <x:v>Married with Children</x:v>
      </x:c>
      <x:c r="K1054" s="33" t="str"/>
      <x:c r="L1054" s="33" t="str"/>
      <x:c r="M1054" s="44" t="str"/>
      <x:c r="N1054" s="50" t="n">
        <x:v>45</x:v>
      </x:c>
      <x:c r="O1054" s="53" t="str">
        <x:v>The death of a woman who fell from a hotel balcony leads to a case involving a lesbian couple and a state law banning gay adoption</x:v>
      </x:c>
      <x:c r="P1054" s="53" t="str">
        <x:v>Core Law &amp; Order franchise</x:v>
      </x:c>
      <x:c r="Q1054" s="17" t="str">
        <x:v>34368</x:v>
      </x:c>
      <x:c r="R1054" s="17" t="str">
        <x:v>tt0629337</x:v>
      </x:c>
      <x:c r="S1054" s="17" t="str">
        <x:v>656</x:v>
      </x:c>
    </x:row>
    <x:row r="1055">
      <x:c r="A1055" s="43" t="n">
        <x:v>1051</x:v>
      </x:c>
      <x:c r="B1055" s="44" t="str">
        <x:v>Watched</x:v>
      </x:c>
      <x:c r="C1055" s="45" t="n">
        <x:v>38027</x:v>
      </x:c>
      <x:c r="D1055" s="33" t="str">
        <x:v>Law &amp; Order: Special Victims Unit</x:v>
      </x:c>
      <x:c r="E1055" s="33" t="str">
        <x:v>Law &amp; Order</x:v>
      </x:c>
      <x:c r="F1055" s="33" t="str">
        <x:v>core</x:v>
      </x:c>
      <x:c r="G1055" s="50" t="n">
        <x:v>5</x:v>
      </x:c>
      <x:c r="H1055" s="50" t="n">
        <x:v>15</x:v>
      </x:c>
      <x:c r="I1055" s="44" t="str">
        <x:v>05.15</x:v>
      </x:c>
      <x:c r="J1055" s="33" t="str">
        <x:v>Families</x:v>
      </x:c>
      <x:c r="K1055" s="33" t="str"/>
      <x:c r="L1055" s="33" t="str"/>
      <x:c r="M1055" s="44" t="str"/>
      <x:c r="N1055" s="50" t="n">
        <x:v>43</x:v>
      </x:c>
      <x:c r="O1055" s="53" t="str">
        <x:v>The investigation into the death of a pregnant high school student exposes a long-held family secret, which precipitates yet another violent death and eventually the destruction of two families.</x:v>
      </x:c>
      <x:c r="P1055" s="53" t="str">
        <x:v>Core Law &amp; Order franchise</x:v>
      </x:c>
      <x:c r="Q1055" s="17" t="str">
        <x:v>225046</x:v>
      </x:c>
      <x:c r="R1055" s="17" t="str">
        <x:v>tt0629654</x:v>
      </x:c>
      <x:c r="S1055" s="17" t="str">
        <x:v>657</x:v>
      </x:c>
    </x:row>
    <x:row r="1056">
      <x:c r="A1056" s="43" t="n">
        <x:v>1052</x:v>
      </x:c>
      <x:c r="B1056" s="44" t="str">
        <x:v>Not Started</x:v>
      </x:c>
      <x:c r="C1056" s="45" t="n">
        <x:v>38028</x:v>
      </x:c>
      <x:c r="D1056" s="33" t="str">
        <x:v>Law &amp; Order</x:v>
      </x:c>
      <x:c r="E1056" s="33" t="str">
        <x:v>Law &amp; Order</x:v>
      </x:c>
      <x:c r="F1056" s="33" t="str">
        <x:v>core</x:v>
      </x:c>
      <x:c r="G1056" s="50" t="n">
        <x:v>14</x:v>
      </x:c>
      <x:c r="H1056" s="50" t="n">
        <x:v>14</x:v>
      </x:c>
      <x:c r="I1056" s="44" t="str">
        <x:v>14.14</x:v>
      </x:c>
      <x:c r="J1056" s="33" t="str">
        <x:v>City Hall</x:v>
      </x:c>
      <x:c r="K1056" s="33" t="str"/>
      <x:c r="L1056" s="33" t="str"/>
      <x:c r="M1056" s="44" t="str"/>
      <x:c r="N1056" s="50" t="n">
        <x:v>45</x:v>
      </x:c>
      <x:c r="O1056" s="53" t="str">
        <x:v>A city employee's clerical error sets in motion a chain of events which culminates in a fatal shooting at City Hall and a secret Federal court proceeding with sinister implications.</x:v>
      </x:c>
      <x:c r="P1056" s="53" t="str">
        <x:v>Core Law &amp; Order franchise</x:v>
      </x:c>
      <x:c r="Q1056" s="17" t="str">
        <x:v>34369</x:v>
      </x:c>
      <x:c r="R1056" s="17" t="str">
        <x:v>tt0629206</x:v>
      </x:c>
      <x:c r="S1056" s="17" t="str">
        <x:v>658</x:v>
      </x:c>
    </x:row>
    <x:row r="1057">
      <x:c r="A1057" s="43" t="n">
        <x:v>1053</x:v>
      </x:c>
      <x:c r="B1057" s="44" t="str">
        <x:v>Not Started</x:v>
      </x:c>
      <x:c r="C1057" s="45" t="n">
        <x:v>38032</x:v>
      </x:c>
      <x:c r="D1057" s="33" t="str">
        <x:v>Law &amp; Order: Criminal Intent</x:v>
      </x:c>
      <x:c r="E1057" s="33" t="str">
        <x:v>Law &amp; Order</x:v>
      </x:c>
      <x:c r="F1057" s="33" t="str">
        <x:v>core</x:v>
      </x:c>
      <x:c r="G1057" s="50" t="n">
        <x:v>3</x:v>
      </x:c>
      <x:c r="H1057" s="50" t="n">
        <x:v>13</x:v>
      </x:c>
      <x:c r="I1057" s="44" t="str">
        <x:v>03.13</x:v>
      </x:c>
      <x:c r="J1057" s="33" t="str">
        <x:v>Pas de Deux</x:v>
      </x:c>
      <x:c r="K1057" s="33" t="str"/>
      <x:c r="L1057" s="33" t="str"/>
      <x:c r="M1057" s="44" t="str"/>
      <x:c r="N1057" s="50" t="n">
        <x:v>44</x:v>
      </x:c>
      <x:c r="O1057" s="53" t="str">
        <x:v>A terminally ill bank robber angered by the ravages of his illness exerts what little control he has left in life by manipulating the unwitting accomplices he enlists to assist him with committing his final robberies, forcing Goren and Eames into a race against time to foil his plan for a suicide-by-cop that will take both his life and that of his latest accomplice.</x:v>
      </x:c>
      <x:c r="P1057" s="53" t="str">
        <x:v>Core Law &amp; Order franchise</x:v>
      </x:c>
      <x:c r="Q1057" s="17" t="str">
        <x:v>341269</x:v>
      </x:c>
      <x:c r="R1057" s="17" t="str">
        <x:v>tt0629558</x:v>
      </x:c>
      <x:c r="S1057" s="17" t="str">
        <x:v>659</x:v>
      </x:c>
    </x:row>
    <x:row r="1058">
      <x:c r="A1058" s="43" t="n">
        <x:v>1054</x:v>
      </x:c>
      <x:c r="B1058" s="44" t="str">
        <x:v>Watched</x:v>
      </x:c>
      <x:c r="C1058" s="45" t="n">
        <x:v>38034</x:v>
      </x:c>
      <x:c r="D1058" s="33" t="str">
        <x:v>Law &amp; Order: Special Victims Unit</x:v>
      </x:c>
      <x:c r="E1058" s="33" t="str">
        <x:v>Law &amp; Order</x:v>
      </x:c>
      <x:c r="F1058" s="33" t="str">
        <x:v>core</x:v>
      </x:c>
      <x:c r="G1058" s="50" t="n">
        <x:v>5</x:v>
      </x:c>
      <x:c r="H1058" s="50" t="n">
        <x:v>16</x:v>
      </x:c>
      <x:c r="I1058" s="44" t="str">
        <x:v>05.16</x:v>
      </x:c>
      <x:c r="J1058" s="33" t="str">
        <x:v>Home</x:v>
      </x:c>
      <x:c r="K1058" s="33" t="str"/>
      <x:c r="L1058" s="33" t="str"/>
      <x:c r="M1058" s="44" t="str"/>
      <x:c r="N1058" s="50" t="n">
        <x:v>43</x:v>
      </x:c>
      <x:c r="O1058" s="53" t="str">
        <x:v>A young, emaciated boy is found by neighbors scrounging for food; detectives suspect the boy is a victim of abuse and are reluctant to let him go home.</x:v>
      </x:c>
      <x:c r="P1058" s="53" t="str">
        <x:v>Core Law &amp; Order franchise</x:v>
      </x:c>
      <x:c r="Q1058" s="17" t="str">
        <x:v>225047</x:v>
      </x:c>
      <x:c r="R1058" s="17" t="str">
        <x:v>tt0629666</x:v>
      </x:c>
      <x:c r="S1058" s="17" t="str">
        <x:v>660</x:v>
      </x:c>
    </x:row>
    <x:row r="1059">
      <x:c r="A1059" s="43" t="n">
        <x:v>1055</x:v>
      </x:c>
      <x:c r="B1059" s="44" t="str">
        <x:v>Not Started</x:v>
      </x:c>
      <x:c r="C1059" s="45" t="n">
        <x:v>38035</x:v>
      </x:c>
      <x:c r="D1059" s="33" t="str">
        <x:v>Law &amp; Order</x:v>
      </x:c>
      <x:c r="E1059" s="33" t="str">
        <x:v>Law &amp; Order</x:v>
      </x:c>
      <x:c r="F1059" s="33" t="str">
        <x:v>core</x:v>
      </x:c>
      <x:c r="G1059" s="50" t="n">
        <x:v>14</x:v>
      </x:c>
      <x:c r="H1059" s="50" t="n">
        <x:v>15</x:v>
      </x:c>
      <x:c r="I1059" s="44" t="str">
        <x:v>14.15</x:v>
      </x:c>
      <x:c r="J1059" s="33" t="str">
        <x:v>Veteran's Day</x:v>
      </x:c>
      <x:c r="K1059" s="33" t="str"/>
      <x:c r="L1059" s="33" t="str"/>
      <x:c r="M1059" s="44" t="str"/>
      <x:c r="N1059" s="50" t="n">
        <x:v>45</x:v>
      </x:c>
      <x:c r="O1059" s="53" t="str">
        <x:v>A decorated Gulf War veteran grief-stricken over the Afghanistan combat death of his son murders an anti-war protester, claiming at trial that he acted under extreme emotional distress.</x:v>
      </x:c>
      <x:c r="P1059" s="53" t="str">
        <x:v>Core Law &amp; Order franchise</x:v>
      </x:c>
      <x:c r="Q1059" s="17" t="str">
        <x:v>34370</x:v>
      </x:c>
      <x:c r="R1059" s="17" t="str">
        <x:v>tt0629488</x:v>
      </x:c>
      <x:c r="S1059" s="17" t="str">
        <x:v>661</x:v>
      </x:c>
    </x:row>
    <x:row r="1060">
      <x:c r="A1060" s="43" t="n">
        <x:v>1056</x:v>
      </x:c>
      <x:c r="B1060" s="44" t="str">
        <x:v>Not Started</x:v>
      </x:c>
      <x:c r="C1060" s="45" t="n">
        <x:v>38039</x:v>
      </x:c>
      <x:c r="D1060" s="33" t="str">
        <x:v>Law &amp; Order: Criminal Intent</x:v>
      </x:c>
      <x:c r="E1060" s="33" t="str">
        <x:v>Law &amp; Order</x:v>
      </x:c>
      <x:c r="F1060" s="33" t="str">
        <x:v>core</x:v>
      </x:c>
      <x:c r="G1060" s="50" t="n">
        <x:v>3</x:v>
      </x:c>
      <x:c r="H1060" s="50" t="n">
        <x:v>14</x:v>
      </x:c>
      <x:c r="I1060" s="44" t="str">
        <x:v>03.14</x:v>
      </x:c>
      <x:c r="J1060" s="33" t="str">
        <x:v>Mis-Labeled</x:v>
      </x:c>
      <x:c r="K1060" s="33" t="str"/>
      <x:c r="L1060" s="33" t="str"/>
      <x:c r="M1060" s="44" t="str"/>
      <x:c r="N1060" s="50" t="n">
        <x:v>44</x:v>
      </x:c>
      <x:c r="O1060" s="53" t="str">
        <x:v>Goren and Eames stumble upon a web of corporate corruption involving fraud, bribery, identity theft, and a conspiracy to sell lethally-contaminated blood products as they investigate the murder of a pharmaceutical salesman.</x:v>
      </x:c>
      <x:c r="P1060" s="53" t="str">
        <x:v>Core Law &amp; Order franchise</x:v>
      </x:c>
      <x:c r="Q1060" s="17" t="str">
        <x:v>341270</x:v>
      </x:c>
      <x:c r="R1060" s="17" t="str">
        <x:v>tt0629553</x:v>
      </x:c>
      <x:c r="S1060" s="17" t="str">
        <x:v>662</x:v>
      </x:c>
    </x:row>
    <x:row r="1061">
      <x:c r="A1061" s="43" t="n">
        <x:v>1057</x:v>
      </x:c>
      <x:c r="B1061" s="44" t="str">
        <x:v>Watched</x:v>
      </x:c>
      <x:c r="C1061" s="45" t="n">
        <x:v>38041</x:v>
      </x:c>
      <x:c r="D1061" s="33" t="str">
        <x:v>Law &amp; Order: Special Victims Unit</x:v>
      </x:c>
      <x:c r="E1061" s="33" t="str">
        <x:v>Law &amp; Order</x:v>
      </x:c>
      <x:c r="F1061" s="33" t="str">
        <x:v>core</x:v>
      </x:c>
      <x:c r="G1061" s="50" t="n">
        <x:v>5</x:v>
      </x:c>
      <x:c r="H1061" s="50" t="n">
        <x:v>17</x:v>
      </x:c>
      <x:c r="I1061" s="44" t="str">
        <x:v>05.17</x:v>
      </x:c>
      <x:c r="J1061" s="33" t="str">
        <x:v>Mean</x:v>
      </x:c>
      <x:c r="K1061" s="33" t="str"/>
      <x:c r="L1061" s="33" t="str"/>
      <x:c r="M1061" s="44" t="str"/>
      <x:c r="N1061" s="50" t="n">
        <x:v>43</x:v>
      </x:c>
      <x:c r="O1061" s="53" t="str">
        <x:v>The conviction of a group of sociopathic high school bullies who turned on one of their own escalates into even more violence and death in their exclusive private school.</x:v>
      </x:c>
      <x:c r="P1061" s="53" t="str">
        <x:v>Core Law &amp; Order franchise</x:v>
      </x:c>
      <x:c r="Q1061" s="17" t="str">
        <x:v>225048</x:v>
      </x:c>
      <x:c r="R1061" s="17" t="str">
        <x:v>tt0629683</x:v>
      </x:c>
      <x:c r="S1061" s="17" t="str">
        <x:v>663</x:v>
      </x:c>
    </x:row>
    <x:row r="1062">
      <x:c r="A1062" s="43" t="n">
        <x:v>1058</x:v>
      </x:c>
      <x:c r="B1062" s="44" t="str">
        <x:v>Not Started</x:v>
      </x:c>
      <x:c r="C1062" s="45" t="n">
        <x:v>38042</x:v>
      </x:c>
      <x:c r="D1062" s="33" t="str">
        <x:v>Law &amp; Order</x:v>
      </x:c>
      <x:c r="E1062" s="33" t="str">
        <x:v>Law &amp; Order</x:v>
      </x:c>
      <x:c r="F1062" s="33" t="str">
        <x:v>core</x:v>
      </x:c>
      <x:c r="G1062" s="50" t="n">
        <x:v>14</x:v>
      </x:c>
      <x:c r="H1062" s="50" t="n">
        <x:v>16</x:v>
      </x:c>
      <x:c r="I1062" s="44" t="str">
        <x:v>14.16</x:v>
      </x:c>
      <x:c r="J1062" s="33" t="str">
        <x:v>Can I Get a Witness?</x:v>
      </x:c>
      <x:c r="K1062" s="33" t="str"/>
      <x:c r="L1062" s="33" t="str"/>
      <x:c r="M1062" s="44" t="str"/>
      <x:c r="N1062" s="50" t="n">
        <x:v>45</x:v>
      </x:c>
      <x:c r="O1062" s="53" t="str">
        <x:v>McCoy faces an uphill battle in proving that witnesses to the murder of a drug mule were bribed, intimidated, and eventually murdered on the orders of the drug dealer accused of the crime.</x:v>
      </x:c>
      <x:c r="P1062" s="53" t="str">
        <x:v>Core Law &amp; Order franchise</x:v>
      </x:c>
      <x:c r="Q1062" s="17" t="str">
        <x:v>34371</x:v>
      </x:c>
      <x:c r="R1062" s="17" t="str">
        <x:v>tt0629197</x:v>
      </x:c>
      <x:c r="S1062" s="17" t="str">
        <x:v>664</x:v>
      </x:c>
    </x:row>
    <x:row r="1063">
      <x:c r="A1063" s="43" t="n">
        <x:v>1059</x:v>
      </x:c>
      <x:c r="B1063" s="44" t="str">
        <x:v>Watched</x:v>
      </x:c>
      <x:c r="C1063" s="45" t="n">
        <x:v>38048</x:v>
      </x:c>
      <x:c r="D1063" s="33" t="str">
        <x:v>Law &amp; Order: Special Victims Unit</x:v>
      </x:c>
      <x:c r="E1063" s="33" t="str">
        <x:v>Law &amp; Order</x:v>
      </x:c>
      <x:c r="F1063" s="33" t="str">
        <x:v>core</x:v>
      </x:c>
      <x:c r="G1063" s="50" t="n">
        <x:v>5</x:v>
      </x:c>
      <x:c r="H1063" s="50" t="n">
        <x:v>18</x:v>
      </x:c>
      <x:c r="I1063" s="44" t="str">
        <x:v>05.18</x:v>
      </x:c>
      <x:c r="J1063" s="33" t="str">
        <x:v>Careless</x:v>
      </x:c>
      <x:c r="K1063" s="33" t="str"/>
      <x:c r="L1063" s="33" t="str"/>
      <x:c r="M1063" s="44" t="str"/>
      <x:c r="N1063" s="50" t="n">
        <x:v>41</x:v>
      </x:c>
      <x:c r="O1063" s="53" t="str">
        <x:v>When a young foster child dies due to a religious ritual gone awry, the detectives unravel a mysterious pattern of violence, abuse and murder within one foster care family.</x:v>
      </x:c>
      <x:c r="P1063" s="53" t="str">
        <x:v>Core Law &amp; Order franchise</x:v>
      </x:c>
      <x:c r="Q1063" s="17" t="str">
        <x:v>225049</x:v>
      </x:c>
      <x:c r="R1063" s="17" t="str">
        <x:v>tt0629621</x:v>
      </x:c>
      <x:c r="S1063" s="17" t="str">
        <x:v>665</x:v>
      </x:c>
    </x:row>
    <x:row r="1064">
      <x:c r="A1064" s="43" t="n">
        <x:v>1060</x:v>
      </x:c>
      <x:c r="B1064" s="44" t="str">
        <x:v>Not Started</x:v>
      </x:c>
      <x:c r="C1064" s="45" t="n">
        <x:v>38049</x:v>
      </x:c>
      <x:c r="D1064" s="33" t="str">
        <x:v>Law &amp; Order</x:v>
      </x:c>
      <x:c r="E1064" s="33" t="str">
        <x:v>Law &amp; Order</x:v>
      </x:c>
      <x:c r="F1064" s="33" t="str">
        <x:v>core</x:v>
      </x:c>
      <x:c r="G1064" s="50" t="n">
        <x:v>14</x:v>
      </x:c>
      <x:c r="H1064" s="50" t="n">
        <x:v>17</x:v>
      </x:c>
      <x:c r="I1064" s="44" t="str">
        <x:v>14.17</x:v>
      </x:c>
      <x:c r="J1064" s="33" t="str">
        <x:v>Hands Free</x:v>
      </x:c>
      <x:c r="K1064" s="33" t="str"/>
      <x:c r="L1064" s="33" t="str"/>
      <x:c r="M1064" s="44" t="str"/>
      <x:c r="N1064" s="50" t="n">
        <x:v>45</x:v>
      </x:c>
      <x:c r="O1064" s="53" t="str">
        <x:v>When McCoy fails to win a murder conviction against an eccentric cross dressing millionaire for the death of his neighbor, he redoubles the effort to convict the man for murdering his second wife years earlier by demonstrating that he murdered a witness to the crime.</x:v>
      </x:c>
      <x:c r="P1064" s="53" t="str">
        <x:v>Core Law &amp; Order franchise</x:v>
      </x:c>
      <x:c r="Q1064" s="17" t="str">
        <x:v>34372</x:v>
      </x:c>
      <x:c r="R1064" s="17" t="str">
        <x:v>tt0629287</x:v>
      </x:c>
      <x:c r="S1064" s="17" t="str">
        <x:v>666</x:v>
      </x:c>
    </x:row>
    <x:row r="1065">
      <x:c r="A1065" s="43" t="n">
        <x:v>1061</x:v>
      </x:c>
      <x:c r="B1065" s="44" t="str">
        <x:v>Not Started</x:v>
      </x:c>
      <x:c r="C1065" s="45" t="n">
        <x:v>38053</x:v>
      </x:c>
      <x:c r="D1065" s="33" t="str">
        <x:v>Law &amp; Order: Criminal Intent</x:v>
      </x:c>
      <x:c r="E1065" s="33" t="str">
        <x:v>Law &amp; Order</x:v>
      </x:c>
      <x:c r="F1065" s="33" t="str">
        <x:v>core</x:v>
      </x:c>
      <x:c r="G1065" s="50" t="n">
        <x:v>3</x:v>
      </x:c>
      <x:c r="H1065" s="50" t="n">
        <x:v>15</x:v>
      </x:c>
      <x:c r="I1065" s="44" t="str">
        <x:v>03.15</x:v>
      </x:c>
      <x:c r="J1065" s="33" t="str">
        <x:v>Shrink-Wrapped</x:v>
      </x:c>
      <x:c r="K1065" s="33" t="str"/>
      <x:c r="L1065" s="33" t="str"/>
      <x:c r="M1065" s="44" t="str"/>
      <x:c r="N1065" s="50" t="n">
        <x:v>44</x:v>
      </x:c>
      <x:c r="O1065" s="53" t="str">
        <x:v>The daughter of narcissistic psychotherapists takes desperate measures to exact her revenge for years of their abuse and neglect, leading to tragedy for a young man caught in the web of her parents' promiscuity, mind games and competitiveness.</x:v>
      </x:c>
      <x:c r="P1065" s="53" t="str">
        <x:v>Core Law &amp; Order franchise</x:v>
      </x:c>
      <x:c r="Q1065" s="17" t="str">
        <x:v>341271</x:v>
      </x:c>
      <x:c r="R1065" s="17" t="str">
        <x:v>tt0629574</x:v>
      </x:c>
      <x:c r="S1065" s="17" t="str">
        <x:v>667</x:v>
      </x:c>
    </x:row>
    <x:row r="1066">
      <x:c r="A1066" s="43" t="n">
        <x:v>1062</x:v>
      </x:c>
      <x:c r="B1066" s="44" t="str">
        <x:v>Not Started</x:v>
      </x:c>
      <x:c r="C1066" s="45" t="n">
        <x:v>38060</x:v>
      </x:c>
      <x:c r="D1066" s="33" t="str">
        <x:v>Law &amp; Order: Criminal Intent</x:v>
      </x:c>
      <x:c r="E1066" s="33" t="str">
        <x:v>Law &amp; Order</x:v>
      </x:c>
      <x:c r="F1066" s="33" t="str">
        <x:v>core</x:v>
      </x:c>
      <x:c r="G1066" s="50" t="n">
        <x:v>3</x:v>
      </x:c>
      <x:c r="H1066" s="50" t="n">
        <x:v>16</x:v>
      </x:c>
      <x:c r="I1066" s="44" t="str">
        <x:v>03.16</x:v>
      </x:c>
      <x:c r="J1066" s="33" t="str">
        <x:v>The Saint</x:v>
      </x:c>
      <x:c r="K1066" s="33" t="str"/>
      <x:c r="L1066" s="33" t="str"/>
      <x:c r="M1066" s="44" t="str"/>
      <x:c r="N1066" s="50" t="n">
        <x:v>44</x:v>
      </x:c>
      <x:c r="O1066" s="53" t="str">
        <x:v>A man commits fraud, forgery, and murder to discredit the organization that took advantage of his mentally ill mother, impoverished his family, and ruined his childhood.</x:v>
      </x:c>
      <x:c r="P1066" s="53" t="str">
        <x:v>Core Law &amp; Order franchise</x:v>
      </x:c>
      <x:c r="Q1066" s="17" t="str">
        <x:v>341272</x:v>
      </x:c>
      <x:c r="R1066" s="17" t="str">
        <x:v>tt0629591</x:v>
      </x:c>
      <x:c r="S1066" s="17" t="str">
        <x:v>668</x:v>
      </x:c>
    </x:row>
    <x:row r="1067">
      <x:c r="A1067" s="43" t="n">
        <x:v>1063</x:v>
      </x:c>
      <x:c r="B1067" s="44" t="str">
        <x:v>Not Started</x:v>
      </x:c>
      <x:c r="C1067" s="45" t="n">
        <x:v>38070</x:v>
      </x:c>
      <x:c r="D1067" s="33" t="str">
        <x:v>Law &amp; Order</x:v>
      </x:c>
      <x:c r="E1067" s="33" t="str">
        <x:v>Law &amp; Order</x:v>
      </x:c>
      <x:c r="F1067" s="33" t="str">
        <x:v>core</x:v>
      </x:c>
      <x:c r="G1067" s="50" t="n">
        <x:v>14</x:v>
      </x:c>
      <x:c r="H1067" s="50" t="n">
        <x:v>18</x:v>
      </x:c>
      <x:c r="I1067" s="44" t="str">
        <x:v>14.18</x:v>
      </x:c>
      <x:c r="J1067" s="33" t="str">
        <x:v>Evil Breeds</x:v>
      </x:c>
      <x:c r="K1067" s="33" t="str"/>
      <x:c r="L1067" s="33" t="str"/>
      <x:c r="M1067" s="44" t="str"/>
      <x:c r="N1067" s="50" t="n">
        <x:v>45</x:v>
      </x:c>
      <x:c r="O1067" s="53" t="str">
        <x:v>When a Holocaust survivor is murdered on the eve of her testimony in the deportation trial of a former concentration camp guard, McCoy prosecutes the man and the Neo-Nazi sympathizer who's running a fundraising web site for him, and must debunk a Holocaust denial defense which claims that the millions of deaths resulted from disease, pestilence and wartime conditions.</x:v>
      </x:c>
      <x:c r="P1067" s="53" t="str">
        <x:v>Core Law &amp; Order franchise</x:v>
      </x:c>
      <x:c r="Q1067" s="17" t="str">
        <x:v>34373</x:v>
      </x:c>
      <x:c r="R1067" s="17" t="str">
        <x:v>tt0629257</x:v>
      </x:c>
      <x:c r="S1067" s="17" t="str">
        <x:v>669</x:v>
      </x:c>
    </x:row>
    <x:row r="1068">
      <x:c r="A1068" s="43" t="n">
        <x:v>1064</x:v>
      </x:c>
      <x:c r="B1068" s="44" t="str">
        <x:v>Not Started</x:v>
      </x:c>
      <x:c r="C1068" s="45" t="n">
        <x:v>38074</x:v>
      </x:c>
      <x:c r="D1068" s="33" t="str">
        <x:v>Law &amp; Order: Criminal Intent</x:v>
      </x:c>
      <x:c r="E1068" s="33" t="str">
        <x:v>Law &amp; Order</x:v>
      </x:c>
      <x:c r="F1068" s="33" t="str">
        <x:v>core</x:v>
      </x:c>
      <x:c r="G1068" s="50" t="n">
        <x:v>3</x:v>
      </x:c>
      <x:c r="H1068" s="50" t="n">
        <x:v>17</x:v>
      </x:c>
      <x:c r="I1068" s="44" t="str">
        <x:v>03.17</x:v>
      </x:c>
      <x:c r="J1068" s="33" t="str">
        <x:v>Conscience</x:v>
      </x:c>
      <x:c r="K1068" s="33" t="str"/>
      <x:c r="L1068" s="33" t="str"/>
      <x:c r="M1068" s="44" t="str"/>
      <x:c r="N1068" s="50" t="n">
        <x:v>44</x:v>
      </x:c>
      <x:c r="O1068" s="53" t="str">
        <x:v>A neurologist who believes that she can communicate with a woman in a persistent vegetative state is murdered by a family member who fears that the doctor will uncover the multi-million dollar motive which led to the woman's disability.</x:v>
      </x:c>
      <x:c r="P1068" s="53" t="str">
        <x:v>Core Law &amp; Order franchise</x:v>
      </x:c>
      <x:c r="Q1068" s="17" t="str">
        <x:v>341273</x:v>
      </x:c>
      <x:c r="R1068" s="17" t="str">
        <x:v>tt0629519</x:v>
      </x:c>
      <x:c r="S1068" s="17" t="str">
        <x:v>670</x:v>
      </x:c>
    </x:row>
    <x:row r="1069">
      <x:c r="A1069" s="43" t="n">
        <x:v>1065</x:v>
      </x:c>
      <x:c r="B1069" s="44" t="str">
        <x:v>Watched</x:v>
      </x:c>
      <x:c r="C1069" s="45" t="n">
        <x:v>38076</x:v>
      </x:c>
      <x:c r="D1069" s="33" t="str">
        <x:v>Law &amp; Order: Special Victims Unit</x:v>
      </x:c>
      <x:c r="E1069" s="33" t="str">
        <x:v>Law &amp; Order</x:v>
      </x:c>
      <x:c r="F1069" s="33" t="str">
        <x:v>core</x:v>
      </x:c>
      <x:c r="G1069" s="50" t="n">
        <x:v>5</x:v>
      </x:c>
      <x:c r="H1069" s="50" t="n">
        <x:v>19</x:v>
      </x:c>
      <x:c r="I1069" s="44" t="str">
        <x:v>05.19</x:v>
      </x:c>
      <x:c r="J1069" s="33" t="str">
        <x:v>Sick</x:v>
      </x:c>
      <x:c r="K1069" s="33" t="str"/>
      <x:c r="L1069" s="33" t="str"/>
      <x:c r="M1069" s="44" t="str"/>
      <x:c r="N1069" s="50" t="n">
        <x:v>43</x:v>
      </x:c>
      <x:c r="O1069" s="53" t="str">
        <x:v>A wealthy toy mogul is the suspect of the sexual abuse of a child. His prosecution impeded by the child's parents who refuse to produce their child for questioning to avoid losing the millions paid through a non-disclosure agreement, and by the discovery that a second accusation was falsified in an attempt to extort a settlement.</x:v>
      </x:c>
      <x:c r="P1069" s="53" t="str">
        <x:v>Core Law &amp; Order franchise</x:v>
      </x:c>
      <x:c r="Q1069" s="17" t="str">
        <x:v>225050</x:v>
      </x:c>
      <x:c r="R1069" s="17" t="str">
        <x:v>tt0629732</x:v>
      </x:c>
      <x:c r="S1069" s="17" t="str">
        <x:v>671</x:v>
      </x:c>
    </x:row>
    <x:row r="1070">
      <x:c r="A1070" s="43" t="n">
        <x:v>1066</x:v>
      </x:c>
      <x:c r="B1070" s="44" t="str">
        <x:v>Not Started</x:v>
      </x:c>
      <x:c r="C1070" s="45" t="n">
        <x:v>38077</x:v>
      </x:c>
      <x:c r="D1070" s="33" t="str">
        <x:v>Law &amp; Order</x:v>
      </x:c>
      <x:c r="E1070" s="33" t="str">
        <x:v>Law &amp; Order</x:v>
      </x:c>
      <x:c r="F1070" s="33" t="str">
        <x:v>core</x:v>
      </x:c>
      <x:c r="G1070" s="50" t="n">
        <x:v>14</x:v>
      </x:c>
      <x:c r="H1070" s="50" t="n">
        <x:v>19</x:v>
      </x:c>
      <x:c r="I1070" s="44" t="str">
        <x:v>14.19</x:v>
      </x:c>
      <x:c r="J1070" s="33" t="str">
        <x:v>Nowhere Man</x:v>
      </x:c>
      <x:c r="K1070" s="33" t="str"/>
      <x:c r="L1070" s="33" t="str"/>
      <x:c r="M1070" s="44" t="str"/>
      <x:c r="N1070" s="50" t="n">
        <x:v>45</x:v>
      </x:c>
      <x:c r="O1070" s="53" t="str">
        <x:v>The District Attorney's Office is set on its ear when the investigation into the death of an A.D.A. uncovers a scandal that could imperil hundreds of cases.</x:v>
      </x:c>
      <x:c r="P1070" s="53" t="str">
        <x:v>Core Law &amp; Order franchise</x:v>
      </x:c>
      <x:c r="Q1070" s="17" t="str">
        <x:v>34374</x:v>
      </x:c>
      <x:c r="R1070" s="17" t="str">
        <x:v>tt0629355</x:v>
      </x:c>
      <x:c r="S1070" s="17" t="str">
        <x:v>672</x:v>
      </x:c>
    </x:row>
    <x:row r="1071">
      <x:c r="A1071" s="43" t="n">
        <x:v>1067</x:v>
      </x:c>
      <x:c r="B1071" s="44" t="str">
        <x:v>Watched</x:v>
      </x:c>
      <x:c r="C1071" s="45" t="n">
        <x:v>38083</x:v>
      </x:c>
      <x:c r="D1071" s="33" t="str">
        <x:v>Law &amp; Order: Special Victims Unit</x:v>
      </x:c>
      <x:c r="E1071" s="33" t="str">
        <x:v>Law &amp; Order</x:v>
      </x:c>
      <x:c r="F1071" s="33" t="str">
        <x:v>core</x:v>
      </x:c>
      <x:c r="G1071" s="50" t="n">
        <x:v>5</x:v>
      </x:c>
      <x:c r="H1071" s="50" t="n">
        <x:v>20</x:v>
      </x:c>
      <x:c r="I1071" s="44" t="str">
        <x:v>05.20</x:v>
      </x:c>
      <x:c r="J1071" s="33" t="str">
        <x:v>Lowdown</x:v>
      </x:c>
      <x:c r="K1071" s="33" t="str"/>
      <x:c r="L1071" s="33" t="str"/>
      <x:c r="M1071" s="44" t="str"/>
      <x:c r="N1071" s="50" t="n">
        <x:v>42</x:v>
      </x:c>
      <x:c r="O1071" s="53" t="str">
        <x:v>Detectives try to decipher a motive for the strangulation of a Bronx assistant DA in an area where hookers stroll. When the death of the prosecutor looks staged using information gleaned from a co-worker's caseload, Novak endangers her career to obtain a confession.</x:v>
      </x:c>
      <x:c r="P1071" s="53" t="str">
        <x:v>Core Law &amp; Order franchise</x:v>
      </x:c>
      <x:c r="Q1071" s="17" t="str">
        <x:v>225051</x:v>
      </x:c>
      <x:c r="R1071" s="17" t="str">
        <x:v>tt0629679</x:v>
      </x:c>
      <x:c r="S1071" s="17" t="str">
        <x:v>673</x:v>
      </x:c>
    </x:row>
    <x:row r="1072">
      <x:c r="A1072" s="43" t="n">
        <x:v>1068</x:v>
      </x:c>
      <x:c r="B1072" s="44" t="str">
        <x:v>Not Started</x:v>
      </x:c>
      <x:c r="C1072" s="45" t="n">
        <x:v>38087</x:v>
      </x:c>
      <x:c r="D1072" s="33" t="str">
        <x:v>Homicide: Life on the Street</x:v>
      </x:c>
      <x:c r="E1072" s="33" t="str">
        <x:v>Law &amp; Order</x:v>
      </x:c>
      <x:c r="F1072" s="33" t="str">
        <x:v>connected</x:v>
      </x:c>
      <x:c r="G1072" s="50" t="n">
        <x:v>0</x:v>
      </x:c>
      <x:c r="H1072" s="50" t="n">
        <x:v>6</x:v>
      </x:c>
      <x:c r="I1072" s="44" t="str">
        <x:v>S00.06</x:v>
      </x:c>
      <x:c r="J1072" s="33" t="str">
        <x:v>Homicide: Life in Season 4</x:v>
      </x:c>
      <x:c r="K1072" s="33" t="str"/>
      <x:c r="L1072" s="33" t="str"/>
      <x:c r="M1072" s="44" t="str"/>
      <x:c r="N1072" s="50" t="n">
        <x:v>45</x:v>
      </x:c>
      <x:c r="O1072" s="53" t="str">
        <x:v>An interview with Barry Levinson, Tom Fontana, Henry Bromell, David Simon, and James Yoshimura, narrated by Isabella Hofmann</x:v>
      </x:c>
      <x:c r="P1072" s="53" t="str">
        <x:v>Direct crossover with Law &amp; Order; Munch bridge to SVU</x:v>
      </x:c>
      <x:c r="Q1072" s="17" t="str">
        <x:v>11705957</x:v>
      </x:c>
      <x:c r="R1072" s="17" t="str"/>
      <x:c r="S1072" s="17" t="str"/>
    </x:row>
    <x:row r="1073">
      <x:c r="A1073" s="43" t="n">
        <x:v>1069</x:v>
      </x:c>
      <x:c r="B1073" s="44" t="str">
        <x:v>Not Started</x:v>
      </x:c>
      <x:c r="C1073" s="45" t="n">
        <x:v>38091</x:v>
      </x:c>
      <x:c r="D1073" s="33" t="str">
        <x:v>Law &amp; Order</x:v>
      </x:c>
      <x:c r="E1073" s="33" t="str">
        <x:v>Law &amp; Order</x:v>
      </x:c>
      <x:c r="F1073" s="33" t="str">
        <x:v>core</x:v>
      </x:c>
      <x:c r="G1073" s="50" t="n">
        <x:v>14</x:v>
      </x:c>
      <x:c r="H1073" s="50" t="n">
        <x:v>20</x:v>
      </x:c>
      <x:c r="I1073" s="44" t="str">
        <x:v>14.20</x:v>
      </x:c>
      <x:c r="J1073" s="33" t="str">
        <x:v>Everybody Loves Raimondo's</x:v>
      </x:c>
      <x:c r="K1073" s="33" t="str"/>
      <x:c r="L1073" s="33" t="str"/>
      <x:c r="M1073" s="44" t="str"/>
      <x:c r="N1073" s="50" t="n">
        <x:v>45</x:v>
      </x:c>
      <x:c r="O1073" s="53" t="str">
        <x:v>Greed, treachery and disrespect shape the motives for murder when two men are gunned down at an exclusive restaurant.</x:v>
      </x:c>
      <x:c r="P1073" s="53" t="str">
        <x:v>Core Law &amp; Order franchise</x:v>
      </x:c>
      <x:c r="Q1073" s="17" t="str">
        <x:v>34375</x:v>
      </x:c>
      <x:c r="R1073" s="17" t="str">
        <x:v>tt0629255</x:v>
      </x:c>
      <x:c r="S1073" s="17" t="str">
        <x:v>674</x:v>
      </x:c>
    </x:row>
    <x:row r="1074">
      <x:c r="A1074" s="43" t="n">
        <x:v>1070</x:v>
      </x:c>
      <x:c r="B1074" s="44" t="str">
        <x:v>Not Started</x:v>
      </x:c>
      <x:c r="C1074" s="45" t="n">
        <x:v>38095</x:v>
      </x:c>
      <x:c r="D1074" s="33" t="str">
        <x:v>Law &amp; Order: Criminal Intent</x:v>
      </x:c>
      <x:c r="E1074" s="33" t="str">
        <x:v>Law &amp; Order</x:v>
      </x:c>
      <x:c r="F1074" s="33" t="str">
        <x:v>core</x:v>
      </x:c>
      <x:c r="G1074" s="50" t="n">
        <x:v>3</x:v>
      </x:c>
      <x:c r="H1074" s="50" t="n">
        <x:v>18</x:v>
      </x:c>
      <x:c r="I1074" s="44" t="str">
        <x:v>03.18</x:v>
      </x:c>
      <x:c r="J1074" s="33" t="str">
        <x:v>Ill-Bred</x:v>
      </x:c>
      <x:c r="K1074" s="33" t="str"/>
      <x:c r="L1074" s="33" t="str"/>
      <x:c r="M1074" s="44" t="str"/>
      <x:c r="N1074" s="50" t="n">
        <x:v>44</x:v>
      </x:c>
      <x:c r="O1074" s="53" t="str">
        <x:v>A stable worker resorts to heroin smuggling, deception, extortion, and murder to finance the purchase of the farm and foundation stallion that will provide a leg up on the horse set social ladder.</x:v>
      </x:c>
      <x:c r="P1074" s="53" t="str">
        <x:v>Core Law &amp; Order franchise</x:v>
      </x:c>
      <x:c r="Q1074" s="17" t="str">
        <x:v>341274</x:v>
      </x:c>
      <x:c r="R1074" s="17" t="str">
        <x:v>tt0629542</x:v>
      </x:c>
      <x:c r="S1074" s="17" t="str">
        <x:v>675</x:v>
      </x:c>
    </x:row>
    <x:row r="1075">
      <x:c r="A1075" s="43" t="n">
        <x:v>1071</x:v>
      </x:c>
      <x:c r="B1075" s="44" t="str">
        <x:v>Watched</x:v>
      </x:c>
      <x:c r="C1075" s="45" t="n">
        <x:v>38097</x:v>
      </x:c>
      <x:c r="D1075" s="33" t="str">
        <x:v>Law &amp; Order: Special Victims Unit</x:v>
      </x:c>
      <x:c r="E1075" s="33" t="str">
        <x:v>Law &amp; Order</x:v>
      </x:c>
      <x:c r="F1075" s="33" t="str">
        <x:v>core</x:v>
      </x:c>
      <x:c r="G1075" s="50" t="n">
        <x:v>5</x:v>
      </x:c>
      <x:c r="H1075" s="50" t="n">
        <x:v>21</x:v>
      </x:c>
      <x:c r="I1075" s="44" t="str">
        <x:v>05.21</x:v>
      </x:c>
      <x:c r="J1075" s="33" t="str">
        <x:v>Criminal</x:v>
      </x:c>
      <x:c r="K1075" s="33" t="str"/>
      <x:c r="L1075" s="33" t="str"/>
      <x:c r="M1075" s="44" t="str"/>
      <x:c r="N1075" s="50" t="n">
        <x:v>43</x:v>
      </x:c>
      <x:c r="O1075" s="53" t="str">
        <x:v>When it becomes obvious that a forensics expert raped and murdered a student, the investigation focuses on a criminology professor Cragen arrested decades earlier for similar crimes, but is the professor a perpetrator or a victim?</x:v>
      </x:c>
      <x:c r="P1075" s="53" t="str">
        <x:v>Core Law &amp; Order franchise</x:v>
      </x:c>
      <x:c r="Q1075" s="17" t="str">
        <x:v>225052</x:v>
      </x:c>
      <x:c r="R1075" s="17" t="str">
        <x:v>tt0629637</x:v>
      </x:c>
      <x:c r="S1075" s="17" t="str">
        <x:v>676</x:v>
      </x:c>
    </x:row>
    <x:row r="1076">
      <x:c r="A1076" s="43" t="n">
        <x:v>1072</x:v>
      </x:c>
      <x:c r="B1076" s="44" t="str">
        <x:v>Not Started</x:v>
      </x:c>
      <x:c r="C1076" s="45" t="n">
        <x:v>38098</x:v>
      </x:c>
      <x:c r="D1076" s="33" t="str">
        <x:v>L.A. Dragnet</x:v>
      </x:c>
      <x:c r="E1076" s="33" t="str">
        <x:v>Wolf Adjacent</x:v>
      </x:c>
      <x:c r="F1076" s="33" t="str">
        <x:v>adjacent</x:v>
      </x:c>
      <x:c r="G1076" s="50" t="n">
        <x:v>2</x:v>
      </x:c>
      <x:c r="H1076" s="50" t="n">
        <x:v>6</x:v>
      </x:c>
      <x:c r="I1076" s="44" t="str">
        <x:v>02.06</x:v>
      </x:c>
      <x:c r="J1076" s="33" t="str">
        <x:v>Abduction</x:v>
      </x:c>
      <x:c r="K1076" s="33" t="str"/>
      <x:c r="L1076" s="33" t="str"/>
      <x:c r="M1076" s="44" t="str"/>
      <x:c r="N1076" s="50" t="n">
        <x:v>41</x:v>
      </x:c>
      <x:c r="O1076" s="53" t="str">
        <x:v>The detectives investagate the abduction and killing of the son of a couple involved in an alternative lifestyle.</x:v>
      </x:c>
      <x:c r="P1076" s="53" t="str">
        <x:v>2003 Dick Wolf-created Dragnet revival; kept separate from the 1950s Dragnet.</x:v>
      </x:c>
      <x:c r="Q1076" s="17" t="str">
        <x:v>909251</x:v>
      </x:c>
      <x:c r="R1076" s="17" t="str"/>
      <x:c r="S1076" s="17" t="str"/>
    </x:row>
    <x:row r="1077">
      <x:c r="A1077" s="43" t="n">
        <x:v>1073</x:v>
      </x:c>
      <x:c r="B1077" s="44" t="str">
        <x:v>Not Started</x:v>
      </x:c>
      <x:c r="C1077" s="45" t="n">
        <x:v>38098</x:v>
      </x:c>
      <x:c r="D1077" s="33" t="str">
        <x:v>Law &amp; Order</x:v>
      </x:c>
      <x:c r="E1077" s="33" t="str">
        <x:v>Law &amp; Order</x:v>
      </x:c>
      <x:c r="F1077" s="33" t="str">
        <x:v>core</x:v>
      </x:c>
      <x:c r="G1077" s="50" t="n">
        <x:v>14</x:v>
      </x:c>
      <x:c r="H1077" s="50" t="n">
        <x:v>21</x:v>
      </x:c>
      <x:c r="I1077" s="44" t="str">
        <x:v>14.21</x:v>
      </x:c>
      <x:c r="J1077" s="33" t="str">
        <x:v>Vendetta</x:v>
      </x:c>
      <x:c r="K1077" s="33" t="str"/>
      <x:c r="L1077" s="33" t="str"/>
      <x:c r="M1077" s="44" t="str"/>
      <x:c r="N1077" s="50" t="n">
        <x:v>45</x:v>
      </x:c>
      <x:c r="O1077" s="53" t="str">
        <x:v>The investigation into a bar room brawl fatality reveals a detective's decades-old vendetta against a petty criminal turned murderer who was falsely accused of one murder after evading conviction on another.</x:v>
      </x:c>
      <x:c r="P1077" s="53" t="str">
        <x:v>Core Law &amp; Order franchise</x:v>
      </x:c>
      <x:c r="Q1077" s="17" t="str">
        <x:v>34376</x:v>
      </x:c>
      <x:c r="R1077" s="17" t="str">
        <x:v>tt0629485</x:v>
      </x:c>
      <x:c r="S1077" s="17" t="str">
        <x:v>677</x:v>
      </x:c>
    </x:row>
    <x:row r="1078">
      <x:c r="A1078" s="43" t="n">
        <x:v>1074</x:v>
      </x:c>
      <x:c r="B1078" s="44" t="str">
        <x:v>Watched</x:v>
      </x:c>
      <x:c r="C1078" s="45" t="n">
        <x:v>38104</x:v>
      </x:c>
      <x:c r="D1078" s="33" t="str">
        <x:v>Law &amp; Order: Special Victims Unit</x:v>
      </x:c>
      <x:c r="E1078" s="33" t="str">
        <x:v>Law &amp; Order</x:v>
      </x:c>
      <x:c r="F1078" s="33" t="str">
        <x:v>core</x:v>
      </x:c>
      <x:c r="G1078" s="50" t="n">
        <x:v>5</x:v>
      </x:c>
      <x:c r="H1078" s="50" t="n">
        <x:v>22</x:v>
      </x:c>
      <x:c r="I1078" s="44" t="str">
        <x:v>05.22</x:v>
      </x:c>
      <x:c r="J1078" s="33" t="str">
        <x:v>Painless</x:v>
      </x:c>
      <x:c r="K1078" s="33" t="str"/>
      <x:c r="L1078" s="33" t="str"/>
      <x:c r="M1078" s="44" t="str"/>
      <x:c r="N1078" s="50" t="n">
        <x:v>43</x:v>
      </x:c>
      <x:c r="O1078" s="53" t="str">
        <x:v>A woman claiming to have been the victim of rape commits suicide while she is still in the emergency room.</x:v>
      </x:c>
      <x:c r="P1078" s="53" t="str">
        <x:v>Core Law &amp; Order franchise</x:v>
      </x:c>
      <x:c r="Q1078" s="17" t="str">
        <x:v>225053</x:v>
      </x:c>
      <x:c r="R1078" s="17" t="str">
        <x:v>tt0629695</x:v>
      </x:c>
      <x:c r="S1078" s="17" t="str">
        <x:v>678</x:v>
      </x:c>
    </x:row>
    <x:row r="1079">
      <x:c r="A1079" s="43" t="n">
        <x:v>1075</x:v>
      </x:c>
      <x:c r="B1079" s="44" t="str">
        <x:v>Not Started</x:v>
      </x:c>
      <x:c r="C1079" s="45" t="n">
        <x:v>38105</x:v>
      </x:c>
      <x:c r="D1079" s="33" t="str">
        <x:v>L.A. Dragnet</x:v>
      </x:c>
      <x:c r="E1079" s="33" t="str">
        <x:v>Wolf Adjacent</x:v>
      </x:c>
      <x:c r="F1079" s="33" t="str">
        <x:v>adjacent</x:v>
      </x:c>
      <x:c r="G1079" s="50" t="n">
        <x:v>2</x:v>
      </x:c>
      <x:c r="H1079" s="50" t="n">
        <x:v>7</x:v>
      </x:c>
      <x:c r="I1079" s="44" t="str">
        <x:v>02.07</x:v>
      </x:c>
      <x:c r="J1079" s="33" t="str">
        <x:v>Frame of Mind</x:v>
      </x:c>
      <x:c r="K1079" s="33" t="str"/>
      <x:c r="L1079" s="33" t="str"/>
      <x:c r="M1079" s="44" t="str"/>
      <x:c r="N1079" s="50" t="n">
        <x:v>41</x:v>
      </x:c>
      <x:c r="O1079" s="53" t="str">
        <x:v>The killing of a travelling salesman maybe connected to the unsolved murder of an adult movie star's father.</x:v>
      </x:c>
      <x:c r="P1079" s="53" t="str">
        <x:v>2003 Dick Wolf-created Dragnet revival; kept separate from the 1950s Dragnet.</x:v>
      </x:c>
      <x:c r="Q1079" s="17" t="str">
        <x:v>909252</x:v>
      </x:c>
      <x:c r="R1079" s="17" t="str"/>
      <x:c r="S1079" s="17" t="str"/>
    </x:row>
    <x:row r="1080">
      <x:c r="A1080" s="43" t="n">
        <x:v>1076</x:v>
      </x:c>
      <x:c r="B1080" s="44" t="str">
        <x:v>Not Started</x:v>
      </x:c>
      <x:c r="C1080" s="45" t="n">
        <x:v>38105</x:v>
      </x:c>
      <x:c r="D1080" s="33" t="str">
        <x:v>Law &amp; Order</x:v>
      </x:c>
      <x:c r="E1080" s="33" t="str">
        <x:v>Law &amp; Order</x:v>
      </x:c>
      <x:c r="F1080" s="33" t="str">
        <x:v>core</x:v>
      </x:c>
      <x:c r="G1080" s="50" t="n">
        <x:v>14</x:v>
      </x:c>
      <x:c r="H1080" s="50" t="n">
        <x:v>22</x:v>
      </x:c>
      <x:c r="I1080" s="44" t="str">
        <x:v>14.22</x:v>
      </x:c>
      <x:c r="J1080" s="33" t="str">
        <x:v>Gaijin</x:v>
      </x:c>
      <x:c r="K1080" s="33" t="str"/>
      <x:c r="L1080" s="33" t="str"/>
      <x:c r="M1080" s="44" t="str"/>
      <x:c r="N1080" s="50" t="n">
        <x:v>45</x:v>
      </x:c>
      <x:c r="O1080" s="53" t="str">
        <x:v>Van Buren has reservations about Branch's tactics in luring a Ginza nightclub owner back to New York after the Japanese government is unwilling to extradite him to face charges of conspiracy and murder in the death of his wife on a New York City vacation.</x:v>
      </x:c>
      <x:c r="P1080" s="53" t="str">
        <x:v>Core Law &amp; Order franchise</x:v>
      </x:c>
      <x:c r="Q1080" s="17" t="str">
        <x:v>34377</x:v>
      </x:c>
      <x:c r="R1080" s="17" t="str">
        <x:v>tt0629274</x:v>
      </x:c>
      <x:c r="S1080" s="17" t="str">
        <x:v>679</x:v>
      </x:c>
    </x:row>
    <x:row r="1081">
      <x:c r="A1081" s="43" t="n">
        <x:v>1077</x:v>
      </x:c>
      <x:c r="B1081" s="44" t="str">
        <x:v>Watched</x:v>
      </x:c>
      <x:c r="C1081" s="45" t="n">
        <x:v>38111</x:v>
      </x:c>
      <x:c r="D1081" s="33" t="str">
        <x:v>Law &amp; Order: Special Victims Unit</x:v>
      </x:c>
      <x:c r="E1081" s="33" t="str">
        <x:v>Law &amp; Order</x:v>
      </x:c>
      <x:c r="F1081" s="33" t="str">
        <x:v>core</x:v>
      </x:c>
      <x:c r="G1081" s="50" t="n">
        <x:v>5</x:v>
      </x:c>
      <x:c r="H1081" s="50" t="n">
        <x:v>23</x:v>
      </x:c>
      <x:c r="I1081" s="44" t="str">
        <x:v>05.23</x:v>
      </x:c>
      <x:c r="J1081" s="33" t="str">
        <x:v>Bound</x:v>
      </x:c>
      <x:c r="K1081" s="33" t="str"/>
      <x:c r="L1081" s="33" t="str"/>
      <x:c r="M1081" s="44" t="str"/>
      <x:c r="N1081" s="50" t="n">
        <x:v>42</x:v>
      </x:c>
      <x:c r="O1081" s="53" t="str">
        <x:v>The death of a wealthy senior citizen leads to an investigation that uncovers a serial killer with childhood abandonment issues who targets the elderly.</x:v>
      </x:c>
      <x:c r="P1081" s="53" t="str">
        <x:v>Core Law &amp; Order franchise</x:v>
      </x:c>
      <x:c r="Q1081" s="17" t="str">
        <x:v>225054</x:v>
      </x:c>
      <x:c r="R1081" s="17" t="str">
        <x:v>tt0629618</x:v>
      </x:c>
      <x:c r="S1081" s="17" t="str">
        <x:v>680</x:v>
      </x:c>
    </x:row>
    <x:row r="1082">
      <x:c r="A1082" s="43" t="n">
        <x:v>1078</x:v>
      </x:c>
      <x:c r="B1082" s="44" t="str">
        <x:v>Not Started</x:v>
      </x:c>
      <x:c r="C1082" s="45" t="n">
        <x:v>38112</x:v>
      </x:c>
      <x:c r="D1082" s="33" t="str">
        <x:v>L.A. Dragnet</x:v>
      </x:c>
      <x:c r="E1082" s="33" t="str">
        <x:v>Wolf Adjacent</x:v>
      </x:c>
      <x:c r="F1082" s="33" t="str">
        <x:v>adjacent</x:v>
      </x:c>
      <x:c r="G1082" s="50" t="n">
        <x:v>2</x:v>
      </x:c>
      <x:c r="H1082" s="50" t="n">
        <x:v>8</x:v>
      </x:c>
      <x:c r="I1082" s="44" t="str">
        <x:v>02.08</x:v>
      </x:c>
      <x:c r="J1082" s="33" t="str">
        <x:v>Retribution</x:v>
      </x:c>
      <x:c r="K1082" s="33" t="str"/>
      <x:c r="L1082" s="33" t="str"/>
      <x:c r="M1082" s="44" t="str"/>
      <x:c r="N1082" s="50" t="n">
        <x:v>41</x:v>
      </x:c>
      <x:c r="O1082" s="53" t="str">
        <x:v>Detectives suspect an alleged victim of sexual abuse is responsible for decapitating an Orthodox priest.</x:v>
      </x:c>
      <x:c r="P1082" s="53" t="str">
        <x:v>2003 Dick Wolf-created Dragnet revival; kept separate from the 1950s Dragnet.</x:v>
      </x:c>
      <x:c r="Q1082" s="17" t="str">
        <x:v>909253</x:v>
      </x:c>
      <x:c r="R1082" s="17" t="str">
        <x:v>tt0565985</x:v>
      </x:c>
      <x:c r="S1082" s="17" t="str"/>
    </x:row>
    <x:row r="1083">
      <x:c r="A1083" s="43" t="n">
        <x:v>1079</x:v>
      </x:c>
      <x:c r="B1083" s="44" t="str">
        <x:v>Not Started</x:v>
      </x:c>
      <x:c r="C1083" s="45" t="n">
        <x:v>38116</x:v>
      </x:c>
      <x:c r="D1083" s="33" t="str">
        <x:v>Law &amp; Order: Criminal Intent</x:v>
      </x:c>
      <x:c r="E1083" s="33" t="str">
        <x:v>Law &amp; Order</x:v>
      </x:c>
      <x:c r="F1083" s="33" t="str">
        <x:v>core</x:v>
      </x:c>
      <x:c r="G1083" s="50" t="n">
        <x:v>3</x:v>
      </x:c>
      <x:c r="H1083" s="50" t="n">
        <x:v>19</x:v>
      </x:c>
      <x:c r="I1083" s="44" t="str">
        <x:v>03.19</x:v>
      </x:c>
      <x:c r="J1083" s="33" t="str">
        <x:v>Fico Di Capo</x:v>
      </x:c>
      <x:c r="K1083" s="33" t="str"/>
      <x:c r="L1083" s="33" t="str"/>
      <x:c r="M1083" s="44" t="str"/>
      <x:c r="N1083" s="50" t="n">
        <x:v>44</x:v>
      </x:c>
      <x:c r="O1083" s="53" t="str">
        <x:v>After a protected witness is shot dead in a restaurant, Goren and Eames find themselves on the trail of a trio of young mobsters. They finally figure out that a young man named Chops is the key, but can't find anyone willing to turn on him. Goren seeks the help of a fig-loving don dying of cancer to trap Chops.</x:v>
      </x:c>
      <x:c r="P1083" s="53" t="str">
        <x:v>Core Law &amp; Order franchise</x:v>
      </x:c>
      <x:c r="Q1083" s="17" t="str">
        <x:v>341275</x:v>
      </x:c>
      <x:c r="R1083" s="17" t="str">
        <x:v>tt0629534</x:v>
      </x:c>
      <x:c r="S1083" s="17" t="str">
        <x:v>681</x:v>
      </x:c>
    </x:row>
    <x:row r="1084">
      <x:c r="A1084" s="43" t="n">
        <x:v>1080</x:v>
      </x:c>
      <x:c r="B1084" s="44" t="str">
        <x:v>Watched</x:v>
      </x:c>
      <x:c r="C1084" s="45" t="n">
        <x:v>38118</x:v>
      </x:c>
      <x:c r="D1084" s="33" t="str">
        <x:v>Law &amp; Order: Special Victims Unit</x:v>
      </x:c>
      <x:c r="E1084" s="33" t="str">
        <x:v>Law &amp; Order</x:v>
      </x:c>
      <x:c r="F1084" s="33" t="str">
        <x:v>core</x:v>
      </x:c>
      <x:c r="G1084" s="50" t="n">
        <x:v>5</x:v>
      </x:c>
      <x:c r="H1084" s="50" t="n">
        <x:v>24</x:v>
      </x:c>
      <x:c r="I1084" s="44" t="str">
        <x:v>05.24</x:v>
      </x:c>
      <x:c r="J1084" s="33" t="str">
        <x:v>Poison</x:v>
      </x:c>
      <x:c r="K1084" s="33" t="str"/>
      <x:c r="L1084" s="33" t="str"/>
      <x:c r="M1084" s="44" t="str"/>
      <x:c r="N1084" s="50" t="n">
        <x:v>43</x:v>
      </x:c>
      <x:c r="O1084" s="53" t="str">
        <x:v>A young girl is in a coma after ingesting detergent and her mother is suspected of poisoning her. A biased judge makes the case hard to prosecute which leads to an investigation into his past.</x:v>
      </x:c>
      <x:c r="P1084" s="53" t="str">
        <x:v>Core Law &amp; Order franchise</x:v>
      </x:c>
      <x:c r="Q1084" s="17" t="str">
        <x:v>225055</x:v>
      </x:c>
      <x:c r="R1084" s="17" t="str">
        <x:v>tt0629704</x:v>
      </x:c>
      <x:c r="S1084" s="17" t="str">
        <x:v>682</x:v>
      </x:c>
    </x:row>
    <x:row r="1085">
      <x:c r="A1085" s="43" t="n">
        <x:v>1081</x:v>
      </x:c>
      <x:c r="B1085" s="44" t="str">
        <x:v>Not Started</x:v>
      </x:c>
      <x:c r="C1085" s="45" t="n">
        <x:v>38119</x:v>
      </x:c>
      <x:c r="D1085" s="33" t="str">
        <x:v>Law &amp; Order</x:v>
      </x:c>
      <x:c r="E1085" s="33" t="str">
        <x:v>Law &amp; Order</x:v>
      </x:c>
      <x:c r="F1085" s="33" t="str">
        <x:v>core</x:v>
      </x:c>
      <x:c r="G1085" s="50" t="n">
        <x:v>14</x:v>
      </x:c>
      <x:c r="H1085" s="50" t="n">
        <x:v>23</x:v>
      </x:c>
      <x:c r="I1085" s="44" t="str">
        <x:v>14.23</x:v>
      </x:c>
      <x:c r="J1085" s="33" t="str">
        <x:v>Caviar Emptor</x:v>
      </x:c>
      <x:c r="K1085" s="33" t="str"/>
      <x:c r="L1085" s="33" t="str"/>
      <x:c r="M1085" s="44" t="str"/>
      <x:c r="N1085" s="50" t="n">
        <x:v>45</x:v>
      </x:c>
      <x:c r="O1085" s="53" t="str">
        <x:v>When a caviar importer is murdered the day after his wedding to a much-younger woman, the large pool of suspects includes his new wife, his children, and his chief competitor, each of whom has a compelling motive for committing the crime.</x:v>
      </x:c>
      <x:c r="P1085" s="53" t="str">
        <x:v>Core Law &amp; Order franchise</x:v>
      </x:c>
      <x:c r="Q1085" s="17" t="str">
        <x:v>34378</x:v>
      </x:c>
      <x:c r="R1085" s="17" t="str">
        <x:v>tt0629201</x:v>
      </x:c>
      <x:c r="S1085" s="17" t="str">
        <x:v>683</x:v>
      </x:c>
    </x:row>
    <x:row r="1086">
      <x:c r="A1086" s="43" t="n">
        <x:v>1082</x:v>
      </x:c>
      <x:c r="B1086" s="44" t="str">
        <x:v>Not Started</x:v>
      </x:c>
      <x:c r="C1086" s="45" t="n">
        <x:v>38123</x:v>
      </x:c>
      <x:c r="D1086" s="33" t="str">
        <x:v>Law &amp; Order: Criminal Intent</x:v>
      </x:c>
      <x:c r="E1086" s="33" t="str">
        <x:v>Law &amp; Order</x:v>
      </x:c>
      <x:c r="F1086" s="33" t="str">
        <x:v>core</x:v>
      </x:c>
      <x:c r="G1086" s="50" t="n">
        <x:v>3</x:v>
      </x:c>
      <x:c r="H1086" s="50" t="n">
        <x:v>20</x:v>
      </x:c>
      <x:c r="I1086" s="44" t="str">
        <x:v>03.20</x:v>
      </x:c>
      <x:c r="J1086" s="33" t="str">
        <x:v>D.A.W.</x:v>
      </x:c>
      <x:c r="K1086" s="33" t="str"/>
      <x:c r="L1086" s="33" t="str"/>
      <x:c r="M1086" s="44" t="str"/>
      <x:c r="N1086" s="50" t="n">
        <x:v>44</x:v>
      </x:c>
      <x:c r="O1086" s="53" t="str">
        <x:v>The investigation into the death of a woman searching for the whereabouts of her late mother's antique ring leads Goren and Eames to a physician serial killer who has cleverly concealed the murder of over two hundred of his patients.</x:v>
      </x:c>
      <x:c r="P1086" s="53" t="str">
        <x:v>Core Law &amp; Order franchise</x:v>
      </x:c>
      <x:c r="Q1086" s="17" t="str">
        <x:v>341276</x:v>
      </x:c>
      <x:c r="R1086" s="17" t="str">
        <x:v>tt0629523</x:v>
      </x:c>
      <x:c r="S1086" s="17" t="str">
        <x:v>684</x:v>
      </x:c>
    </x:row>
    <x:row r="1087">
      <x:c r="A1087" s="43" t="n">
        <x:v>1083</x:v>
      </x:c>
      <x:c r="B1087" s="44" t="str">
        <x:v>Watched</x:v>
      </x:c>
      <x:c r="C1087" s="45" t="n">
        <x:v>38125</x:v>
      </x:c>
      <x:c r="D1087" s="33" t="str">
        <x:v>Law &amp; Order: Special Victims Unit</x:v>
      </x:c>
      <x:c r="E1087" s="33" t="str">
        <x:v>Law &amp; Order</x:v>
      </x:c>
      <x:c r="F1087" s="33" t="str">
        <x:v>core</x:v>
      </x:c>
      <x:c r="G1087" s="50" t="n">
        <x:v>5</x:v>
      </x:c>
      <x:c r="H1087" s="50" t="n">
        <x:v>25</x:v>
      </x:c>
      <x:c r="I1087" s="44" t="str">
        <x:v>05.25</x:v>
      </x:c>
      <x:c r="J1087" s="33" t="str">
        <x:v>Head</x:v>
      </x:c>
      <x:c r="K1087" s="33" t="str"/>
      <x:c r="L1087" s="33" t="str"/>
      <x:c r="M1087" s="44" t="str"/>
      <x:c r="N1087" s="50" t="n">
        <x:v>44</x:v>
      </x:c>
      <x:c r="O1087" s="53" t="str">
        <x:v>A boy is accused of being molested after his soccer game, but he doesn't admit to it. His principal and his soccer coach are the prime suspects.</x:v>
      </x:c>
      <x:c r="P1087" s="53" t="str">
        <x:v>Core Law &amp; Order franchise</x:v>
      </x:c>
      <x:c r="Q1087" s="17" t="str">
        <x:v>225056</x:v>
      </x:c>
      <x:c r="R1087" s="17" t="str">
        <x:v>tt0629665</x:v>
      </x:c>
      <x:c r="S1087" s="17" t="str">
        <x:v>685</x:v>
      </x:c>
    </x:row>
    <x:row r="1088">
      <x:c r="A1088" s="43" t="n">
        <x:v>1084</x:v>
      </x:c>
      <x:c r="B1088" s="44" t="str">
        <x:v>Not Started</x:v>
      </x:c>
      <x:c r="C1088" s="45" t="n">
        <x:v>38126</x:v>
      </x:c>
      <x:c r="D1088" s="33" t="str">
        <x:v>Law &amp; Order</x:v>
      </x:c>
      <x:c r="E1088" s="33" t="str">
        <x:v>Law &amp; Order</x:v>
      </x:c>
      <x:c r="F1088" s="33" t="str">
        <x:v>core</x:v>
      </x:c>
      <x:c r="G1088" s="50" t="n">
        <x:v>14</x:v>
      </x:c>
      <x:c r="H1088" s="50" t="n">
        <x:v>24</x:v>
      </x:c>
      <x:c r="I1088" s="44" t="str">
        <x:v>14.24</x:v>
      </x:c>
      <x:c r="J1088" s="33" t="str">
        <x:v>C.O.D.</x:v>
      </x:c>
      <x:c r="K1088" s="33" t="str"/>
      <x:c r="L1088" s="33" t="str"/>
      <x:c r="M1088" s="44" t="str"/>
      <x:c r="N1088" s="50" t="n">
        <x:v>45</x:v>
      </x:c>
      <x:c r="O1088" s="53" t="str">
        <x:v>Briscoe bids farewell to the 27 as the prosecution of two women for killing each other's husbands comes to a successful conclusion.</x:v>
      </x:c>
      <x:c r="P1088" s="53" t="str">
        <x:v>Core Law &amp; Order franchise</x:v>
      </x:c>
      <x:c r="Q1088" s="17" t="str">
        <x:v>34379</x:v>
      </x:c>
      <x:c r="R1088" s="17" t="str">
        <x:v>tt0629196</x:v>
      </x:c>
      <x:c r="S1088" s="17" t="str">
        <x:v>686</x:v>
      </x:c>
    </x:row>
    <x:row r="1089">
      <x:c r="A1089" s="43" t="n">
        <x:v>1085</x:v>
      </x:c>
      <x:c r="B1089" s="44" t="str">
        <x:v>Not Started</x:v>
      </x:c>
      <x:c r="C1089" s="45" t="n">
        <x:v>38130</x:v>
      </x:c>
      <x:c r="D1089" s="33" t="str">
        <x:v>Law &amp; Order: Criminal Intent</x:v>
      </x:c>
      <x:c r="E1089" s="33" t="str">
        <x:v>Law &amp; Order</x:v>
      </x:c>
      <x:c r="F1089" s="33" t="str">
        <x:v>core</x:v>
      </x:c>
      <x:c r="G1089" s="50" t="n">
        <x:v>3</x:v>
      </x:c>
      <x:c r="H1089" s="50" t="n">
        <x:v>21</x:v>
      </x:c>
      <x:c r="I1089" s="44" t="str">
        <x:v>03.21</x:v>
      </x:c>
      <x:c r="J1089" s="33" t="str">
        <x:v>Consumed</x:v>
      </x:c>
      <x:c r="K1089" s="33" t="str"/>
      <x:c r="L1089" s="33" t="str"/>
      <x:c r="M1089" s="44" t="str"/>
      <x:c r="N1089" s="50" t="n">
        <x:v>44</x:v>
      </x:c>
      <x:c r="O1089" s="53" t="str">
        <x:v>A police officer is framed for a triple homicide by a greedy woman who takes advantage of his sleepwalking and is enmeshed in a bitter divorce settlement and out for revenge.</x:v>
      </x:c>
      <x:c r="P1089" s="53" t="str">
        <x:v>Core Law &amp; Order franchise</x:v>
      </x:c>
      <x:c r="Q1089" s="17" t="str">
        <x:v>341277</x:v>
      </x:c>
      <x:c r="R1089" s="17" t="str">
        <x:v>tt0629520</x:v>
      </x:c>
      <x:c r="S1089" s="17" t="str">
        <x:v>687</x:v>
      </x:c>
    </x:row>
    <x:row r="1090">
      <x:c r="A1090" s="43" t="n">
        <x:v>1086</x:v>
      </x:c>
      <x:c r="B1090" s="44" t="str">
        <x:v>Not Started</x:v>
      </x:c>
      <x:c r="C1090" s="45" t="n">
        <x:v>38150</x:v>
      </x:c>
      <x:c r="D1090" s="33" t="str">
        <x:v>Crime &amp; Punishment</x:v>
      </x:c>
      <x:c r="E1090" s="33" t="str">
        <x:v>Crossover Adjacent</x:v>
      </x:c>
      <x:c r="F1090" s="33" t="str">
        <x:v>complete</x:v>
      </x:c>
      <x:c r="G1090" s="50" t="n">
        <x:v>3</x:v>
      </x:c>
      <x:c r="H1090" s="50" t="n">
        <x:v>1</x:v>
      </x:c>
      <x:c r="I1090" s="44" t="str">
        <x:v>03.01</x:v>
      </x:c>
      <x:c r="J1090" s="33" t="str">
        <x:v>People v. George Waller Jr. &amp; Lawrence Calhoun</x:v>
      </x:c>
      <x:c r="K1090" s="33" t="str"/>
      <x:c r="L1090" s="33" t="str"/>
      <x:c r="M1090" s="44" t="str"/>
      <x:c r="N1090" s="50" t="n">
        <x:v>60</x:v>
      </x:c>
      <x:c r="O1090" s="53" t="str">
        <x:v>George Waller and Lawrence Calhoun stand trial for second degree murder, when their reckless drag racing caused an accident that killed two teenagers and gravely injured another passenger. D.D.A. Blaine Bowman wants the defendants charged with Second Degree Murder, while the defense attorney's claim they should be charged with vehicular manslaughter with gross negligence</x:v>
      </x:c>
      <x:c r="P1090" s="53" t="str">
        <x:v>Dick Wolf reality/legal series</x:v>
      </x:c>
      <x:c r="Q1090" s="17" t="str">
        <x:v>177259</x:v>
      </x:c>
      <x:c r="R1090" s="17" t="str"/>
      <x:c r="S1090" s="17" t="str"/>
    </x:row>
    <x:row r="1091">
      <x:c r="A1091" s="43" t="n">
        <x:v>1087</x:v>
      </x:c>
      <x:c r="B1091" s="44" t="str">
        <x:v>Not Started</x:v>
      </x:c>
      <x:c r="C1091" s="45" t="n">
        <x:v>38157</x:v>
      </x:c>
      <x:c r="D1091" s="33" t="str">
        <x:v>Crime &amp; Punishment</x:v>
      </x:c>
      <x:c r="E1091" s="33" t="str">
        <x:v>Crossover Adjacent</x:v>
      </x:c>
      <x:c r="F1091" s="33" t="str">
        <x:v>complete</x:v>
      </x:c>
      <x:c r="G1091" s="50" t="n">
        <x:v>3</x:v>
      </x:c>
      <x:c r="H1091" s="50" t="n">
        <x:v>2</x:v>
      </x:c>
      <x:c r="I1091" s="44" t="str">
        <x:v>03.02</x:v>
      </x:c>
      <x:c r="J1091" s="33" t="str">
        <x:v>PEOPLE V. BRENDA COOK &amp; PEOPLE V. LAWRENCE MARSH</x:v>
      </x:c>
      <x:c r="K1091" s="33" t="str"/>
      <x:c r="L1091" s="33" t="str"/>
      <x:c r="M1091" s="44" t="str"/>
      <x:c r="N1091" s="50" t="n">
        <x:v>60</x:v>
      </x:c>
      <x:c r="O1091" s="53" t="str">
        <x:v>D.D.A. Marisa Ditillio prosecutes Brenda Cook for animal negligence after finding her potbelly pig emaciated in the backseat of her car. And, D.D.A. Corinne Miesfeld prosecutes Lawrence Marsh on 67 counts of identity theft</x:v>
      </x:c>
      <x:c r="P1091" s="53" t="str">
        <x:v>Dick Wolf reality/legal series</x:v>
      </x:c>
      <x:c r="Q1091" s="17" t="str">
        <x:v>177260</x:v>
      </x:c>
      <x:c r="R1091" s="17" t="str"/>
      <x:c r="S1091" s="17" t="str"/>
    </x:row>
    <x:row r="1092">
      <x:c r="A1092" s="43" t="n">
        <x:v>1088</x:v>
      </x:c>
      <x:c r="B1092" s="44" t="str">
        <x:v>Not Started</x:v>
      </x:c>
      <x:c r="C1092" s="45" t="n">
        <x:v>38164</x:v>
      </x:c>
      <x:c r="D1092" s="33" t="str">
        <x:v>Crime &amp; Punishment</x:v>
      </x:c>
      <x:c r="E1092" s="33" t="str">
        <x:v>Crossover Adjacent</x:v>
      </x:c>
      <x:c r="F1092" s="33" t="str">
        <x:v>complete</x:v>
      </x:c>
      <x:c r="G1092" s="50" t="n">
        <x:v>3</x:v>
      </x:c>
      <x:c r="H1092" s="50" t="n">
        <x:v>3</x:v>
      </x:c>
      <x:c r="I1092" s="44" t="str">
        <x:v>03.03</x:v>
      </x:c>
      <x:c r="J1092" s="33" t="str">
        <x:v>PEOPLE V. BERNARD CUTTS</x:v>
      </x:c>
      <x:c r="K1092" s="33" t="str"/>
      <x:c r="L1092" s="33" t="str"/>
      <x:c r="M1092" s="44" t="str"/>
      <x:c r="N1092" s="50" t="n">
        <x:v>60</x:v>
      </x:c>
      <x:c r="O1092" s="53" t="str">
        <x:v>D.D.A. Kurt Mechals prosecutes Bernard Cutts for the murder of his girlfriend Cynthia Johnson, whose 18 year-old son found her bullet-ridden body. While the prosecution asserts that a domestic dispute resulted in murder, the defense attempts to taint the reputation of the victim's son, whose distraught recorded testimony is jarring to members of the jury.</x:v>
      </x:c>
      <x:c r="P1092" s="53" t="str">
        <x:v>Dick Wolf reality/legal series</x:v>
      </x:c>
      <x:c r="Q1092" s="17" t="str">
        <x:v>177261</x:v>
      </x:c>
      <x:c r="R1092" s="17" t="str"/>
      <x:c r="S1092" s="17" t="str"/>
    </x:row>
    <x:row r="1093">
      <x:c r="A1093" s="43" t="n">
        <x:v>1089</x:v>
      </x:c>
      <x:c r="B1093" s="44" t="str">
        <x:v>Not Started</x:v>
      </x:c>
      <x:c r="C1093" s="45" t="n">
        <x:v>38171</x:v>
      </x:c>
      <x:c r="D1093" s="33" t="str">
        <x:v>Crime &amp; Punishment</x:v>
      </x:c>
      <x:c r="E1093" s="33" t="str">
        <x:v>Crossover Adjacent</x:v>
      </x:c>
      <x:c r="F1093" s="33" t="str">
        <x:v>complete</x:v>
      </x:c>
      <x:c r="G1093" s="50" t="n">
        <x:v>3</x:v>
      </x:c>
      <x:c r="H1093" s="50" t="n">
        <x:v>4</x:v>
      </x:c>
      <x:c r="I1093" s="44" t="str">
        <x:v>03.04</x:v>
      </x:c>
      <x:c r="J1093" s="33" t="str">
        <x:v>PEOPLE V. TERRY HALL</x:v>
      </x:c>
      <x:c r="K1093" s="33" t="str"/>
      <x:c r="L1093" s="33" t="str"/>
      <x:c r="M1093" s="44" t="str"/>
      <x:c r="N1093" s="50" t="n">
        <x:v>60</x:v>
      </x:c>
      <x:c r="O1093" s="53" t="str">
        <x:v>Terry Hall is on trial for killing his wife after discovering she was unfaithful to him while he was away at sea. He's admitted to killing her, the question is whether it's manslaughter or first degree murder.</x:v>
      </x:c>
      <x:c r="P1093" s="53" t="str">
        <x:v>Dick Wolf reality/legal series</x:v>
      </x:c>
      <x:c r="Q1093" s="17" t="str">
        <x:v>177262</x:v>
      </x:c>
      <x:c r="R1093" s="17" t="str"/>
      <x:c r="S1093" s="17" t="str"/>
    </x:row>
    <x:row r="1094">
      <x:c r="A1094" s="43" t="n">
        <x:v>1090</x:v>
      </x:c>
      <x:c r="B1094" s="44" t="str">
        <x:v>Not Started</x:v>
      </x:c>
      <x:c r="C1094" s="45" t="n">
        <x:v>38178</x:v>
      </x:c>
      <x:c r="D1094" s="33" t="str">
        <x:v>Crime &amp; Punishment</x:v>
      </x:c>
      <x:c r="E1094" s="33" t="str">
        <x:v>Crossover Adjacent</x:v>
      </x:c>
      <x:c r="F1094" s="33" t="str">
        <x:v>complete</x:v>
      </x:c>
      <x:c r="G1094" s="50" t="n">
        <x:v>3</x:v>
      </x:c>
      <x:c r="H1094" s="50" t="n">
        <x:v>5</x:v>
      </x:c>
      <x:c r="I1094" s="44" t="str">
        <x:v>03.05</x:v>
      </x:c>
      <x:c r="J1094" s="33" t="str">
        <x:v>PEOPLE V. MCPHERSON, BUBECK &amp; PEOPLE V. CHASTANG</x:v>
      </x:c>
      <x:c r="K1094" s="33" t="str"/>
      <x:c r="L1094" s="33" t="str"/>
      <x:c r="M1094" s="44" t="str"/>
      <x:c r="N1094" s="50" t="n">
        <x:v>60</x:v>
      </x:c>
      <x:c r="O1094" s="53" t="str">
        <x:v>D.D.A. Allison Worden seeks to have a high school coach registered as a sex offender when witnesses say that he was masturbating outside during a football game in the presence of minors. Defense attorney Anthony Gilham claims his client has prostate problems and was urinating.</x:v>
      </x:c>
      <x:c r="P1094" s="53" t="str">
        <x:v>Dick Wolf reality/legal series</x:v>
      </x:c>
      <x:c r="Q1094" s="17" t="str">
        <x:v>177263</x:v>
      </x:c>
      <x:c r="R1094" s="17" t="str"/>
      <x:c r="S1094" s="17" t="str"/>
    </x:row>
    <x:row r="1095">
      <x:c r="A1095" s="43" t="n">
        <x:v>1091</x:v>
      </x:c>
      <x:c r="B1095" s="44" t="str">
        <x:v>Not Started</x:v>
      </x:c>
      <x:c r="C1095" s="45" t="n">
        <x:v>38185</x:v>
      </x:c>
      <x:c r="D1095" s="33" t="str">
        <x:v>Crime &amp; Punishment</x:v>
      </x:c>
      <x:c r="E1095" s="33" t="str">
        <x:v>Crossover Adjacent</x:v>
      </x:c>
      <x:c r="F1095" s="33" t="str">
        <x:v>complete</x:v>
      </x:c>
      <x:c r="G1095" s="50" t="n">
        <x:v>3</x:v>
      </x:c>
      <x:c r="H1095" s="50" t="n">
        <x:v>6</x:v>
      </x:c>
      <x:c r="I1095" s="44" t="str">
        <x:v>03.06</x:v>
      </x:c>
      <x:c r="J1095" s="33" t="str">
        <x:v>People V. Tianna Thomas &amp; People V. Charles Mambane</x:v>
      </x:c>
      <x:c r="K1095" s="33" t="str"/>
      <x:c r="L1095" s="33" t="str"/>
      <x:c r="M1095" s="44" t="str"/>
      <x:c r="N1095" s="50" t="n">
        <x:v>60</x:v>
      </x:c>
      <x:c r="O1095" s="53" t="str">
        <x:v>A 17-year-old defendant is accused of abducting and molesting an eight-year-old girl and attempting to abduct a four-year-old.</x:v>
      </x:c>
      <x:c r="P1095" s="53" t="str">
        <x:v>Dick Wolf reality/legal series</x:v>
      </x:c>
      <x:c r="Q1095" s="17" t="str">
        <x:v>177264</x:v>
      </x:c>
      <x:c r="R1095" s="17" t="str"/>
      <x:c r="S1095" s="17" t="str"/>
    </x:row>
    <x:row r="1096">
      <x:c r="A1096" s="43" t="n">
        <x:v>1092</x:v>
      </x:c>
      <x:c r="B1096" s="44" t="str">
        <x:v>Not Started</x:v>
      </x:c>
      <x:c r="C1096" s="45" t="n">
        <x:v>38231</x:v>
      </x:c>
      <x:c r="D1096" s="33" t="str">
        <x:v>Homicide: Life on the Street</x:v>
      </x:c>
      <x:c r="E1096" s="33" t="str">
        <x:v>Law &amp; Order</x:v>
      </x:c>
      <x:c r="F1096" s="33" t="str">
        <x:v>connected</x:v>
      </x:c>
      <x:c r="G1096" s="50" t="n">
        <x:v>0</x:v>
      </x:c>
      <x:c r="H1096" s="50" t="n">
        <x:v>7</x:v>
      </x:c>
      <x:c r="I1096" s="44" t="str">
        <x:v>S00.07</x:v>
      </x:c>
      <x:c r="J1096" s="33" t="str">
        <x:v>Inside Homicide</x:v>
      </x:c>
      <x:c r="K1096" s="33" t="str"/>
      <x:c r="L1096" s="33" t="str"/>
      <x:c r="M1096" s="44" t="str"/>
      <x:c r="N1096" s="50" t="n">
        <x:v>45</x:v>
      </x:c>
      <x:c r="O1096" s="53" t="str">
        <x:v>An interview with David Simon and James Yoshimura</x:v>
      </x:c>
      <x:c r="P1096" s="53" t="str">
        <x:v>Direct crossover with Law &amp; Order; Munch bridge to SVU</x:v>
      </x:c>
      <x:c r="Q1096" s="17" t="str">
        <x:v>319977</x:v>
      </x:c>
      <x:c r="R1096" s="17" t="str">
        <x:v>tt0226771</x:v>
      </x:c>
      <x:c r="S1096" s="17" t="str"/>
    </x:row>
    <x:row r="1097">
      <x:c r="A1097" s="43" t="n">
        <x:v>1093</x:v>
      </x:c>
      <x:c r="B1097" s="44" t="str">
        <x:v>Watched</x:v>
      </x:c>
      <x:c r="C1097" s="45" t="n">
        <x:v>38251</x:v>
      </x:c>
      <x:c r="D1097" s="33" t="str">
        <x:v>Law &amp; Order: Special Victims Unit</x:v>
      </x:c>
      <x:c r="E1097" s="33" t="str">
        <x:v>Law &amp; Order</x:v>
      </x:c>
      <x:c r="F1097" s="33" t="str">
        <x:v>core</x:v>
      </x:c>
      <x:c r="G1097" s="50" t="n">
        <x:v>6</x:v>
      </x:c>
      <x:c r="H1097" s="50" t="n">
        <x:v>1</x:v>
      </x:c>
      <x:c r="I1097" s="44" t="str">
        <x:v>06.01</x:v>
      </x:c>
      <x:c r="J1097" s="33" t="str">
        <x:v>Birthright</x:v>
      </x:c>
      <x:c r="K1097" s="33" t="str"/>
      <x:c r="L1097" s="33" t="str"/>
      <x:c r="M1097" s="44" t="str"/>
      <x:c r="N1097" s="50" t="n">
        <x:v>44</x:v>
      </x:c>
      <x:c r="O1097" s="53" t="str">
        <x:v>The investigation into the attempted kidnapping of a six year old girl uncovers a fertility doctor's scheme to steal embryos, and prompts a custody battle between the child's biological and birth mothers.</x:v>
      </x:c>
      <x:c r="P1097" s="53" t="str">
        <x:v>Core Law &amp; Order franchise</x:v>
      </x:c>
      <x:c r="Q1097" s="17" t="str">
        <x:v>225057</x:v>
      </x:c>
      <x:c r="R1097" s="17" t="str">
        <x:v>tt0629615</x:v>
      </x:c>
      <x:c r="S1097" s="17" t="str">
        <x:v>688</x:v>
      </x:c>
    </x:row>
    <x:row r="1098">
      <x:c r="A1098" s="43" t="n">
        <x:v>1094</x:v>
      </x:c>
      <x:c r="B1098" s="44" t="str">
        <x:v>Not Started</x:v>
      </x:c>
      <x:c r="C1098" s="45" t="n">
        <x:v>38252</x:v>
      </x:c>
      <x:c r="D1098" s="33" t="str">
        <x:v>Law &amp; Order</x:v>
      </x:c>
      <x:c r="E1098" s="33" t="str">
        <x:v>Law &amp; Order</x:v>
      </x:c>
      <x:c r="F1098" s="33" t="str">
        <x:v>core</x:v>
      </x:c>
      <x:c r="G1098" s="50" t="n">
        <x:v>15</x:v>
      </x:c>
      <x:c r="H1098" s="50" t="n">
        <x:v>1</x:v>
      </x:c>
      <x:c r="I1098" s="44" t="str">
        <x:v>15.01</x:v>
      </x:c>
      <x:c r="J1098" s="33" t="str">
        <x:v>Paradigm</x:v>
      </x:c>
      <x:c r="K1098" s="33" t="str"/>
      <x:c r="L1098" s="33" t="str"/>
      <x:c r="M1098" s="44" t="str"/>
      <x:c r="N1098" s="50" t="n">
        <x:v>45</x:v>
      </x:c>
      <x:c r="O1098" s="53" t="str">
        <x:v>An Iraqi immigrant who murders a former military policewoman in retaliation for torturing her brother at Abu Ghraib prison claims that she is covered as an enemy combatant under the terms of the Geneva Convention.</x:v>
      </x:c>
      <x:c r="P1098" s="53" t="str">
        <x:v>Core Law &amp; Order franchise</x:v>
      </x:c>
      <x:c r="Q1098" s="17" t="str">
        <x:v>34380</x:v>
      </x:c>
      <x:c r="R1098" s="17" t="str">
        <x:v>tt0629365</x:v>
      </x:c>
      <x:c r="S1098" s="17" t="str">
        <x:v>689</x:v>
      </x:c>
    </x:row>
    <x:row r="1099">
      <x:c r="A1099" s="43" t="n">
        <x:v>1095</x:v>
      </x:c>
      <x:c r="B1099" s="44" t="str">
        <x:v>Not Started</x:v>
      </x:c>
      <x:c r="C1099" s="45" t="n">
        <x:v>38252</x:v>
      </x:c>
      <x:c r="D1099" s="33" t="str">
        <x:v>Law &amp; Order</x:v>
      </x:c>
      <x:c r="E1099" s="33" t="str">
        <x:v>Law &amp; Order</x:v>
      </x:c>
      <x:c r="F1099" s="33" t="str">
        <x:v>core</x:v>
      </x:c>
      <x:c r="G1099" s="50" t="n">
        <x:v>15</x:v>
      </x:c>
      <x:c r="H1099" s="50" t="n">
        <x:v>2</x:v>
      </x:c>
      <x:c r="I1099" s="44" t="str">
        <x:v>15.02</x:v>
      </x:c>
      <x:c r="J1099" s="33" t="str">
        <x:v>The Dead Wives Club</x:v>
      </x:c>
      <x:c r="K1099" s="33" t="str"/>
      <x:c r="L1099" s="33" t="str"/>
      <x:c r="M1099" s="44" t="str"/>
      <x:c r="N1099" s="50" t="n">
        <x:v>45</x:v>
      </x:c>
      <x:c r="O1099" s="53" t="str">
        <x:v>When a woman abandoned by her firefighter husband for his partner's widow is threatened with also losing custody of her children, she murders her romantic rival, claiming that 9/11 post-traumatic stress syndrome prompted her actions.</x:v>
      </x:c>
      <x:c r="P1099" s="53" t="str">
        <x:v>Core Law &amp; Order franchise</x:v>
      </x:c>
      <x:c r="Q1099" s="17" t="str">
        <x:v>34381</x:v>
      </x:c>
      <x:c r="R1099" s="17" t="str">
        <x:v>tt0629232</x:v>
      </x:c>
      <x:c r="S1099" s="17" t="str">
        <x:v>690</x:v>
      </x:c>
    </x:row>
    <x:row r="1100">
      <x:c r="A1100" s="43" t="n">
        <x:v>1096</x:v>
      </x:c>
      <x:c r="B1100" s="44" t="str">
        <x:v>Not Started</x:v>
      </x:c>
      <x:c r="C1100" s="45" t="n">
        <x:v>38256</x:v>
      </x:c>
      <x:c r="D1100" s="33" t="str">
        <x:v>Law &amp; Order: Criminal Intent</x:v>
      </x:c>
      <x:c r="E1100" s="33" t="str">
        <x:v>Law &amp; Order</x:v>
      </x:c>
      <x:c r="F1100" s="33" t="str">
        <x:v>core</x:v>
      </x:c>
      <x:c r="G1100" s="50" t="n">
        <x:v>4</x:v>
      </x:c>
      <x:c r="H1100" s="50" t="n">
        <x:v>1</x:v>
      </x:c>
      <x:c r="I1100" s="44" t="str">
        <x:v>04.01</x:v>
      </x:c>
      <x:c r="J1100" s="33" t="str">
        <x:v>Semi-Detached</x:v>
      </x:c>
      <x:c r="K1100" s="33" t="str"/>
      <x:c r="L1100" s="33" t="str"/>
      <x:c r="M1100" s="44" t="str"/>
      <x:c r="N1100" s="50" t="n">
        <x:v>44</x:v>
      </x:c>
      <x:c r="O1100" s="53" t="str">
        <x:v>The investigation into the deaths of a shock jock and the housekeeper who supplied the pain killers to which he was once addicted leads Goren and Eames to a detox clinic staff member whose mental illness hits Goren close to home.</x:v>
      </x:c>
      <x:c r="P1100" s="53" t="str">
        <x:v>Core Law &amp; Order franchise</x:v>
      </x:c>
      <x:c r="Q1100" s="17" t="str">
        <x:v>341278</x:v>
      </x:c>
      <x:c r="R1100" s="17" t="str">
        <x:v>tt0629569</x:v>
      </x:c>
      <x:c r="S1100" s="17" t="str">
        <x:v>691</x:v>
      </x:c>
    </x:row>
    <x:row r="1101">
      <x:c r="A1101" s="43" t="n">
        <x:v>1097</x:v>
      </x:c>
      <x:c r="B1101" s="44" t="str">
        <x:v>Watched</x:v>
      </x:c>
      <x:c r="C1101" s="45" t="n">
        <x:v>38258</x:v>
      </x:c>
      <x:c r="D1101" s="33" t="str">
        <x:v>Law &amp; Order: Special Victims Unit</x:v>
      </x:c>
      <x:c r="E1101" s="33" t="str">
        <x:v>Law &amp; Order</x:v>
      </x:c>
      <x:c r="F1101" s="33" t="str">
        <x:v>core</x:v>
      </x:c>
      <x:c r="G1101" s="50" t="n">
        <x:v>6</x:v>
      </x:c>
      <x:c r="H1101" s="50" t="n">
        <x:v>2</x:v>
      </x:c>
      <x:c r="I1101" s="44" t="str">
        <x:v>06.02</x:v>
      </x:c>
      <x:c r="J1101" s="33" t="str">
        <x:v>Debt</x:v>
      </x:c>
      <x:c r="K1101" s="33" t="str"/>
      <x:c r="L1101" s="33" t="str"/>
      <x:c r="M1101" s="44" t="str"/>
      <x:c r="N1101" s="50" t="n">
        <x:v>43</x:v>
      </x:c>
      <x:c r="O1101" s="53" t="str">
        <x:v>As Benson and Stabler investigate the disappearance of a mother and her teenaged daughter, they uncover a conspiracy between a corrupt immigration attorney and gangsters running a prostitution ring that is staffed by women they have smuggled into the country and imprisoned as sex slaves.</x:v>
      </x:c>
      <x:c r="P1101" s="53" t="str">
        <x:v>Core Law &amp; Order franchise</x:v>
      </x:c>
      <x:c r="Q1101" s="17" t="str">
        <x:v>225058</x:v>
      </x:c>
      <x:c r="R1101" s="17" t="str">
        <x:v>tt0629639</x:v>
      </x:c>
      <x:c r="S1101" s="17" t="str">
        <x:v>692</x:v>
      </x:c>
    </x:row>
    <x:row r="1102">
      <x:c r="A1102" s="43" t="n">
        <x:v>1098</x:v>
      </x:c>
      <x:c r="B1102" s="44" t="str">
        <x:v>Not Started</x:v>
      </x:c>
      <x:c r="C1102" s="45" t="n">
        <x:v>38259</x:v>
      </x:c>
      <x:c r="D1102" s="33" t="str">
        <x:v>Law &amp; Order</x:v>
      </x:c>
      <x:c r="E1102" s="33" t="str">
        <x:v>Law &amp; Order</x:v>
      </x:c>
      <x:c r="F1102" s="33" t="str">
        <x:v>core</x:v>
      </x:c>
      <x:c r="G1102" s="50" t="n">
        <x:v>15</x:v>
      </x:c>
      <x:c r="H1102" s="50" t="n">
        <x:v>3</x:v>
      </x:c>
      <x:c r="I1102" s="44" t="str">
        <x:v>15.03</x:v>
      </x:c>
      <x:c r="J1102" s="33" t="str">
        <x:v>The Brotherhood</x:v>
      </x:c>
      <x:c r="K1102" s="33" t="str"/>
      <x:c r="L1102" s="33" t="str"/>
      <x:c r="M1102" s="44" t="str"/>
      <x:c r="N1102" s="50" t="n">
        <x:v>45</x:v>
      </x:c>
      <x:c r="O1102" s="53" t="str">
        <x:v>When a prison gang puts out a contract on a Sing Sing corrections officer and his family, assigning the job to a newly released ex-con, the terrified officer pleads preemptive self-defense after he's brought to trial for the parolee's murder. As the trial proceeds, the gang attempts to affect the outcome of the case by sending a death threat to the presiding judge, who refuses to be intimidated. Shortly after the conclusion of the trial, McCoy discovers that the defendant's fears about the power and the reach of the gang were well-placed.</x:v>
      </x:c>
      <x:c r="P1102" s="53" t="str">
        <x:v>Core Law &amp; Order franchise</x:v>
      </x:c>
      <x:c r="Q1102" s="17" t="str">
        <x:v>34382</x:v>
      </x:c>
      <x:c r="R1102" s="17" t="str">
        <x:v>tt0629452</x:v>
      </x:c>
      <x:c r="S1102" s="17" t="str">
        <x:v>693</x:v>
      </x:c>
    </x:row>
    <x:row r="1103">
      <x:c r="A1103" s="43" t="n">
        <x:v>1099</x:v>
      </x:c>
      <x:c r="B1103" s="44" t="str">
        <x:v>Not Started</x:v>
      </x:c>
      <x:c r="C1103" s="45" t="n">
        <x:v>38263</x:v>
      </x:c>
      <x:c r="D1103" s="33" t="str">
        <x:v>Law &amp; Order: Criminal Intent</x:v>
      </x:c>
      <x:c r="E1103" s="33" t="str">
        <x:v>Law &amp; Order</x:v>
      </x:c>
      <x:c r="F1103" s="33" t="str">
        <x:v>core</x:v>
      </x:c>
      <x:c r="G1103" s="50" t="n">
        <x:v>4</x:v>
      </x:c>
      <x:c r="H1103" s="50" t="n">
        <x:v>2</x:v>
      </x:c>
      <x:c r="I1103" s="44" t="str">
        <x:v>04.02</x:v>
      </x:c>
      <x:c r="J1103" s="33" t="str">
        <x:v>The Posthumous Collection</x:v>
      </x:c>
      <x:c r="K1103" s="33" t="str"/>
      <x:c r="L1103" s="33" t="str"/>
      <x:c r="M1103" s="44" t="str"/>
      <x:c r="N1103" s="50" t="n">
        <x:v>44</x:v>
      </x:c>
      <x:c r="O1103" s="53" t="str">
        <x:v>The investigation into the death of a famous photographer leads to the discovery of multiple homicides committed by the collaborator on his latest project, who was attempting to exorcise demons from his past through an artistic expression the photographer soon found intolerable.</x:v>
      </x:c>
      <x:c r="P1103" s="53" t="str">
        <x:v>Core Law &amp; Order franchise</x:v>
      </x:c>
      <x:c r="Q1103" s="17" t="str">
        <x:v>341279</x:v>
      </x:c>
      <x:c r="R1103" s="17" t="str">
        <x:v>tt0629590</x:v>
      </x:c>
      <x:c r="S1103" s="17" t="str">
        <x:v>694</x:v>
      </x:c>
    </x:row>
    <x:row r="1104">
      <x:c r="A1104" s="43" t="n">
        <x:v>1100</x:v>
      </x:c>
      <x:c r="B1104" s="44" t="str">
        <x:v>Not Started</x:v>
      </x:c>
      <x:c r="C1104" s="45" t="n">
        <x:v>38266</x:v>
      </x:c>
      <x:c r="D1104" s="33" t="str">
        <x:v>Law &amp; Order</x:v>
      </x:c>
      <x:c r="E1104" s="33" t="str">
        <x:v>Law &amp; Order</x:v>
      </x:c>
      <x:c r="F1104" s="33" t="str">
        <x:v>core</x:v>
      </x:c>
      <x:c r="G1104" s="50" t="n">
        <x:v>15</x:v>
      </x:c>
      <x:c r="H1104" s="50" t="n">
        <x:v>4</x:v>
      </x:c>
      <x:c r="I1104" s="44" t="str">
        <x:v>15.04</x:v>
      </x:c>
      <x:c r="J1104" s="33" t="str">
        <x:v>Coming Down Hard</x:v>
      </x:c>
      <x:c r="K1104" s="33" t="str"/>
      <x:c r="L1104" s="33" t="str"/>
      <x:c r="M1104" s="44" t="str"/>
      <x:c r="N1104" s="50" t="n">
        <x:v>45</x:v>
      </x:c>
      <x:c r="O1104" s="53" t="str">
        <x:v>McCoy goes after the C.E.O. of a pharmaceutical company who knowingly commissioned further clinical trials on a drug to extend its patent protection yielding millions of dollars of profit without disclosing that previous clinical studies had demonstrated that the drug created a high risk of suicide in its users.</x:v>
      </x:c>
      <x:c r="P1104" s="53" t="str">
        <x:v>Core Law &amp; Order franchise</x:v>
      </x:c>
      <x:c r="Q1104" s="17" t="str">
        <x:v>34383</x:v>
      </x:c>
      <x:c r="R1104" s="17" t="str">
        <x:v>tt0629209</x:v>
      </x:c>
      <x:c r="S1104" s="17" t="str">
        <x:v>695</x:v>
      </x:c>
    </x:row>
    <x:row r="1105">
      <x:c r="A1105" s="43" t="n">
        <x:v>1101</x:v>
      </x:c>
      <x:c r="B1105" s="44" t="str">
        <x:v>Not Started</x:v>
      </x:c>
      <x:c r="C1105" s="45" t="n">
        <x:v>38270</x:v>
      </x:c>
      <x:c r="D1105" s="33" t="str">
        <x:v>Law &amp; Order: Criminal Intent</x:v>
      </x:c>
      <x:c r="E1105" s="33" t="str">
        <x:v>Law &amp; Order</x:v>
      </x:c>
      <x:c r="F1105" s="33" t="str">
        <x:v>core</x:v>
      </x:c>
      <x:c r="G1105" s="50" t="n">
        <x:v>4</x:v>
      </x:c>
      <x:c r="H1105" s="50" t="n">
        <x:v>3</x:v>
      </x:c>
      <x:c r="I1105" s="44" t="str">
        <x:v>04.03</x:v>
      </x:c>
      <x:c r="J1105" s="33" t="str">
        <x:v>Want</x:v>
      </x:c>
      <x:c r="K1105" s="33" t="str"/>
      <x:c r="L1105" s="33" t="str"/>
      <x:c r="M1105" s="44" t="str"/>
      <x:c r="N1105" s="50" t="n">
        <x:v>44</x:v>
      </x:c>
      <x:c r="O1105" s="53" t="str">
        <x:v>After he gets into the head of an insane man driven to torture, murder, and cannibalism by overwhelming despair and loneliness, Goren surprises his colleagues with a passionate plea that the man be spared the death penalty, and engineers the confession that will save the man's life through a plea bargain.</x:v>
      </x:c>
      <x:c r="P1105" s="53" t="str">
        <x:v>Core Law &amp; Order franchise</x:v>
      </x:c>
      <x:c r="Q1105" s="17" t="str">
        <x:v>341280</x:v>
      </x:c>
      <x:c r="R1105" s="17" t="str">
        <x:v>tt0629600</x:v>
      </x:c>
      <x:c r="S1105" s="17" t="str">
        <x:v>696</x:v>
      </x:c>
    </x:row>
    <x:row r="1106">
      <x:c r="A1106" s="43" t="n">
        <x:v>1102</x:v>
      </x:c>
      <x:c r="B1106" s="44" t="str">
        <x:v>Watched</x:v>
      </x:c>
      <x:c r="C1106" s="45" t="n">
        <x:v>38272</x:v>
      </x:c>
      <x:c r="D1106" s="33" t="str">
        <x:v>Law &amp; Order: Special Victims Unit</x:v>
      </x:c>
      <x:c r="E1106" s="33" t="str">
        <x:v>Law &amp; Order</x:v>
      </x:c>
      <x:c r="F1106" s="33" t="str">
        <x:v>core</x:v>
      </x:c>
      <x:c r="G1106" s="50" t="n">
        <x:v>6</x:v>
      </x:c>
      <x:c r="H1106" s="50" t="n">
        <x:v>3</x:v>
      </x:c>
      <x:c r="I1106" s="44" t="str">
        <x:v>06.03</x:v>
      </x:c>
      <x:c r="J1106" s="33" t="str">
        <x:v>Obscene</x:v>
      </x:c>
      <x:c r="K1106" s="33" t="str"/>
      <x:c r="L1106" s="33" t="str"/>
      <x:c r="M1106" s="44" t="str"/>
      <x:c r="N1106" s="50" t="n">
        <x:v>44</x:v>
      </x:c>
      <x:c r="O1106" s="53" t="str">
        <x:v>With the encouragement of a radio host, who has a dirty mouth on him, one teenager is raped and another is imprisoned when they are thrown together by the manipulative adults in their lives whose sole motivations are celebrity and publicity for their own self-serving interests.</x:v>
      </x:c>
      <x:c r="P1106" s="53" t="str">
        <x:v>Core Law &amp; Order franchise</x:v>
      </x:c>
      <x:c r="Q1106" s="17" t="str">
        <x:v>225059</x:v>
      </x:c>
      <x:c r="R1106" s="17" t="str">
        <x:v>tt0629692</x:v>
      </x:c>
      <x:c r="S1106" s="17" t="str">
        <x:v>697</x:v>
      </x:c>
    </x:row>
    <x:row r="1107">
      <x:c r="A1107" s="43" t="n">
        <x:v>1103</x:v>
      </x:c>
      <x:c r="B1107" s="44" t="str">
        <x:v>Not Started</x:v>
      </x:c>
      <x:c r="C1107" s="45" t="n">
        <x:v>38277</x:v>
      </x:c>
      <x:c r="D1107" s="33" t="str">
        <x:v>Law &amp; Order: Criminal Intent</x:v>
      </x:c>
      <x:c r="E1107" s="33" t="str">
        <x:v>Law &amp; Order</x:v>
      </x:c>
      <x:c r="F1107" s="33" t="str">
        <x:v>core</x:v>
      </x:c>
      <x:c r="G1107" s="50" t="n">
        <x:v>4</x:v>
      </x:c>
      <x:c r="H1107" s="50" t="n">
        <x:v>4</x:v>
      </x:c>
      <x:c r="I1107" s="44" t="str">
        <x:v>04.04</x:v>
      </x:c>
      <x:c r="J1107" s="33" t="str">
        <x:v>Great Barrier</x:v>
      </x:c>
      <x:c r="K1107" s="33" t="str"/>
      <x:c r="L1107" s="33" t="str"/>
      <x:c r="M1107" s="44" t="str"/>
      <x:c r="N1107" s="50" t="n">
        <x:v>44</x:v>
      </x:c>
      <x:c r="O1107" s="53" t="str">
        <x:v>When Goren and Eames search for a jewel thief who murdered her accomplice, they discover that the clever larcenies are the brainchild of her lover, Nicole Wallace, Goren's long-standing nemesis. As the detectives delve into the personal and working relationships between the two women, they uncover a plot to cause the death of Wallace's ex-husband, the only person who can lead them to evidence of the very first murder Wallace committed.</x:v>
      </x:c>
      <x:c r="P1107" s="53" t="str">
        <x:v>Core Law &amp; Order franchise</x:v>
      </x:c>
      <x:c r="Q1107" s="17" t="str">
        <x:v>341281</x:v>
      </x:c>
      <x:c r="R1107" s="17" t="str">
        <x:v>tt0629538</x:v>
      </x:c>
      <x:c r="S1107" s="17" t="str">
        <x:v>698</x:v>
      </x:c>
    </x:row>
    <x:row r="1108">
      <x:c r="A1108" s="43" t="n">
        <x:v>1104</x:v>
      </x:c>
      <x:c r="B1108" s="44" t="str">
        <x:v>Not Started</x:v>
      </x:c>
      <x:c r="C1108" s="45" t="n">
        <x:v>38278</x:v>
      </x:c>
      <x:c r="D1108" s="33" t="str">
        <x:v>Law &amp; Order: Criminal Intent</x:v>
      </x:c>
      <x:c r="E1108" s="33" t="str">
        <x:v>Law &amp; Order</x:v>
      </x:c>
      <x:c r="F1108" s="33" t="str">
        <x:v>core</x:v>
      </x:c>
      <x:c r="G1108" s="50" t="n">
        <x:v>0</x:v>
      </x:c>
      <x:c r="H1108" s="50" t="n">
        <x:v>2</x:v>
      </x:c>
      <x:c r="I1108" s="44" t="str">
        <x:v>S00.02</x:v>
      </x:c>
      <x:c r="J1108" s="33" t="str">
        <x:v>Great Barrier (alternate ending)</x:v>
      </x:c>
      <x:c r="K1108" s="33" t="str"/>
      <x:c r="L1108" s="33" t="str"/>
      <x:c r="M1108" s="44" t="str"/>
      <x:c r="N1108" s="50" t="n">
        <x:v>60</x:v>
      </x:c>
      <x:c r="O1108" s="53" t="str">
        <x:v>This episode was first aired with two different endings. The East Coast watched the ending in which Wallace lived and the West Coast watched the ending in which she died. After the episode aired, viewers were encouraged to vote on NBC's website, where they could view both endings. Viewers voted to let her live, and thus the episode in which Wallace lives is considered the only official version by NBC. This is the alternate ending.</x:v>
      </x:c>
      <x:c r="P1108" s="53" t="str">
        <x:v>Core Law &amp; Order franchise</x:v>
      </x:c>
      <x:c r="Q1108" s="17" t="str">
        <x:v>341211</x:v>
      </x:c>
      <x:c r="R1108" s="17" t="str"/>
      <x:c r="S1108" s="17" t="str"/>
    </x:row>
    <x:row r="1109">
      <x:c r="A1109" s="43" t="n">
        <x:v>1105</x:v>
      </x:c>
      <x:c r="B1109" s="44" t="str">
        <x:v>Not Started</x:v>
      </x:c>
      <x:c r="C1109" s="45" t="n">
        <x:v>38279</x:v>
      </x:c>
      <x:c r="D1109" s="33" t="str">
        <x:v>Law &amp; Order: Special Victims Unit</x:v>
      </x:c>
      <x:c r="E1109" s="33" t="str">
        <x:v>Law &amp; Order</x:v>
      </x:c>
      <x:c r="F1109" s="33" t="str">
        <x:v>core</x:v>
      </x:c>
      <x:c r="G1109" s="50" t="n">
        <x:v>6</x:v>
      </x:c>
      <x:c r="H1109" s="50" t="n">
        <x:v>4</x:v>
      </x:c>
      <x:c r="I1109" s="44" t="str">
        <x:v>06.04</x:v>
      </x:c>
      <x:c r="J1109" s="33" t="str">
        <x:v>Scavenger</x:v>
      </x:c>
      <x:c r="K1109" s="33" t="str"/>
      <x:c r="L1109" s="33" t="str"/>
      <x:c r="M1109" s="44" t="str"/>
      <x:c r="N1109" s="50" t="n">
        <x:v>43</x:v>
      </x:c>
      <x:c r="O1109" s="53" t="str">
        <x:v>The entire squad races against the clock to solve the puzzles and uncover the clues scattered throughout the city by a serial killer who is taunting them to find him and the next victims on his list.</x:v>
      </x:c>
      <x:c r="P1109" s="53" t="str">
        <x:v>Core Law &amp; Order franchise</x:v>
      </x:c>
      <x:c r="Q1109" s="17" t="str">
        <x:v>225060</x:v>
      </x:c>
      <x:c r="R1109" s="17" t="str">
        <x:v>tt0629727</x:v>
      </x:c>
      <x:c r="S1109" s="17" t="str">
        <x:v>699</x:v>
      </x:c>
    </x:row>
    <x:row r="1110">
      <x:c r="A1110" s="43" t="n">
        <x:v>1106</x:v>
      </x:c>
      <x:c r="B1110" s="44" t="str">
        <x:v>Not Started</x:v>
      </x:c>
      <x:c r="C1110" s="45" t="n">
        <x:v>38280</x:v>
      </x:c>
      <x:c r="D1110" s="33" t="str">
        <x:v>Law &amp; Order</x:v>
      </x:c>
      <x:c r="E1110" s="33" t="str">
        <x:v>Law &amp; Order</x:v>
      </x:c>
      <x:c r="F1110" s="33" t="str">
        <x:v>core</x:v>
      </x:c>
      <x:c r="G1110" s="50" t="n">
        <x:v>15</x:v>
      </x:c>
      <x:c r="H1110" s="50" t="n">
        <x:v>5</x:v>
      </x:c>
      <x:c r="I1110" s="44" t="str">
        <x:v>15.05</x:v>
      </x:c>
      <x:c r="J1110" s="33" t="str">
        <x:v>Gunplay</x:v>
      </x:c>
      <x:c r="K1110" s="33" t="str"/>
      <x:c r="L1110" s="33" t="str"/>
      <x:c r="M1110" s="44" t="str"/>
      <x:c r="N1110" s="50" t="n">
        <x:v>45</x:v>
      </x:c>
      <x:c r="O1110" s="53" t="str">
        <x:v>After Green goes undercover to gather evidence on the gun dealers who murdered two detectives during a buy-and-bust, McCoy is able to connect the hit men to the attorney who paid them to avenge the death of his gun-running stepson at the hands of the same detectives during a similar buy-and-bust several years earlier.</x:v>
      </x:c>
      <x:c r="P1110" s="53" t="str">
        <x:v>Core Law &amp; Order franchise</x:v>
      </x:c>
      <x:c r="Q1110" s="17" t="str">
        <x:v>34384</x:v>
      </x:c>
      <x:c r="R1110" s="17" t="str">
        <x:v>tt0629285</x:v>
      </x:c>
      <x:c r="S1110" s="17" t="str">
        <x:v>700</x:v>
      </x:c>
    </x:row>
    <x:row r="1111">
      <x:c r="A1111" s="43" t="n">
        <x:v>1107</x:v>
      </x:c>
      <x:c r="B1111" s="44" t="str">
        <x:v>Not Started</x:v>
      </x:c>
      <x:c r="C1111" s="45" t="n">
        <x:v>38284</x:v>
      </x:c>
      <x:c r="D1111" s="33" t="str">
        <x:v>Law &amp; Order: Criminal Intent</x:v>
      </x:c>
      <x:c r="E1111" s="33" t="str">
        <x:v>Law &amp; Order</x:v>
      </x:c>
      <x:c r="F1111" s="33" t="str">
        <x:v>core</x:v>
      </x:c>
      <x:c r="G1111" s="50" t="n">
        <x:v>4</x:v>
      </x:c>
      <x:c r="H1111" s="50" t="n">
        <x:v>5</x:v>
      </x:c>
      <x:c r="I1111" s="44" t="str">
        <x:v>04.05</x:v>
      </x:c>
      <x:c r="J1111" s="33" t="str">
        <x:v>Eosphoros</x:v>
      </x:c>
      <x:c r="K1111" s="33" t="str"/>
      <x:c r="L1111" s="33" t="str"/>
      <x:c r="M1111" s="44" t="str"/>
      <x:c r="N1111" s="50" t="n">
        <x:v>44</x:v>
      </x:c>
      <x:c r="O1111" s="53" t="str">
        <x:v>When Goren and Eames investigate the death of a prominent atheist and her kidnappers, they discover that the crime, fueled by a need for sympathy and publicity as well as greed, began close to home.</x:v>
      </x:c>
      <x:c r="P1111" s="53" t="str">
        <x:v>Core Law &amp; Order franchise</x:v>
      </x:c>
      <x:c r="Q1111" s="17" t="str">
        <x:v>341282</x:v>
      </x:c>
      <x:c r="R1111" s="17" t="str">
        <x:v>tt0629529</x:v>
      </x:c>
      <x:c r="S1111" s="17" t="str">
        <x:v>701</x:v>
      </x:c>
    </x:row>
    <x:row r="1112">
      <x:c r="A1112" s="43" t="n">
        <x:v>1108</x:v>
      </x:c>
      <x:c r="B1112" s="44" t="str">
        <x:v>Not Started</x:v>
      </x:c>
      <x:c r="C1112" s="45" t="n">
        <x:v>38286</x:v>
      </x:c>
      <x:c r="D1112" s="33" t="str">
        <x:v>Law &amp; Order: Special Victims Unit</x:v>
      </x:c>
      <x:c r="E1112" s="33" t="str">
        <x:v>Law &amp; Order</x:v>
      </x:c>
      <x:c r="F1112" s="33" t="str">
        <x:v>core</x:v>
      </x:c>
      <x:c r="G1112" s="50" t="n">
        <x:v>6</x:v>
      </x:c>
      <x:c r="H1112" s="50" t="n">
        <x:v>5</x:v>
      </x:c>
      <x:c r="I1112" s="44" t="str">
        <x:v>06.05</x:v>
      </x:c>
      <x:c r="J1112" s="33" t="str">
        <x:v>Outcry</x:v>
      </x:c>
      <x:c r="K1112" s="33" t="str"/>
      <x:c r="L1112" s="33" t="str"/>
      <x:c r="M1112" s="44" t="str"/>
      <x:c r="N1112" s="50" t="n">
        <x:v>44</x:v>
      </x:c>
      <x:c r="O1112" s="53" t="str">
        <x:v>A missing teenager found beaten and tied up in a college dormitory under construction claims that she was raped by three students, but as the investigation proceeds and information obtained by the police and the press causes her story to unravel quickly, the girl recants. Since Benson remains convinced that a rape did occur, the focus of the investigation shifts to the girl's overly-protective stepfather who has resisted the investigation from its onset.</x:v>
      </x:c>
      <x:c r="P1112" s="53" t="str">
        <x:v>Core Law &amp; Order franchise</x:v>
      </x:c>
      <x:c r="Q1112" s="17" t="str">
        <x:v>225061</x:v>
      </x:c>
      <x:c r="R1112" s="17" t="str">
        <x:v>tt0629694</x:v>
      </x:c>
      <x:c r="S1112" s="17" t="str">
        <x:v>702</x:v>
      </x:c>
    </x:row>
    <x:row r="1113">
      <x:c r="A1113" s="43" t="n">
        <x:v>1109</x:v>
      </x:c>
      <x:c r="B1113" s="44" t="str">
        <x:v>Not Started</x:v>
      </x:c>
      <x:c r="C1113" s="45" t="n">
        <x:v>38287</x:v>
      </x:c>
      <x:c r="D1113" s="33" t="str">
        <x:v>Law &amp; Order</x:v>
      </x:c>
      <x:c r="E1113" s="33" t="str">
        <x:v>Law &amp; Order</x:v>
      </x:c>
      <x:c r="F1113" s="33" t="str">
        <x:v>core</x:v>
      </x:c>
      <x:c r="G1113" s="50" t="n">
        <x:v>15</x:v>
      </x:c>
      <x:c r="H1113" s="50" t="n">
        <x:v>6</x:v>
      </x:c>
      <x:c r="I1113" s="44" t="str">
        <x:v>15.06</x:v>
      </x:c>
      <x:c r="J1113" s="33" t="str">
        <x:v>Cut</x:v>
      </x:c>
      <x:c r="K1113" s="33" t="str"/>
      <x:c r="L1113" s="33" t="str"/>
      <x:c r="M1113" s="44" t="str"/>
      <x:c r="N1113" s="50" t="n">
        <x:v>45</x:v>
      </x:c>
      <x:c r="O1113" s="53" t="str">
        <x:v>When a plastic surgeon's greed and narcissism contribute to his failure to care for a patient that ultimately results in her death, Branch insists that McCoy prosecute him for criminally negligent homicide, rather than leave the matter to the civil courts, after an investigation reveals a several instances of the doctor's inattention to patient care.</x:v>
      </x:c>
      <x:c r="P1113" s="53" t="str">
        <x:v>Core Law &amp; Order franchise</x:v>
      </x:c>
      <x:c r="Q1113" s="17" t="str">
        <x:v>34385</x:v>
      </x:c>
      <x:c r="R1113" s="17" t="str">
        <x:v>tt0629225</x:v>
      </x:c>
      <x:c r="S1113" s="17" t="str">
        <x:v>703</x:v>
      </x:c>
    </x:row>
    <x:row r="1114">
      <x:c r="A1114" s="43" t="n">
        <x:v>1110</x:v>
      </x:c>
      <x:c r="B1114" s="44" t="str">
        <x:v>Not Started</x:v>
      </x:c>
      <x:c r="C1114" s="45" t="n">
        <x:v>38291</x:v>
      </x:c>
      <x:c r="D1114" s="33" t="str">
        <x:v>Law &amp; Order: Criminal Intent</x:v>
      </x:c>
      <x:c r="E1114" s="33" t="str">
        <x:v>Law &amp; Order</x:v>
      </x:c>
      <x:c r="F1114" s="33" t="str">
        <x:v>core</x:v>
      </x:c>
      <x:c r="G1114" s="50" t="n">
        <x:v>4</x:v>
      </x:c>
      <x:c r="H1114" s="50" t="n">
        <x:v>6</x:v>
      </x:c>
      <x:c r="I1114" s="44" t="str">
        <x:v>04.06</x:v>
      </x:c>
      <x:c r="J1114" s="33" t="str">
        <x:v>In the Dark</x:v>
      </x:c>
      <x:c r="K1114" s="33" t="str"/>
      <x:c r="L1114" s="33" t="str"/>
      <x:c r="M1114" s="44" t="str"/>
      <x:c r="N1114" s="50" t="n">
        <x:v>44</x:v>
      </x:c>
      <x:c r="O1114" s="53" t="str">
        <x:v>During the investigation into the deaths of several homeless people, Goren and Eames uncover a series of frauds that lead them to a woman in the early stages of dementia and the man who is willing to commit murder to demonstrate his devotion for her.</x:v>
      </x:c>
      <x:c r="P1114" s="53" t="str">
        <x:v>Core Law &amp; Order franchise</x:v>
      </x:c>
      <x:c r="Q1114" s="17" t="str">
        <x:v>341283</x:v>
      </x:c>
      <x:c r="R1114" s="17" t="str">
        <x:v>tt0629543</x:v>
      </x:c>
      <x:c r="S1114" s="17" t="str">
        <x:v>704</x:v>
      </x:c>
    </x:row>
    <x:row r="1115">
      <x:c r="A1115" s="43" t="n">
        <x:v>1111</x:v>
      </x:c>
      <x:c r="B1115" s="44" t="str">
        <x:v>Not Started</x:v>
      </x:c>
      <x:c r="C1115" s="45" t="n">
        <x:v>38298</x:v>
      </x:c>
      <x:c r="D1115" s="33" t="str">
        <x:v>Law &amp; Order: Criminal Intent</x:v>
      </x:c>
      <x:c r="E1115" s="33" t="str">
        <x:v>Law &amp; Order</x:v>
      </x:c>
      <x:c r="F1115" s="33" t="str">
        <x:v>core</x:v>
      </x:c>
      <x:c r="G1115" s="50" t="n">
        <x:v>4</x:v>
      </x:c>
      <x:c r="H1115" s="50" t="n">
        <x:v>7</x:v>
      </x:c>
      <x:c r="I1115" s="44" t="str">
        <x:v>04.07</x:v>
      </x:c>
      <x:c r="J1115" s="33" t="str">
        <x:v>Magnificat</x:v>
      </x:c>
      <x:c r="K1115" s="33" t="str"/>
      <x:c r="L1115" s="33" t="str"/>
      <x:c r="M1115" s="44" t="str"/>
      <x:c r="N1115" s="50" t="n">
        <x:v>44</x:v>
      </x:c>
      <x:c r="O1115" s="53" t="str">
        <x:v>Goren and Eames are frustrated when the law has no provision for the arrest of a man whose abusive control of his family and neglect of his severely depressed wife led her to several murder-suicide attempts which he did nothing to prevent, and eventually resulted in the deaths of three of his sons.</x:v>
      </x:c>
      <x:c r="P1115" s="53" t="str">
        <x:v>Core Law &amp; Order franchise</x:v>
      </x:c>
      <x:c r="Q1115" s="17" t="str">
        <x:v>341284</x:v>
      </x:c>
      <x:c r="R1115" s="17" t="str">
        <x:v>tt0629550</x:v>
      </x:c>
      <x:c r="S1115" s="17" t="str">
        <x:v>705</x:v>
      </x:c>
    </x:row>
    <x:row r="1116">
      <x:c r="A1116" s="43" t="n">
        <x:v>1112</x:v>
      </x:c>
      <x:c r="B1116" s="44" t="str">
        <x:v>Not Started</x:v>
      </x:c>
      <x:c r="C1116" s="45" t="n">
        <x:v>38300</x:v>
      </x:c>
      <x:c r="D1116" s="33" t="str">
        <x:v>Law &amp; Order: Special Victims Unit</x:v>
      </x:c>
      <x:c r="E1116" s="33" t="str">
        <x:v>Law &amp; Order</x:v>
      </x:c>
      <x:c r="F1116" s="33" t="str">
        <x:v>core</x:v>
      </x:c>
      <x:c r="G1116" s="50" t="n">
        <x:v>6</x:v>
      </x:c>
      <x:c r="H1116" s="50" t="n">
        <x:v>6</x:v>
      </x:c>
      <x:c r="I1116" s="44" t="str">
        <x:v>06.06</x:v>
      </x:c>
      <x:c r="J1116" s="33" t="str">
        <x:v>Conscience</x:v>
      </x:c>
      <x:c r="K1116" s="33" t="str"/>
      <x:c r="L1116" s="33" t="str"/>
      <x:c r="M1116" s="44" t="str"/>
      <x:c r="N1116" s="50" t="n">
        <x:v>44</x:v>
      </x:c>
      <x:c r="O1116" s="53" t="str">
        <x:v>The detectives and the district attorney get played first by the teenage murderer of a young boy, and then by the victim's father, who uses his professional expertise to escape punishment for avenging his son's death.</x:v>
      </x:c>
      <x:c r="P1116" s="53" t="str">
        <x:v>Core Law &amp; Order franchise</x:v>
      </x:c>
      <x:c r="Q1116" s="17" t="str">
        <x:v>225062</x:v>
      </x:c>
      <x:c r="R1116" s="17" t="str">
        <x:v>tt0629630</x:v>
      </x:c>
      <x:c r="S1116" s="17" t="str">
        <x:v>706</x:v>
      </x:c>
    </x:row>
    <x:row r="1117">
      <x:c r="A1117" s="43" t="n">
        <x:v>1113</x:v>
      </x:c>
      <x:c r="B1117" s="44" t="str">
        <x:v>Not Started</x:v>
      </x:c>
      <x:c r="C1117" s="45" t="n">
        <x:v>38301</x:v>
      </x:c>
      <x:c r="D1117" s="33" t="str">
        <x:v>Law &amp; Order</x:v>
      </x:c>
      <x:c r="E1117" s="33" t="str">
        <x:v>Law &amp; Order</x:v>
      </x:c>
      <x:c r="F1117" s="33" t="str">
        <x:v>core</x:v>
      </x:c>
      <x:c r="G1117" s="50" t="n">
        <x:v>15</x:v>
      </x:c>
      <x:c r="H1117" s="50" t="n">
        <x:v>7</x:v>
      </x:c>
      <x:c r="I1117" s="44" t="str">
        <x:v>15.07</x:v>
      </x:c>
      <x:c r="J1117" s="33" t="str">
        <x:v>Gov Love</x:v>
      </x:c>
      <x:c r="K1117" s="33" t="str"/>
      <x:c r="L1117" s="33" t="str"/>
      <x:c r="M1117" s="44" t="str"/>
      <x:c r="N1117" s="50" t="n">
        <x:v>45</x:v>
      </x:c>
      <x:c r="O1117" s="53" t="str">
        <x:v>The investigation into the death of a governor's wife uncovers a web of infidelity, greed, and corruption which forces McCoy to counter a defense based on a ground-breaking interpretation of spousal privilege.</x:v>
      </x:c>
      <x:c r="P1117" s="53" t="str">
        <x:v>Core Law &amp; Order franchise</x:v>
      </x:c>
      <x:c r="Q1117" s="17" t="str">
        <x:v>34386</x:v>
      </x:c>
      <x:c r="R1117" s="17" t="str">
        <x:v>tt0629282</x:v>
      </x:c>
      <x:c r="S1117" s="17" t="str">
        <x:v>707</x:v>
      </x:c>
    </x:row>
    <x:row r="1118">
      <x:c r="A1118" s="43" t="n">
        <x:v>1114</x:v>
      </x:c>
      <x:c r="B1118" s="44" t="str">
        <x:v>Not Started</x:v>
      </x:c>
      <x:c r="C1118" s="45" t="n">
        <x:v>38305</x:v>
      </x:c>
      <x:c r="D1118" s="33" t="str">
        <x:v>Law &amp; Order: Criminal Intent</x:v>
      </x:c>
      <x:c r="E1118" s="33" t="str">
        <x:v>Law &amp; Order</x:v>
      </x:c>
      <x:c r="F1118" s="33" t="str">
        <x:v>core</x:v>
      </x:c>
      <x:c r="G1118" s="50" t="n">
        <x:v>4</x:v>
      </x:c>
      <x:c r="H1118" s="50" t="n">
        <x:v>8</x:v>
      </x:c>
      <x:c r="I1118" s="44" t="str">
        <x:v>04.08</x:v>
      </x:c>
      <x:c r="J1118" s="33" t="str">
        <x:v>Silver Lining</x:v>
      </x:c>
      <x:c r="K1118" s="33" t="str"/>
      <x:c r="L1118" s="33" t="str"/>
      <x:c r="M1118" s="44" t="str"/>
      <x:c r="N1118" s="50" t="n">
        <x:v>44</x:v>
      </x:c>
      <x:c r="O1118" s="53" t="str">
        <x:v>A master thief who specialises in stealing antique silver from wealthy families across the country is finally captured after his pregnant wife takes desperate measures when an appraiser threatens to ruin her white-picket-fence dreams of the future.</x:v>
      </x:c>
      <x:c r="P1118" s="53" t="str">
        <x:v>Core Law &amp; Order franchise</x:v>
      </x:c>
      <x:c r="Q1118" s="17" t="str">
        <x:v>341285</x:v>
      </x:c>
      <x:c r="R1118" s="17" t="str">
        <x:v>tt0629575</x:v>
      </x:c>
      <x:c r="S1118" s="17" t="str">
        <x:v>708</x:v>
      </x:c>
    </x:row>
    <x:row r="1119">
      <x:c r="A1119" s="43" t="n">
        <x:v>1115</x:v>
      </x:c>
      <x:c r="B1119" s="44" t="str">
        <x:v>Not Started</x:v>
      </x:c>
      <x:c r="C1119" s="45" t="n">
        <x:v>38307</x:v>
      </x:c>
      <x:c r="D1119" s="33" t="str">
        <x:v>Law &amp; Order: Special Victims Unit</x:v>
      </x:c>
      <x:c r="E1119" s="33" t="str">
        <x:v>Law &amp; Order</x:v>
      </x:c>
      <x:c r="F1119" s="33" t="str">
        <x:v>core</x:v>
      </x:c>
      <x:c r="G1119" s="50" t="n">
        <x:v>6</x:v>
      </x:c>
      <x:c r="H1119" s="50" t="n">
        <x:v>7</x:v>
      </x:c>
      <x:c r="I1119" s="44" t="str">
        <x:v>06.07</x:v>
      </x:c>
      <x:c r="J1119" s="33" t="str">
        <x:v>Charisma</x:v>
      </x:c>
      <x:c r="K1119" s="33" t="str"/>
      <x:c r="L1119" s="33" t="str"/>
      <x:c r="M1119" s="44" t="str"/>
      <x:c r="N1119" s="50" t="n">
        <x:v>44</x:v>
      </x:c>
      <x:c r="O1119" s="53" t="str">
        <x:v>A career con artist, forger and thief turns to murder and serial pedophilia to populate the cult he created and to get his hands on a multi-million dollar trust fund. The detectives have trouble getting any leads because no one in the cult is saying anything, not even their names.</x:v>
      </x:c>
      <x:c r="P1119" s="53" t="str">
        <x:v>Core Law &amp; Order franchise</x:v>
      </x:c>
      <x:c r="Q1119" s="17" t="str">
        <x:v>225063</x:v>
      </x:c>
      <x:c r="R1119" s="17" t="str">
        <x:v>tt0629623</x:v>
      </x:c>
      <x:c r="S1119" s="17" t="str">
        <x:v>709</x:v>
      </x:c>
    </x:row>
    <x:row r="1120">
      <x:c r="A1120" s="43" t="n">
        <x:v>1116</x:v>
      </x:c>
      <x:c r="B1120" s="44" t="str">
        <x:v>Not Started</x:v>
      </x:c>
      <x:c r="C1120" s="45" t="n">
        <x:v>38308</x:v>
      </x:c>
      <x:c r="D1120" s="33" t="str">
        <x:v>Law &amp; Order</x:v>
      </x:c>
      <x:c r="E1120" s="33" t="str">
        <x:v>Law &amp; Order</x:v>
      </x:c>
      <x:c r="F1120" s="33" t="str">
        <x:v>core</x:v>
      </x:c>
      <x:c r="G1120" s="50" t="n">
        <x:v>15</x:v>
      </x:c>
      <x:c r="H1120" s="50" t="n">
        <x:v>8</x:v>
      </x:c>
      <x:c r="I1120" s="44" t="str">
        <x:v>15.08</x:v>
      </x:c>
      <x:c r="J1120" s="33" t="str">
        <x:v>Cry Wolf</x:v>
      </x:c>
      <x:c r="K1120" s="33" t="str"/>
      <x:c r="L1120" s="33" t="str"/>
      <x:c r="M1120" s="44" t="str"/>
      <x:c r="N1120" s="50" t="n">
        <x:v>45</x:v>
      </x:c>
      <x:c r="O1120" s="53" t="str">
        <x:v>The detectives are skeptical when a former street activist turned shock jock with a history of staging phony muggings to gain publicity for his causes appears to be the subject of an attempt on his life after publicly assailing a mobster, but they begin to believe his story after they discover that the married jock was involved with the mobster's mistress.</x:v>
      </x:c>
      <x:c r="P1120" s="53" t="str">
        <x:v>Core Law &amp; Order franchise</x:v>
      </x:c>
      <x:c r="Q1120" s="17" t="str">
        <x:v>34387</x:v>
      </x:c>
      <x:c r="R1120" s="17" t="str">
        <x:v>tt0629223</x:v>
      </x:c>
      <x:c r="S1120" s="17" t="str">
        <x:v>710</x:v>
      </x:c>
    </x:row>
    <x:row r="1121">
      <x:c r="A1121" s="43" t="n">
        <x:v>1117</x:v>
      </x:c>
      <x:c r="B1121" s="44" t="str">
        <x:v>Not Started</x:v>
      </x:c>
      <x:c r="C1121" s="45" t="n">
        <x:v>38312</x:v>
      </x:c>
      <x:c r="D1121" s="33" t="str">
        <x:v>Law &amp; Order: Criminal Intent</x:v>
      </x:c>
      <x:c r="E1121" s="33" t="str">
        <x:v>Law &amp; Order</x:v>
      </x:c>
      <x:c r="F1121" s="33" t="str">
        <x:v>core</x:v>
      </x:c>
      <x:c r="G1121" s="50" t="n">
        <x:v>4</x:v>
      </x:c>
      <x:c r="H1121" s="50" t="n">
        <x:v>9</x:v>
      </x:c>
      <x:c r="I1121" s="44" t="str">
        <x:v>04.09</x:v>
      </x:c>
      <x:c r="J1121" s="33" t="str">
        <x:v>Inert Dwarf</x:v>
      </x:c>
      <x:c r="K1121" s="33" t="str"/>
      <x:c r="L1121" s="33" t="str"/>
      <x:c r="M1121" s="44" t="str"/>
      <x:c r="N1121" s="50" t="n">
        <x:v>44</x:v>
      </x:c>
      <x:c r="O1121" s="53" t="str">
        <x:v>A world-renowned physicist resorts to murder to avoid being humiliated by his failure to prove a controversial theory of quantum physics that he has spent his career espousing.</x:v>
      </x:c>
      <x:c r="P1121" s="53" t="str">
        <x:v>Core Law &amp; Order franchise</x:v>
      </x:c>
      <x:c r="Q1121" s="17" t="str">
        <x:v>341286</x:v>
      </x:c>
      <x:c r="R1121" s="17" t="str">
        <x:v>tt0629546</x:v>
      </x:c>
      <x:c r="S1121" s="17" t="str">
        <x:v>711</x:v>
      </x:c>
    </x:row>
    <x:row r="1122">
      <x:c r="A1122" s="43" t="n">
        <x:v>1118</x:v>
      </x:c>
      <x:c r="B1122" s="44" t="str">
        <x:v>Not Started</x:v>
      </x:c>
      <x:c r="C1122" s="45" t="n">
        <x:v>38314</x:v>
      </x:c>
      <x:c r="D1122" s="33" t="str">
        <x:v>Law &amp; Order: Special Victims Unit</x:v>
      </x:c>
      <x:c r="E1122" s="33" t="str">
        <x:v>Law &amp; Order</x:v>
      </x:c>
      <x:c r="F1122" s="33" t="str">
        <x:v>core</x:v>
      </x:c>
      <x:c r="G1122" s="50" t="n">
        <x:v>6</x:v>
      </x:c>
      <x:c r="H1122" s="50" t="n">
        <x:v>8</x:v>
      </x:c>
      <x:c r="I1122" s="44" t="str">
        <x:v>06.08</x:v>
      </x:c>
      <x:c r="J1122" s="33" t="str">
        <x:v>Doubt</x:v>
      </x:c>
      <x:c r="K1122" s="33" t="str"/>
      <x:c r="L1122" s="33" t="str"/>
      <x:c r="M1122" s="44" t="str"/>
      <x:c r="N1122" s="50" t="n">
        <x:v>43</x:v>
      </x:c>
      <x:c r="O1122" s="53" t="str">
        <x:v>When a college student claims rape and her professor claims it was consensual sex, Stabler and Benson find themselves in the middle of a he said, she said battle, trying to decide whether to believe the alleged victim, or the alleged perpetrator who claimed she liked it rough. Benson sides with Myra, the victim, whereas Stabler finds himself wondering if Polikoff is telling the truth about being innocent, especially after Myra falsely accuses Stabler of touching her inappropriately. After giving more thought to the situation, Benson and Stabler each wonder if the other is right. Stabler has bigger problems on his hands, though, as Myra's attorney reveals that Kathy has moved out and taken the children.</x:v>
      </x:c>
      <x:c r="P1122" s="53" t="str">
        <x:v>Core Law &amp; Order franchise</x:v>
      </x:c>
      <x:c r="Q1122" s="17" t="str">
        <x:v>225064</x:v>
      </x:c>
      <x:c r="R1122" s="17" t="str">
        <x:v>tt0629649</x:v>
      </x:c>
      <x:c r="S1122" s="17" t="str">
        <x:v>712</x:v>
      </x:c>
    </x:row>
    <x:row r="1123">
      <x:c r="A1123" s="43" t="n">
        <x:v>1119</x:v>
      </x:c>
      <x:c r="B1123" s="44" t="str">
        <x:v>Not Started</x:v>
      </x:c>
      <x:c r="C1123" s="45" t="n">
        <x:v>38315</x:v>
      </x:c>
      <x:c r="D1123" s="33" t="str">
        <x:v>Law &amp; Order</x:v>
      </x:c>
      <x:c r="E1123" s="33" t="str">
        <x:v>Law &amp; Order</x:v>
      </x:c>
      <x:c r="F1123" s="33" t="str">
        <x:v>core</x:v>
      </x:c>
      <x:c r="G1123" s="50" t="n">
        <x:v>15</x:v>
      </x:c>
      <x:c r="H1123" s="50" t="n">
        <x:v>9</x:v>
      </x:c>
      <x:c r="I1123" s="44" t="str">
        <x:v>15.09</x:v>
      </x:c>
      <x:c r="J1123" s="33" t="str">
        <x:v>All in the Family</x:v>
      </x:c>
      <x:c r="K1123" s="33" t="str"/>
      <x:c r="L1123" s="33" t="str"/>
      <x:c r="M1123" s="44" t="str"/>
      <x:c r="N1123" s="50" t="n">
        <x:v>45</x:v>
      </x:c>
      <x:c r="O1123" s="53" t="str">
        <x:v>When the investigation into the contract killing of a jeweler uncovers his plan to roll over on his Russian mob connections to a federal prosecutor, as well as an unhappy wife whom he refused to divorce, McCoy must determine who financed the hit.</x:v>
      </x:c>
      <x:c r="P1123" s="53" t="str">
        <x:v>Core Law &amp; Order franchise</x:v>
      </x:c>
      <x:c r="Q1123" s="17" t="str">
        <x:v>34388</x:v>
      </x:c>
      <x:c r="R1123" s="17" t="str">
        <x:v>tt0629152</x:v>
      </x:c>
      <x:c r="S1123" s="17" t="str">
        <x:v>713</x:v>
      </x:c>
    </x:row>
    <x:row r="1124">
      <x:c r="A1124" s="43" t="n">
        <x:v>1120</x:v>
      </x:c>
      <x:c r="B1124" s="44" t="str">
        <x:v>Not Started</x:v>
      </x:c>
      <x:c r="C1124" s="45" t="n">
        <x:v>38321</x:v>
      </x:c>
      <x:c r="D1124" s="33" t="str">
        <x:v>Law &amp; Order: Special Victims Unit</x:v>
      </x:c>
      <x:c r="E1124" s="33" t="str">
        <x:v>Law &amp; Order</x:v>
      </x:c>
      <x:c r="F1124" s="33" t="str">
        <x:v>core</x:v>
      </x:c>
      <x:c r="G1124" s="50" t="n">
        <x:v>6</x:v>
      </x:c>
      <x:c r="H1124" s="50" t="n">
        <x:v>9</x:v>
      </x:c>
      <x:c r="I1124" s="44" t="str">
        <x:v>06.09</x:v>
      </x:c>
      <x:c r="J1124" s="33" t="str">
        <x:v>Weak</x:v>
      </x:c>
      <x:c r="K1124" s="33" t="str"/>
      <x:c r="L1124" s="33" t="str"/>
      <x:c r="M1124" s="44" t="str"/>
      <x:c r="N1124" s="50" t="n">
        <x:v>44</x:v>
      </x:c>
      <x:c r="O1124" s="53" t="str">
        <x:v>After arguing with Benson about their personal lives, Stabler enlists the help of a former cop turned psychiatrist in apprehending a serial rapist and murderer who attacks disabled women.</x:v>
      </x:c>
      <x:c r="P1124" s="53" t="str">
        <x:v>Core Law &amp; Order franchise</x:v>
      </x:c>
      <x:c r="Q1124" s="17" t="str">
        <x:v>225065</x:v>
      </x:c>
      <x:c r="R1124" s="17" t="str">
        <x:v>tt0629755</x:v>
      </x:c>
      <x:c r="S1124" s="17" t="str">
        <x:v>714</x:v>
      </x:c>
    </x:row>
    <x:row r="1125">
      <x:c r="A1125" s="43" t="n">
        <x:v>1121</x:v>
      </x:c>
      <x:c r="B1125" s="44" t="str">
        <x:v>Not Started</x:v>
      </x:c>
      <x:c r="C1125" s="45" t="n">
        <x:v>38322</x:v>
      </x:c>
      <x:c r="D1125" s="33" t="str">
        <x:v>Law &amp; Order</x:v>
      </x:c>
      <x:c r="E1125" s="33" t="str">
        <x:v>Law &amp; Order</x:v>
      </x:c>
      <x:c r="F1125" s="33" t="str">
        <x:v>core</x:v>
      </x:c>
      <x:c r="G1125" s="50" t="n">
        <x:v>15</x:v>
      </x:c>
      <x:c r="H1125" s="50" t="n">
        <x:v>10</x:v>
      </x:c>
      <x:c r="I1125" s="44" t="str">
        <x:v>15.10</x:v>
      </x:c>
      <x:c r="J1125" s="33" t="str">
        <x:v>Enemy</x:v>
      </x:c>
      <x:c r="K1125" s="33" t="str"/>
      <x:c r="L1125" s="33" t="str"/>
      <x:c r="M1125" s="44" t="str"/>
      <x:c r="N1125" s="50" t="n">
        <x:v>45</x:v>
      </x:c>
      <x:c r="O1125" s="53" t="str">
        <x:v>The prosecution of a drug trafficker responsible for a stash house massacre is hampered when McCoy discovers that the defendant claims diplomatic immunity, and has been working as an undercover operative aiding the U.S. military in Afghanistan.</x:v>
      </x:c>
      <x:c r="P1125" s="53" t="str">
        <x:v>Core Law &amp; Order franchise</x:v>
      </x:c>
      <x:c r="Q1125" s="17" t="str">
        <x:v>34389</x:v>
      </x:c>
      <x:c r="R1125" s="17" t="str">
        <x:v>tt0629251</x:v>
      </x:c>
      <x:c r="S1125" s="17" t="str">
        <x:v>715</x:v>
      </x:c>
    </x:row>
    <x:row r="1126">
      <x:c r="A1126" s="43" t="n">
        <x:v>1122</x:v>
      </x:c>
      <x:c r="B1126" s="44" t="str">
        <x:v>Not Started</x:v>
      </x:c>
      <x:c r="C1126" s="45" t="n">
        <x:v>38325</x:v>
      </x:c>
      <x:c r="D1126" s="33" t="str">
        <x:v>L.A. Dragnet</x:v>
      </x:c>
      <x:c r="E1126" s="33" t="str">
        <x:v>Wolf Adjacent</x:v>
      </x:c>
      <x:c r="F1126" s="33" t="str">
        <x:v>adjacent</x:v>
      </x:c>
      <x:c r="G1126" s="50" t="n">
        <x:v>2</x:v>
      </x:c>
      <x:c r="H1126" s="50" t="n">
        <x:v>9</x:v>
      </x:c>
      <x:c r="I1126" s="44" t="str">
        <x:v>02.09</x:v>
      </x:c>
      <x:c r="J1126" s="33" t="str">
        <x:v>Riddance</x:v>
      </x:c>
      <x:c r="K1126" s="33" t="str"/>
      <x:c r="L1126" s="33" t="str"/>
      <x:c r="M1126" s="44" t="str"/>
      <x:c r="N1126" s="50" t="n">
        <x:v>41</x:v>
      </x:c>
      <x:c r="O1126" s="53" t="str">
        <x:v>The deaths of an artist an his girlfriend leads the detectives to a case of poisoned drugs. when they arrest the dealer they have to prevent more people from dying and find the man who made the drugs.</x:v>
      </x:c>
      <x:c r="P1126" s="53" t="str">
        <x:v>2003 Dick Wolf-created Dragnet revival; kept separate from the 1950s Dragnet.</x:v>
      </x:c>
      <x:c r="Q1126" s="17" t="str">
        <x:v>909254</x:v>
      </x:c>
      <x:c r="R1126" s="17" t="str"/>
      <x:c r="S1126" s="17" t="str"/>
    </x:row>
    <x:row r="1127">
      <x:c r="A1127" s="43" t="n">
        <x:v>1123</x:v>
      </x:c>
      <x:c r="B1127" s="44" t="str">
        <x:v>Not Started</x:v>
      </x:c>
      <x:c r="C1127" s="45" t="n">
        <x:v>38325</x:v>
      </x:c>
      <x:c r="D1127" s="33" t="str">
        <x:v>L.A. Dragnet</x:v>
      </x:c>
      <x:c r="E1127" s="33" t="str">
        <x:v>Wolf Adjacent</x:v>
      </x:c>
      <x:c r="F1127" s="33" t="str">
        <x:v>adjacent</x:v>
      </x:c>
      <x:c r="G1127" s="50" t="n">
        <x:v>2</x:v>
      </x:c>
      <x:c r="H1127" s="50" t="n">
        <x:v>10</x:v>
      </x:c>
      <x:c r="I1127" s="44" t="str">
        <x:v>02.10</x:v>
      </x:c>
      <x:c r="J1127" s="33" t="str">
        <x:v>Killing Field</x:v>
      </x:c>
      <x:c r="K1127" s="33" t="str"/>
      <x:c r="L1127" s="33" t="str"/>
      <x:c r="M1127" s="44" t="str"/>
      <x:c r="N1127" s="50" t="n">
        <x:v>41</x:v>
      </x:c>
      <x:c r="O1127" s="53" t="str">
        <x:v>When a man is arrested for shoplift, using a missing person's car, police finds in the car the belongings of two other missing people. While in custody the suspect kills himself. Soon after, the detectives find in his house not only torture elements and videos but also human bones and several graves. One of the videos indicates that there was an accomplice.</x:v>
      </x:c>
      <x:c r="P1127" s="53" t="str">
        <x:v>2003 Dick Wolf-created Dragnet revival; kept separate from the 1950s Dragnet.</x:v>
      </x:c>
      <x:c r="Q1127" s="17" t="str">
        <x:v>909255</x:v>
      </x:c>
      <x:c r="R1127" s="17" t="str"/>
      <x:c r="S1127" s="17" t="str"/>
    </x:row>
    <x:row r="1128">
      <x:c r="A1128" s="43" t="n">
        <x:v>1124</x:v>
      </x:c>
      <x:c r="B1128" s="44" t="str">
        <x:v>Not Started</x:v>
      </x:c>
      <x:c r="C1128" s="45" t="n">
        <x:v>38328</x:v>
      </x:c>
      <x:c r="D1128" s="33" t="str">
        <x:v>Law &amp; Order: Special Victims Unit</x:v>
      </x:c>
      <x:c r="E1128" s="33" t="str">
        <x:v>Law &amp; Order</x:v>
      </x:c>
      <x:c r="F1128" s="33" t="str">
        <x:v>core</x:v>
      </x:c>
      <x:c r="G1128" s="50" t="n">
        <x:v>6</x:v>
      </x:c>
      <x:c r="H1128" s="50" t="n">
        <x:v>10</x:v>
      </x:c>
      <x:c r="I1128" s="44" t="str">
        <x:v>06.10</x:v>
      </x:c>
      <x:c r="J1128" s="33" t="str">
        <x:v>Haunted</x:v>
      </x:c>
      <x:c r="K1128" s="33" t="str"/>
      <x:c r="L1128" s="33" t="str"/>
      <x:c r="M1128" s="44" t="str"/>
      <x:c r="N1128" s="50" t="n">
        <x:v>42</x:v>
      </x:c>
      <x:c r="O1128" s="53" t="str">
        <x:v>Fin is reunited with his own son as he risks his life to save two small children, one caught in the middle of a bodega robbery and the other from the junkie who set the child's mother up for murder and then stole him to use as a front in her scheme to boost materials for her meth lab.</x:v>
      </x:c>
      <x:c r="P1128" s="53" t="str">
        <x:v>Core Law &amp; Order franchise</x:v>
      </x:c>
      <x:c r="Q1128" s="17" t="str">
        <x:v>225066</x:v>
      </x:c>
      <x:c r="R1128" s="17" t="str">
        <x:v>tt0629664</x:v>
      </x:c>
      <x:c r="S1128" s="17" t="str">
        <x:v>716</x:v>
      </x:c>
    </x:row>
    <x:row r="1129">
      <x:c r="A1129" s="43" t="n">
        <x:v>1125</x:v>
      </x:c>
      <x:c r="B1129" s="44" t="str">
        <x:v>Not Started</x:v>
      </x:c>
      <x:c r="C1129" s="45" t="n">
        <x:v>38329</x:v>
      </x:c>
      <x:c r="D1129" s="33" t="str">
        <x:v>Law &amp; Order</x:v>
      </x:c>
      <x:c r="E1129" s="33" t="str">
        <x:v>Law &amp; Order</x:v>
      </x:c>
      <x:c r="F1129" s="33" t="str">
        <x:v>core</x:v>
      </x:c>
      <x:c r="G1129" s="50" t="n">
        <x:v>15</x:v>
      </x:c>
      <x:c r="H1129" s="50" t="n">
        <x:v>11</x:v>
      </x:c>
      <x:c r="I1129" s="44" t="str">
        <x:v>15.11</x:v>
      </x:c>
      <x:c r="J1129" s="33" t="str">
        <x:v>Fixed</x:v>
      </x:c>
      <x:c r="K1129" s="33" t="str"/>
      <x:c r="L1129" s="33" t="str"/>
      <x:c r="M1129" s="44" t="str"/>
      <x:c r="N1129" s="50" t="n">
        <x:v>45</x:v>
      </x:c>
      <x:c r="O1129" s="53" t="str">
        <x:v>When a paroled child murderer is run down, the investigation leads to a terrified social worker and an experimental prison therapy program.</x:v>
      </x:c>
      <x:c r="P1129" s="53" t="str">
        <x:v>Core Law &amp; Order franchise</x:v>
      </x:c>
      <x:c r="Q1129" s="17" t="str">
        <x:v>34390</x:v>
      </x:c>
      <x:c r="R1129" s="17" t="str">
        <x:v>tt0629264</x:v>
      </x:c>
      <x:c r="S1129" s="17" t="str">
        <x:v>717</x:v>
      </x:c>
    </x:row>
    <x:row r="1130">
      <x:c r="A1130" s="43" t="n">
        <x:v>1126</x:v>
      </x:c>
      <x:c r="B1130" s="44" t="str">
        <x:v>Not Started</x:v>
      </x:c>
      <x:c r="C1130" s="45" t="n">
        <x:v>38354</x:v>
      </x:c>
      <x:c r="D1130" s="33" t="str">
        <x:v>Law &amp; Order: Criminal Intent</x:v>
      </x:c>
      <x:c r="E1130" s="33" t="str">
        <x:v>Law &amp; Order</x:v>
      </x:c>
      <x:c r="F1130" s="33" t="str">
        <x:v>core</x:v>
      </x:c>
      <x:c r="G1130" s="50" t="n">
        <x:v>4</x:v>
      </x:c>
      <x:c r="H1130" s="50" t="n">
        <x:v>10</x:v>
      </x:c>
      <x:c r="I1130" s="44" t="str">
        <x:v>04.10</x:v>
      </x:c>
      <x:c r="J1130" s="33" t="str">
        <x:v>View from up Here</x:v>
      </x:c>
      <x:c r="K1130" s="33" t="str"/>
      <x:c r="L1130" s="33" t="str"/>
      <x:c r="M1130" s="44" t="str"/>
      <x:c r="N1130" s="50" t="n">
        <x:v>44</x:v>
      </x:c>
      <x:c r="O1130" s="53" t="str">
        <x:v>A nanny confesses to a murder and an attempted murder that she claims God told her to commit. The link is that both victims lived in the same building, which was poorly constructed, and were rumored to be having an affair.</x:v>
      </x:c>
      <x:c r="P1130" s="53" t="str">
        <x:v>Core Law &amp; Order franchise</x:v>
      </x:c>
      <x:c r="Q1130" s="17" t="str">
        <x:v>341287</x:v>
      </x:c>
      <x:c r="R1130" s="17" t="str">
        <x:v>tt0629599</x:v>
      </x:c>
      <x:c r="S1130" s="17" t="str">
        <x:v>718</x:v>
      </x:c>
    </x:row>
    <x:row r="1131">
      <x:c r="A1131" s="43" t="n">
        <x:v>1127</x:v>
      </x:c>
      <x:c r="B1131" s="44" t="str">
        <x:v>Not Started</x:v>
      </x:c>
      <x:c r="C1131" s="45" t="n">
        <x:v>38357</x:v>
      </x:c>
      <x:c r="D1131" s="33" t="str">
        <x:v>Law &amp; Order</x:v>
      </x:c>
      <x:c r="E1131" s="33" t="str">
        <x:v>Law &amp; Order</x:v>
      </x:c>
      <x:c r="F1131" s="33" t="str">
        <x:v>core</x:v>
      </x:c>
      <x:c r="G1131" s="50" t="n">
        <x:v>15</x:v>
      </x:c>
      <x:c r="H1131" s="50" t="n">
        <x:v>12</x:v>
      </x:c>
      <x:c r="I1131" s="44" t="str">
        <x:v>15.12</x:v>
      </x:c>
      <x:c r="J1131" s="33" t="str">
        <x:v>Mammon</x:v>
      </x:c>
      <x:c r="K1131" s="33" t="str"/>
      <x:c r="L1131" s="33" t="str"/>
      <x:c r="M1131" s="44" t="str"/>
      <x:c r="N1131" s="50" t="n">
        <x:v>45</x:v>
      </x:c>
      <x:c r="O1131" s="53" t="str">
        <x:v>The investigation into the murder of a wealthy husband leads to the uncovering of a conspiracy involving infidelity and greed and leads to one defendant attempting to evade justice by killing the other.</x:v>
      </x:c>
      <x:c r="P1131" s="53" t="str">
        <x:v>Core Law &amp; Order franchise</x:v>
      </x:c>
      <x:c r="Q1131" s="17" t="str">
        <x:v>34391</x:v>
      </x:c>
      <x:c r="R1131" s="17" t="str">
        <x:v>tt0629333</x:v>
      </x:c>
      <x:c r="S1131" s="17" t="str">
        <x:v>719</x:v>
      </x:c>
    </x:row>
    <x:row r="1132">
      <x:c r="A1132" s="43" t="n">
        <x:v>1128</x:v>
      </x:c>
      <x:c r="B1132" s="44" t="str">
        <x:v>Not Started</x:v>
      </x:c>
      <x:c r="C1132" s="45" t="n">
        <x:v>38361</x:v>
      </x:c>
      <x:c r="D1132" s="33" t="str">
        <x:v>Law &amp; Order: Criminal Intent</x:v>
      </x:c>
      <x:c r="E1132" s="33" t="str">
        <x:v>Law &amp; Order</x:v>
      </x:c>
      <x:c r="F1132" s="33" t="str">
        <x:v>core</x:v>
      </x:c>
      <x:c r="G1132" s="50" t="n">
        <x:v>4</x:v>
      </x:c>
      <x:c r="H1132" s="50" t="n">
        <x:v>11</x:v>
      </x:c>
      <x:c r="I1132" s="44" t="str">
        <x:v>04.11</x:v>
      </x:c>
      <x:c r="J1132" s="33" t="str">
        <x:v>Gone</x:v>
      </x:c>
      <x:c r="K1132" s="33" t="str"/>
      <x:c r="L1132" s="33" t="str"/>
      <x:c r="M1132" s="44" t="str"/>
      <x:c r="N1132" s="50" t="n">
        <x:v>44</x:v>
      </x:c>
      <x:c r="O1132" s="53" t="str">
        <x:v>Goren matches wits with a one-time chess prodigy who has become a fugitive when the body of a young woman is found tossed in the trash.</x:v>
      </x:c>
      <x:c r="P1132" s="53" t="str">
        <x:v>Core Law &amp; Order franchise</x:v>
      </x:c>
      <x:c r="Q1132" s="17" t="str">
        <x:v>341288</x:v>
      </x:c>
      <x:c r="R1132" s="17" t="str">
        <x:v>tt0629536</x:v>
      </x:c>
      <x:c r="S1132" s="17" t="str">
        <x:v>720</x:v>
      </x:c>
    </x:row>
    <x:row r="1133">
      <x:c r="A1133" s="43" t="n">
        <x:v>1129</x:v>
      </x:c>
      <x:c r="B1133" s="44" t="str">
        <x:v>Not Started</x:v>
      </x:c>
      <x:c r="C1133" s="45" t="n">
        <x:v>38363</x:v>
      </x:c>
      <x:c r="D1133" s="33" t="str">
        <x:v>Law &amp; Order: Special Victims Unit</x:v>
      </x:c>
      <x:c r="E1133" s="33" t="str">
        <x:v>Law &amp; Order</x:v>
      </x:c>
      <x:c r="F1133" s="33" t="str">
        <x:v>core</x:v>
      </x:c>
      <x:c r="G1133" s="50" t="n">
        <x:v>6</x:v>
      </x:c>
      <x:c r="H1133" s="50" t="n">
        <x:v>11</x:v>
      </x:c>
      <x:c r="I1133" s="44" t="str">
        <x:v>06.11</x:v>
      </x:c>
      <x:c r="J1133" s="33" t="str">
        <x:v>Contagious</x:v>
      </x:c>
      <x:c r="K1133" s="33" t="str"/>
      <x:c r="L1133" s="33" t="str"/>
      <x:c r="M1133" s="44" t="str"/>
      <x:c r="N1133" s="50" t="n">
        <x:v>43</x:v>
      </x:c>
      <x:c r="O1133" s="53" t="str">
        <x:v>After a car accident a nine-year-old girl is examined and it's found she's been sexually abused. Out of fear and desperation, the girl blames her soccer coach for molesting her. Soon a slew of other girls claim they also have been raped by the same coach. During the investigation, Benson has to try keeping Stabler from falling apart as his wife has left him.</x:v>
      </x:c>
      <x:c r="P1133" s="53" t="str">
        <x:v>Core Law &amp; Order franchise</x:v>
      </x:c>
      <x:c r="Q1133" s="17" t="str">
        <x:v>225067</x:v>
      </x:c>
      <x:c r="R1133" s="17" t="str">
        <x:v>tt0629633</x:v>
      </x:c>
      <x:c r="S1133" s="17" t="str">
        <x:v>721</x:v>
      </x:c>
    </x:row>
    <x:row r="1134">
      <x:c r="A1134" s="43" t="n">
        <x:v>1130</x:v>
      </x:c>
      <x:c r="B1134" s="44" t="str">
        <x:v>Not Started</x:v>
      </x:c>
      <x:c r="C1134" s="45" t="n">
        <x:v>38364</x:v>
      </x:c>
      <x:c r="D1134" s="33" t="str">
        <x:v>Law &amp; Order</x:v>
      </x:c>
      <x:c r="E1134" s="33" t="str">
        <x:v>Law &amp; Order</x:v>
      </x:c>
      <x:c r="F1134" s="33" t="str">
        <x:v>core</x:v>
      </x:c>
      <x:c r="G1134" s="50" t="n">
        <x:v>15</x:v>
      </x:c>
      <x:c r="H1134" s="50" t="n">
        <x:v>13</x:v>
      </x:c>
      <x:c r="I1134" s="44" t="str">
        <x:v>15.13</x:v>
      </x:c>
      <x:c r="J1134" s="33" t="str">
        <x:v>Ain't No Love</x:v>
      </x:c>
      <x:c r="K1134" s="33" t="str"/>
      <x:c r="L1134" s="33" t="str"/>
      <x:c r="M1134" s="44" t="str"/>
      <x:c r="N1134" s="50" t="n">
        <x:v>45</x:v>
      </x:c>
      <x:c r="O1134" s="53" t="str">
        <x:v>When a rap producer is found shot to death in his studio, detectives focus on his protege, whose demos link him and a friend to a second murder. As the investigation unfolds, Southerlyn's opinions put her sharply at odds with both McCoy and Branch.</x:v>
      </x:c>
      <x:c r="P1134" s="53" t="str">
        <x:v>Core Law &amp; Order franchise</x:v>
      </x:c>
      <x:c r="Q1134" s="17" t="str">
        <x:v>34392</x:v>
      </x:c>
      <x:c r="R1134" s="17" t="str">
        <x:v>tt0629150</x:v>
      </x:c>
      <x:c r="S1134" s="17" t="str">
        <x:v>722</x:v>
      </x:c>
    </x:row>
    <x:row r="1135">
      <x:c r="A1135" s="43" t="n">
        <x:v>1131</x:v>
      </x:c>
      <x:c r="B1135" s="44" t="str">
        <x:v>Not Started</x:v>
      </x:c>
      <x:c r="C1135" s="45" t="n">
        <x:v>38370</x:v>
      </x:c>
      <x:c r="D1135" s="33" t="str">
        <x:v>Law &amp; Order: Special Victims Unit</x:v>
      </x:c>
      <x:c r="E1135" s="33" t="str">
        <x:v>Law &amp; Order</x:v>
      </x:c>
      <x:c r="F1135" s="33" t="str">
        <x:v>core</x:v>
      </x:c>
      <x:c r="G1135" s="50" t="n">
        <x:v>6</x:v>
      </x:c>
      <x:c r="H1135" s="50" t="n">
        <x:v>12</x:v>
      </x:c>
      <x:c r="I1135" s="44" t="str">
        <x:v>06.12</x:v>
      </x:c>
      <x:c r="J1135" s="33" t="str">
        <x:v>Identity</x:v>
      </x:c>
      <x:c r="K1135" s="33" t="str"/>
      <x:c r="L1135" s="33" t="str"/>
      <x:c r="M1135" s="44" t="str"/>
      <x:c r="N1135" s="50" t="n">
        <x:v>43</x:v>
      </x:c>
      <x:c r="O1135" s="53" t="str">
        <x:v>Complications ensue in the investigation of a Stone Cold Assassins gangbanger who fell off a building after the victim that he tried to rape bit him in self-defense when the vic's twin sister cops to the crime, seemingly impossible due to the evidence until the secrets regarding the sister's true genetic identity are revealed.</x:v>
      </x:c>
      <x:c r="P1135" s="53" t="str">
        <x:v>Core Law &amp; Order franchise</x:v>
      </x:c>
      <x:c r="Q1135" s="17" t="str">
        <x:v>225068</x:v>
      </x:c>
      <x:c r="R1135" s="17" t="str">
        <x:v>tt0629670</x:v>
      </x:c>
      <x:c r="S1135" s="17" t="str">
        <x:v>723</x:v>
      </x:c>
    </x:row>
    <x:row r="1136">
      <x:c r="A1136" s="43" t="n">
        <x:v>1132</x:v>
      </x:c>
      <x:c r="B1136" s="44" t="str">
        <x:v>Not Started</x:v>
      </x:c>
      <x:c r="C1136" s="45" t="n">
        <x:v>38371</x:v>
      </x:c>
      <x:c r="D1136" s="33" t="str">
        <x:v>Law &amp; Order</x:v>
      </x:c>
      <x:c r="E1136" s="33" t="str">
        <x:v>Law &amp; Order</x:v>
      </x:c>
      <x:c r="F1136" s="33" t="str">
        <x:v>core</x:v>
      </x:c>
      <x:c r="G1136" s="50" t="n">
        <x:v>15</x:v>
      </x:c>
      <x:c r="H1136" s="50" t="n">
        <x:v>14</x:v>
      </x:c>
      <x:c r="I1136" s="44" t="str">
        <x:v>15.14</x:v>
      </x:c>
      <x:c r="J1136" s="33" t="str">
        <x:v>Fluency</x:v>
      </x:c>
      <x:c r="K1136" s="33" t="str"/>
      <x:c r="L1136" s="33" t="str"/>
      <x:c r="M1136" s="44" t="str"/>
      <x:c r="N1136" s="50" t="n">
        <x:v>45</x:v>
      </x:c>
      <x:c r="O1136" s="53" t="str">
        <x:v>Fontana and Green are baffled by a series of flu-related deaths until they discover that the victims were given fake vaccine. McCoy goes after the con man who distributed the vaccine for murder.</x:v>
      </x:c>
      <x:c r="P1136" s="53" t="str">
        <x:v>Core Law &amp; Order franchise</x:v>
      </x:c>
      <x:c r="Q1136" s="17" t="str">
        <x:v>34393</x:v>
      </x:c>
      <x:c r="R1136" s="17" t="str">
        <x:v>tt0629268</x:v>
      </x:c>
      <x:c r="S1136" s="17" t="str">
        <x:v>724</x:v>
      </x:c>
    </x:row>
    <x:row r="1137">
      <x:c r="A1137" s="43" t="n">
        <x:v>1133</x:v>
      </x:c>
      <x:c r="B1137" s="44" t="str">
        <x:v>Not Started</x:v>
      </x:c>
      <x:c r="C1137" s="45" t="n">
        <x:v>38377</x:v>
      </x:c>
      <x:c r="D1137" s="33" t="str">
        <x:v>Law &amp; Order: Special Victims Unit</x:v>
      </x:c>
      <x:c r="E1137" s="33" t="str">
        <x:v>Law &amp; Order</x:v>
      </x:c>
      <x:c r="F1137" s="33" t="str">
        <x:v>core</x:v>
      </x:c>
      <x:c r="G1137" s="50" t="n">
        <x:v>6</x:v>
      </x:c>
      <x:c r="H1137" s="50" t="n">
        <x:v>13</x:v>
      </x:c>
      <x:c r="I1137" s="44" t="str">
        <x:v>06.13</x:v>
      </x:c>
      <x:c r="J1137" s="33" t="str">
        <x:v>Quarry</x:v>
      </x:c>
      <x:c r="K1137" s="33" t="str"/>
      <x:c r="L1137" s="33" t="str"/>
      <x:c r="M1137" s="44" t="str"/>
      <x:c r="N1137" s="50" t="n">
        <x:v>44</x:v>
      </x:c>
      <x:c r="O1137" s="53" t="str">
        <x:v>When the body of a seven-year-old child is found, the squad again begins to investigate convicted serial killer Lucas Biggs, believing that he molested and murdered the boy. While Biggs can detail every child he ever molested, he swears that he has no memory of this one. Further investigations show that there is another suspect, but before he can be picked up, someone picks him off.</x:v>
      </x:c>
      <x:c r="P1137" s="53" t="str">
        <x:v>Core Law &amp; Order franchise</x:v>
      </x:c>
      <x:c r="Q1137" s="17" t="str">
        <x:v>225069</x:v>
      </x:c>
      <x:c r="R1137" s="17" t="str">
        <x:v>tt0629710</x:v>
      </x:c>
      <x:c r="S1137" s="17" t="str">
        <x:v>725</x:v>
      </x:c>
    </x:row>
    <x:row r="1138">
      <x:c r="A1138" s="43" t="n">
        <x:v>1134</x:v>
      </x:c>
      <x:c r="B1138" s="44" t="str">
        <x:v>Not Started</x:v>
      </x:c>
      <x:c r="C1138" s="45" t="n">
        <x:v>38382</x:v>
      </x:c>
      <x:c r="D1138" s="33" t="str">
        <x:v>Law &amp; Order: Criminal Intent</x:v>
      </x:c>
      <x:c r="E1138" s="33" t="str">
        <x:v>Law &amp; Order</x:v>
      </x:c>
      <x:c r="F1138" s="33" t="str">
        <x:v>core</x:v>
      </x:c>
      <x:c r="G1138" s="50" t="n">
        <x:v>4</x:v>
      </x:c>
      <x:c r="H1138" s="50" t="n">
        <x:v>12</x:v>
      </x:c>
      <x:c r="I1138" s="44" t="str">
        <x:v>04.12</x:v>
      </x:c>
      <x:c r="J1138" s="33" t="str">
        <x:v>Collective</x:v>
      </x:c>
      <x:c r="K1138" s="33" t="str"/>
      <x:c r="L1138" s="33" t="str"/>
      <x:c r="M1138" s="44" t="str"/>
      <x:c r="N1138" s="50" t="n">
        <x:v>44</x:v>
      </x:c>
      <x:c r="O1138" s="53" t="str">
        <x:v>A woman con artist who hounded fantasy conventions is found dead, and the reason can only be discovered in the stifling confines of the small literary fandom her latest victim belonged to.</x:v>
      </x:c>
      <x:c r="P1138" s="53" t="str">
        <x:v>Core Law &amp; Order franchise</x:v>
      </x:c>
      <x:c r="Q1138" s="17" t="str">
        <x:v>341289</x:v>
      </x:c>
      <x:c r="R1138" s="17" t="str">
        <x:v>tt0629517</x:v>
      </x:c>
      <x:c r="S1138" s="17" t="str">
        <x:v>726</x:v>
      </x:c>
    </x:row>
    <x:row r="1139">
      <x:c r="A1139" s="43" t="n">
        <x:v>1135</x:v>
      </x:c>
      <x:c r="B1139" s="44" t="str">
        <x:v>Not Started</x:v>
      </x:c>
      <x:c r="C1139" s="45" t="n">
        <x:v>38391</x:v>
      </x:c>
      <x:c r="D1139" s="33" t="str">
        <x:v>Law &amp; Order: Special Victims Unit</x:v>
      </x:c>
      <x:c r="E1139" s="33" t="str">
        <x:v>Law &amp; Order</x:v>
      </x:c>
      <x:c r="F1139" s="33" t="str">
        <x:v>core</x:v>
      </x:c>
      <x:c r="G1139" s="50" t="n">
        <x:v>6</x:v>
      </x:c>
      <x:c r="H1139" s="50" t="n">
        <x:v>14</x:v>
      </x:c>
      <x:c r="I1139" s="44" t="str">
        <x:v>06.14</x:v>
      </x:c>
      <x:c r="J1139" s="33" t="str">
        <x:v>Game</x:v>
      </x:c>
      <x:c r="K1139" s="33" t="str"/>
      <x:c r="L1139" s="33" t="str"/>
      <x:c r="M1139" s="44" t="str"/>
      <x:c r="N1139" s="50" t="n">
        <x:v>44</x:v>
      </x:c>
      <x:c r="O1139" s="53" t="str">
        <x:v>The squad is at a loss on what to do with a violent homicide when Stabler's son points out that the event is straight out of a video game. Interviewing the game's creators leads them to a former employee, who then leads them (with a few other steps along the way) to a teenage couple who claim to be unable to distinguish fantasy from reality.</x:v>
      </x:c>
      <x:c r="P1139" s="53" t="str">
        <x:v>Core Law &amp; Order franchise</x:v>
      </x:c>
      <x:c r="Q1139" s="17" t="str">
        <x:v>225070</x:v>
      </x:c>
      <x:c r="R1139" s="17" t="str">
        <x:v>tt0629657</x:v>
      </x:c>
      <x:c r="S1139" s="17" t="str">
        <x:v>727</x:v>
      </x:c>
    </x:row>
    <x:row r="1140">
      <x:c r="A1140" s="43" t="n">
        <x:v>1136</x:v>
      </x:c>
      <x:c r="B1140" s="44" t="str">
        <x:v>Not Started</x:v>
      </x:c>
      <x:c r="C1140" s="45" t="n">
        <x:v>38392</x:v>
      </x:c>
      <x:c r="D1140" s="33" t="str">
        <x:v>Law &amp; Order</x:v>
      </x:c>
      <x:c r="E1140" s="33" t="str">
        <x:v>Law &amp; Order</x:v>
      </x:c>
      <x:c r="F1140" s="33" t="str">
        <x:v>core</x:v>
      </x:c>
      <x:c r="G1140" s="50" t="n">
        <x:v>15</x:v>
      </x:c>
      <x:c r="H1140" s="50" t="n">
        <x:v>15</x:v>
      </x:c>
      <x:c r="I1140" s="44" t="str">
        <x:v>15.15</x:v>
      </x:c>
      <x:c r="J1140" s="33" t="str">
        <x:v>Obsession</x:v>
      </x:c>
      <x:c r="K1140" s="33" t="str"/>
      <x:c r="L1140" s="33" t="str"/>
      <x:c r="M1140" s="44" t="str"/>
      <x:c r="N1140" s="50" t="n">
        <x:v>45</x:v>
      </x:c>
      <x:c r="O1140" s="53" t="str">
        <x:v>A conservative talk show host involved in a sexual harassment scandal is murdered, but the trail leads to the victim's wife and an obsessed stalker.</x:v>
      </x:c>
      <x:c r="P1140" s="53" t="str">
        <x:v>Core Law &amp; Order franchise</x:v>
      </x:c>
      <x:c r="Q1140" s="17" t="str">
        <x:v>34394</x:v>
      </x:c>
      <x:c r="R1140" s="17" t="str">
        <x:v>tt0629358</x:v>
      </x:c>
      <x:c r="S1140" s="17" t="str">
        <x:v>728</x:v>
      </x:c>
    </x:row>
    <x:row r="1141">
      <x:c r="A1141" s="43" t="n">
        <x:v>1137</x:v>
      </x:c>
      <x:c r="B1141" s="44" t="str">
        <x:v>Not Started</x:v>
      </x:c>
      <x:c r="C1141" s="45" t="n">
        <x:v>38396</x:v>
      </x:c>
      <x:c r="D1141" s="33" t="str">
        <x:v>Law &amp; Order: Criminal Intent</x:v>
      </x:c>
      <x:c r="E1141" s="33" t="str">
        <x:v>Law &amp; Order</x:v>
      </x:c>
      <x:c r="F1141" s="33" t="str">
        <x:v>core</x:v>
      </x:c>
      <x:c r="G1141" s="50" t="n">
        <x:v>4</x:v>
      </x:c>
      <x:c r="H1141" s="50" t="n">
        <x:v>13</x:v>
      </x:c>
      <x:c r="I1141" s="44" t="str">
        <x:v>04.13</x:v>
      </x:c>
      <x:c r="J1141" s="33" t="str">
        <x:v>Stress Position</x:v>
      </x:c>
      <x:c r="K1141" s="33" t="str"/>
      <x:c r="L1141" s="33" t="str"/>
      <x:c r="M1141" s="44" t="str"/>
      <x:c r="N1141" s="50" t="n">
        <x:v>44</x:v>
      </x:c>
      <x:c r="O1141" s="53" t="str">
        <x:v>When a prison guard is murdered, Eames and Goren investigate, only to discover they've riled the feathers of Mike Logan, a Staten Island police officer who happens to be dating the nurse at the prison. Logan joins the duo to find out exactly what is happening at the prison.</x:v>
      </x:c>
      <x:c r="P1141" s="53" t="str">
        <x:v>Core Law &amp; Order franchise</x:v>
      </x:c>
      <x:c r="Q1141" s="17" t="str">
        <x:v>341290</x:v>
      </x:c>
      <x:c r="R1141" s="17" t="str">
        <x:v>tt0629580</x:v>
      </x:c>
      <x:c r="S1141" s="17" t="str">
        <x:v>729</x:v>
      </x:c>
    </x:row>
    <x:row r="1142">
      <x:c r="A1142" s="43" t="n">
        <x:v>1138</x:v>
      </x:c>
      <x:c r="B1142" s="44" t="str">
        <x:v>Not Started</x:v>
      </x:c>
      <x:c r="C1142" s="45" t="n">
        <x:v>38398</x:v>
      </x:c>
      <x:c r="D1142" s="33" t="str">
        <x:v>Law &amp; Order: Special Victims Unit</x:v>
      </x:c>
      <x:c r="E1142" s="33" t="str">
        <x:v>Law &amp; Order</x:v>
      </x:c>
      <x:c r="F1142" s="33" t="str">
        <x:v>core</x:v>
      </x:c>
      <x:c r="G1142" s="50" t="n">
        <x:v>6</x:v>
      </x:c>
      <x:c r="H1142" s="50" t="n">
        <x:v>15</x:v>
      </x:c>
      <x:c r="I1142" s="44" t="str">
        <x:v>06.15</x:v>
      </x:c>
      <x:c r="J1142" s="33" t="str">
        <x:v>Hooked</x:v>
      </x:c>
      <x:c r="K1142" s="33" t="str"/>
      <x:c r="L1142" s="33" t="str"/>
      <x:c r="M1142" s="44" t="str"/>
      <x:c r="N1142" s="50" t="n">
        <x:v>43</x:v>
      </x:c>
      <x:c r="O1142" s="53" t="str">
        <x:v>When the body of a teenager is found with her older cousin's I.D., Benson and Stabler investigate only to learn that that the teen had been part of a group who had 'hooked up' online. As their investigation intensified, they realised that the victim was the object of an older man's obsession, but before they can arrest him he also turns up dead.</x:v>
      </x:c>
      <x:c r="P1142" s="53" t="str">
        <x:v>Core Law &amp; Order franchise</x:v>
      </x:c>
      <x:c r="Q1142" s="17" t="str">
        <x:v>225071</x:v>
      </x:c>
      <x:c r="R1142" s="17" t="str">
        <x:v>tt0629668</x:v>
      </x:c>
      <x:c r="S1142" s="17" t="str">
        <x:v>730</x:v>
      </x:c>
    </x:row>
    <x:row r="1143">
      <x:c r="A1143" s="43" t="n">
        <x:v>1139</x:v>
      </x:c>
      <x:c r="B1143" s="44" t="str">
        <x:v>Not Started</x:v>
      </x:c>
      <x:c r="C1143" s="45" t="n">
        <x:v>38399</x:v>
      </x:c>
      <x:c r="D1143" s="33" t="str">
        <x:v>Law &amp; Order</x:v>
      </x:c>
      <x:c r="E1143" s="33" t="str">
        <x:v>Law &amp; Order</x:v>
      </x:c>
      <x:c r="F1143" s="33" t="str">
        <x:v>core</x:v>
      </x:c>
      <x:c r="G1143" s="50" t="n">
        <x:v>15</x:v>
      </x:c>
      <x:c r="H1143" s="50" t="n">
        <x:v>16</x:v>
      </x:c>
      <x:c r="I1143" s="44" t="str">
        <x:v>15.16</x:v>
      </x:c>
      <x:c r="J1143" s="33" t="str">
        <x:v>The Sixth Man</x:v>
      </x:c>
      <x:c r="K1143" s="33" t="str"/>
      <x:c r="L1143" s="33" t="str"/>
      <x:c r="M1143" s="44" t="str"/>
      <x:c r="N1143" s="50" t="n">
        <x:v>45</x:v>
      </x:c>
      <x:c r="O1143" s="53" t="str">
        <x:v>McCoy prosecutes a famous basketball star accused of murdering a man who was suing him because of a massive brawl between players and fans.</x:v>
      </x:c>
      <x:c r="P1143" s="53" t="str">
        <x:v>Core Law &amp; Order franchise</x:v>
      </x:c>
      <x:c r="Q1143" s="17" t="str">
        <x:v>34395</x:v>
      </x:c>
      <x:c r="R1143" s="17" t="str">
        <x:v>tt0629462</x:v>
      </x:c>
      <x:c r="S1143" s="17" t="str">
        <x:v>731</x:v>
      </x:c>
    </x:row>
    <x:row r="1144">
      <x:c r="A1144" s="43" t="n">
        <x:v>1140</x:v>
      </x:c>
      <x:c r="B1144" s="44" t="str">
        <x:v>Not Started</x:v>
      </x:c>
      <x:c r="C1144" s="45" t="n">
        <x:v>38403</x:v>
      </x:c>
      <x:c r="D1144" s="33" t="str">
        <x:v>Law &amp; Order: Criminal Intent</x:v>
      </x:c>
      <x:c r="E1144" s="33" t="str">
        <x:v>Law &amp; Order</x:v>
      </x:c>
      <x:c r="F1144" s="33" t="str">
        <x:v>core</x:v>
      </x:c>
      <x:c r="G1144" s="50" t="n">
        <x:v>4</x:v>
      </x:c>
      <x:c r="H1144" s="50" t="n">
        <x:v>14</x:v>
      </x:c>
      <x:c r="I1144" s="44" t="str">
        <x:v>04.14</x:v>
      </x:c>
      <x:c r="J1144" s="33" t="str">
        <x:v>Sex Club</x:v>
      </x:c>
      <x:c r="K1144" s="33" t="str"/>
      <x:c r="L1144" s="33" t="str"/>
      <x:c r="M1144" s="44" t="str"/>
      <x:c r="N1144" s="50" t="n">
        <x:v>44</x:v>
      </x:c>
      <x:c r="O1144" s="53" t="str">
        <x:v>When Goren and Eames investigate the death of the new owner of a "little black book" once belonging to legendary playboy George Merritt, they uncover the marital indiscretions of a U.S. Senatorial candidate involving sex clubs.</x:v>
      </x:c>
      <x:c r="P1144" s="53" t="str">
        <x:v>Core Law &amp; Order franchise</x:v>
      </x:c>
      <x:c r="Q1144" s="17" t="str">
        <x:v>341291</x:v>
      </x:c>
      <x:c r="R1144" s="17" t="str">
        <x:v>tt0629571</x:v>
      </x:c>
      <x:c r="S1144" s="17" t="str">
        <x:v>732</x:v>
      </x:c>
    </x:row>
    <x:row r="1145">
      <x:c r="A1145" s="43" t="n">
        <x:v>1141</x:v>
      </x:c>
      <x:c r="B1145" s="44" t="str">
        <x:v>Not Started</x:v>
      </x:c>
      <x:c r="C1145" s="45" t="n">
        <x:v>38405</x:v>
      </x:c>
      <x:c r="D1145" s="33" t="str">
        <x:v>Law &amp; Order: Special Victims Unit</x:v>
      </x:c>
      <x:c r="E1145" s="33" t="str">
        <x:v>Law &amp; Order</x:v>
      </x:c>
      <x:c r="F1145" s="33" t="str">
        <x:v>core</x:v>
      </x:c>
      <x:c r="G1145" s="50" t="n">
        <x:v>6</x:v>
      </x:c>
      <x:c r="H1145" s="50" t="n">
        <x:v>16</x:v>
      </x:c>
      <x:c r="I1145" s="44" t="str">
        <x:v>06.16</x:v>
      </x:c>
      <x:c r="J1145" s="33" t="str">
        <x:v>Ghost</x:v>
      </x:c>
      <x:c r="K1145" s="33" t="str"/>
      <x:c r="L1145" s="33" t="str"/>
      <x:c r="M1145" s="44" t="str"/>
      <x:c r="N1145" s="50" t="n">
        <x:v>43</x:v>
      </x:c>
      <x:c r="O1145" s="53" t="str">
        <x:v>When a wealthy couple is found dead in their home, Benson and Stabler soon realise that their deaths are connected to a drug smuggling ring. Eventually the road leads back to the same drug dealers who forced a former assistant district attorney into hiding, and Alex Cabot comes home to face her enemies.</x:v>
      </x:c>
      <x:c r="P1145" s="53" t="str">
        <x:v>Core Law &amp; Order franchise</x:v>
      </x:c>
      <x:c r="Q1145" s="17" t="str">
        <x:v>225072</x:v>
      </x:c>
      <x:c r="R1145" s="17" t="str">
        <x:v>tt0629658</x:v>
      </x:c>
      <x:c r="S1145" s="17" t="str">
        <x:v>733</x:v>
      </x:c>
    </x:row>
    <x:row r="1146">
      <x:c r="A1146" s="43" t="n">
        <x:v>1142</x:v>
      </x:c>
      <x:c r="B1146" s="44" t="str">
        <x:v>Not Started</x:v>
      </x:c>
      <x:c r="C1146" s="45" t="n">
        <x:v>38406</x:v>
      </x:c>
      <x:c r="D1146" s="33" t="str">
        <x:v>Law &amp; Order</x:v>
      </x:c>
      <x:c r="E1146" s="33" t="str">
        <x:v>Law &amp; Order</x:v>
      </x:c>
      <x:c r="F1146" s="33" t="str">
        <x:v>core</x:v>
      </x:c>
      <x:c r="G1146" s="50" t="n">
        <x:v>15</x:v>
      </x:c>
      <x:c r="H1146" s="50" t="n">
        <x:v>17</x:v>
      </x:c>
      <x:c r="I1146" s="44" t="str">
        <x:v>15.17</x:v>
      </x:c>
      <x:c r="J1146" s="33" t="str">
        <x:v>License to Kill</x:v>
      </x:c>
      <x:c r="K1146" s="33" t="str"/>
      <x:c r="L1146" s="33" t="str"/>
      <x:c r="M1146" s="44" t="str"/>
      <x:c r="N1146" s="50" t="n">
        <x:v>45</x:v>
      </x:c>
      <x:c r="O1146" s="53" t="str">
        <x:v>The investigation into a fatal traffic accident leads Fontana and Green to a slaughtered hunting party in the woods and an unknown man who may have been pursuing vigilante justice.</x:v>
      </x:c>
      <x:c r="P1146" s="53" t="str">
        <x:v>Core Law &amp; Order franchise</x:v>
      </x:c>
      <x:c r="Q1146" s="17" t="str">
        <x:v>34396</x:v>
      </x:c>
      <x:c r="R1146" s="17" t="str">
        <x:v>tt0629327</x:v>
      </x:c>
      <x:c r="S1146" s="17" t="str">
        <x:v>734</x:v>
      </x:c>
    </x:row>
    <x:row r="1147">
      <x:c r="A1147" s="43" t="n">
        <x:v>1143</x:v>
      </x:c>
      <x:c r="B1147" s="44" t="str">
        <x:v>Not Started</x:v>
      </x:c>
      <x:c r="C1147" s="45" t="n">
        <x:v>38412</x:v>
      </x:c>
      <x:c r="D1147" s="33" t="str">
        <x:v>Law &amp; Order: Special Victims Unit</x:v>
      </x:c>
      <x:c r="E1147" s="33" t="str">
        <x:v>Law &amp; Order</x:v>
      </x:c>
      <x:c r="F1147" s="33" t="str">
        <x:v>core</x:v>
      </x:c>
      <x:c r="G1147" s="50" t="n">
        <x:v>6</x:v>
      </x:c>
      <x:c r="H1147" s="50" t="n">
        <x:v>17</x:v>
      </x:c>
      <x:c r="I1147" s="44" t="str">
        <x:v>06.17</x:v>
      </x:c>
      <x:c r="J1147" s="33" t="str">
        <x:v>Rage</x:v>
      </x:c>
      <x:c r="K1147" s="33" t="str"/>
      <x:c r="L1147" s="33" t="str"/>
      <x:c r="M1147" s="44" t="str"/>
      <x:c r="N1147" s="50" t="n">
        <x:v>43</x:v>
      </x:c>
      <x:c r="O1147" s="53" t="str">
        <x:v>Fourteen years ago, Stabler had a chance to nail Gordon Rickett for the abduction, rape and murder of Dana MacNamara, but Rickett managed to get off. With the recent discovery of the body of Kerry Lynn Palmer, Stabler has another chance at cracking the case. They can only hold Rickett for twenty-four hours, but are able to glean enough information during that time period to at least have a place to start. Cragen and Benson both worry that Stabler will let his hatred for the suspected child molester interfere with his ability to do his job.</x:v>
      </x:c>
      <x:c r="P1147" s="53" t="str">
        <x:v>Core Law &amp; Order franchise</x:v>
      </x:c>
      <x:c r="Q1147" s="17" t="str">
        <x:v>225073</x:v>
      </x:c>
      <x:c r="R1147" s="17" t="str">
        <x:v>tt0629711</x:v>
      </x:c>
      <x:c r="S1147" s="17" t="str">
        <x:v>735</x:v>
      </x:c>
    </x:row>
    <x:row r="1148">
      <x:c r="A1148" s="43" t="n">
        <x:v>1144</x:v>
      </x:c>
      <x:c r="B1148" s="44" t="str">
        <x:v>Not Started</x:v>
      </x:c>
      <x:c r="C1148" s="45" t="n">
        <x:v>38413</x:v>
      </x:c>
      <x:c r="D1148" s="33" t="str">
        <x:v>Law &amp; Order</x:v>
      </x:c>
      <x:c r="E1148" s="33" t="str">
        <x:v>Law &amp; Order</x:v>
      </x:c>
      <x:c r="F1148" s="33" t="str">
        <x:v>core</x:v>
      </x:c>
      <x:c r="G1148" s="50" t="n">
        <x:v>15</x:v>
      </x:c>
      <x:c r="H1148" s="50" t="n">
        <x:v>18</x:v>
      </x:c>
      <x:c r="I1148" s="44" t="str">
        <x:v>15.18</x:v>
      </x:c>
      <x:c r="J1148" s="33" t="str">
        <x:v>Dining Out</x:v>
      </x:c>
      <x:c r="K1148" s="33" t="str"/>
      <x:c r="L1148" s="33" t="str"/>
      <x:c r="M1148" s="44" t="str"/>
      <x:c r="N1148" s="50" t="n">
        <x:v>45</x:v>
      </x:c>
      <x:c r="O1148" s="53" t="str">
        <x:v>When a TV network executive is found murdered, Detectives Fontana and Green suspect a pair of twins who were stealing from the organization until they discover a celebrity chef with whom the married victim shared an affair. The nimble and charming chef is adroit at cultivating relationships with judges and juries alike, but prosecutor McCoy intends to reveal that the suspect's cooking show was about to be cancelled by his late lover.</x:v>
      </x:c>
      <x:c r="P1148" s="53" t="str">
        <x:v>Core Law &amp; Order franchise</x:v>
      </x:c>
      <x:c r="Q1148" s="17" t="str">
        <x:v>34397</x:v>
      </x:c>
      <x:c r="R1148" s="17" t="str">
        <x:v>tt0629237</x:v>
      </x:c>
      <x:c r="S1148" s="17" t="str">
        <x:v>736</x:v>
      </x:c>
    </x:row>
    <x:row r="1149">
      <x:c r="A1149" s="43" t="n">
        <x:v>1145</x:v>
      </x:c>
      <x:c r="B1149" s="44" t="str">
        <x:v>Not Started</x:v>
      </x:c>
      <x:c r="C1149" s="45" t="n">
        <x:v>38414</x:v>
      </x:c>
      <x:c r="D1149" s="33" t="str">
        <x:v>Law &amp; Order: Trial by Jury</x:v>
      </x:c>
      <x:c r="E1149" s="33" t="str">
        <x:v>Law &amp; Order</x:v>
      </x:c>
      <x:c r="F1149" s="33" t="str">
        <x:v>core</x:v>
      </x:c>
      <x:c r="G1149" s="50" t="n">
        <x:v>1</x:v>
      </x:c>
      <x:c r="H1149" s="50" t="n">
        <x:v>1</x:v>
      </x:c>
      <x:c r="I1149" s="44" t="str">
        <x:v>01.01</x:v>
      </x:c>
      <x:c r="J1149" s="33" t="str">
        <x:v>The Abominable Showman</x:v>
      </x:c>
      <x:c r="K1149" s="33" t="str"/>
      <x:c r="L1149" s="33" t="str"/>
      <x:c r="M1149" s="44" t="str"/>
      <x:c r="N1149" s="50" t="n">
        <x:v>42</x:v>
      </x:c>
      <x:c r="O1149" s="53" t="str">
        <x:v>Tough New York Assistant D.A. Tracey Kibre tackles the murder of an aspiring Broadway actress but has little evidence to prosecute the suspect – an acclaimed but arrogant theater producer who smugly knows that the police have found no blood or even a body.</x:v>
      </x:c>
      <x:c r="P1149" s="53" t="str">
        <x:v>Core Law &amp; Order franchise</x:v>
      </x:c>
      <x:c r="Q1149" s="17" t="str">
        <x:v>255202</x:v>
      </x:c>
      <x:c r="R1149" s="17" t="str">
        <x:v>tt0629767</x:v>
      </x:c>
      <x:c r="S1149" s="17" t="str">
        <x:v>737</x:v>
      </x:c>
    </x:row>
    <x:row r="1150">
      <x:c r="A1150" s="43" t="n">
        <x:v>1146</x:v>
      </x:c>
      <x:c r="B1150" s="44" t="str">
        <x:v>Not Started</x:v>
      </x:c>
      <x:c r="C1150" s="45" t="n">
        <x:v>38415</x:v>
      </x:c>
      <x:c r="D1150" s="33" t="str">
        <x:v>Law &amp; Order: Trial by Jury</x:v>
      </x:c>
      <x:c r="E1150" s="33" t="str">
        <x:v>Law &amp; Order</x:v>
      </x:c>
      <x:c r="F1150" s="33" t="str">
        <x:v>core</x:v>
      </x:c>
      <x:c r="G1150" s="50" t="n">
        <x:v>1</x:v>
      </x:c>
      <x:c r="H1150" s="50" t="n">
        <x:v>2</x:v>
      </x:c>
      <x:c r="I1150" s="44" t="str">
        <x:v>01.02</x:v>
      </x:c>
      <x:c r="J1150" s="33" t="str">
        <x:v>41 Shots</x:v>
      </x:c>
      <x:c r="K1150" s="33" t="str"/>
      <x:c r="L1150" s="33" t="str"/>
      <x:c r="M1150" s="44" t="str"/>
      <x:c r="N1150" s="50" t="n">
        <x:v>42</x:v>
      </x:c>
      <x:c r="O1150" s="53" t="str">
        <x:v>Kibre and Gaffney must prosecute an accused cop killer, who was shot by the police 41 times.</x:v>
      </x:c>
      <x:c r="P1150" s="53" t="str">
        <x:v>Core Law &amp; Order franchise</x:v>
      </x:c>
      <x:c r="Q1150" s="17" t="str">
        <x:v>255203</x:v>
      </x:c>
      <x:c r="R1150" s="17" t="str">
        <x:v>tt0629758</x:v>
      </x:c>
      <x:c r="S1150" s="17" t="str">
        <x:v>738</x:v>
      </x:c>
    </x:row>
    <x:row r="1151">
      <x:c r="A1151" s="43" t="n">
        <x:v>1147</x:v>
      </x:c>
      <x:c r="B1151" s="44" t="str">
        <x:v>Not Started</x:v>
      </x:c>
      <x:c r="C1151" s="45" t="n">
        <x:v>38419</x:v>
      </x:c>
      <x:c r="D1151" s="33" t="str">
        <x:v>Law &amp; Order: Special Victims Unit</x:v>
      </x:c>
      <x:c r="E1151" s="33" t="str">
        <x:v>Law &amp; Order</x:v>
      </x:c>
      <x:c r="F1151" s="33" t="str">
        <x:v>core</x:v>
      </x:c>
      <x:c r="G1151" s="50" t="n">
        <x:v>6</x:v>
      </x:c>
      <x:c r="H1151" s="50" t="n">
        <x:v>18</x:v>
      </x:c>
      <x:c r="I1151" s="44" t="str">
        <x:v>06.18</x:v>
      </x:c>
      <x:c r="J1151" s="33" t="str">
        <x:v>Pure</x:v>
      </x:c>
      <x:c r="K1151" s="33" t="str"/>
      <x:c r="L1151" s="33" t="str"/>
      <x:c r="M1151" s="44" t="str"/>
      <x:c r="N1151" s="50" t="n">
        <x:v>43</x:v>
      </x:c>
      <x:c r="O1151" s="53" t="str">
        <x:v>After an 18-year-old girl is kidnapped, psychic Sebastian Ballentine comes forward claiming to have information on the killings. Stabler refuses to believe that Ballentine is a real psychic, and is convinced that the hints he is dropping about the case indicate he is somehow involved.</x:v>
      </x:c>
      <x:c r="P1151" s="53" t="str">
        <x:v>Core Law &amp; Order franchise</x:v>
      </x:c>
      <x:c r="Q1151" s="17" t="str">
        <x:v>225074</x:v>
      </x:c>
      <x:c r="R1151" s="17" t="str">
        <x:v>tt0629709</x:v>
      </x:c>
      <x:c r="S1151" s="17" t="str">
        <x:v>739</x:v>
      </x:c>
    </x:row>
    <x:row r="1152">
      <x:c r="A1152" s="43" t="n">
        <x:v>1148</x:v>
      </x:c>
      <x:c r="B1152" s="44" t="str">
        <x:v>Not Started</x:v>
      </x:c>
      <x:c r="C1152" s="45" t="n">
        <x:v>38422</x:v>
      </x:c>
      <x:c r="D1152" s="33" t="str">
        <x:v>Law &amp; Order: Trial by Jury</x:v>
      </x:c>
      <x:c r="E1152" s="33" t="str">
        <x:v>Law &amp; Order</x:v>
      </x:c>
      <x:c r="F1152" s="33" t="str">
        <x:v>core</x:v>
      </x:c>
      <x:c r="G1152" s="50" t="n">
        <x:v>1</x:v>
      </x:c>
      <x:c r="H1152" s="50" t="n">
        <x:v>3</x:v>
      </x:c>
      <x:c r="I1152" s="44" t="str">
        <x:v>01.03</x:v>
      </x:c>
      <x:c r="J1152" s="33" t="str">
        <x:v>Vigilante</x:v>
      </x:c>
      <x:c r="K1152" s="33" t="str"/>
      <x:c r="L1152" s="33" t="str"/>
      <x:c r="M1152" s="44" t="str"/>
      <x:c r="N1152" s="50" t="n">
        <x:v>42</x:v>
      </x:c>
      <x:c r="O1152" s="53" t="str">
        <x:v>Kibre and Gaffney take on the job of prosecuting a man who is suspected of killing a pedophile, whom was recently paroled from prison.</x:v>
      </x:c>
      <x:c r="P1152" s="53" t="str">
        <x:v>Core Law &amp; Order franchise</x:v>
      </x:c>
      <x:c r="Q1152" s="17" t="str">
        <x:v>255204</x:v>
      </x:c>
      <x:c r="R1152" s="17" t="str">
        <x:v>tt0629770</x:v>
      </x:c>
      <x:c r="S1152" s="17" t="str">
        <x:v>740</x:v>
      </x:c>
    </x:row>
    <x:row r="1153">
      <x:c r="A1153" s="43" t="n">
        <x:v>1149</x:v>
      </x:c>
      <x:c r="B1153" s="44" t="str">
        <x:v>Not Started</x:v>
      </x:c>
      <x:c r="C1153" s="45" t="n">
        <x:v>38424</x:v>
      </x:c>
      <x:c r="D1153" s="33" t="str">
        <x:v>Law &amp; Order: Criminal Intent</x:v>
      </x:c>
      <x:c r="E1153" s="33" t="str">
        <x:v>Law &amp; Order</x:v>
      </x:c>
      <x:c r="F1153" s="33" t="str">
        <x:v>core</x:v>
      </x:c>
      <x:c r="G1153" s="50" t="n">
        <x:v>4</x:v>
      </x:c>
      <x:c r="H1153" s="50" t="n">
        <x:v>15</x:v>
      </x:c>
      <x:c r="I1153" s="44" t="str">
        <x:v>04.15</x:v>
      </x:c>
      <x:c r="J1153" s="33" t="str">
        <x:v>Death Roe</x:v>
      </x:c>
      <x:c r="K1153" s="33" t="str"/>
      <x:c r="L1153" s="33" t="str"/>
      <x:c r="M1153" s="44" t="str"/>
      <x:c r="N1153" s="50" t="n">
        <x:v>44</x:v>
      </x:c>
      <x:c r="O1153" s="53" t="str">
        <x:v>After a food critic is found beaten to death, Goren and Eames turn their suspicion to the chef at the last restaurant she visited. Unfortunately, Joshua Mailer has also gone missing, and their investigation then turns to his father-in-law, the owner and head chef of another very popular restaurant in the city. An off-the-cuff comment tips Goren off to the fact that not all is well in the Onorato household.</x:v>
      </x:c>
      <x:c r="P1153" s="53" t="str">
        <x:v>Core Law &amp; Order franchise</x:v>
      </x:c>
      <x:c r="Q1153" s="17" t="str">
        <x:v>341292</x:v>
      </x:c>
      <x:c r="R1153" s="17" t="str">
        <x:v>tt0629525</x:v>
      </x:c>
      <x:c r="S1153" s="17" t="str">
        <x:v>741</x:v>
      </x:c>
    </x:row>
    <x:row r="1154">
      <x:c r="A1154" s="43" t="n">
        <x:v>1150</x:v>
      </x:c>
      <x:c r="B1154" s="44" t="str">
        <x:v>Not Started</x:v>
      </x:c>
      <x:c r="C1154" s="45" t="n">
        <x:v>38429</x:v>
      </x:c>
      <x:c r="D1154" s="33" t="str">
        <x:v>Law &amp; Order: Trial by Jury</x:v>
      </x:c>
      <x:c r="E1154" s="33" t="str">
        <x:v>Law &amp; Order</x:v>
      </x:c>
      <x:c r="F1154" s="33" t="str">
        <x:v>core</x:v>
      </x:c>
      <x:c r="G1154" s="50" t="n">
        <x:v>1</x:v>
      </x:c>
      <x:c r="H1154" s="50" t="n">
        <x:v>4</x:v>
      </x:c>
      <x:c r="I1154" s="44" t="str">
        <x:v>01.04</x:v>
      </x:c>
      <x:c r="J1154" s="33" t="str">
        <x:v>Truth or Consequences</x:v>
      </x:c>
      <x:c r="K1154" s="33" t="str"/>
      <x:c r="L1154" s="33" t="str"/>
      <x:c r="M1154" s="44" t="str"/>
      <x:c r="N1154" s="50" t="n">
        <x:v>42</x:v>
      </x:c>
      <x:c r="O1154" s="53" t="str">
        <x:v>Kibre must prosecute three boys, who implicate each other in a rape and murder, only she can't decide who is telling the truth.</x:v>
      </x:c>
      <x:c r="P1154" s="53" t="str">
        <x:v>Core Law &amp; Order franchise</x:v>
      </x:c>
      <x:c r="Q1154" s="17" t="str">
        <x:v>255205</x:v>
      </x:c>
      <x:c r="R1154" s="17" t="str">
        <x:v>tt0629769</x:v>
      </x:c>
      <x:c r="S1154" s="17" t="str">
        <x:v>742</x:v>
      </x:c>
    </x:row>
    <x:row r="1155">
      <x:c r="A1155" s="43" t="n">
        <x:v>1151</x:v>
      </x:c>
      <x:c r="B1155" s="44" t="str">
        <x:v>Not Started</x:v>
      </x:c>
      <x:c r="C1155" s="45" t="n">
        <x:v>38431</x:v>
      </x:c>
      <x:c r="D1155" s="33" t="str">
        <x:v>Law &amp; Order: Criminal Intent</x:v>
      </x:c>
      <x:c r="E1155" s="33" t="str">
        <x:v>Law &amp; Order</x:v>
      </x:c>
      <x:c r="F1155" s="33" t="str">
        <x:v>core</x:v>
      </x:c>
      <x:c r="G1155" s="50" t="n">
        <x:v>4</x:v>
      </x:c>
      <x:c r="H1155" s="50" t="n">
        <x:v>16</x:v>
      </x:c>
      <x:c r="I1155" s="44" t="str">
        <x:v>04.16</x:v>
      </x:c>
      <x:c r="J1155" s="33" t="str">
        <x:v>Ex Stasis</x:v>
      </x:c>
      <x:c r="K1155" s="33" t="str"/>
      <x:c r="L1155" s="33" t="str"/>
      <x:c r="M1155" s="44" t="str"/>
      <x:c r="N1155" s="50" t="n">
        <x:v>44</x:v>
      </x:c>
      <x:c r="O1155" s="53" t="str">
        <x:v>When a young woman is shot at an appointment she never should have been at, Goren and Eames investigate her death and learn she had received a kidney transplant a few years earlier. Initially they believe that Vanessa Nikos may have been killed so that her organs could be harvested, but soon learn that her death was more closely connected with the organ she initially received from living donor Boyce Wainwright. When her shooter, also awaiting an organ transplant, is also found dead, the police realise they're on to something.</x:v>
      </x:c>
      <x:c r="P1155" s="53" t="str">
        <x:v>Core Law &amp; Order franchise</x:v>
      </x:c>
      <x:c r="Q1155" s="17" t="str">
        <x:v>341293</x:v>
      </x:c>
      <x:c r="R1155" s="17" t="str">
        <x:v>tt0629530</x:v>
      </x:c>
      <x:c r="S1155" s="17" t="str">
        <x:v>743</x:v>
      </x:c>
    </x:row>
    <x:row r="1156">
      <x:c r="A1156" s="43" t="n">
        <x:v>1152</x:v>
      </x:c>
      <x:c r="B1156" s="44" t="str">
        <x:v>Not Started</x:v>
      </x:c>
      <x:c r="C1156" s="45" t="n">
        <x:v>38436</x:v>
      </x:c>
      <x:c r="D1156" s="33" t="str">
        <x:v>Law &amp; Order: Trial by Jury</x:v>
      </x:c>
      <x:c r="E1156" s="33" t="str">
        <x:v>Law &amp; Order</x:v>
      </x:c>
      <x:c r="F1156" s="33" t="str">
        <x:v>core</x:v>
      </x:c>
      <x:c r="G1156" s="50" t="n">
        <x:v>1</x:v>
      </x:c>
      <x:c r="H1156" s="50" t="n">
        <x:v>5</x:v>
      </x:c>
      <x:c r="I1156" s="44" t="str">
        <x:v>01.05</x:v>
      </x:c>
      <x:c r="J1156" s="33" t="str">
        <x:v>Baby Boom</x:v>
      </x:c>
      <x:c r="K1156" s="33" t="str"/>
      <x:c r="L1156" s="33" t="str"/>
      <x:c r="M1156" s="44" t="str"/>
      <x:c r="N1156" s="50" t="n">
        <x:v>42</x:v>
      </x:c>
      <x:c r="O1156" s="53" t="str">
        <x:v>Kibre and Gaffney must prosecute a nanny accused of killing the baby she was caring for by causing shaken baby syndrome. The only problem is they receive a judge who favors the defense since he was a former legal aid attorney.</x:v>
      </x:c>
      <x:c r="P1156" s="53" t="str">
        <x:v>Core Law &amp; Order franchise</x:v>
      </x:c>
      <x:c r="Q1156" s="17" t="str">
        <x:v>255206</x:v>
      </x:c>
      <x:c r="R1156" s="17" t="str">
        <x:v>tt0629759</x:v>
      </x:c>
      <x:c r="S1156" s="17" t="str">
        <x:v>744</x:v>
      </x:c>
    </x:row>
    <x:row r="1157">
      <x:c r="A1157" s="43" t="n">
        <x:v>1153</x:v>
      </x:c>
      <x:c r="B1157" s="44" t="str">
        <x:v>Not Started</x:v>
      </x:c>
      <x:c r="C1157" s="45" t="n">
        <x:v>38438</x:v>
      </x:c>
      <x:c r="D1157" s="33" t="str">
        <x:v>Law &amp; Order: Criminal Intent</x:v>
      </x:c>
      <x:c r="E1157" s="33" t="str">
        <x:v>Law &amp; Order</x:v>
      </x:c>
      <x:c r="F1157" s="33" t="str">
        <x:v>core</x:v>
      </x:c>
      <x:c r="G1157" s="50" t="n">
        <x:v>4</x:v>
      </x:c>
      <x:c r="H1157" s="50" t="n">
        <x:v>17</x:v>
      </x:c>
      <x:c r="I1157" s="44" t="str">
        <x:v>04.17</x:v>
      </x:c>
      <x:c r="J1157" s="33" t="str">
        <x:v>Shibboleth</x:v>
      </x:c>
      <x:c r="K1157" s="33" t="str"/>
      <x:c r="L1157" s="33" t="str"/>
      <x:c r="M1157" s="44" t="str"/>
      <x:c r="N1157" s="50" t="n">
        <x:v>44</x:v>
      </x:c>
      <x:c r="O1157" s="53" t="str">
        <x:v>When Phoebe Morton is murdered on the phone with a 911 operator, Goren and Eames take the case and soon realize Morton is one of five women murdered with a similar bent, the killer known as Body By Jake (B.B.J.). Their investigation leads them to Keith Durbin, a recently released parolee who seems to be perfect. Goren has his suspicions about Durbin, who doesn't seem right to him, and when they learn that there are similar killings going much further back, Goren and Eames soon focus their attention on a new suspect, and soon realize that even though he's not guilty, Durbin is the key.</x:v>
      </x:c>
      <x:c r="P1157" s="53" t="str">
        <x:v>Core Law &amp; Order franchise</x:v>
      </x:c>
      <x:c r="Q1157" s="17" t="str">
        <x:v>341294</x:v>
      </x:c>
      <x:c r="R1157" s="17" t="str">
        <x:v>tt0629573</x:v>
      </x:c>
      <x:c r="S1157" s="17" t="str">
        <x:v>745</x:v>
      </x:c>
    </x:row>
    <x:row r="1158">
      <x:c r="A1158" s="43" t="n">
        <x:v>1154</x:v>
      </x:c>
      <x:c r="B1158" s="44" t="str">
        <x:v>Not Started</x:v>
      </x:c>
      <x:c r="C1158" s="45" t="n">
        <x:v>38440</x:v>
      </x:c>
      <x:c r="D1158" s="33" t="str">
        <x:v>Law &amp; Order: Special Victims Unit</x:v>
      </x:c>
      <x:c r="E1158" s="33" t="str">
        <x:v>Law &amp; Order</x:v>
      </x:c>
      <x:c r="F1158" s="33" t="str">
        <x:v>core</x:v>
      </x:c>
      <x:c r="G1158" s="50" t="n">
        <x:v>6</x:v>
      </x:c>
      <x:c r="H1158" s="50" t="n">
        <x:v>19</x:v>
      </x:c>
      <x:c r="I1158" s="44" t="str">
        <x:v>06.19</x:v>
      </x:c>
      <x:c r="J1158" s="33" t="str">
        <x:v>Intoxicated</x:v>
      </x:c>
      <x:c r="K1158" s="33" t="str"/>
      <x:c r="L1158" s="33" t="str"/>
      <x:c r="M1158" s="44" t="str"/>
      <x:c r="N1158" s="50" t="n">
        <x:v>43</x:v>
      </x:c>
      <x:c r="O1158" s="53" t="str">
        <x:v>When Denise Eldridge finds her fifteen-year-old daughter Carrie in bed with twenty-one-year-old Justin, she immediately calls police to have Justin charged with statuatory rape. Benson intercedes on behalf of Carrie, calling a children's rights lawyer to assist her, but when Denise turns up dead, Carrie and Justin both end up on the suspect list. Benson tries to get some help from Simone Bryce, but Bryce is obligated to protect her client.</x:v>
      </x:c>
      <x:c r="P1158" s="53" t="str">
        <x:v>Core Law &amp; Order franchise</x:v>
      </x:c>
      <x:c r="Q1158" s="17" t="str">
        <x:v>225075</x:v>
      </x:c>
      <x:c r="R1158" s="17" t="str">
        <x:v>tt0629673</x:v>
      </x:c>
      <x:c r="S1158" s="17" t="str">
        <x:v>746</x:v>
      </x:c>
    </x:row>
    <x:row r="1159">
      <x:c r="A1159" s="43" t="n">
        <x:v>1155</x:v>
      </x:c>
      <x:c r="B1159" s="44" t="str">
        <x:v>Not Started</x:v>
      </x:c>
      <x:c r="C1159" s="45" t="n">
        <x:v>38441</x:v>
      </x:c>
      <x:c r="D1159" s="33" t="str">
        <x:v>Law &amp; Order</x:v>
      </x:c>
      <x:c r="E1159" s="33" t="str">
        <x:v>Law &amp; Order</x:v>
      </x:c>
      <x:c r="F1159" s="33" t="str">
        <x:v>core</x:v>
      </x:c>
      <x:c r="G1159" s="50" t="n">
        <x:v>15</x:v>
      </x:c>
      <x:c r="H1159" s="50" t="n">
        <x:v>19</x:v>
      </x:c>
      <x:c r="I1159" s="44" t="str">
        <x:v>15.19</x:v>
      </x:c>
      <x:c r="J1159" s="33" t="str">
        <x:v>Sects</x:v>
      </x:c>
      <x:c r="K1159" s="33" t="str"/>
      <x:c r="L1159" s="33" t="str"/>
      <x:c r="M1159" s="44" t="str"/>
      <x:c r="N1159" s="50" t="n">
        <x:v>45</x:v>
      </x:c>
      <x:c r="O1159" s="53" t="str">
        <x:v>Police and prosecutors go after a fanatical cult leader who encourages sex with children among her followers.</x:v>
      </x:c>
      <x:c r="P1159" s="53" t="str">
        <x:v>Core Law &amp; Order franchise</x:v>
      </x:c>
      <x:c r="Q1159" s="17" t="str">
        <x:v>34398</x:v>
      </x:c>
      <x:c r="R1159" s="17" t="str">
        <x:v>tt0629411</x:v>
      </x:c>
      <x:c r="S1159" s="17" t="str">
        <x:v>747</x:v>
      </x:c>
    </x:row>
    <x:row r="1160">
      <x:c r="A1160" s="43" t="n">
        <x:v>1156</x:v>
      </x:c>
      <x:c r="B1160" s="44" t="str">
        <x:v>Not Started</x:v>
      </x:c>
      <x:c r="C1160" s="45" t="n">
        <x:v>38443</x:v>
      </x:c>
      <x:c r="D1160" s="33" t="str">
        <x:v>Law &amp; Order: Trial by Jury</x:v>
      </x:c>
      <x:c r="E1160" s="33" t="str">
        <x:v>Law &amp; Order</x:v>
      </x:c>
      <x:c r="F1160" s="33" t="str">
        <x:v>core</x:v>
      </x:c>
      <x:c r="G1160" s="50" t="n">
        <x:v>1</x:v>
      </x:c>
      <x:c r="H1160" s="50" t="n">
        <x:v>6</x:v>
      </x:c>
      <x:c r="I1160" s="44" t="str">
        <x:v>01.06</x:v>
      </x:c>
      <x:c r="J1160" s="33" t="str">
        <x:v>Pattern of Conduct</x:v>
      </x:c>
      <x:c r="K1160" s="33" t="str"/>
      <x:c r="L1160" s="33" t="str"/>
      <x:c r="M1160" s="44" t="str"/>
      <x:c r="N1160" s="50" t="n">
        <x:v>42</x:v>
      </x:c>
      <x:c r="O1160" s="53" t="str">
        <x:v>Kibre tries a celebrity basketball star accused of raping and murdering his mistress. However, she runs into trouble when the star's wife has a slip of the tongue on the stand.</x:v>
      </x:c>
      <x:c r="P1160" s="53" t="str">
        <x:v>Core Law &amp; Order franchise</x:v>
      </x:c>
      <x:c r="Q1160" s="17" t="str">
        <x:v>255207</x:v>
      </x:c>
      <x:c r="R1160" s="17" t="str">
        <x:v>tt0629765</x:v>
      </x:c>
      <x:c r="S1160" s="17" t="str">
        <x:v>748</x:v>
      </x:c>
    </x:row>
    <x:row r="1161">
      <x:c r="A1161" s="43" t="n">
        <x:v>1157</x:v>
      </x:c>
      <x:c r="B1161" s="44" t="str">
        <x:v>Not Started</x:v>
      </x:c>
      <x:c r="C1161" s="45" t="n">
        <x:v>38445</x:v>
      </x:c>
      <x:c r="D1161" s="33" t="str">
        <x:v>Law &amp; Order: Criminal Intent</x:v>
      </x:c>
      <x:c r="E1161" s="33" t="str">
        <x:v>Law &amp; Order</x:v>
      </x:c>
      <x:c r="F1161" s="33" t="str">
        <x:v>core</x:v>
      </x:c>
      <x:c r="G1161" s="50" t="n">
        <x:v>4</x:v>
      </x:c>
      <x:c r="H1161" s="50" t="n">
        <x:v>18</x:v>
      </x:c>
      <x:c r="I1161" s="44" t="str">
        <x:v>04.18</x:v>
      </x:c>
      <x:c r="J1161" s="33" t="str">
        <x:v>The Good Child</x:v>
      </x:c>
      <x:c r="K1161" s="33" t="str"/>
      <x:c r="L1161" s="33" t="str"/>
      <x:c r="M1161" s="44" t="str"/>
      <x:c r="N1161" s="50" t="n">
        <x:v>44</x:v>
      </x:c>
      <x:c r="O1161" s="53" t="str">
        <x:v>After Dennis and Camille Burnett are found dead in their home, the only survivor is their twenty-year-old daughter, Rachel. Goren and Eames initially suspect that someone connected with the Marinko family had the Burnetts killed, since they were in witness relocation, but the detectives soon realise that the connection isn't the parents, it's the daughter. Suspicion then turns to the daughter's biological parents and her birth father's very jealous wife.</x:v>
      </x:c>
      <x:c r="P1161" s="53" t="str">
        <x:v>Core Law &amp; Order franchise</x:v>
      </x:c>
      <x:c r="Q1161" s="17" t="str">
        <x:v>341295</x:v>
      </x:c>
      <x:c r="R1161" s="17" t="str">
        <x:v>tt0629585</x:v>
      </x:c>
      <x:c r="S1161" s="17" t="str">
        <x:v>749</x:v>
      </x:c>
    </x:row>
    <x:row r="1162">
      <x:c r="A1162" s="43" t="n">
        <x:v>1158</x:v>
      </x:c>
      <x:c r="B1162" s="44" t="str">
        <x:v>Not Started</x:v>
      </x:c>
      <x:c r="C1162" s="45" t="n">
        <x:v>38450</x:v>
      </x:c>
      <x:c r="D1162" s="33" t="str">
        <x:v>Law &amp; Order: Trial by Jury</x:v>
      </x:c>
      <x:c r="E1162" s="33" t="str">
        <x:v>Law &amp; Order</x:v>
      </x:c>
      <x:c r="F1162" s="33" t="str">
        <x:v>core</x:v>
      </x:c>
      <x:c r="G1162" s="50" t="n">
        <x:v>1</x:v>
      </x:c>
      <x:c r="H1162" s="50" t="n">
        <x:v>7</x:v>
      </x:c>
      <x:c r="I1162" s="44" t="str">
        <x:v>01.07</x:v>
      </x:c>
      <x:c r="J1162" s="33" t="str">
        <x:v>Bang &amp; Blame</x:v>
      </x:c>
      <x:c r="K1162" s="33" t="str"/>
      <x:c r="L1162" s="33" t="str"/>
      <x:c r="M1162" s="44" t="str"/>
      <x:c r="N1162" s="50" t="n">
        <x:v>42</x:v>
      </x:c>
      <x:c r="O1162" s="53" t="str">
        <x:v>Kibre prosecutes a man who shot up the bank where he worked, killing the woman responsible for his son being in a coma. She runs into trouble when the man decides to represent himself, and the jury is sympathetic for him.</x:v>
      </x:c>
      <x:c r="P1162" s="53" t="str">
        <x:v>Core Law &amp; Order franchise</x:v>
      </x:c>
      <x:c r="Q1162" s="17" t="str">
        <x:v>255208</x:v>
      </x:c>
      <x:c r="R1162" s="17" t="str">
        <x:v>tt0629760</x:v>
      </x:c>
      <x:c r="S1162" s="17" t="str">
        <x:v>750</x:v>
      </x:c>
    </x:row>
    <x:row r="1163">
      <x:c r="A1163" s="43" t="n">
        <x:v>1159</x:v>
      </x:c>
      <x:c r="B1163" s="44" t="str">
        <x:v>Not Started</x:v>
      </x:c>
      <x:c r="C1163" s="45" t="n">
        <x:v>38452</x:v>
      </x:c>
      <x:c r="D1163" s="33" t="str">
        <x:v>Law &amp; Order: Criminal Intent</x:v>
      </x:c>
      <x:c r="E1163" s="33" t="str">
        <x:v>Law &amp; Order</x:v>
      </x:c>
      <x:c r="F1163" s="33" t="str">
        <x:v>core</x:v>
      </x:c>
      <x:c r="G1163" s="50" t="n">
        <x:v>4</x:v>
      </x:c>
      <x:c r="H1163" s="50" t="n">
        <x:v>19</x:v>
      </x:c>
      <x:c r="I1163" s="44" t="str">
        <x:v>04.19</x:v>
      </x:c>
      <x:c r="J1163" s="33" t="str">
        <x:v>Beast</x:v>
      </x:c>
      <x:c r="K1163" s="33" t="str"/>
      <x:c r="L1163" s="33" t="str"/>
      <x:c r="M1163" s="44" t="str"/>
      <x:c r="N1163" s="50" t="n">
        <x:v>44</x:v>
      </x:c>
      <x:c r="O1163" s="53" t="str">
        <x:v>When Lisa Ross is brought into the emergency room with a severe case of cloracne, suspicion quickly turns to her husband Greg, a well-known dentist, especially after she dies. During their investigation, Goren and Eames hear whispers about Lisa's infidelities, but the real break comes with they learn that Lisa is not the first woman Greg Ross has been connected to who died of the same symptoms years earlier. After discovering Lisa's connection to Greg's former fiancée Morgan Dexler, Goren and Eames believe they have the answer, but they're not there yet.</x:v>
      </x:c>
      <x:c r="P1163" s="53" t="str">
        <x:v>Core Law &amp; Order franchise</x:v>
      </x:c>
      <x:c r="Q1163" s="17" t="str">
        <x:v>341296</x:v>
      </x:c>
      <x:c r="R1163" s="17" t="str">
        <x:v>tt0629509</x:v>
      </x:c>
      <x:c r="S1163" s="17" t="str">
        <x:v>751</x:v>
      </x:c>
    </x:row>
    <x:row r="1164">
      <x:c r="A1164" s="43" t="n">
        <x:v>1160</x:v>
      </x:c>
      <x:c r="B1164" s="44" t="str">
        <x:v>Not Started</x:v>
      </x:c>
      <x:c r="C1164" s="45" t="n">
        <x:v>38455</x:v>
      </x:c>
      <x:c r="D1164" s="33" t="str">
        <x:v>Law &amp; Order</x:v>
      </x:c>
      <x:c r="E1164" s="33" t="str">
        <x:v>Law &amp; Order</x:v>
      </x:c>
      <x:c r="F1164" s="33" t="str">
        <x:v>core</x:v>
      </x:c>
      <x:c r="G1164" s="50" t="n">
        <x:v>15</x:v>
      </x:c>
      <x:c r="H1164" s="50" t="n">
        <x:v>20</x:v>
      </x:c>
      <x:c r="I1164" s="44" t="str">
        <x:v>15.20</x:v>
      </x:c>
      <x:c r="J1164" s="33" t="str">
        <x:v>Tombstone (I)</x:v>
      </x:c>
      <x:c r="K1164" s="33" t="str">
        <x:v>Multi-episode arc</x:v>
      </x:c>
      <x:c r="L1164" s="33" t="str">
        <x:v>Tombstone</x:v>
      </x:c>
      <x:c r="M1164" s="44" t="str"/>
      <x:c r="N1164" s="50" t="n">
        <x:v>45</x:v>
      </x:c>
      <x:c r="O1164" s="53" t="str">
        <x:v>The bludgeoned corpse of a promiscuous lawyer is found in her office and detectives treat her former lovers as suspects until DNA evidence points to a co-worker. This crossover continues on Law &amp; Order: Trial By Jury S01E08 Skeleton (II).</x:v>
      </x:c>
      <x:c r="P1164" s="53" t="str">
        <x:v>Core Law &amp; Order franchise</x:v>
      </x:c>
      <x:c r="Q1164" s="17" t="str">
        <x:v>34399</x:v>
      </x:c>
      <x:c r="R1164" s="17" t="str">
        <x:v>tt0629472</x:v>
      </x:c>
      <x:c r="S1164" s="17" t="str">
        <x:v>Canonical episode title notation; editorial inference.</x:v>
      </x:c>
    </x:row>
    <x:row r="1165">
      <x:c r="A1165" s="43" t="n">
        <x:v>1161</x:v>
      </x:c>
      <x:c r="B1165" s="44" t="str">
        <x:v>Not Started</x:v>
      </x:c>
      <x:c r="C1165" s="45" t="n">
        <x:v>38456</x:v>
      </x:c>
      <x:c r="D1165" s="33" t="str">
        <x:v>Law &amp; Order: Trial by Jury</x:v>
      </x:c>
      <x:c r="E1165" s="33" t="str">
        <x:v>Law &amp; Order</x:v>
      </x:c>
      <x:c r="F1165" s="33" t="str">
        <x:v>core</x:v>
      </x:c>
      <x:c r="G1165" s="50" t="n">
        <x:v>0</x:v>
      </x:c>
      <x:c r="H1165" s="50" t="n">
        <x:v>1</x:v>
      </x:c>
      <x:c r="I1165" s="44" t="str">
        <x:v>S00.01</x:v>
      </x:c>
      <x:c r="J1165" s="33" t="str">
        <x:v>Tombstone (1) (Law &amp; Order)</x:v>
      </x:c>
      <x:c r="K1165" s="33" t="str"/>
      <x:c r="L1165" s="33" t="str"/>
      <x:c r="M1165" s="44" t="str"/>
      <x:c r="N1165" s="50" t="n">
        <x:v>42</x:v>
      </x:c>
      <x:c r="O1165" s="53" t="str">
        <x:v>The bludgeoned corpse of a promiscuous lawyer is found in her office, and detectives treat her former lovers as suspects until DNA evidence points to a co-worker. (Aired on Law &amp; Order, season 15, episode 20.)</x:v>
      </x:c>
      <x:c r="P1165" s="53" t="str">
        <x:v>Core Law &amp; Order franchise</x:v>
      </x:c>
      <x:c r="Q1165" s="17" t="str">
        <x:v>4937783</x:v>
      </x:c>
      <x:c r="R1165" s="17" t="str"/>
      <x:c r="S1165" s="17" t="str"/>
    </x:row>
    <x:row r="1166">
      <x:c r="A1166" s="43" t="n">
        <x:v>1162</x:v>
      </x:c>
      <x:c r="B1166" s="44" t="str">
        <x:v>Not Started</x:v>
      </x:c>
      <x:c r="C1166" s="45" t="n">
        <x:v>38457</x:v>
      </x:c>
      <x:c r="D1166" s="33" t="str">
        <x:v>Law &amp; Order: Trial by Jury</x:v>
      </x:c>
      <x:c r="E1166" s="33" t="str">
        <x:v>Law &amp; Order</x:v>
      </x:c>
      <x:c r="F1166" s="33" t="str">
        <x:v>core</x:v>
      </x:c>
      <x:c r="G1166" s="50" t="n">
        <x:v>1</x:v>
      </x:c>
      <x:c r="H1166" s="50" t="n">
        <x:v>8</x:v>
      </x:c>
      <x:c r="I1166" s="44" t="str">
        <x:v>01.08</x:v>
      </x:c>
      <x:c r="J1166" s="33" t="str">
        <x:v>Skeleton (II)</x:v>
      </x:c>
      <x:c r="K1166" s="33" t="str">
        <x:v>Multi-episode arc</x:v>
      </x:c>
      <x:c r="L1166" s="33" t="str">
        <x:v>Skeleton</x:v>
      </x:c>
      <x:c r="M1166" s="44" t="str"/>
      <x:c r="N1166" s="50" t="n">
        <x:v>42</x:v>
      </x:c>
      <x:c r="O1166" s="53" t="str">
        <x:v>Kibre prosecutes an elusive career criminal for the murder of a sleazy ex-cop and the shooting of a detective. As Kibre's office works with Detective Fontana, they discover their prime suspect might also be a producer of snuff pornography. When a sting goes bad and a shocking courtroom development cuts the legs from under her case, Kibre's career teeters on finding why the shootings were committed in the first place.
This crossover starts on Law &amp; Order S15E20 Tombstone (I).</x:v>
      </x:c>
      <x:c r="P1166" s="53" t="str">
        <x:v>Core Law &amp; Order franchise</x:v>
      </x:c>
      <x:c r="Q1166" s="17" t="str">
        <x:v>255209</x:v>
      </x:c>
      <x:c r="R1166" s="17" t="str">
        <x:v>tt0629766</x:v>
      </x:c>
      <x:c r="S1166" s="17" t="str">
        <x:v>Canonical episode title notation; editorial inference.</x:v>
      </x:c>
    </x:row>
    <x:row r="1167">
      <x:c r="A1167" s="43" t="n">
        <x:v>1163</x:v>
      </x:c>
      <x:c r="B1167" s="44" t="str">
        <x:v>Not Started</x:v>
      </x:c>
      <x:c r="C1167" s="45" t="n">
        <x:v>38458</x:v>
      </x:c>
      <x:c r="D1167" s="33" t="str">
        <x:v>Law &amp; Order</x:v>
      </x:c>
      <x:c r="E1167" s="33" t="str">
        <x:v>Law &amp; Order</x:v>
      </x:c>
      <x:c r="F1167" s="33" t="str">
        <x:v>core</x:v>
      </x:c>
      <x:c r="G1167" s="50" t="n">
        <x:v>0</x:v>
      </x:c>
      <x:c r="H1167" s="50" t="n">
        <x:v>15</x:v>
      </x:c>
      <x:c r="I1167" s="44" t="str">
        <x:v>S00.15</x:v>
      </x:c>
      <x:c r="J1167" s="33" t="str">
        <x:v>Skeleton (2) (Law &amp; Order: Trial by Jury)</x:v>
      </x:c>
      <x:c r="K1167" s="33" t="str"/>
      <x:c r="L1167" s="33" t="str"/>
      <x:c r="M1167" s="44" t="str"/>
      <x:c r="N1167" s="50" t="n">
        <x:v>45</x:v>
      </x:c>
      <x:c r="O1167" s="53" t="str">
        <x:v>Kibre prosecutes the man accused of shooting Detective Ed Green and murdering the key witness in the case he was working on. (Aired on Law &amp; Order: Trial by Jury, season 1, episode 8.)</x:v>
      </x:c>
      <x:c r="P1167" s="53" t="str">
        <x:v>Core Law &amp; Order franchise</x:v>
      </x:c>
      <x:c r="Q1167" s="17" t="str">
        <x:v>34054</x:v>
      </x:c>
      <x:c r="R1167" s="17" t="str"/>
      <x:c r="S1167" s="17" t="str"/>
    </x:row>
    <x:row r="1168">
      <x:c r="A1168" s="43" t="n">
        <x:v>1164</x:v>
      </x:c>
      <x:c r="B1168" s="44" t="str">
        <x:v>Not Started</x:v>
      </x:c>
      <x:c r="C1168" s="45" t="n">
        <x:v>38462</x:v>
      </x:c>
      <x:c r="D1168" s="33" t="str">
        <x:v>Law &amp; Order</x:v>
      </x:c>
      <x:c r="E1168" s="33" t="str">
        <x:v>Law &amp; Order</x:v>
      </x:c>
      <x:c r="F1168" s="33" t="str">
        <x:v>core</x:v>
      </x:c>
      <x:c r="G1168" s="50" t="n">
        <x:v>15</x:v>
      </x:c>
      <x:c r="H1168" s="50" t="n">
        <x:v>21</x:v>
      </x:c>
      <x:c r="I1168" s="44" t="str">
        <x:v>15.21</x:v>
      </x:c>
      <x:c r="J1168" s="33" t="str">
        <x:v>Publish and Perish</x:v>
      </x:c>
      <x:c r="K1168" s="33" t="str"/>
      <x:c r="L1168" s="33" t="str"/>
      <x:c r="M1168" s="44" t="str"/>
      <x:c r="N1168" s="50" t="n">
        <x:v>45</x:v>
      </x:c>
      <x:c r="O1168" s="53" t="str">
        <x:v>Fontana and his temporary partner, Det. Nick Falco, must tread lightly when they discover links between a powerful police commissioner and the murders of an infamous porn actress and a maverick publisher.</x:v>
      </x:c>
      <x:c r="P1168" s="53" t="str">
        <x:v>Core Law &amp; Order franchise</x:v>
      </x:c>
      <x:c r="Q1168" s="17" t="str">
        <x:v>34400</x:v>
      </x:c>
      <x:c r="R1168" s="17" t="str">
        <x:v>tt0629390</x:v>
      </x:c>
      <x:c r="S1168" s="17" t="str">
        <x:v>754</x:v>
      </x:c>
    </x:row>
    <x:row r="1169">
      <x:c r="A1169" s="43" t="n">
        <x:v>1165</x:v>
      </x:c>
      <x:c r="B1169" s="44" t="str">
        <x:v>Not Started</x:v>
      </x:c>
      <x:c r="C1169" s="45" t="n">
        <x:v>38464</x:v>
      </x:c>
      <x:c r="D1169" s="33" t="str">
        <x:v>Law &amp; Order: Trial by Jury</x:v>
      </x:c>
      <x:c r="E1169" s="33" t="str">
        <x:v>Law &amp; Order</x:v>
      </x:c>
      <x:c r="F1169" s="33" t="str">
        <x:v>core</x:v>
      </x:c>
      <x:c r="G1169" s="50" t="n">
        <x:v>1</x:v>
      </x:c>
      <x:c r="H1169" s="50" t="n">
        <x:v>9</x:v>
      </x:c>
      <x:c r="I1169" s="44" t="str">
        <x:v>01.09</x:v>
      </x:c>
      <x:c r="J1169" s="33" t="str">
        <x:v>The Line</x:v>
      </x:c>
      <x:c r="K1169" s="33" t="str"/>
      <x:c r="L1169" s="33" t="str"/>
      <x:c r="M1169" s="44" t="str"/>
      <x:c r="N1169" s="50" t="n">
        <x:v>42</x:v>
      </x:c>
      <x:c r="O1169" s="53" t="str">
        <x:v>Kibre tries a man who got away with murder, and she is desperate to convict him.</x:v>
      </x:c>
      <x:c r="P1169" s="53" t="str">
        <x:v>Core Law &amp; Order franchise</x:v>
      </x:c>
      <x:c r="Q1169" s="17" t="str">
        <x:v>255210</x:v>
      </x:c>
      <x:c r="R1169" s="17" t="str">
        <x:v>tt0629768</x:v>
      </x:c>
      <x:c r="S1169" s="17" t="str">
        <x:v>755</x:v>
      </x:c>
    </x:row>
    <x:row r="1170">
      <x:c r="A1170" s="43" t="n">
        <x:v>1166</x:v>
      </x:c>
      <x:c r="B1170" s="44" t="str">
        <x:v>Not Started</x:v>
      </x:c>
      <x:c r="C1170" s="45" t="n">
        <x:v>38471</x:v>
      </x:c>
      <x:c r="D1170" s="33" t="str">
        <x:v>Law &amp; Order: Trial by Jury</x:v>
      </x:c>
      <x:c r="E1170" s="33" t="str">
        <x:v>Law &amp; Order</x:v>
      </x:c>
      <x:c r="F1170" s="33" t="str">
        <x:v>core</x:v>
      </x:c>
      <x:c r="G1170" s="50" t="n">
        <x:v>1</x:v>
      </x:c>
      <x:c r="H1170" s="50" t="n">
        <x:v>10</x:v>
      </x:c>
      <x:c r="I1170" s="44" t="str">
        <x:v>01.10</x:v>
      </x:c>
      <x:c r="J1170" s="33" t="str">
        <x:v>Blue Wall</x:v>
      </x:c>
      <x:c r="K1170" s="33" t="str"/>
      <x:c r="L1170" s="33" t="str"/>
      <x:c r="M1170" s="44" t="str"/>
      <x:c r="N1170" s="50" t="n">
        <x:v>42</x:v>
      </x:c>
      <x:c r="O1170" s="53" t="str">
        <x:v>Kibre prosecutes two cops for the murder of a man being held in custody, who was sodomized by the two officers. However, she hits a wall when none of the officers will talk about the events of the evening in question.</x:v>
      </x:c>
      <x:c r="P1170" s="53" t="str">
        <x:v>Core Law &amp; Order franchise</x:v>
      </x:c>
      <x:c r="Q1170" s="17" t="str">
        <x:v>255211</x:v>
      </x:c>
      <x:c r="R1170" s="17" t="str">
        <x:v>tt0629761</x:v>
      </x:c>
      <x:c r="S1170" s="17" t="str">
        <x:v>756</x:v>
      </x:c>
    </x:row>
    <x:row r="1171">
      <x:c r="A1171" s="43" t="n">
        <x:v>1167</x:v>
      </x:c>
      <x:c r="B1171" s="44" t="str">
        <x:v>Not Started</x:v>
      </x:c>
      <x:c r="C1171" s="45" t="n">
        <x:v>38473</x:v>
      </x:c>
      <x:c r="D1171" s="33" t="str">
        <x:v>Law &amp; Order: Criminal Intent</x:v>
      </x:c>
      <x:c r="E1171" s="33" t="str">
        <x:v>Law &amp; Order</x:v>
      </x:c>
      <x:c r="F1171" s="33" t="str">
        <x:v>core</x:v>
      </x:c>
      <x:c r="G1171" s="50" t="n">
        <x:v>4</x:v>
      </x:c>
      <x:c r="H1171" s="50" t="n">
        <x:v>20</x:v>
      </x:c>
      <x:c r="I1171" s="44" t="str">
        <x:v>04.20</x:v>
      </x:c>
      <x:c r="J1171" s="33" t="str">
        <x:v>No Exit</x:v>
      </x:c>
      <x:c r="K1171" s="33" t="str"/>
      <x:c r="L1171" s="33" t="str"/>
      <x:c r="M1171" s="44" t="str"/>
      <x:c r="N1171" s="50" t="n">
        <x:v>44</x:v>
      </x:c>
      <x:c r="O1171" s="53" t="str">
        <x:v>When five young people are found dead by the tracks, Goren and Eames initially write them off as a suicide until their investigation reveals that one of the victims, Carmine Ruggiero, had no desire to be part of a suicide pact. Although initially they begin looking into a website that gives instructions on how to committ suicide, their investigation leads them to the unsolved suicide of Edie Elverson, one of Ruggiero's co-workers, whom he had once testifed against in a harrassment suit. Goren soon realises that another of the company's employees, Hubert Skoller, is trying very hard to push them to an answer.</x:v>
      </x:c>
      <x:c r="P1171" s="53" t="str">
        <x:v>Core Law &amp; Order franchise</x:v>
      </x:c>
      <x:c r="Q1171" s="17" t="str">
        <x:v>341297</x:v>
      </x:c>
      <x:c r="R1171" s="17" t="str">
        <x:v>tt0629556</x:v>
      </x:c>
      <x:c r="S1171" s="17" t="str">
        <x:v>757</x:v>
      </x:c>
    </x:row>
    <x:row r="1172">
      <x:c r="A1172" s="43" t="n">
        <x:v>1168</x:v>
      </x:c>
      <x:c r="B1172" s="44" t="str">
        <x:v>Not Started</x:v>
      </x:c>
      <x:c r="C1172" s="45" t="n">
        <x:v>38475</x:v>
      </x:c>
      <x:c r="D1172" s="33" t="str">
        <x:v>Law &amp; Order: Trial by Jury</x:v>
      </x:c>
      <x:c r="E1172" s="33" t="str">
        <x:v>Law &amp; Order</x:v>
      </x:c>
      <x:c r="F1172" s="33" t="str">
        <x:v>core</x:v>
      </x:c>
      <x:c r="G1172" s="50" t="n">
        <x:v>1</x:v>
      </x:c>
      <x:c r="H1172" s="50" t="n">
        <x:v>11</x:v>
      </x:c>
      <x:c r="I1172" s="44" t="str">
        <x:v>01.11</x:v>
      </x:c>
      <x:c r="J1172" s="33" t="str">
        <x:v>Day (II)</x:v>
      </x:c>
      <x:c r="K1172" s="33" t="str">
        <x:v>Multi-episode arc</x:v>
      </x:c>
      <x:c r="L1172" s="33" t="str">
        <x:v>Day</x:v>
      </x:c>
      <x:c r="M1172" s="44" t="str"/>
      <x:c r="N1172" s="50" t="n">
        <x:v>42</x:v>
      </x:c>
      <x:c r="O1172" s="53" t="str">
        <x:v>ADA Kibre works with Detectives Stabler and Benson to prosecute a serial rapist Gabriel whose trail of victims through the years has been whitewashed by his wealthy and protective mother Eleanor. Kibre must also overcome witness intimidation – and even sees her crucial DNA evidence tossed out – but the slippery suspect's lawyer has yet another surprise under his sleeve.
The crossover starts on Law &amp; Order: Special Victims Unit S06E20 Night (I).</x:v>
      </x:c>
      <x:c r="P1172" s="53" t="str">
        <x:v>Core Law &amp; Order franchise</x:v>
      </x:c>
      <x:c r="Q1172" s="17" t="str">
        <x:v>255212</x:v>
      </x:c>
      <x:c r="R1172" s="17" t="str">
        <x:v>tt0629763</x:v>
      </x:c>
      <x:c r="S1172" s="17" t="str">
        <x:v>Canonical episode title notation; editorial inference.</x:v>
      </x:c>
    </x:row>
    <x:row r="1173">
      <x:c r="A1173" s="43" t="n">
        <x:v>1169</x:v>
      </x:c>
      <x:c r="B1173" s="44" t="str">
        <x:v>Not Started</x:v>
      </x:c>
      <x:c r="C1173" s="45" t="n">
        <x:v>38475</x:v>
      </x:c>
      <x:c r="D1173" s="33" t="str">
        <x:v>Law &amp; Order: Special Victims Unit</x:v>
      </x:c>
      <x:c r="E1173" s="33" t="str">
        <x:v>Law &amp; Order</x:v>
      </x:c>
      <x:c r="F1173" s="33" t="str">
        <x:v>core</x:v>
      </x:c>
      <x:c r="G1173" s="50" t="n">
        <x:v>6</x:v>
      </x:c>
      <x:c r="H1173" s="50" t="n">
        <x:v>20</x:v>
      </x:c>
      <x:c r="I1173" s="44" t="str">
        <x:v>06.20</x:v>
      </x:c>
      <x:c r="J1173" s="33" t="str">
        <x:v>Night (I)</x:v>
      </x:c>
      <x:c r="K1173" s="33" t="str">
        <x:v>Multi-episode arc</x:v>
      </x:c>
      <x:c r="L1173" s="33" t="str">
        <x:v>Night</x:v>
      </x:c>
      <x:c r="M1173" s="44" t="str"/>
      <x:c r="N1173" s="50" t="n">
        <x:v>44</x:v>
      </x:c>
      <x:c r="O1173" s="53" t="str">
        <x:v>After a young woman is found raped and murdered near a nightclub with five hundred dollars stuffed into her mouth, Benson and Stabler follow the fingerprint trail on the money to Attorney Jason Whitaker, whose sole responsibility seems to be handling the trust for the Duvall family. Soon detectives are convinced that Gabriel Duvall is their rapist, but don't have quite enough evidence to put him away. ADA Novak is working on both the case and a terrified former victim when she is brutally attacked in her office late at night. The crossover continues on Law &amp; Order: Trial by Jury S01:E11 Day (II).</x:v>
      </x:c>
      <x:c r="P1173" s="53" t="str">
        <x:v>Core Law &amp; Order franchise</x:v>
      </x:c>
      <x:c r="Q1173" s="17" t="str">
        <x:v>225076</x:v>
      </x:c>
      <x:c r="R1173" s="17" t="str">
        <x:v>tt0629689</x:v>
      </x:c>
      <x:c r="S1173" s="17" t="str">
        <x:v>Canonical episode title notation; editorial inference.</x:v>
      </x:c>
    </x:row>
    <x:row r="1174">
      <x:c r="A1174" s="43" t="n">
        <x:v>1170</x:v>
      </x:c>
      <x:c r="B1174" s="44" t="str">
        <x:v>Not Started</x:v>
      </x:c>
      <x:c r="C1174" s="45" t="n">
        <x:v>38476</x:v>
      </x:c>
      <x:c r="D1174" s="33" t="str">
        <x:v>Law &amp; Order</x:v>
      </x:c>
      <x:c r="E1174" s="33" t="str">
        <x:v>Law &amp; Order</x:v>
      </x:c>
      <x:c r="F1174" s="33" t="str">
        <x:v>core</x:v>
      </x:c>
      <x:c r="G1174" s="50" t="n">
        <x:v>15</x:v>
      </x:c>
      <x:c r="H1174" s="50" t="n">
        <x:v>22</x:v>
      </x:c>
      <x:c r="I1174" s="44" t="str">
        <x:v>15.22</x:v>
      </x:c>
      <x:c r="J1174" s="33" t="str">
        <x:v>Sport of Kings</x:v>
      </x:c>
      <x:c r="K1174" s="33" t="str"/>
      <x:c r="L1174" s="33" t="str"/>
      <x:c r="M1174" s="44" t="str"/>
      <x:c r="N1174" s="50" t="n">
        <x:v>45</x:v>
      </x:c>
      <x:c r="O1174" s="53" t="str">
        <x:v>The shooting of a Panamanian jockey sends Fontana and Falco into the colorful world of horse racing, and they learn that the animal's owner used stolen funds for the purchase.</x:v>
      </x:c>
      <x:c r="P1174" s="53" t="str">
        <x:v>Core Law &amp; Order franchise</x:v>
      </x:c>
      <x:c r="Q1174" s="17" t="str">
        <x:v>34401</x:v>
      </x:c>
      <x:c r="R1174" s="17" t="str">
        <x:v>tt0629432</x:v>
      </x:c>
      <x:c r="S1174" s="17" t="str">
        <x:v>760</x:v>
      </x:c>
    </x:row>
    <x:row r="1175">
      <x:c r="A1175" s="43" t="n">
        <x:v>1171</x:v>
      </x:c>
      <x:c r="B1175" s="44" t="str">
        <x:v>Not Started</x:v>
      </x:c>
      <x:c r="C1175" s="45" t="n">
        <x:v>38476</x:v>
      </x:c>
      <x:c r="D1175" s="33" t="str">
        <x:v>Law &amp; Order: Trial by Jury</x:v>
      </x:c>
      <x:c r="E1175" s="33" t="str">
        <x:v>Law &amp; Order</x:v>
      </x:c>
      <x:c r="F1175" s="33" t="str">
        <x:v>core</x:v>
      </x:c>
      <x:c r="G1175" s="50" t="n">
        <x:v>0</x:v>
      </x:c>
      <x:c r="H1175" s="50" t="n">
        <x:v>2</x:v>
      </x:c>
      <x:c r="I1175" s="44" t="str">
        <x:v>S00.02</x:v>
      </x:c>
      <x:c r="J1175" s="33" t="str">
        <x:v>Night (1) (Law &amp; Order: SVU)</x:v>
      </x:c>
      <x:c r="K1175" s="33" t="str"/>
      <x:c r="L1175" s="33" t="str"/>
      <x:c r="M1175" s="44" t="str"/>
      <x:c r="N1175" s="50" t="n">
        <x:v>42</x:v>
      </x:c>
      <x:c r="O1175" s="53" t="str">
        <x:v>After a young woman is found raped and murdered near a nightclub, with five hundred dollars stuffed into her mouth, Benson and Stabler follow the fingerprint trail on the money to attorney Jason Whitaker, whose sole responsibility seems to be handling the trust for the Duvall family. Soon detectives are convinced that Gabriel Duvall is their rapist, but don't have quite enough evidence to put him away. A.D.A. Novak is working on both the case and a terrified former victim when she is brutally attacked in her office late at night. (Aired on Law &amp; Order: SVU, season 6, episode 20.)</x:v>
      </x:c>
      <x:c r="P1175" s="53" t="str">
        <x:v>Core Law &amp; Order franchise</x:v>
      </x:c>
      <x:c r="Q1175" s="17" t="str">
        <x:v>4937790</x:v>
      </x:c>
      <x:c r="R1175" s="17" t="str"/>
      <x:c r="S1175" s="17" t="str"/>
    </x:row>
    <x:row r="1176">
      <x:c r="A1176" s="43" t="n">
        <x:v>1172</x:v>
      </x:c>
      <x:c r="B1176" s="44" t="str">
        <x:v>Not Started</x:v>
      </x:c>
      <x:c r="C1176" s="45" t="n">
        <x:v>38478</x:v>
      </x:c>
      <x:c r="D1176" s="33" t="str">
        <x:v>Law &amp; Order: Trial by Jury</x:v>
      </x:c>
      <x:c r="E1176" s="33" t="str">
        <x:v>Law &amp; Order</x:v>
      </x:c>
      <x:c r="F1176" s="33" t="str">
        <x:v>core</x:v>
      </x:c>
      <x:c r="G1176" s="50" t="n">
        <x:v>1</x:v>
      </x:c>
      <x:c r="H1176" s="50" t="n">
        <x:v>12</x:v>
      </x:c>
      <x:c r="I1176" s="44" t="str">
        <x:v>01.12</x:v>
      </x:c>
      <x:c r="J1176" s="33" t="str">
        <x:v>Boys Will Be Boys</x:v>
      </x:c>
      <x:c r="K1176" s="33" t="str"/>
      <x:c r="L1176" s="33" t="str"/>
      <x:c r="M1176" s="44" t="str"/>
      <x:c r="N1176" s="50" t="n">
        <x:v>42</x:v>
      </x:c>
      <x:c r="O1176" s="53" t="str">
        <x:v>Kibre prosecutes the man accused of murdering a transvestite, but she runs into trouble when his father confesses to the same crime.</x:v>
      </x:c>
      <x:c r="P1176" s="53" t="str">
        <x:v>Core Law &amp; Order franchise</x:v>
      </x:c>
      <x:c r="Q1176" s="17" t="str">
        <x:v>255213</x:v>
      </x:c>
      <x:c r="R1176" s="17" t="str">
        <x:v>tt0629762</x:v>
      </x:c>
      <x:c r="S1176" s="17" t="str">
        <x:v>761</x:v>
      </x:c>
    </x:row>
    <x:row r="1177">
      <x:c r="A1177" s="43" t="n">
        <x:v>1173</x:v>
      </x:c>
      <x:c r="B1177" s="44" t="str">
        <x:v>Not Started</x:v>
      </x:c>
      <x:c r="C1177" s="45" t="n">
        <x:v>38480</x:v>
      </x:c>
      <x:c r="D1177" s="33" t="str">
        <x:v>Law &amp; Order: Criminal Intent</x:v>
      </x:c>
      <x:c r="E1177" s="33" t="str">
        <x:v>Law &amp; Order</x:v>
      </x:c>
      <x:c r="F1177" s="33" t="str">
        <x:v>core</x:v>
      </x:c>
      <x:c r="G1177" s="50" t="n">
        <x:v>4</x:v>
      </x:c>
      <x:c r="H1177" s="50" t="n">
        <x:v>21</x:v>
      </x:c>
      <x:c r="I1177" s="44" t="str">
        <x:v>04.21</x:v>
      </x:c>
      <x:c r="J1177" s="33" t="str">
        <x:v>The Unblinking Eye</x:v>
      </x:c>
      <x:c r="K1177" s="33" t="str"/>
      <x:c r="L1177" s="33" t="str"/>
      <x:c r="M1177" s="44" t="str"/>
      <x:c r="N1177" s="50" t="n">
        <x:v>44</x:v>
      </x:c>
      <x:c r="O1177" s="53" t="str">
        <x:v>After a young actress is gunned down after an evening out with her boyfriend, Goren and Eames initially focus their attention on a young man who had showed an unusual interest in the couple, but soon realise that there is more to this case than meets the eye. A jealous and seemingly obsessive ex-girlfriend, a best friend who never made it as an actor, and a grieving boyfriend who seems too good to be true lead Goren and Eames down another path, one where the key to exposing the truth about the present depends on exposing the lies of the past.</x:v>
      </x:c>
      <x:c r="P1177" s="53" t="str">
        <x:v>Core Law &amp; Order franchise</x:v>
      </x:c>
      <x:c r="Q1177" s="17" t="str">
        <x:v>341298</x:v>
      </x:c>
      <x:c r="R1177" s="17" t="str">
        <x:v>tt0629593</x:v>
      </x:c>
      <x:c r="S1177" s="17" t="str">
        <x:v>763</x:v>
      </x:c>
    </x:row>
    <x:row r="1178">
      <x:c r="A1178" s="43" t="n">
        <x:v>1174</x:v>
      </x:c>
      <x:c r="B1178" s="44" t="str">
        <x:v>Not Started</x:v>
      </x:c>
      <x:c r="C1178" s="45" t="n">
        <x:v>38482</x:v>
      </x:c>
      <x:c r="D1178" s="33" t="str">
        <x:v>Law &amp; Order: Special Victims Unit</x:v>
      </x:c>
      <x:c r="E1178" s="33" t="str">
        <x:v>Law &amp; Order</x:v>
      </x:c>
      <x:c r="F1178" s="33" t="str">
        <x:v>core</x:v>
      </x:c>
      <x:c r="G1178" s="50" t="n">
        <x:v>6</x:v>
      </x:c>
      <x:c r="H1178" s="50" t="n">
        <x:v>21</x:v>
      </x:c>
      <x:c r="I1178" s="44" t="str">
        <x:v>06.21</x:v>
      </x:c>
      <x:c r="J1178" s="33" t="str">
        <x:v>Blood</x:v>
      </x:c>
      <x:c r="K1178" s="33" t="str"/>
      <x:c r="L1178" s="33" t="str"/>
      <x:c r="M1178" s="44" t="str"/>
      <x:c r="N1178" s="50" t="n">
        <x:v>44</x:v>
      </x:c>
      <x:c r="O1178" s="53" t="str">
        <x:v>After a young woman's baby is tossed out of a car, Benson and Stabler investigate to find out what happened, and after learning the young woman is addicted to prescription pain killers, their investigation leads them to an elderly woman named Jenny Rogers, who lives with her son Kevin and daughter-in-law Carol. The young woman finally identifies Carol Rogers as the person who solds her the drugs, but when detectives go to confront Carol they find her body, and are left trying to uncover who really killed Carol.</x:v>
      </x:c>
      <x:c r="P1178" s="53" t="str">
        <x:v>Core Law &amp; Order franchise</x:v>
      </x:c>
      <x:c r="Q1178" s="17" t="str">
        <x:v>225077</x:v>
      </x:c>
      <x:c r="R1178" s="17" t="str">
        <x:v>tt0629617</x:v>
      </x:c>
      <x:c r="S1178" s="17" t="str">
        <x:v>764</x:v>
      </x:c>
    </x:row>
    <x:row r="1179">
      <x:c r="A1179" s="43" t="n">
        <x:v>1175</x:v>
      </x:c>
      <x:c r="B1179" s="44" t="str">
        <x:v>Not Started</x:v>
      </x:c>
      <x:c r="C1179" s="45" t="n">
        <x:v>38483</x:v>
      </x:c>
      <x:c r="D1179" s="33" t="str">
        <x:v>Law &amp; Order</x:v>
      </x:c>
      <x:c r="E1179" s="33" t="str">
        <x:v>Law &amp; Order</x:v>
      </x:c>
      <x:c r="F1179" s="33" t="str">
        <x:v>core</x:v>
      </x:c>
      <x:c r="G1179" s="50" t="n">
        <x:v>15</x:v>
      </x:c>
      <x:c r="H1179" s="50" t="n">
        <x:v>23</x:v>
      </x:c>
      <x:c r="I1179" s="44" t="str">
        <x:v>15.23</x:v>
      </x:c>
      <x:c r="J1179" s="33" t="str">
        <x:v>In God We Trust</x:v>
      </x:c>
      <x:c r="K1179" s="33" t="str"/>
      <x:c r="L1179" s="33" t="str"/>
      <x:c r="M1179" s="44" t="str"/>
      <x:c r="N1179" s="50" t="n">
        <x:v>45</x:v>
      </x:c>
      <x:c r="O1179" s="53" t="str">
        <x:v>When Fontana and Falco investigate an arson which caused the death of a firefighter, they discover a murder weapon tied to a nine year old murder and a hate crime in which the defendent attempts to have his case dismissed because he became a born again Christian after committing the murder.</x:v>
      </x:c>
      <x:c r="P1179" s="53" t="str">
        <x:v>Core Law &amp; Order franchise</x:v>
      </x:c>
      <x:c r="Q1179" s="17" t="str">
        <x:v>34402</x:v>
      </x:c>
      <x:c r="R1179" s="17" t="str">
        <x:v>tt0629310</x:v>
      </x:c>
      <x:c r="S1179" s="17" t="str">
        <x:v>765</x:v>
      </x:c>
    </x:row>
    <x:row r="1180">
      <x:c r="A1180" s="43" t="n">
        <x:v>1176</x:v>
      </x:c>
      <x:c r="B1180" s="44" t="str">
        <x:v>Not Started</x:v>
      </x:c>
      <x:c r="C1180" s="45" t="n">
        <x:v>38487</x:v>
      </x:c>
      <x:c r="D1180" s="33" t="str">
        <x:v>Law &amp; Order: Criminal Intent</x:v>
      </x:c>
      <x:c r="E1180" s="33" t="str">
        <x:v>Law &amp; Order</x:v>
      </x:c>
      <x:c r="F1180" s="33" t="str">
        <x:v>core</x:v>
      </x:c>
      <x:c r="G1180" s="50" t="n">
        <x:v>4</x:v>
      </x:c>
      <x:c r="H1180" s="50" t="n">
        <x:v>22</x:v>
      </x:c>
      <x:c r="I1180" s="44" t="str">
        <x:v>04.22</x:v>
      </x:c>
      <x:c r="J1180" s="33" t="str">
        <x:v>My Good Name</x:v>
      </x:c>
      <x:c r="K1180" s="33" t="str"/>
      <x:c r="L1180" s="33" t="str"/>
      <x:c r="M1180" s="44" t="str"/>
      <x:c r="N1180" s="50" t="n">
        <x:v>44</x:v>
      </x:c>
      <x:c r="O1180" s="53" t="str">
        <x:v>When the body of a man is found and it soon becomes obvious the body has been moved, Eames and Goren investigate the death of Walter Czabo, whose wife has been sleeping with a decorated former police officer who happens to have close ties to Deakins. The suspects start piling up, starting with Frank Adair and leading to his controlling publicist, but Deakins is reluctant to go after his friend, who wields a lot of local influence, without good, hard proof.</x:v>
      </x:c>
      <x:c r="P1180" s="53" t="str">
        <x:v>Core Law &amp; Order franchise</x:v>
      </x:c>
      <x:c r="Q1180" s="17" t="str">
        <x:v>341299</x:v>
      </x:c>
      <x:c r="R1180" s="17" t="str">
        <x:v>tt0629555</x:v>
      </x:c>
      <x:c r="S1180" s="17" t="str">
        <x:v>766</x:v>
      </x:c>
    </x:row>
    <x:row r="1181">
      <x:c r="A1181" s="43" t="n">
        <x:v>1177</x:v>
      </x:c>
      <x:c r="B1181" s="44" t="str">
        <x:v>Not Started</x:v>
      </x:c>
      <x:c r="C1181" s="45" t="n">
        <x:v>38489</x:v>
      </x:c>
      <x:c r="D1181" s="33" t="str">
        <x:v>Law &amp; Order: Special Victims Unit</x:v>
      </x:c>
      <x:c r="E1181" s="33" t="str">
        <x:v>Law &amp; Order</x:v>
      </x:c>
      <x:c r="F1181" s="33" t="str">
        <x:v>core</x:v>
      </x:c>
      <x:c r="G1181" s="50" t="n">
        <x:v>6</x:v>
      </x:c>
      <x:c r="H1181" s="50" t="n">
        <x:v>22</x:v>
      </x:c>
      <x:c r="I1181" s="44" t="str">
        <x:v>06.22</x:v>
      </x:c>
      <x:c r="J1181" s="33" t="str">
        <x:v>Parts</x:v>
      </x:c>
      <x:c r="K1181" s="33" t="str"/>
      <x:c r="L1181" s="33" t="str"/>
      <x:c r="M1181" s="44" t="str"/>
      <x:c r="N1181" s="50" t="n">
        <x:v>43</x:v>
      </x:c>
      <x:c r="O1181" s="53" t="str">
        <x:v>After a woman's head is found in a car junkyard, the detectives track it down to the black market.</x:v>
      </x:c>
      <x:c r="P1181" s="53" t="str">
        <x:v>Core Law &amp; Order franchise</x:v>
      </x:c>
      <x:c r="Q1181" s="17" t="str">
        <x:v>225078</x:v>
      </x:c>
      <x:c r="R1181" s="17" t="str">
        <x:v>tt0629699</x:v>
      </x:c>
      <x:c r="S1181" s="17" t="str">
        <x:v>767</x:v>
      </x:c>
    </x:row>
    <x:row r="1182">
      <x:c r="A1182" s="43" t="n">
        <x:v>1178</x:v>
      </x:c>
      <x:c r="B1182" s="44" t="str">
        <x:v>Not Started</x:v>
      </x:c>
      <x:c r="C1182" s="45" t="n">
        <x:v>38490</x:v>
      </x:c>
      <x:c r="D1182" s="33" t="str">
        <x:v>Law &amp; Order</x:v>
      </x:c>
      <x:c r="E1182" s="33" t="str">
        <x:v>Law &amp; Order</x:v>
      </x:c>
      <x:c r="F1182" s="33" t="str">
        <x:v>core</x:v>
      </x:c>
      <x:c r="G1182" s="50" t="n">
        <x:v>15</x:v>
      </x:c>
      <x:c r="H1182" s="50" t="n">
        <x:v>24</x:v>
      </x:c>
      <x:c r="I1182" s="44" t="str">
        <x:v>15.24</x:v>
      </x:c>
      <x:c r="J1182" s="33" t="str">
        <x:v>Locomotion</x:v>
      </x:c>
      <x:c r="K1182" s="33" t="str"/>
      <x:c r="L1182" s="33" t="str"/>
      <x:c r="M1182" s="44" t="str"/>
      <x:c r="N1182" s="50" t="n">
        <x:v>45</x:v>
      </x:c>
      <x:c r="O1182" s="53" t="str">
        <x:v>After a man causes a massive train crash that results in multiple deaths, McCoy tries to prosecute him for murder despite his insanity defense. But McCoy finds himself hampered by a defense attorney whose own agenda may undercut that of his client.</x:v>
      </x:c>
      <x:c r="P1182" s="53" t="str">
        <x:v>Core Law &amp; Order franchise</x:v>
      </x:c>
      <x:c r="Q1182" s="17" t="str">
        <x:v>34403</x:v>
      </x:c>
      <x:c r="R1182" s="17" t="str">
        <x:v>tt0629331</x:v>
      </x:c>
      <x:c r="S1182" s="17" t="str">
        <x:v>768</x:v>
      </x:c>
    </x:row>
    <x:row r="1183">
      <x:c r="A1183" s="43" t="n">
        <x:v>1179</x:v>
      </x:c>
      <x:c r="B1183" s="44" t="str">
        <x:v>Not Started</x:v>
      </x:c>
      <x:c r="C1183" s="45" t="n">
        <x:v>38496</x:v>
      </x:c>
      <x:c r="D1183" s="33" t="str">
        <x:v>Law &amp; Order: Special Victims Unit</x:v>
      </x:c>
      <x:c r="E1183" s="33" t="str">
        <x:v>Law &amp; Order</x:v>
      </x:c>
      <x:c r="F1183" s="33" t="str">
        <x:v>core</x:v>
      </x:c>
      <x:c r="G1183" s="50" t="n">
        <x:v>6</x:v>
      </x:c>
      <x:c r="H1183" s="50" t="n">
        <x:v>23</x:v>
      </x:c>
      <x:c r="I1183" s="44" t="str">
        <x:v>06.23</x:v>
      </x:c>
      <x:c r="J1183" s="33" t="str">
        <x:v>Goliath</x:v>
      </x:c>
      <x:c r="K1183" s="33" t="str"/>
      <x:c r="L1183" s="33" t="str"/>
      <x:c r="M1183" s="44" t="str"/>
      <x:c r="N1183" s="50" t="n">
        <x:v>43</x:v>
      </x:c>
      <x:c r="O1183" s="53" t="str">
        <x:v>After the wife of a police officer claims her husband raped her, Benson and Stabler arrest the man and come close to believing his version of events when he attacks his captain. When another officer murders his wife and attempts to kill himself that same night, the whole force gets involved and soon realises that the two men both recently returned home from Afghanistan, where they were given the drug Quinium, an anti-malarial. With the reluctant help of reporter Sherm Hempell and a base doctor with an attack of conscience, Novak takes on the U.S. army. Stabler has trouble with the case because of his history in the marines.</x:v>
      </x:c>
      <x:c r="P1183" s="53" t="str">
        <x:v>Core Law &amp; Order franchise</x:v>
      </x:c>
      <x:c r="Q1183" s="17" t="str">
        <x:v>225079</x:v>
      </x:c>
      <x:c r="R1183" s="17" t="str">
        <x:v>tt0629659</x:v>
      </x:c>
      <x:c r="S1183" s="17" t="str">
        <x:v>769</x:v>
      </x:c>
    </x:row>
    <x:row r="1184">
      <x:c r="A1184" s="43" t="n">
        <x:v>1180</x:v>
      </x:c>
      <x:c r="B1184" s="44" t="str">
        <x:v>Not Started</x:v>
      </x:c>
      <x:c r="C1184" s="45" t="n">
        <x:v>38497</x:v>
      </x:c>
      <x:c r="D1184" s="33" t="str">
        <x:v>Law &amp; Order: Criminal Intent</x:v>
      </x:c>
      <x:c r="E1184" s="33" t="str">
        <x:v>Law &amp; Order</x:v>
      </x:c>
      <x:c r="F1184" s="33" t="str">
        <x:v>core</x:v>
      </x:c>
      <x:c r="G1184" s="50" t="n">
        <x:v>4</x:v>
      </x:c>
      <x:c r="H1184" s="50" t="n">
        <x:v>23</x:v>
      </x:c>
      <x:c r="I1184" s="44" t="str">
        <x:v>04.23</x:v>
      </x:c>
      <x:c r="J1184" s="33" t="str">
        <x:v>False-Hearted Judges</x:v>
      </x:c>
      <x:c r="K1184" s="33" t="str"/>
      <x:c r="L1184" s="33" t="str"/>
      <x:c r="M1184" s="44" t="str"/>
      <x:c r="N1184" s="50" t="n">
        <x:v>44</x:v>
      </x:c>
      <x:c r="O1184" s="53" t="str">
        <x:v>It's open season in New York when not one but two powerful judges are executed. At first they seem to have no connection; one was a family court judge whose entire family was attacked, the other is an appellate court judge. After investigating the judges more thoroughly, Goren and Eames realise that their first set of suspects was simply a smokescreen, and there is a far more insidious threat. Their investigation leads them to a non-custodial father who has a beef with the court system.</x:v>
      </x:c>
      <x:c r="P1184" s="53" t="str">
        <x:v>Core Law &amp; Order franchise</x:v>
      </x:c>
      <x:c r="Q1184" s="17" t="str">
        <x:v>341300</x:v>
      </x:c>
      <x:c r="R1184" s="17" t="str">
        <x:v>tt0629533</x:v>
      </x:c>
      <x:c r="S1184" s="17" t="str">
        <x:v>770</x:v>
      </x:c>
    </x:row>
    <x:row r="1185">
      <x:c r="A1185" s="43" t="n">
        <x:v>1181</x:v>
      </x:c>
      <x:c r="B1185" s="44" t="str">
        <x:v>Not Started</x:v>
      </x:c>
      <x:c r="C1185" s="45" t="n">
        <x:v>38504</x:v>
      </x:c>
      <x:c r="D1185" s="33" t="str">
        <x:v>Homicide: Life on the Street</x:v>
      </x:c>
      <x:c r="E1185" s="33" t="str">
        <x:v>Law &amp; Order</x:v>
      </x:c>
      <x:c r="F1185" s="33" t="str">
        <x:v>connected</x:v>
      </x:c>
      <x:c r="G1185" s="50" t="n">
        <x:v>0</x:v>
      </x:c>
      <x:c r="H1185" s="50" t="n">
        <x:v>8</x:v>
      </x:c>
      <x:c r="I1185" s="44" t="str">
        <x:v>S00.08</x:v>
      </x:c>
      <x:c r="J1185" s="33" t="str">
        <x:v>Live Panel Discussion</x:v>
      </x:c>
      <x:c r="K1185" s="33" t="str"/>
      <x:c r="L1185" s="33" t="str"/>
      <x:c r="M1185" s="44" t="str"/>
      <x:c r="N1185" s="50" t="n">
        <x:v>45</x:v>
      </x:c>
      <x:c r="O1185" s="53" t="str">
        <x:v>Live panel discussion with Tom Fontana, Barry Levinson, James Yoshimura, and David Simon.</x:v>
      </x:c>
      <x:c r="P1185" s="53" t="str">
        <x:v>Direct crossover with Law &amp; Order; Munch bridge to SVU</x:v>
      </x:c>
      <x:c r="Q1185" s="17" t="str">
        <x:v>1592778</x:v>
      </x:c>
      <x:c r="R1185" s="17" t="str"/>
      <x:c r="S1185" s="17" t="str"/>
    </x:row>
    <x:row r="1186">
      <x:c r="A1186" s="43" t="n">
        <x:v>1182</x:v>
      </x:c>
      <x:c r="B1186" s="44" t="str">
        <x:v>Not Started</x:v>
      </x:c>
      <x:c r="C1186" s="45" t="n">
        <x:v>38615</x:v>
      </x:c>
      <x:c r="D1186" s="33" t="str">
        <x:v>Law &amp; Order: Special Victims Unit</x:v>
      </x:c>
      <x:c r="E1186" s="33" t="str">
        <x:v>Law &amp; Order</x:v>
      </x:c>
      <x:c r="F1186" s="33" t="str">
        <x:v>core</x:v>
      </x:c>
      <x:c r="G1186" s="50" t="n">
        <x:v>7</x:v>
      </x:c>
      <x:c r="H1186" s="50" t="n">
        <x:v>1</x:v>
      </x:c>
      <x:c r="I1186" s="44" t="str">
        <x:v>07.01</x:v>
      </x:c>
      <x:c r="J1186" s="33" t="str">
        <x:v>Demons</x:v>
      </x:c>
      <x:c r="K1186" s="33" t="str"/>
      <x:c r="L1186" s="33" t="str"/>
      <x:c r="M1186" s="44" t="str"/>
      <x:c r="N1186" s="50" t="n">
        <x:v>42</x:v>
      </x:c>
      <x:c r="O1186" s="53" t="str">
        <x:v>Twenty years after being convicted of the rape of a teenage girl, Ray Schenkel is released, much to the dismay of retired detective William Dorsey. When a teenage girl is raped on the route Schenkel would have taken home, Stabler goes undercover as a recently paroled sex offender so that he can get into the same therapy group as Schenkel, and the same halfway house. Cragen worries that Stabler may be getting in over his head.</x:v>
      </x:c>
      <x:c r="P1186" s="53" t="str">
        <x:v>Core Law &amp; Order franchise</x:v>
      </x:c>
      <x:c r="Q1186" s="17" t="str">
        <x:v>225080</x:v>
      </x:c>
      <x:c r="R1186" s="17" t="str">
        <x:v>tt0629641</x:v>
      </x:c>
      <x:c r="S1186" s="17" t="str">
        <x:v>771</x:v>
      </x:c>
    </x:row>
    <x:row r="1187">
      <x:c r="A1187" s="43" t="n">
        <x:v>1183</x:v>
      </x:c>
      <x:c r="B1187" s="44" t="str">
        <x:v>Not Started</x:v>
      </x:c>
      <x:c r="C1187" s="45" t="n">
        <x:v>38616</x:v>
      </x:c>
      <x:c r="D1187" s="33" t="str">
        <x:v>Law &amp; Order</x:v>
      </x:c>
      <x:c r="E1187" s="33" t="str">
        <x:v>Law &amp; Order</x:v>
      </x:c>
      <x:c r="F1187" s="33" t="str">
        <x:v>core</x:v>
      </x:c>
      <x:c r="G1187" s="50" t="n">
        <x:v>16</x:v>
      </x:c>
      <x:c r="H1187" s="50" t="n">
        <x:v>1</x:v>
      </x:c>
      <x:c r="I1187" s="44" t="str">
        <x:v>16.01</x:v>
      </x:c>
      <x:c r="J1187" s="33" t="str">
        <x:v>Red Ball</x:v>
      </x:c>
      <x:c r="K1187" s="33" t="str"/>
      <x:c r="L1187" s="33" t="str"/>
      <x:c r="M1187" s="44" t="str"/>
      <x:c r="N1187" s="50" t="n">
        <x:v>45</x:v>
      </x:c>
      <x:c r="O1187" s="53" t="str">
        <x:v>A young girl is abducted in broad daylight, and the only link to the girl is an ex-convict who wants a deal before he's willing to talk.</x:v>
      </x:c>
      <x:c r="P1187" s="53" t="str">
        <x:v>Core Law &amp; Order franchise</x:v>
      </x:c>
      <x:c r="Q1187" s="17" t="str">
        <x:v>34404</x:v>
      </x:c>
      <x:c r="R1187" s="17" t="str">
        <x:v>tt0629396</x:v>
      </x:c>
      <x:c r="S1187" s="17" t="str">
        <x:v>772</x:v>
      </x:c>
    </x:row>
    <x:row r="1188">
      <x:c r="A1188" s="43" t="n">
        <x:v>1184</x:v>
      </x:c>
      <x:c r="B1188" s="44" t="str">
        <x:v>Not Started</x:v>
      </x:c>
      <x:c r="C1188" s="45" t="n">
        <x:v>38620</x:v>
      </x:c>
      <x:c r="D1188" s="33" t="str">
        <x:v>Law &amp; Order: Criminal Intent</x:v>
      </x:c>
      <x:c r="E1188" s="33" t="str">
        <x:v>Law &amp; Order</x:v>
      </x:c>
      <x:c r="F1188" s="33" t="str">
        <x:v>core</x:v>
      </x:c>
      <x:c r="G1188" s="50" t="n">
        <x:v>5</x:v>
      </x:c>
      <x:c r="H1188" s="50" t="n">
        <x:v>1</x:v>
      </x:c>
      <x:c r="I1188" s="44" t="str">
        <x:v>05.01</x:v>
      </x:c>
      <x:c r="J1188" s="33" t="str">
        <x:v>Grow</x:v>
      </x:c>
      <x:c r="K1188" s="33" t="str"/>
      <x:c r="L1188" s="33" t="str"/>
      <x:c r="M1188" s="44" t="str"/>
      <x:c r="N1188" s="50" t="n">
        <x:v>44</x:v>
      </x:c>
      <x:c r="O1188" s="53" t="str">
        <x:v>When city health inspector Larry Chapel is found dead in an elevator, a quick look into Chapel's home life introduces them to Chapel's recently widowed brother, Evan, and little girl Gwen. Goren isn't very surprised to learn that Nicole Wallace is Evan's fiancée and the future mother to his little girl, but Major Case soon realizes they're off the mark in who they believe the suspect is, and Goren's only hope is to get Nicole to help him trap the killer. Logan joins the Major Case squad, but isn't pleased with being relegated to the background while the other detectives solve the cases, and Deakins tries to find a partner for him.</x:v>
      </x:c>
      <x:c r="P1188" s="53" t="str">
        <x:v>Core Law &amp; Order franchise</x:v>
      </x:c>
      <x:c r="Q1188" s="17" t="str">
        <x:v>341301</x:v>
      </x:c>
      <x:c r="R1188" s="17" t="str">
        <x:v>tt0629539</x:v>
      </x:c>
      <x:c r="S1188" s="17" t="str">
        <x:v>773</x:v>
      </x:c>
    </x:row>
    <x:row r="1189">
      <x:c r="A1189" s="43" t="n">
        <x:v>1185</x:v>
      </x:c>
      <x:c r="B1189" s="44" t="str">
        <x:v>Not Started</x:v>
      </x:c>
      <x:c r="C1189" s="45" t="n">
        <x:v>38622</x:v>
      </x:c>
      <x:c r="D1189" s="33" t="str">
        <x:v>Law &amp; Order: Special Victims Unit</x:v>
      </x:c>
      <x:c r="E1189" s="33" t="str">
        <x:v>Law &amp; Order</x:v>
      </x:c>
      <x:c r="F1189" s="33" t="str">
        <x:v>core</x:v>
      </x:c>
      <x:c r="G1189" s="50" t="n">
        <x:v>7</x:v>
      </x:c>
      <x:c r="H1189" s="50" t="n">
        <x:v>2</x:v>
      </x:c>
      <x:c r="I1189" s="44" t="str">
        <x:v>07.02</x:v>
      </x:c>
      <x:c r="J1189" s="33" t="str">
        <x:v>Design (I)</x:v>
      </x:c>
      <x:c r="K1189" s="33" t="str">
        <x:v>Multi-episode arc</x:v>
      </x:c>
      <x:c r="L1189" s="33" t="str">
        <x:v>Design</x:v>
      </x:c>
      <x:c r="M1189" s="44" t="str"/>
      <x:c r="N1189" s="50" t="n">
        <x:v>43</x:v>
      </x:c>
      <x:c r="O1189" s="53" t="str">
        <x:v>Benson saves April Troost from committing suicide, but feels responsible when Troost dies during the trial of the man she accuses of raping her and getting her pregnant. It isn't long before detectives learn that Barclay Pallister wasn't the only man April picked up in a bar who has no recollection of sleeping with her, and the squad realizes that Troost was no victim. Their search takes them from prospective parents looking to adopt her child to the men she drugged and accosted to the sperm center she used to work at, which ends up at the center of the case.
This crossover continues on Law &amp; Order S16E02 Flaw (II).</x:v>
      </x:c>
      <x:c r="P1189" s="53" t="str">
        <x:v>Core Law &amp; Order franchise</x:v>
      </x:c>
      <x:c r="Q1189" s="17" t="str">
        <x:v>225081</x:v>
      </x:c>
      <x:c r="R1189" s="17" t="str">
        <x:v>tt0629643</x:v>
      </x:c>
      <x:c r="S1189" s="17" t="str">
        <x:v>Canonical episode title notation; editorial inference.</x:v>
      </x:c>
    </x:row>
    <x:row r="1190">
      <x:c r="A1190" s="43" t="n">
        <x:v>1186</x:v>
      </x:c>
      <x:c r="B1190" s="44" t="str">
        <x:v>Not Started</x:v>
      </x:c>
      <x:c r="C1190" s="45" t="n">
        <x:v>38623</x:v>
      </x:c>
      <x:c r="D1190" s="33" t="str">
        <x:v>Law &amp; Order</x:v>
      </x:c>
      <x:c r="E1190" s="33" t="str">
        <x:v>Law &amp; Order</x:v>
      </x:c>
      <x:c r="F1190" s="33" t="str">
        <x:v>core</x:v>
      </x:c>
      <x:c r="G1190" s="50" t="n">
        <x:v>16</x:v>
      </x:c>
      <x:c r="H1190" s="50" t="n">
        <x:v>2</x:v>
      </x:c>
      <x:c r="I1190" s="44" t="str">
        <x:v>16.02</x:v>
      </x:c>
      <x:c r="J1190" s="33" t="str">
        <x:v>Flaw (II)</x:v>
      </x:c>
      <x:c r="K1190" s="33" t="str">
        <x:v>Multi-episode arc</x:v>
      </x:c>
      <x:c r="L1190" s="33" t="str">
        <x:v>Flaw</x:v>
      </x:c>
      <x:c r="M1190" s="44" t="str"/>
      <x:c r="N1190" s="50" t="n">
        <x:v>45</x:v>
      </x:c>
      <x:c r="O1190" s="53" t="str">
        <x:v>Green and Fontana bring SVU Detective Olivia Benson onto their scene when a DOA has her number on his cell phone.
This crossover starts on Law &amp; Order: Special Victims Unit S07E02 Design (I).</x:v>
      </x:c>
      <x:c r="P1190" s="53" t="str">
        <x:v>Core Law &amp; Order franchise</x:v>
      </x:c>
      <x:c r="Q1190" s="17" t="str">
        <x:v>34405</x:v>
      </x:c>
      <x:c r="R1190" s="17" t="str">
        <x:v>tt0629265</x:v>
      </x:c>
      <x:c r="S1190" s="17" t="str">
        <x:v>Canonical episode title notation; editorial inference.</x:v>
      </x:c>
    </x:row>
    <x:row r="1191">
      <x:c r="A1191" s="43" t="n">
        <x:v>1187</x:v>
      </x:c>
      <x:c r="B1191" s="44" t="str">
        <x:v>Not Started</x:v>
      </x:c>
      <x:c r="C1191" s="45" t="n">
        <x:v>38623</x:v>
      </x:c>
      <x:c r="D1191" s="33" t="str">
        <x:v>Law &amp; Order</x:v>
      </x:c>
      <x:c r="E1191" s="33" t="str">
        <x:v>Law &amp; Order</x:v>
      </x:c>
      <x:c r="F1191" s="33" t="str">
        <x:v>core</x:v>
      </x:c>
      <x:c r="G1191" s="50" t="n">
        <x:v>0</x:v>
      </x:c>
      <x:c r="H1191" s="50" t="n">
        <x:v>16</x:v>
      </x:c>
      <x:c r="I1191" s="44" t="str">
        <x:v>S00.16</x:v>
      </x:c>
      <x:c r="J1191" s="33" t="str">
        <x:v>Design (1) (Law &amp; Order: SVU)</x:v>
      </x:c>
      <x:c r="K1191" s="33" t="str"/>
      <x:c r="L1191" s="33" t="str"/>
      <x:c r="M1191" s="44" t="str"/>
      <x:c r="N1191" s="50" t="n">
        <x:v>45</x:v>
      </x:c>
      <x:c r="O1191" s="53" t="str">
        <x:v>Benson saves April Troost from committing suicide, but feels responsible when Troost dies during the trial of the man she accuses of raping her and getting her pregnant. It isn't long before detectives learn that Barclay Pallister wasn't the only man April picked up in a bar who has no recollection of sleeping with her, and the squad realises that Troost was no victim. Their search takes them from prospective parents looking to adopt her child to the men she drugged and accosted to the sperm center she used to work at, which ends up at the center of the case. (Aired on Law &amp; Order: Special Victims Unit, season 7, episode 2.)
</x:v>
      </x:c>
      <x:c r="P1191" s="53" t="str">
        <x:v>Core Law &amp; Order franchise</x:v>
      </x:c>
      <x:c r="Q1191" s="17" t="str">
        <x:v>1429840</x:v>
      </x:c>
      <x:c r="R1191" s="17" t="str"/>
      <x:c r="S1191" s="17" t="str"/>
    </x:row>
    <x:row r="1192">
      <x:c r="A1192" s="43" t="n">
        <x:v>1188</x:v>
      </x:c>
      <x:c r="B1192" s="44" t="str">
        <x:v>Not Started</x:v>
      </x:c>
      <x:c r="C1192" s="45" t="n">
        <x:v>38627</x:v>
      </x:c>
      <x:c r="D1192" s="33" t="str">
        <x:v>Law &amp; Order: Criminal Intent</x:v>
      </x:c>
      <x:c r="E1192" s="33" t="str">
        <x:v>Law &amp; Order</x:v>
      </x:c>
      <x:c r="F1192" s="33" t="str">
        <x:v>core</x:v>
      </x:c>
      <x:c r="G1192" s="50" t="n">
        <x:v>5</x:v>
      </x:c>
      <x:c r="H1192" s="50" t="n">
        <x:v>2</x:v>
      </x:c>
      <x:c r="I1192" s="44" t="str">
        <x:v>05.02</x:v>
      </x:c>
      <x:c r="J1192" s="33" t="str">
        <x:v>Diamond Dogs</x:v>
      </x:c>
      <x:c r="K1192" s="33" t="str"/>
      <x:c r="L1192" s="33" t="str"/>
      <x:c r="M1192" s="44" t="str"/>
      <x:c r="N1192" s="50" t="n">
        <x:v>44</x:v>
      </x:c>
      <x:c r="O1192" s="53" t="str">
        <x:v>Logan and his new partner, Barek, investigate a series of robberies in mom-and-pop jewelry stores that are escalating in the level of violence. After a home investigation leads them to a young junkie, Barek and Logan are soon led to a mother-and-son team of criminals. They soon realise that the mother is the one pulling all the strings. Logan is uncomfortable when Barek uses his past to get through to their suspect.</x:v>
      </x:c>
      <x:c r="P1192" s="53" t="str">
        <x:v>Core Law &amp; Order franchise</x:v>
      </x:c>
      <x:c r="Q1192" s="17" t="str">
        <x:v>341302</x:v>
      </x:c>
      <x:c r="R1192" s="17" t="str">
        <x:v>tt0629526</x:v>
      </x:c>
      <x:c r="S1192" s="17" t="str">
        <x:v>776</x:v>
      </x:c>
    </x:row>
    <x:row r="1193">
      <x:c r="A1193" s="43" t="n">
        <x:v>1189</x:v>
      </x:c>
      <x:c r="B1193" s="44" t="str">
        <x:v>Not Started</x:v>
      </x:c>
      <x:c r="C1193" s="45" t="n">
        <x:v>38629</x:v>
      </x:c>
      <x:c r="D1193" s="33" t="str">
        <x:v>Law &amp; Order: Special Victims Unit</x:v>
      </x:c>
      <x:c r="E1193" s="33" t="str">
        <x:v>Law &amp; Order</x:v>
      </x:c>
      <x:c r="F1193" s="33" t="str">
        <x:v>core</x:v>
      </x:c>
      <x:c r="G1193" s="50" t="n">
        <x:v>7</x:v>
      </x:c>
      <x:c r="H1193" s="50" t="n">
        <x:v>3</x:v>
      </x:c>
      <x:c r="I1193" s="44" t="str">
        <x:v>07.03</x:v>
      </x:c>
      <x:c r="J1193" s="33" t="str">
        <x:v>911</x:v>
      </x:c>
      <x:c r="K1193" s="33" t="str"/>
      <x:c r="L1193" s="33" t="str"/>
      <x:c r="M1193" s="44" t="str"/>
      <x:c r="N1193" s="50" t="n">
        <x:v>43</x:v>
      </x:c>
      <x:c r="O1193" s="53" t="str">
        <x:v>Benson is on her way out for the evening when a call comes in from a little girl who says she's all alone. While trying to draw the girl out, Benson is drawn deeper into the little girl's life, and although the other officers begin to suspect the whole thing may be some sick joke, Benson is convinced that the little girl is the real deal. By talking to Maria, Benson is able to ferret enough information from her so that they have a place to start, but Maria's captor has an affinity for electronics and has done everything he can to make sure that no one can find the little girl he bought and paid for.</x:v>
      </x:c>
      <x:c r="P1193" s="53" t="str">
        <x:v>Core Law &amp; Order franchise</x:v>
      </x:c>
      <x:c r="Q1193" s="17" t="str">
        <x:v>225082</x:v>
      </x:c>
      <x:c r="R1193" s="17" t="str">
        <x:v>tt0629605</x:v>
      </x:c>
      <x:c r="S1193" s="17" t="str">
        <x:v>777</x:v>
      </x:c>
    </x:row>
    <x:row r="1194">
      <x:c r="A1194" s="43" t="n">
        <x:v>1190</x:v>
      </x:c>
      <x:c r="B1194" s="44" t="str">
        <x:v>Not Started</x:v>
      </x:c>
      <x:c r="C1194" s="45" t="n">
        <x:v>38630</x:v>
      </x:c>
      <x:c r="D1194" s="33" t="str">
        <x:v>Law &amp; Order</x:v>
      </x:c>
      <x:c r="E1194" s="33" t="str">
        <x:v>Law &amp; Order</x:v>
      </x:c>
      <x:c r="F1194" s="33" t="str">
        <x:v>core</x:v>
      </x:c>
      <x:c r="G1194" s="50" t="n">
        <x:v>16</x:v>
      </x:c>
      <x:c r="H1194" s="50" t="n">
        <x:v>3</x:v>
      </x:c>
      <x:c r="I1194" s="44" t="str">
        <x:v>16.03</x:v>
      </x:c>
      <x:c r="J1194" s="33" t="str">
        <x:v>Ghosts</x:v>
      </x:c>
      <x:c r="K1194" s="33" t="str"/>
      <x:c r="L1194" s="33" t="str"/>
      <x:c r="M1194" s="44" t="str"/>
      <x:c r="N1194" s="50" t="n">
        <x:v>45</x:v>
      </x:c>
      <x:c r="O1194" s="53" t="str">
        <x:v>Fontana and McCoy pursue a man believed to have murdered a young girl ten years earlier despite numerous obstacles.</x:v>
      </x:c>
      <x:c r="P1194" s="53" t="str">
        <x:v>Core Law &amp; Order franchise</x:v>
      </x:c>
      <x:c r="Q1194" s="17" t="str">
        <x:v>34406</x:v>
      </x:c>
      <x:c r="R1194" s="17" t="str">
        <x:v>tt0629276</x:v>
      </x:c>
      <x:c r="S1194" s="17" t="str">
        <x:v>778</x:v>
      </x:c>
    </x:row>
    <x:row r="1195">
      <x:c r="A1195" s="43" t="n">
        <x:v>1191</x:v>
      </x:c>
      <x:c r="B1195" s="44" t="str">
        <x:v>Not Started</x:v>
      </x:c>
      <x:c r="C1195" s="45" t="n">
        <x:v>38634</x:v>
      </x:c>
      <x:c r="D1195" s="33" t="str">
        <x:v>Law &amp; Order: Criminal Intent</x:v>
      </x:c>
      <x:c r="E1195" s="33" t="str">
        <x:v>Law &amp; Order</x:v>
      </x:c>
      <x:c r="F1195" s="33" t="str">
        <x:v>core</x:v>
      </x:c>
      <x:c r="G1195" s="50" t="n">
        <x:v>5</x:v>
      </x:c>
      <x:c r="H1195" s="50" t="n">
        <x:v>3</x:v>
      </x:c>
      <x:c r="I1195" s="44" t="str">
        <x:v>05.03</x:v>
      </x:c>
      <x:c r="J1195" s="33" t="str">
        <x:v>Prisoner</x:v>
      </x:c>
      <x:c r="K1195" s="33" t="str"/>
      <x:c r="L1195" s="33" t="str"/>
      <x:c r="M1195" s="44" t="str"/>
      <x:c r="N1195" s="50" t="n">
        <x:v>44</x:v>
      </x:c>
      <x:c r="O1195" s="53" t="str">
        <x:v>Prison warden William Hendry is found brutalised after he goes to drop off a large ransom payment for his wife, kidnapped years earlier by an escaped convict. Eames and Goren track down Jenny Hendry, living happily under a new name, and begin to realise that Hendry isn't the squeaky clean martyr that he's been portrayed as for years, especially once they discover that Jenny's supposed 'kidnapper' was originally hired by the warden to kill his wife.</x:v>
      </x:c>
      <x:c r="P1195" s="53" t="str">
        <x:v>Core Law &amp; Order franchise</x:v>
      </x:c>
      <x:c r="Q1195" s="17" t="str">
        <x:v>341303</x:v>
      </x:c>
      <x:c r="R1195" s="17" t="str">
        <x:v>tt0629562</x:v>
      </x:c>
      <x:c r="S1195" s="17" t="str">
        <x:v>779</x:v>
      </x:c>
    </x:row>
    <x:row r="1196">
      <x:c r="A1196" s="43" t="n">
        <x:v>1192</x:v>
      </x:c>
      <x:c r="B1196" s="44" t="str">
        <x:v>Not Started</x:v>
      </x:c>
      <x:c r="C1196" s="45" t="n">
        <x:v>38636</x:v>
      </x:c>
      <x:c r="D1196" s="33" t="str">
        <x:v>Law &amp; Order: Special Victims Unit</x:v>
      </x:c>
      <x:c r="E1196" s="33" t="str">
        <x:v>Law &amp; Order</x:v>
      </x:c>
      <x:c r="F1196" s="33" t="str">
        <x:v>core</x:v>
      </x:c>
      <x:c r="G1196" s="50" t="n">
        <x:v>7</x:v>
      </x:c>
      <x:c r="H1196" s="50" t="n">
        <x:v>4</x:v>
      </x:c>
      <x:c r="I1196" s="44" t="str">
        <x:v>07.04</x:v>
      </x:c>
      <x:c r="J1196" s="33" t="str">
        <x:v>Ripped</x:v>
      </x:c>
      <x:c r="K1196" s="33" t="str"/>
      <x:c r="L1196" s="33" t="str"/>
      <x:c r="M1196" s="44" t="str"/>
      <x:c r="N1196" s="50" t="n">
        <x:v>42</x:v>
      </x:c>
      <x:c r="O1196" s="53" t="str">
        <x:v>When the teenage son of Stabler's old partner comes under suspicion for attacking a classmate, Stabler's inability to treat this like any other case gets him suspended.</x:v>
      </x:c>
      <x:c r="P1196" s="53" t="str">
        <x:v>Core Law &amp; Order franchise</x:v>
      </x:c>
      <x:c r="Q1196" s="17" t="str">
        <x:v>225083</x:v>
      </x:c>
      <x:c r="R1196" s="17" t="str">
        <x:v>tt0629718</x:v>
      </x:c>
      <x:c r="S1196" s="17" t="str">
        <x:v>780</x:v>
      </x:c>
    </x:row>
    <x:row r="1197">
      <x:c r="A1197" s="43" t="n">
        <x:v>1193</x:v>
      </x:c>
      <x:c r="B1197" s="44" t="str">
        <x:v>Not Started</x:v>
      </x:c>
      <x:c r="C1197" s="45" t="n">
        <x:v>38637</x:v>
      </x:c>
      <x:c r="D1197" s="33" t="str">
        <x:v>Law &amp; Order</x:v>
      </x:c>
      <x:c r="E1197" s="33" t="str">
        <x:v>Law &amp; Order</x:v>
      </x:c>
      <x:c r="F1197" s="33" t="str">
        <x:v>core</x:v>
      </x:c>
      <x:c r="G1197" s="50" t="n">
        <x:v>16</x:v>
      </x:c>
      <x:c r="H1197" s="50" t="n">
        <x:v>4</x:v>
      </x:c>
      <x:c r="I1197" s="44" t="str">
        <x:v>16.04</x:v>
      </x:c>
      <x:c r="J1197" s="33" t="str">
        <x:v>Age of Innocence</x:v>
      </x:c>
      <x:c r="K1197" s="33" t="str"/>
      <x:c r="L1197" s="33" t="str"/>
      <x:c r="M1197" s="44" t="str"/>
      <x:c r="N1197" s="50" t="n">
        <x:v>45</x:v>
      </x:c>
      <x:c r="O1197" s="53" t="str">
        <x:v>The bombing death of a husband set to remove the feeding tube of his wife, who's in a persistent vegetative state, focuses the investigation on the protesters.</x:v>
      </x:c>
      <x:c r="P1197" s="53" t="str">
        <x:v>Core Law &amp; Order franchise</x:v>
      </x:c>
      <x:c r="Q1197" s="17" t="str">
        <x:v>34407</x:v>
      </x:c>
      <x:c r="R1197" s="17" t="str">
        <x:v>tt0629148</x:v>
      </x:c>
      <x:c r="S1197" s="17" t="str">
        <x:v>781</x:v>
      </x:c>
    </x:row>
    <x:row r="1198">
      <x:c r="A1198" s="43" t="n">
        <x:v>1194</x:v>
      </x:c>
      <x:c r="B1198" s="44" t="str">
        <x:v>Not Started</x:v>
      </x:c>
      <x:c r="C1198" s="45" t="n">
        <x:v>38641</x:v>
      </x:c>
      <x:c r="D1198" s="33" t="str">
        <x:v>Law &amp; Order: Criminal Intent</x:v>
      </x:c>
      <x:c r="E1198" s="33" t="str">
        <x:v>Law &amp; Order</x:v>
      </x:c>
      <x:c r="F1198" s="33" t="str">
        <x:v>core</x:v>
      </x:c>
      <x:c r="G1198" s="50" t="n">
        <x:v>5</x:v>
      </x:c>
      <x:c r="H1198" s="50" t="n">
        <x:v>4</x:v>
      </x:c>
      <x:c r="I1198" s="44" t="str">
        <x:v>05.04</x:v>
      </x:c>
      <x:c r="J1198" s="33" t="str">
        <x:v>Unchained</x:v>
      </x:c>
      <x:c r="K1198" s="33" t="str"/>
      <x:c r="L1198" s="33" t="str"/>
      <x:c r="M1198" s="44" t="str"/>
      <x:c r="N1198" s="50" t="n">
        <x:v>44</x:v>
      </x:c>
      <x:c r="O1198" s="53" t="str">
        <x:v>When a cop's son is murdered by the mob, Logan and Barek realise that young Joe Long was killed by mistake, and their investigation leads them to two rival mafia families, but it isn't long before Logan begins to believe that the true criminals aren't the mobsters, but the cops on their payroll. As their investigation narrows down to one main officer, Barek and Logan are faced with the difficult task of having to force the man's daughter to turn against him to get what they want. When the officer and his lawyer bring Logan's stormy history into play, even Deakins takes pause with his decision to have Logan on his force.</x:v>
      </x:c>
      <x:c r="P1198" s="53" t="str">
        <x:v>Core Law &amp; Order franchise</x:v>
      </x:c>
      <x:c r="Q1198" s="17" t="str">
        <x:v>341304</x:v>
      </x:c>
      <x:c r="R1198" s="17" t="str">
        <x:v>tt0629596</x:v>
      </x:c>
      <x:c r="S1198" s="17" t="str">
        <x:v>782</x:v>
      </x:c>
    </x:row>
    <x:row r="1199">
      <x:c r="A1199" s="43" t="n">
        <x:v>1195</x:v>
      </x:c>
      <x:c r="B1199" s="44" t="str">
        <x:v>Not Started</x:v>
      </x:c>
      <x:c r="C1199" s="45" t="n">
        <x:v>38643</x:v>
      </x:c>
      <x:c r="D1199" s="33" t="str">
        <x:v>Law &amp; Order: Special Victims Unit</x:v>
      </x:c>
      <x:c r="E1199" s="33" t="str">
        <x:v>Law &amp; Order</x:v>
      </x:c>
      <x:c r="F1199" s="33" t="str">
        <x:v>core</x:v>
      </x:c>
      <x:c r="G1199" s="50" t="n">
        <x:v>7</x:v>
      </x:c>
      <x:c r="H1199" s="50" t="n">
        <x:v>5</x:v>
      </x:c>
      <x:c r="I1199" s="44" t="str">
        <x:v>07.05</x:v>
      </x:c>
      <x:c r="J1199" s="33" t="str">
        <x:v>Strain</x:v>
      </x:c>
      <x:c r="K1199" s="33" t="str"/>
      <x:c r="L1199" s="33" t="str"/>
      <x:c r="M1199" s="44" t="str"/>
      <x:c r="N1199" s="50" t="n">
        <x:v>43</x:v>
      </x:c>
      <x:c r="O1199" s="53" t="str">
        <x:v>The discovery of the bodies of two young gay men who were both meth addicts as well as victims of a new strain of AIDS that can kill its victims in less than a year leads to an investigation. Tutuola learns that his son, Ken, is gay, and has difficulty accepting it, even though he and Benson end up going to Ken for help with infiltrating an anti-meth group. The group's leader, Gabriel, soon becomes their top suspect when the squad realises that the two men died because they passed the disease on.</x:v>
      </x:c>
      <x:c r="P1199" s="53" t="str">
        <x:v>Core Law &amp; Order franchise</x:v>
      </x:c>
      <x:c r="Q1199" s="17" t="str">
        <x:v>225084</x:v>
      </x:c>
      <x:c r="R1199" s="17" t="str">
        <x:v>tt0629742</x:v>
      </x:c>
      <x:c r="S1199" s="17" t="str">
        <x:v>783</x:v>
      </x:c>
    </x:row>
    <x:row r="1200">
      <x:c r="A1200" s="43" t="n">
        <x:v>1196</x:v>
      </x:c>
      <x:c r="B1200" s="44" t="str">
        <x:v>Not Started</x:v>
      </x:c>
      <x:c r="C1200" s="45" t="n">
        <x:v>38644</x:v>
      </x:c>
      <x:c r="D1200" s="33" t="str">
        <x:v>Law &amp; Order</x:v>
      </x:c>
      <x:c r="E1200" s="33" t="str">
        <x:v>Law &amp; Order</x:v>
      </x:c>
      <x:c r="F1200" s="33" t="str">
        <x:v>core</x:v>
      </x:c>
      <x:c r="G1200" s="50" t="n">
        <x:v>16</x:v>
      </x:c>
      <x:c r="H1200" s="50" t="n">
        <x:v>5</x:v>
      </x:c>
      <x:c r="I1200" s="44" t="str">
        <x:v>16.05</x:v>
      </x:c>
      <x:c r="J1200" s="33" t="str">
        <x:v>Life Line</x:v>
      </x:c>
      <x:c r="K1200" s="33" t="str"/>
      <x:c r="L1200" s="33" t="str"/>
      <x:c r="M1200" s="44" t="str"/>
      <x:c r="N1200" s="50" t="n">
        <x:v>45</x:v>
      </x:c>
      <x:c r="O1200" s="53" t="str">
        <x:v>Police turn their attention to the murder of an undercover reporter, but realise that the killer isn't as guilty as he appears.</x:v>
      </x:c>
      <x:c r="P1200" s="53" t="str">
        <x:v>Core Law &amp; Order franchise</x:v>
      </x:c>
      <x:c r="Q1200" s="17" t="str">
        <x:v>34408</x:v>
      </x:c>
      <x:c r="R1200" s="17" t="str">
        <x:v>tt0629329</x:v>
      </x:c>
      <x:c r="S1200" s="17" t="str">
        <x:v>784</x:v>
      </x:c>
    </x:row>
    <x:row r="1201">
      <x:c r="A1201" s="43" t="n">
        <x:v>1197</x:v>
      </x:c>
      <x:c r="B1201" s="44" t="str">
        <x:v>Not Started</x:v>
      </x:c>
      <x:c r="C1201" s="45" t="n">
        <x:v>38648</x:v>
      </x:c>
      <x:c r="D1201" s="33" t="str">
        <x:v>Law &amp; Order: Criminal Intent</x:v>
      </x:c>
      <x:c r="E1201" s="33" t="str">
        <x:v>Law &amp; Order</x:v>
      </x:c>
      <x:c r="F1201" s="33" t="str">
        <x:v>core</x:v>
      </x:c>
      <x:c r="G1201" s="50" t="n">
        <x:v>5</x:v>
      </x:c>
      <x:c r="H1201" s="50" t="n">
        <x:v>5</x:v>
      </x:c>
      <x:c r="I1201" s="44" t="str">
        <x:v>05.05</x:v>
      </x:c>
      <x:c r="J1201" s="33" t="str">
        <x:v>Acts of Contrition</x:v>
      </x:c>
      <x:c r="K1201" s="33" t="str"/>
      <x:c r="L1201" s="33" t="str"/>
      <x:c r="M1201" s="44" t="str"/>
      <x:c r="N1201" s="50" t="n">
        <x:v>44</x:v>
      </x:c>
      <x:c r="O1201" s="53" t="str">
        <x:v>After the murder of a nun in the Church, Goren and Eames investigate and realise that someone has tried to cover up part of the crime. Their investigation leads them to a young man named Eddie Roberts, who in turn inadvertently leads them to his older half-brother, Jimmy Jones, who was assaulted in a baseball field seventeen years earlier and left with debilitating injuries. Goren and Eames soon realise that the key to the nun's murder is the young woman who watched Jimmy's attack, and the only way they can get Eddie to take responsibility for his crime is to find this missing witness.</x:v>
      </x:c>
      <x:c r="P1201" s="53" t="str">
        <x:v>Core Law &amp; Order franchise</x:v>
      </x:c>
      <x:c r="Q1201" s="17" t="str">
        <x:v>341305</x:v>
      </x:c>
      <x:c r="R1201" s="17" t="str">
        <x:v>tt0629504</x:v>
      </x:c>
      <x:c r="S1201" s="17" t="str">
        <x:v>785</x:v>
      </x:c>
    </x:row>
    <x:row r="1202">
      <x:c r="A1202" s="43" t="n">
        <x:v>1198</x:v>
      </x:c>
      <x:c r="B1202" s="44" t="str">
        <x:v>Not Started</x:v>
      </x:c>
      <x:c r="C1202" s="45" t="n">
        <x:v>38657</x:v>
      </x:c>
      <x:c r="D1202" s="33" t="str">
        <x:v>Law &amp; Order: Special Victims Unit</x:v>
      </x:c>
      <x:c r="E1202" s="33" t="str">
        <x:v>Law &amp; Order</x:v>
      </x:c>
      <x:c r="F1202" s="33" t="str">
        <x:v>core</x:v>
      </x:c>
      <x:c r="G1202" s="50" t="n">
        <x:v>7</x:v>
      </x:c>
      <x:c r="H1202" s="50" t="n">
        <x:v>6</x:v>
      </x:c>
      <x:c r="I1202" s="44" t="str">
        <x:v>07.06</x:v>
      </x:c>
      <x:c r="J1202" s="33" t="str">
        <x:v>Raw</x:v>
      </x:c>
      <x:c r="K1202" s="33" t="str"/>
      <x:c r="L1202" s="33" t="str"/>
      <x:c r="M1202" s="44" t="str"/>
      <x:c r="N1202" s="50" t="n">
        <x:v>43</x:v>
      </x:c>
      <x:c r="O1202" s="53" t="str">
        <x:v>After a six-year-old boy dies in a school shooting, detectives trace the gun used back to a white supremacist's gun shop. Munch and Tutuola both face hatred and prejudice from the major suspects in the case, but their investigation soon takes them from the man who pulled the trigger back to the gun shop owner, who makes no bones about his hatred of anyone who isn't white.</x:v>
      </x:c>
      <x:c r="P1202" s="53" t="str">
        <x:v>Core Law &amp; Order franchise</x:v>
      </x:c>
      <x:c r="Q1202" s="17" t="str">
        <x:v>225085</x:v>
      </x:c>
      <x:c r="R1202" s="17" t="str">
        <x:v>tt0629712</x:v>
      </x:c>
      <x:c r="S1202" s="17" t="str">
        <x:v>786</x:v>
      </x:c>
    </x:row>
    <x:row r="1203">
      <x:c r="A1203" s="43" t="n">
        <x:v>1199</x:v>
      </x:c>
      <x:c r="B1203" s="44" t="str">
        <x:v>Not Started</x:v>
      </x:c>
      <x:c r="C1203" s="45" t="n">
        <x:v>38658</x:v>
      </x:c>
      <x:c r="D1203" s="33" t="str">
        <x:v>Law &amp; Order</x:v>
      </x:c>
      <x:c r="E1203" s="33" t="str">
        <x:v>Law &amp; Order</x:v>
      </x:c>
      <x:c r="F1203" s="33" t="str">
        <x:v>core</x:v>
      </x:c>
      <x:c r="G1203" s="50" t="n">
        <x:v>16</x:v>
      </x:c>
      <x:c r="H1203" s="50" t="n">
        <x:v>6</x:v>
      </x:c>
      <x:c r="I1203" s="44" t="str">
        <x:v>16.06</x:v>
      </x:c>
      <x:c r="J1203" s="33" t="str">
        <x:v>Birthright</x:v>
      </x:c>
      <x:c r="K1203" s="33" t="str"/>
      <x:c r="L1203" s="33" t="str"/>
      <x:c r="M1203" s="44" t="str"/>
      <x:c r="N1203" s="50" t="n">
        <x:v>45</x:v>
      </x:c>
      <x:c r="O1203" s="53" t="str">
        <x:v>Teenage suspect Traci Sands dies in police custody after being arrested for the murder of the man who reported her to child protective services. Rodgers reveals that she died because someone outfitted her with a benecrine I.U.D. that reacted with Sands' sickle cell syndrome and ended up killing her. Fontana and Green follow the trail to a charitable clinic and nurse Gloria Rhodes, who believes she is saving the world by sterilizing women that she does not believe are worthy of having children. McCoy faces former assistant district attorney Paul Robinette in court as Robinette defends Rhodes.</x:v>
      </x:c>
      <x:c r="P1203" s="53" t="str">
        <x:v>Core Law &amp; Order franchise</x:v>
      </x:c>
      <x:c r="Q1203" s="17" t="str">
        <x:v>34409</x:v>
      </x:c>
      <x:c r="R1203" s="17" t="str">
        <x:v>tt0629175</x:v>
      </x:c>
      <x:c r="S1203" s="17" t="str">
        <x:v>787</x:v>
      </x:c>
    </x:row>
    <x:row r="1204">
      <x:c r="A1204" s="43" t="n">
        <x:v>1200</x:v>
      </x:c>
      <x:c r="B1204" s="44" t="str">
        <x:v>Not Started</x:v>
      </x:c>
      <x:c r="C1204" s="45" t="n">
        <x:v>38662</x:v>
      </x:c>
      <x:c r="D1204" s="33" t="str">
        <x:v>Law &amp; Order: Criminal Intent</x:v>
      </x:c>
      <x:c r="E1204" s="33" t="str">
        <x:v>Law &amp; Order</x:v>
      </x:c>
      <x:c r="F1204" s="33" t="str">
        <x:v>core</x:v>
      </x:c>
      <x:c r="G1204" s="50" t="n">
        <x:v>5</x:v>
      </x:c>
      <x:c r="H1204" s="50" t="n">
        <x:v>6</x:v>
      </x:c>
      <x:c r="I1204" s="44" t="str">
        <x:v>05.06</x:v>
      </x:c>
      <x:c r="J1204" s="33" t="str">
        <x:v>In the Wee Small Hours (1)</x:v>
      </x:c>
      <x:c r="K1204" s="33" t="str"/>
      <x:c r="L1204" s="33" t="str"/>
      <x:c r="M1204" s="44" t="str"/>
      <x:c r="N1204" s="50" t="n">
        <x:v>44</x:v>
      </x:c>
      <x:c r="O1204" s="53" t="str">
        <x:v>Detectives Eames, Goren, Barek, and Logan must solve a case that involves a teenage girl missing in New York City. While Barek and Logan search around for another missing girl, Eames and Goren work to uncover a mystery with a judge and his son.</x:v>
      </x:c>
      <x:c r="P1204" s="53" t="str">
        <x:v>Core Law &amp; Order franchise</x:v>
      </x:c>
      <x:c r="Q1204" s="17" t="str">
        <x:v>341306</x:v>
      </x:c>
      <x:c r="R1204" s="17" t="str">
        <x:v>tt0629544</x:v>
      </x:c>
      <x:c r="S1204" s="17" t="str">
        <x:v>788</x:v>
      </x:c>
    </x:row>
    <x:row r="1205">
      <x:c r="A1205" s="43" t="n">
        <x:v>1201</x:v>
      </x:c>
      <x:c r="B1205" s="44" t="str">
        <x:v>Not Started</x:v>
      </x:c>
      <x:c r="C1205" s="45" t="n">
        <x:v>38663</x:v>
      </x:c>
      <x:c r="D1205" s="33" t="str">
        <x:v>Law &amp; Order: Criminal Intent</x:v>
      </x:c>
      <x:c r="E1205" s="33" t="str">
        <x:v>Law &amp; Order</x:v>
      </x:c>
      <x:c r="F1205" s="33" t="str">
        <x:v>core</x:v>
      </x:c>
      <x:c r="G1205" s="50" t="n">
        <x:v>5</x:v>
      </x:c>
      <x:c r="H1205" s="50" t="n">
        <x:v>7</x:v>
      </x:c>
      <x:c r="I1205" s="44" t="str">
        <x:v>05.07</x:v>
      </x:c>
      <x:c r="J1205" s="33" t="str">
        <x:v>In the Wee Small Hours (2)</x:v>
      </x:c>
      <x:c r="K1205" s="33" t="str"/>
      <x:c r="L1205" s="33" t="str"/>
      <x:c r="M1205" s="44" t="str"/>
      <x:c r="N1205" s="50" t="n">
        <x:v>44</x:v>
      </x:c>
      <x:c r="O1205" s="53" t="str">
        <x:v>The squad continues the investigation into the murder of a teenage girl visiting from Iowa. The detectives uncover the sordid family life of a local judge whose son is linked to the Iowa teenager and another victim. Goren and Logan discover that the judge is a formidable foe as they come under scrutiny.</x:v>
      </x:c>
      <x:c r="P1205" s="53" t="str">
        <x:v>Core Law &amp; Order franchise</x:v>
      </x:c>
      <x:c r="Q1205" s="17" t="str">
        <x:v>341307</x:v>
      </x:c>
      <x:c r="R1205" s="17" t="str">
        <x:v>tt0629545</x:v>
      </x:c>
      <x:c r="S1205" s="17" t="str">
        <x:v>795</x:v>
      </x:c>
    </x:row>
    <x:row r="1206">
      <x:c r="A1206" s="43" t="n">
        <x:v>1202</x:v>
      </x:c>
      <x:c r="B1206" s="44" t="str">
        <x:v>Not Started</x:v>
      </x:c>
      <x:c r="C1206" s="45" t="n">
        <x:v>38664</x:v>
      </x:c>
      <x:c r="D1206" s="33" t="str">
        <x:v>Law &amp; Order: Special Victims Unit</x:v>
      </x:c>
      <x:c r="E1206" s="33" t="str">
        <x:v>Law &amp; Order</x:v>
      </x:c>
      <x:c r="F1206" s="33" t="str">
        <x:v>core</x:v>
      </x:c>
      <x:c r="G1206" s="50" t="n">
        <x:v>7</x:v>
      </x:c>
      <x:c r="H1206" s="50" t="n">
        <x:v>7</x:v>
      </x:c>
      <x:c r="I1206" s="44" t="str">
        <x:v>07.07</x:v>
      </x:c>
      <x:c r="J1206" s="33" t="str">
        <x:v>Name</x:v>
      </x:c>
      <x:c r="K1206" s="33" t="str"/>
      <x:c r="L1206" s="33" t="str"/>
      <x:c r="M1206" s="44" t="str"/>
      <x:c r="N1206" s="50" t="n">
        <x:v>42</x:v>
      </x:c>
      <x:c r="O1206" s="53" t="str">
        <x:v>After the bones of a boy who disappeared in 1978 are found at a playground, Stabler, still visibly recovering from a recent gunshot wound, teams up with Vizcarrando to determine the boy's identity, which leads them to a cold case involving four missing Puerto Rican boys that were never found.</x:v>
      </x:c>
      <x:c r="P1206" s="53" t="str">
        <x:v>Core Law &amp; Order franchise</x:v>
      </x:c>
      <x:c r="Q1206" s="17" t="str">
        <x:v>225086</x:v>
      </x:c>
      <x:c r="R1206" s="17" t="str">
        <x:v>tt0629688</x:v>
      </x:c>
      <x:c r="S1206" s="17" t="str">
        <x:v>789</x:v>
      </x:c>
    </x:row>
    <x:row r="1207">
      <x:c r="A1207" s="43" t="n">
        <x:v>1203</x:v>
      </x:c>
      <x:c r="B1207" s="44" t="str">
        <x:v>Not Started</x:v>
      </x:c>
      <x:c r="C1207" s="45" t="n">
        <x:v>38665</x:v>
      </x:c>
      <x:c r="D1207" s="33" t="str">
        <x:v>Law &amp; Order</x:v>
      </x:c>
      <x:c r="E1207" s="33" t="str">
        <x:v>Law &amp; Order</x:v>
      </x:c>
      <x:c r="F1207" s="33" t="str">
        <x:v>core</x:v>
      </x:c>
      <x:c r="G1207" s="50" t="n">
        <x:v>16</x:v>
      </x:c>
      <x:c r="H1207" s="50" t="n">
        <x:v>7</x:v>
      </x:c>
      <x:c r="I1207" s="44" t="str">
        <x:v>16.07</x:v>
      </x:c>
      <x:c r="J1207" s="33" t="str">
        <x:v>House of Cards</x:v>
      </x:c>
      <x:c r="K1207" s="33" t="str"/>
      <x:c r="L1207" s="33" t="str"/>
      <x:c r="M1207" s="44" t="str"/>
      <x:c r="N1207" s="50" t="n">
        <x:v>45</x:v>
      </x:c>
      <x:c r="O1207" s="53" t="str">
        <x:v>The team investigates the killing of a single mother and the abduction of her child.</x:v>
      </x:c>
      <x:c r="P1207" s="53" t="str">
        <x:v>Core Law &amp; Order franchise</x:v>
      </x:c>
      <x:c r="Q1207" s="17" t="str">
        <x:v>34410</x:v>
      </x:c>
      <x:c r="R1207" s="17" t="str">
        <x:v>tt0629303</x:v>
      </x:c>
      <x:c r="S1207" s="17" t="str">
        <x:v>790</x:v>
      </x:c>
    </x:row>
    <x:row r="1208">
      <x:c r="A1208" s="43" t="n">
        <x:v>1204</x:v>
      </x:c>
      <x:c r="B1208" s="44" t="str">
        <x:v>Not Started</x:v>
      </x:c>
      <x:c r="C1208" s="45" t="n">
        <x:v>38671</x:v>
      </x:c>
      <x:c r="D1208" s="33" t="str">
        <x:v>Law &amp; Order: Special Victims Unit</x:v>
      </x:c>
      <x:c r="E1208" s="33" t="str">
        <x:v>Law &amp; Order</x:v>
      </x:c>
      <x:c r="F1208" s="33" t="str">
        <x:v>core</x:v>
      </x:c>
      <x:c r="G1208" s="50" t="n">
        <x:v>7</x:v>
      </x:c>
      <x:c r="H1208" s="50" t="n">
        <x:v>8</x:v>
      </x:c>
      <x:c r="I1208" s="44" t="str">
        <x:v>07.08</x:v>
      </x:c>
      <x:c r="J1208" s="33" t="str">
        <x:v>Starved</x:v>
      </x:c>
      <x:c r="K1208" s="33" t="str"/>
      <x:c r="L1208" s="33" t="str"/>
      <x:c r="M1208" s="44" t="str"/>
      <x:c r="N1208" s="50" t="n">
        <x:v>43</x:v>
      </x:c>
      <x:c r="O1208" s="53" t="str">
        <x:v>After a dating service is linked to three rapes, Olivia goes undercover to ferret out the rapist and meets Mike Jergens, a surgeon who enjoys controlling the women in his life. The detectives are soon led to his girlfriend, Cora Kennison, but shortly after testifying in the grand jury hearing Cora marries Mike. After Cora attempts suicide, Mike fights her mother, Virginia, to unplug her feeding tube.</x:v>
      </x:c>
      <x:c r="P1208" s="53" t="str">
        <x:v>Core Law &amp; Order franchise</x:v>
      </x:c>
      <x:c r="Q1208" s="17" t="str">
        <x:v>225087</x:v>
      </x:c>
      <x:c r="R1208" s="17" t="str">
        <x:v>tt0629738</x:v>
      </x:c>
      <x:c r="S1208" s="17" t="str">
        <x:v>791</x:v>
      </x:c>
    </x:row>
    <x:row r="1209">
      <x:c r="A1209" s="43" t="n">
        <x:v>1205</x:v>
      </x:c>
      <x:c r="B1209" s="44" t="str">
        <x:v>Not Started</x:v>
      </x:c>
      <x:c r="C1209" s="45" t="n">
        <x:v>38672</x:v>
      </x:c>
      <x:c r="D1209" s="33" t="str">
        <x:v>Law &amp; Order</x:v>
      </x:c>
      <x:c r="E1209" s="33" t="str">
        <x:v>Law &amp; Order</x:v>
      </x:c>
      <x:c r="F1209" s="33" t="str">
        <x:v>core</x:v>
      </x:c>
      <x:c r="G1209" s="50" t="n">
        <x:v>16</x:v>
      </x:c>
      <x:c r="H1209" s="50" t="n">
        <x:v>8</x:v>
      </x:c>
      <x:c r="I1209" s="44" t="str">
        <x:v>16.08</x:v>
      </x:c>
      <x:c r="J1209" s="33" t="str">
        <x:v>New York Minute</x:v>
      </x:c>
      <x:c r="K1209" s="33" t="str"/>
      <x:c r="L1209" s="33" t="str"/>
      <x:c r="M1209" s="44" t="str"/>
      <x:c r="N1209" s="50" t="n">
        <x:v>45</x:v>
      </x:c>
      <x:c r="O1209" s="53" t="str">
        <x:v>Detectives discover that the owner of a trucking company has been smuggling illegal aliens and suspect that a citizens border-patrol member has killed him.</x:v>
      </x:c>
      <x:c r="P1209" s="53" t="str">
        <x:v>Core Law &amp; Order franchise</x:v>
      </x:c>
      <x:c r="Q1209" s="17" t="str">
        <x:v>34411</x:v>
      </x:c>
      <x:c r="R1209" s="17" t="str">
        <x:v>tt0629353</x:v>
      </x:c>
      <x:c r="S1209" s="17" t="str">
        <x:v>792</x:v>
      </x:c>
    </x:row>
    <x:row r="1210">
      <x:c r="A1210" s="43" t="n">
        <x:v>1206</x:v>
      </x:c>
      <x:c r="B1210" s="44" t="str">
        <x:v>Not Started</x:v>
      </x:c>
      <x:c r="C1210" s="45" t="n">
        <x:v>38678</x:v>
      </x:c>
      <x:c r="D1210" s="33" t="str">
        <x:v>Law &amp; Order: Special Victims Unit</x:v>
      </x:c>
      <x:c r="E1210" s="33" t="str">
        <x:v>Law &amp; Order</x:v>
      </x:c>
      <x:c r="F1210" s="33" t="str">
        <x:v>core</x:v>
      </x:c>
      <x:c r="G1210" s="50" t="n">
        <x:v>7</x:v>
      </x:c>
      <x:c r="H1210" s="50" t="n">
        <x:v>9</x:v>
      </x:c>
      <x:c r="I1210" s="44" t="str">
        <x:v>07.09</x:v>
      </x:c>
      <x:c r="J1210" s="33" t="str">
        <x:v>Rockabye</x:v>
      </x:c>
      <x:c r="K1210" s="33" t="str"/>
      <x:c r="L1210" s="33" t="str"/>
      <x:c r="M1210" s="44" t="str"/>
      <x:c r="N1210" s="50" t="n">
        <x:v>42</x:v>
      </x:c>
      <x:c r="O1210" s="53" t="str">
        <x:v>After sixteen-year-old Lauren Westley loses her unborn child due to a severe abdominal beating, her father's insistence that Lauren was raped leads detectives to the baby's father, but it isn't long before the detectives realise that Lauren was an active party in her own beating, and the two teens had found it necessary to take the steps they did because the abortion clinic kept putting off Lauren's request for an appointment. Novak faces a tough opponent in her own office when she and Branch disagree over the appropriate action to be taken against Wayne Mortens, the young girl's boyfriend.</x:v>
      </x:c>
      <x:c r="P1210" s="53" t="str">
        <x:v>Core Law &amp; Order franchise</x:v>
      </x:c>
      <x:c r="Q1210" s="17" t="str">
        <x:v>225088</x:v>
      </x:c>
      <x:c r="R1210" s="17" t="str">
        <x:v>tt0629721</x:v>
      </x:c>
      <x:c r="S1210" s="17" t="str">
        <x:v>793</x:v>
      </x:c>
    </x:row>
    <x:row r="1211">
      <x:c r="A1211" s="43" t="n">
        <x:v>1207</x:v>
      </x:c>
      <x:c r="B1211" s="44" t="str">
        <x:v>Not Started</x:v>
      </x:c>
      <x:c r="C1211" s="45" t="n">
        <x:v>38679</x:v>
      </x:c>
      <x:c r="D1211" s="33" t="str">
        <x:v>Law &amp; Order</x:v>
      </x:c>
      <x:c r="E1211" s="33" t="str">
        <x:v>Law &amp; Order</x:v>
      </x:c>
      <x:c r="F1211" s="33" t="str">
        <x:v>core</x:v>
      </x:c>
      <x:c r="G1211" s="50" t="n">
        <x:v>16</x:v>
      </x:c>
      <x:c r="H1211" s="50" t="n">
        <x:v>9</x:v>
      </x:c>
      <x:c r="I1211" s="44" t="str">
        <x:v>16.09</x:v>
      </x:c>
      <x:c r="J1211" s="33" t="str">
        <x:v>Criminal Law</x:v>
      </x:c>
      <x:c r="K1211" s="33" t="str"/>
      <x:c r="L1211" s="33" t="str"/>
      <x:c r="M1211" s="44" t="str"/>
      <x:c r="N1211" s="50" t="n">
        <x:v>45</x:v>
      </x:c>
      <x:c r="O1211" s="53" t="str">
        <x:v>The deaths of three women with the same name lead Fontana and Green to the nine-year-old conviction of Leland Barnes, who had shot and killed his wife in an office full of people. With two of the three witnesses against him dead and Jack McCoy on the hit list, the detectives struggle to determine how Barnes, who has been in prison the entire time, got someone on the outside to kill the only people who could keep him in jail. The investigation leads them to Leland's two sons, with surprising results.</x:v>
      </x:c>
      <x:c r="P1211" s="53" t="str">
        <x:v>Core Law &amp; Order franchise</x:v>
      </x:c>
      <x:c r="Q1211" s="17" t="str">
        <x:v>34412</x:v>
      </x:c>
      <x:c r="R1211" s="17" t="str">
        <x:v>tt0629221</x:v>
      </x:c>
      <x:c r="S1211" s="17" t="str">
        <x:v>794</x:v>
      </x:c>
    </x:row>
    <x:row r="1212">
      <x:c r="A1212" s="43" t="n">
        <x:v>1208</x:v>
      </x:c>
      <x:c r="B1212" s="44" t="str">
        <x:v>Not Started</x:v>
      </x:c>
      <x:c r="C1212" s="45" t="n">
        <x:v>38684</x:v>
      </x:c>
      <x:c r="D1212" s="33" t="str">
        <x:v>Law &amp; Order: Criminal Intent</x:v>
      </x:c>
      <x:c r="E1212" s="33" t="str">
        <x:v>Law &amp; Order</x:v>
      </x:c>
      <x:c r="F1212" s="33" t="str">
        <x:v>core</x:v>
      </x:c>
      <x:c r="G1212" s="50" t="n">
        <x:v>5</x:v>
      </x:c>
      <x:c r="H1212" s="50" t="n">
        <x:v>8</x:v>
      </x:c>
      <x:c r="I1212" s="44" t="str">
        <x:v>05.08</x:v>
      </x:c>
      <x:c r="J1212" s="33" t="str">
        <x:v>Saving Face</x:v>
      </x:c>
      <x:c r="K1212" s="33" t="str"/>
      <x:c r="L1212" s="33" t="str"/>
      <x:c r="M1212" s="44" t="str"/>
      <x:c r="N1212" s="50" t="n">
        <x:v>44</x:v>
      </x:c>
      <x:c r="O1212" s="53" t="str">
        <x:v>When the body of a young woman is found by two children behind a dumpster, Barek and Logan soon learn she had recently returned from Guatemala and was suspected by the other passengers of being a drug mule. Their investigation leads them to noted plastic surgeon Dr. Christine Ensel, who has made a name for herself in recent years performing surgeries in Guatemala on people who would not normally be able to afford plastic surgery, but as the investigation continues, Logan and Barek suspect that Dr. Ensel has a lot to hide.</x:v>
      </x:c>
      <x:c r="P1212" s="53" t="str">
        <x:v>Core Law &amp; Order franchise</x:v>
      </x:c>
      <x:c r="Q1212" s="17" t="str">
        <x:v>341308</x:v>
      </x:c>
      <x:c r="R1212" s="17" t="str">
        <x:v>tt0629565</x:v>
      </x:c>
      <x:c r="S1212" s="17" t="str">
        <x:v>798</x:v>
      </x:c>
    </x:row>
    <x:row r="1213">
      <x:c r="A1213" s="43" t="n">
        <x:v>1209</x:v>
      </x:c>
      <x:c r="B1213" s="44" t="str">
        <x:v>Not Started</x:v>
      </x:c>
      <x:c r="C1213" s="45" t="n">
        <x:v>38685</x:v>
      </x:c>
      <x:c r="D1213" s="33" t="str">
        <x:v>Law &amp; Order: Special Victims Unit</x:v>
      </x:c>
      <x:c r="E1213" s="33" t="str">
        <x:v>Law &amp; Order</x:v>
      </x:c>
      <x:c r="F1213" s="33" t="str">
        <x:v>core</x:v>
      </x:c>
      <x:c r="G1213" s="50" t="n">
        <x:v>7</x:v>
      </x:c>
      <x:c r="H1213" s="50" t="n">
        <x:v>10</x:v>
      </x:c>
      <x:c r="I1213" s="44" t="str">
        <x:v>07.10</x:v>
      </x:c>
      <x:c r="J1213" s="33" t="str">
        <x:v>Storm</x:v>
      </x:c>
      <x:c r="K1213" s="33" t="str"/>
      <x:c r="L1213" s="33" t="str"/>
      <x:c r="M1213" s="44" t="str"/>
      <x:c r="N1213" s="50" t="n">
        <x:v>43</x:v>
      </x:c>
      <x:c r="O1213" s="53" t="str">
        <x:v>When a teenager and her younger sister end up in the hospital after a day at the park, detectives learn that both girls were abducted from New Orleans after Hurricane Katrina along with a third sister who is still missing. Despite the interference of a local reporter, Jackson Zane, detectives are able to catch the kidnapper, a known pedophile, and recover the girl, but when Alvin Dutch dies and the autopsy determines it was Anthrax, Benson puts everything on the line so that she can get the truth out there.</x:v>
      </x:c>
      <x:c r="P1213" s="53" t="str">
        <x:v>Core Law &amp; Order franchise</x:v>
      </x:c>
      <x:c r="Q1213" s="17" t="str">
        <x:v>225089</x:v>
      </x:c>
      <x:c r="R1213" s="17" t="str">
        <x:v>tt0629741</x:v>
      </x:c>
      <x:c r="S1213" s="17" t="str">
        <x:v>796</x:v>
      </x:c>
    </x:row>
    <x:row r="1214">
      <x:c r="A1214" s="43" t="n">
        <x:v>1210</x:v>
      </x:c>
      <x:c r="B1214" s="44" t="str">
        <x:v>Not Started</x:v>
      </x:c>
      <x:c r="C1214" s="45" t="n">
        <x:v>38686</x:v>
      </x:c>
      <x:c r="D1214" s="33" t="str">
        <x:v>Law &amp; Order</x:v>
      </x:c>
      <x:c r="E1214" s="33" t="str">
        <x:v>Law &amp; Order</x:v>
      </x:c>
      <x:c r="F1214" s="33" t="str">
        <x:v>core</x:v>
      </x:c>
      <x:c r="G1214" s="50" t="n">
        <x:v>16</x:v>
      </x:c>
      <x:c r="H1214" s="50" t="n">
        <x:v>10</x:v>
      </x:c>
      <x:c r="I1214" s="44" t="str">
        <x:v>16.10</x:v>
      </x:c>
      <x:c r="J1214" s="33" t="str">
        <x:v>Acid</x:v>
      </x:c>
      <x:c r="K1214" s="33" t="str"/>
      <x:c r="L1214" s="33" t="str"/>
      <x:c r="M1214" s="44" t="str"/>
      <x:c r="N1214" s="50" t="n">
        <x:v>45</x:v>
      </x:c>
      <x:c r="O1214" s="53" t="str">
        <x:v>After the daughter of one of Van Buren's college friends is found dead in her room, a suicide, Van Buren joins Green and Fontana in hunting down the man who burned her face with acid months earlier, ultimately leading to her suicide. Van Buren is unsucces</x:v>
      </x:c>
      <x:c r="P1214" s="53" t="str">
        <x:v>Core Law &amp; Order franchise</x:v>
      </x:c>
      <x:c r="Q1214" s="17" t="str">
        <x:v>34413</x:v>
      </x:c>
      <x:c r="R1214" s="17" t="str">
        <x:v>tt0629144</x:v>
      </x:c>
      <x:c r="S1214" s="17" t="str">
        <x:v>797</x:v>
      </x:c>
    </x:row>
    <x:row r="1215">
      <x:c r="A1215" s="43" t="n">
        <x:v>1211</x:v>
      </x:c>
      <x:c r="B1215" s="44" t="str">
        <x:v>Not Started</x:v>
      </x:c>
      <x:c r="C1215" s="45" t="n">
        <x:v>38691</x:v>
      </x:c>
      <x:c r="D1215" s="33" t="str">
        <x:v>Law &amp; Order: Criminal Intent</x:v>
      </x:c>
      <x:c r="E1215" s="33" t="str">
        <x:v>Law &amp; Order</x:v>
      </x:c>
      <x:c r="F1215" s="33" t="str">
        <x:v>core</x:v>
      </x:c>
      <x:c r="G1215" s="50" t="n">
        <x:v>5</x:v>
      </x:c>
      <x:c r="H1215" s="50" t="n">
        <x:v>9</x:v>
      </x:c>
      <x:c r="I1215" s="44" t="str">
        <x:v>05.09</x:v>
      </x:c>
      <x:c r="J1215" s="33" t="str">
        <x:v>Scared Crazy</x:v>
      </x:c>
      <x:c r="K1215" s="33" t="str"/>
      <x:c r="L1215" s="33" t="str"/>
      <x:c r="M1215" s="44" t="str"/>
      <x:c r="N1215" s="50" t="n">
        <x:v>44</x:v>
      </x:c>
      <x:c r="O1215" s="53" t="str">
        <x:v>After Aidan Grant, an employee for a local computer company, is found dead, Goren and Eames investigate, initially believing that Grant was murdered because of a business deal gone wrong involving biometrics, lip-reading, the company Ubicool and the military, but their investigations lead them to a young man named Robbie who worked in the office opposite Ubicool. Goren soon realises that Robbie isn't fully in control of his actions and suspects his therapist, Dr. Pynchon, of wrong-doing, but Carver wants them to get the answers from Robbie no matter what they need to do.</x:v>
      </x:c>
      <x:c r="P1215" s="53" t="str">
        <x:v>Core Law &amp; Order franchise</x:v>
      </x:c>
      <x:c r="Q1215" s="17" t="str">
        <x:v>341309</x:v>
      </x:c>
      <x:c r="R1215" s="17" t="str">
        <x:v>tt0629566</x:v>
      </x:c>
      <x:c r="S1215" s="17" t="str">
        <x:v>802</x:v>
      </x:c>
    </x:row>
    <x:row r="1216">
      <x:c r="A1216" s="43" t="n">
        <x:v>1212</x:v>
      </x:c>
      <x:c r="B1216" s="44" t="str">
        <x:v>Not Started</x:v>
      </x:c>
      <x:c r="C1216" s="45" t="n">
        <x:v>38692</x:v>
      </x:c>
      <x:c r="D1216" s="33" t="str">
        <x:v>Law &amp; Order: Special Victims Unit</x:v>
      </x:c>
      <x:c r="E1216" s="33" t="str">
        <x:v>Law &amp; Order</x:v>
      </x:c>
      <x:c r="F1216" s="33" t="str">
        <x:v>core</x:v>
      </x:c>
      <x:c r="G1216" s="50" t="n">
        <x:v>7</x:v>
      </x:c>
      <x:c r="H1216" s="50" t="n">
        <x:v>11</x:v>
      </x:c>
      <x:c r="I1216" s="44" t="str">
        <x:v>07.11</x:v>
      </x:c>
      <x:c r="J1216" s="33" t="str">
        <x:v>Alien</x:v>
      </x:c>
      <x:c r="K1216" s="33" t="str"/>
      <x:c r="L1216" s="33" t="str"/>
      <x:c r="M1216" s="44" t="str"/>
      <x:c r="N1216" s="50" t="n">
        <x:v>44</x:v>
      </x:c>
      <x:c r="O1216" s="53" t="str">
        <x:v>After young Sean Hamill is stabbed in the back at the schoolyard, detectives are led to Charlie Monaghan, the older boy who had previously gotten into trouble over Hamill, but it isn't long before their attention turns to Monaghan's half-sister Emma Boyd. Hamill had been torturing the little girl for months because she had two mothers. After getting a nice deal for Emma's side, Benson and Stabler are thrown for a loop when Emma's biological grandparents accuse Zoe, who had never legally adopted Emma, of sexually molesting the little girl, and evidence seems to support their claims.</x:v>
      </x:c>
      <x:c r="P1216" s="53" t="str">
        <x:v>Core Law &amp; Order franchise</x:v>
      </x:c>
      <x:c r="Q1216" s="17" t="str">
        <x:v>225090</x:v>
      </x:c>
      <x:c r="R1216" s="17" t="str">
        <x:v>tt0629609</x:v>
      </x:c>
      <x:c r="S1216" s="17" t="str">
        <x:v>799</x:v>
      </x:c>
    </x:row>
    <x:row r="1217">
      <x:c r="A1217" s="43" t="n">
        <x:v>1213</x:v>
      </x:c>
      <x:c r="B1217" s="44" t="str">
        <x:v>Not Started</x:v>
      </x:c>
      <x:c r="C1217" s="45" t="n">
        <x:v>38693</x:v>
      </x:c>
      <x:c r="D1217" s="33" t="str">
        <x:v>Law &amp; Order</x:v>
      </x:c>
      <x:c r="E1217" s="33" t="str">
        <x:v>Law &amp; Order</x:v>
      </x:c>
      <x:c r="F1217" s="33" t="str">
        <x:v>core</x:v>
      </x:c>
      <x:c r="G1217" s="50" t="n">
        <x:v>16</x:v>
      </x:c>
      <x:c r="H1217" s="50" t="n">
        <x:v>11</x:v>
      </x:c>
      <x:c r="I1217" s="44" t="str">
        <x:v>16.11</x:v>
      </x:c>
      <x:c r="J1217" s="33" t="str">
        <x:v>Bible Story</x:v>
      </x:c>
      <x:c r="K1217" s="33" t="str"/>
      <x:c r="L1217" s="33" t="str"/>
      <x:c r="M1217" s="44" t="str"/>
      <x:c r="N1217" s="50" t="n">
        <x:v>45</x:v>
      </x:c>
      <x:c r="O1217" s="53" t="str">
        <x:v>The case of a man who defiled a copy of the Torah turns into a religious battle for McCoy.</x:v>
      </x:c>
      <x:c r="P1217" s="53" t="str">
        <x:v>Core Law &amp; Order franchise</x:v>
      </x:c>
      <x:c r="Q1217" s="17" t="str">
        <x:v>34414</x:v>
      </x:c>
      <x:c r="R1217" s="17" t="str">
        <x:v>tt0629173</x:v>
      </x:c>
      <x:c r="S1217" s="17" t="str">
        <x:v>800</x:v>
      </x:c>
    </x:row>
    <x:row r="1218">
      <x:c r="A1218" s="43" t="n">
        <x:v>1214</x:v>
      </x:c>
      <x:c r="B1218" s="44" t="str">
        <x:v>Not Started</x:v>
      </x:c>
      <x:c r="C1218" s="45" t="n">
        <x:v>38720</x:v>
      </x:c>
      <x:c r="D1218" s="33" t="str">
        <x:v>Law &amp; Order: Special Victims Unit</x:v>
      </x:c>
      <x:c r="E1218" s="33" t="str">
        <x:v>Law &amp; Order</x:v>
      </x:c>
      <x:c r="F1218" s="33" t="str">
        <x:v>core</x:v>
      </x:c>
      <x:c r="G1218" s="50" t="n">
        <x:v>7</x:v>
      </x:c>
      <x:c r="H1218" s="50" t="n">
        <x:v>12</x:v>
      </x:c>
      <x:c r="I1218" s="44" t="str">
        <x:v>07.12</x:v>
      </x:c>
      <x:c r="J1218" s="33" t="str">
        <x:v>Infected</x:v>
      </x:c>
      <x:c r="K1218" s="33" t="str"/>
      <x:c r="L1218" s="33" t="str"/>
      <x:c r="M1218" s="44" t="str"/>
      <x:c r="N1218" s="50" t="n">
        <x:v>43</x:v>
      </x:c>
      <x:c r="O1218" s="53" t="str">
        <x:v>Monica Phelps is found dead in her apartment, her son Nathan hiding in the closet behind her body. Detectives soon link Monica's death to philanthropist Ted Carthage, who runs an organization dedicated to helping people get off the streets. Benson is certain that Carthage is the killer, but a shaky ID from Nathan puts him back on the street. After Nathan kills Carthage himself, Sophie Devere argues that Nathan committed the killing because he saw Carthage shoot his mother -- something the gun manufacturers don't like.</x:v>
      </x:c>
      <x:c r="P1218" s="53" t="str">
        <x:v>Core Law &amp; Order franchise</x:v>
      </x:c>
      <x:c r="Q1218" s="17" t="str">
        <x:v>225091</x:v>
      </x:c>
      <x:c r="R1218" s="17" t="str">
        <x:v>tt0629671</x:v>
      </x:c>
      <x:c r="S1218" s="17" t="str">
        <x:v>801</x:v>
      </x:c>
    </x:row>
    <x:row r="1219">
      <x:c r="A1219" s="43" t="n">
        <x:v>1215</x:v>
      </x:c>
      <x:c r="B1219" s="44" t="str">
        <x:v>Not Started</x:v>
      </x:c>
      <x:c r="C1219" s="45" t="n">
        <x:v>38726</x:v>
      </x:c>
      <x:c r="D1219" s="33" t="str">
        <x:v>Law &amp; Order: Criminal Intent</x:v>
      </x:c>
      <x:c r="E1219" s="33" t="str">
        <x:v>Law &amp; Order</x:v>
      </x:c>
      <x:c r="F1219" s="33" t="str">
        <x:v>core</x:v>
      </x:c>
      <x:c r="G1219" s="50" t="n">
        <x:v>5</x:v>
      </x:c>
      <x:c r="H1219" s="50" t="n">
        <x:v>10</x:v>
      </x:c>
      <x:c r="I1219" s="44" t="str">
        <x:v>05.10</x:v>
      </x:c>
      <x:c r="J1219" s="33" t="str">
        <x:v>Dollhouse</x:v>
      </x:c>
      <x:c r="K1219" s="33" t="str"/>
      <x:c r="L1219" s="33" t="str"/>
      <x:c r="M1219" s="44" t="str"/>
      <x:c r="N1219" s="50" t="n">
        <x:v>44</x:v>
      </x:c>
      <x:c r="O1219" s="53" t="str">
        <x:v>After Joseph Sabo is found lying dead in the street, Barek and Logan investigate who was nearby that night that may have had a motive. They are soon led to Danielle Quinn, who had been blackmailing six different men claiming they fathered her child, asking for money. The detectives realise she was the one who killed Sabo, but when none of her victims will testify against her for fear of their wives finding out what they've done, Barek and Logan hit a dead end.</x:v>
      </x:c>
      <x:c r="P1219" s="53" t="str">
        <x:v>Core Law &amp; Order franchise</x:v>
      </x:c>
      <x:c r="Q1219" s="17" t="str">
        <x:v>341310</x:v>
      </x:c>
      <x:c r="R1219" s="17" t="str">
        <x:v>tt0629527</x:v>
      </x:c>
      <x:c r="S1219" s="17" t="str">
        <x:v>805</x:v>
      </x:c>
    </x:row>
    <x:row r="1220">
      <x:c r="A1220" s="43" t="n">
        <x:v>1216</x:v>
      </x:c>
      <x:c r="B1220" s="44" t="str">
        <x:v>Not Started</x:v>
      </x:c>
      <x:c r="C1220" s="45" t="n">
        <x:v>38727</x:v>
      </x:c>
      <x:c r="D1220" s="33" t="str">
        <x:v>Law &amp; Order: Special Victims Unit</x:v>
      </x:c>
      <x:c r="E1220" s="33" t="str">
        <x:v>Law &amp; Order</x:v>
      </x:c>
      <x:c r="F1220" s="33" t="str">
        <x:v>core</x:v>
      </x:c>
      <x:c r="G1220" s="50" t="n">
        <x:v>7</x:v>
      </x:c>
      <x:c r="H1220" s="50" t="n">
        <x:v>13</x:v>
      </x:c>
      <x:c r="I1220" s="44" t="str">
        <x:v>07.13</x:v>
      </x:c>
      <x:c r="J1220" s="33" t="str">
        <x:v>Blast</x:v>
      </x:c>
      <x:c r="K1220" s="33" t="str"/>
      <x:c r="L1220" s="33" t="str"/>
      <x:c r="M1220" s="44" t="str"/>
      <x:c r="N1220" s="50" t="n">
        <x:v>42</x:v>
      </x:c>
      <x:c r="O1220" s="53" t="str">
        <x:v>The team investigates when young Carly Hunter disappears while walking home from school one day. While processing evidence found at the scene, Warner realises that the little girl has leukemia, and they need to get her home as soon as possible to begin treatment. Despite the ransom drop going wrong, the detectives are able to find the little girl thanks to evidence O'Halloran finds at the scene, but as she tells her story to Stabler and her mother, it soon becomes clear that her kidnapper is someone very close to home. Stabler and Warner end up becoming hostages when the kidnapper approaches Jake Hunter directly.</x:v>
      </x:c>
      <x:c r="P1220" s="53" t="str">
        <x:v>Core Law &amp; Order franchise</x:v>
      </x:c>
      <x:c r="Q1220" s="17" t="str">
        <x:v>225092</x:v>
      </x:c>
      <x:c r="R1220" s="17" t="str">
        <x:v>tt0629616</x:v>
      </x:c>
      <x:c r="S1220" s="17" t="str">
        <x:v>803</x:v>
      </x:c>
    </x:row>
    <x:row r="1221">
      <x:c r="A1221" s="43" t="n">
        <x:v>1217</x:v>
      </x:c>
      <x:c r="B1221" s="44" t="str">
        <x:v>Not Started</x:v>
      </x:c>
      <x:c r="C1221" s="45" t="n">
        <x:v>38728</x:v>
      </x:c>
      <x:c r="D1221" s="33" t="str">
        <x:v>Law &amp; Order</x:v>
      </x:c>
      <x:c r="E1221" s="33" t="str">
        <x:v>Law &amp; Order</x:v>
      </x:c>
      <x:c r="F1221" s="33" t="str">
        <x:v>core</x:v>
      </x:c>
      <x:c r="G1221" s="50" t="n">
        <x:v>16</x:v>
      </x:c>
      <x:c r="H1221" s="50" t="n">
        <x:v>12</x:v>
      </x:c>
      <x:c r="I1221" s="44" t="str">
        <x:v>16.12</x:v>
      </x:c>
      <x:c r="J1221" s="33" t="str">
        <x:v>Family Friend</x:v>
      </x:c>
      <x:c r="K1221" s="33" t="str"/>
      <x:c r="L1221" s="33" t="str"/>
      <x:c r="M1221" s="44" t="str"/>
      <x:c r="N1221" s="50" t="n">
        <x:v>45</x:v>
      </x:c>
      <x:c r="O1221" s="53" t="str">
        <x:v>After Philip and Valerie Messick are attacked in their home, Green and Fontana follow the trail to a small-time thug named Jay Fleckner. After Valerie's testimony unintentionally helps free Fleckner, he is found dead, and detectives soon realise that Bob Cerullo, a family friend of Valerie and her late husband, was the triggerman. Unfortunately, when McCoy attempts to prosecute Cerullo, a retired cop, he threatens to claim that he deliberately planted evidence in his past cases in an attempt to get McCoy to drop all the charges.</x:v>
      </x:c>
      <x:c r="P1221" s="53" t="str">
        <x:v>Core Law &amp; Order franchise</x:v>
      </x:c>
      <x:c r="Q1221" s="17" t="str">
        <x:v>34415</x:v>
      </x:c>
      <x:c r="R1221" s="17" t="str">
        <x:v>tt0629262</x:v>
      </x:c>
      <x:c r="S1221" s="17" t="str">
        <x:v>804</x:v>
      </x:c>
    </x:row>
    <x:row r="1222">
      <x:c r="A1222" s="43" t="n">
        <x:v>1218</x:v>
      </x:c>
      <x:c r="B1222" s="44" t="str">
        <x:v>Not Started</x:v>
      </x:c>
      <x:c r="C1222" s="45" t="n">
        <x:v>38733</x:v>
      </x:c>
      <x:c r="D1222" s="33" t="str">
        <x:v>Law &amp; Order: Criminal Intent</x:v>
      </x:c>
      <x:c r="E1222" s="33" t="str">
        <x:v>Law &amp; Order</x:v>
      </x:c>
      <x:c r="F1222" s="33" t="str">
        <x:v>core</x:v>
      </x:c>
      <x:c r="G1222" s="50" t="n">
        <x:v>5</x:v>
      </x:c>
      <x:c r="H1222" s="50" t="n">
        <x:v>11</x:v>
      </x:c>
      <x:c r="I1222" s="44" t="str">
        <x:v>05.11</x:v>
      </x:c>
      <x:c r="J1222" s="33" t="str">
        <x:v>Slither</x:v>
      </x:c>
      <x:c r="K1222" s="33" t="str"/>
      <x:c r="L1222" s="33" t="str"/>
      <x:c r="M1222" s="44" t="str"/>
      <x:c r="N1222" s="50" t="n">
        <x:v>44</x:v>
      </x:c>
      <x:c r="O1222" s="53" t="str">
        <x:v>After Russ Corbett and his wife are found in a seedy hotel room, Russ dead of an overdose, Eames and Goren follow the trail of evidence to Bernard Fremont, a professional partier. With his beautiful blonde companions, Fremont insinuates himself into the lives of couples who don't know the city very well, then robs them blind. While investigating Fremont's past in Asia, Goren realises that he is the mastermind that turned Nicole Wallace into a murderer, and his most successful pupil.</x:v>
      </x:c>
      <x:c r="P1222" s="53" t="str">
        <x:v>Core Law &amp; Order franchise</x:v>
      </x:c>
      <x:c r="Q1222" s="17" t="str">
        <x:v>341311</x:v>
      </x:c>
      <x:c r="R1222" s="17" t="str">
        <x:v>tt0629576</x:v>
      </x:c>
      <x:c r="S1222" s="17" t="str">
        <x:v>808</x:v>
      </x:c>
    </x:row>
    <x:row r="1223">
      <x:c r="A1223" s="43" t="n">
        <x:v>1219</x:v>
      </x:c>
      <x:c r="B1223" s="44" t="str">
        <x:v>Not Started</x:v>
      </x:c>
      <x:c r="C1223" s="45" t="n">
        <x:v>38734</x:v>
      </x:c>
      <x:c r="D1223" s="33" t="str">
        <x:v>Law &amp; Order: Special Victims Unit</x:v>
      </x:c>
      <x:c r="E1223" s="33" t="str">
        <x:v>Law &amp; Order</x:v>
      </x:c>
      <x:c r="F1223" s="33" t="str">
        <x:v>core</x:v>
      </x:c>
      <x:c r="G1223" s="50" t="n">
        <x:v>7</x:v>
      </x:c>
      <x:c r="H1223" s="50" t="n">
        <x:v>14</x:v>
      </x:c>
      <x:c r="I1223" s="44" t="str">
        <x:v>07.14</x:v>
      </x:c>
      <x:c r="J1223" s="33" t="str">
        <x:v>Taboo</x:v>
      </x:c>
      <x:c r="K1223" s="33" t="str"/>
      <x:c r="L1223" s="33" t="str"/>
      <x:c r="M1223" s="44" t="str"/>
      <x:c r="N1223" s="50" t="n">
        <x:v>43</x:v>
      </x:c>
      <x:c r="O1223" s="53" t="str">
        <x:v>A college co-ed's tale of rape and an unknown pregnancy is suspect after detectives learn that she's been linked to not one but two abandoned newborns.</x:v>
      </x:c>
      <x:c r="P1223" s="53" t="str">
        <x:v>Core Law &amp; Order franchise</x:v>
      </x:c>
      <x:c r="Q1223" s="17" t="str">
        <x:v>225093</x:v>
      </x:c>
      <x:c r="R1223" s="17" t="str">
        <x:v>tt0629744</x:v>
      </x:c>
      <x:c r="S1223" s="17" t="str">
        <x:v>806</x:v>
      </x:c>
    </x:row>
    <x:row r="1224">
      <x:c r="A1224" s="43" t="n">
        <x:v>1220</x:v>
      </x:c>
      <x:c r="B1224" s="44" t="str">
        <x:v>Not Started</x:v>
      </x:c>
      <x:c r="C1224" s="45" t="n">
        <x:v>38735</x:v>
      </x:c>
      <x:c r="D1224" s="33" t="str">
        <x:v>Law &amp; Order</x:v>
      </x:c>
      <x:c r="E1224" s="33" t="str">
        <x:v>Law &amp; Order</x:v>
      </x:c>
      <x:c r="F1224" s="33" t="str">
        <x:v>core</x:v>
      </x:c>
      <x:c r="G1224" s="50" t="n">
        <x:v>16</x:v>
      </x:c>
      <x:c r="H1224" s="50" t="n">
        <x:v>13</x:v>
      </x:c>
      <x:c r="I1224" s="44" t="str">
        <x:v>16.13</x:v>
      </x:c>
      <x:c r="J1224" s="33" t="str">
        <x:v>Heart of Darkness</x:v>
      </x:c>
      <x:c r="K1224" s="33" t="str"/>
      <x:c r="L1224" s="33" t="str"/>
      <x:c r="M1224" s="44" t="str"/>
      <x:c r="N1224" s="50" t="n">
        <x:v>45</x:v>
      </x:c>
      <x:c r="O1224" s="53" t="str">
        <x:v>A journalist's suicide becomes suspect after Green and Fontana find evidence at the scene suggesting that it wasn't a suicide after all.</x:v>
      </x:c>
      <x:c r="P1224" s="53" t="str">
        <x:v>Core Law &amp; Order franchise</x:v>
      </x:c>
      <x:c r="Q1224" s="17" t="str">
        <x:v>34416</x:v>
      </x:c>
      <x:c r="R1224" s="17" t="str">
        <x:v>tt0629293</x:v>
      </x:c>
      <x:c r="S1224" s="17" t="str">
        <x:v>807</x:v>
      </x:c>
    </x:row>
    <x:row r="1225">
      <x:c r="A1225" s="43" t="n">
        <x:v>1221</x:v>
      </x:c>
      <x:c r="B1225" s="44" t="str">
        <x:v>Not Started</x:v>
      </x:c>
      <x:c r="C1225" s="45" t="n">
        <x:v>38739</x:v>
      </x:c>
      <x:c r="D1225" s="33" t="str">
        <x:v>Law &amp; Order: Trial by Jury</x:v>
      </x:c>
      <x:c r="E1225" s="33" t="str">
        <x:v>Law &amp; Order</x:v>
      </x:c>
      <x:c r="F1225" s="33" t="str">
        <x:v>core</x:v>
      </x:c>
      <x:c r="G1225" s="50" t="n">
        <x:v>1</x:v>
      </x:c>
      <x:c r="H1225" s="50" t="n">
        <x:v>13</x:v>
      </x:c>
      <x:c r="I1225" s="44" t="str">
        <x:v>01.13</x:v>
      </x:c>
      <x:c r="J1225" s="33" t="str">
        <x:v>Eros in the Upper Eighties</x:v>
      </x:c>
      <x:c r="K1225" s="33" t="str"/>
      <x:c r="L1225" s="33" t="str"/>
      <x:c r="M1225" s="44" t="str"/>
      <x:c r="N1225" s="50" t="n">
        <x:v>42</x:v>
      </x:c>
      <x:c r="O1225" s="53" t="str">
        <x:v>Kibre and Gaffney are forced to prosecute a doorman who killed a homeless man while he attacked a frightened woman who lived in the building. After the woman tells the grand jury that she's been stalked for four months, thinking it was the homeless man, Kibre and Gaffney look into who the stalker was.</x:v>
      </x:c>
      <x:c r="P1225" s="53" t="str">
        <x:v>Core Law &amp; Order franchise</x:v>
      </x:c>
      <x:c r="Q1225" s="17" t="str">
        <x:v>255214</x:v>
      </x:c>
      <x:c r="R1225" s="17" t="str">
        <x:v>tt0629764</x:v>
      </x:c>
      <x:c r="S1225" s="17" t="str"/>
    </x:row>
    <x:row r="1226">
      <x:c r="A1226" s="43" t="n">
        <x:v>1222</x:v>
      </x:c>
      <x:c r="B1226" s="44" t="str">
        <x:v>Not Started</x:v>
      </x:c>
      <x:c r="C1226" s="45" t="n">
        <x:v>38740</x:v>
      </x:c>
      <x:c r="D1226" s="33" t="str">
        <x:v>Law &amp; Order: Criminal Intent</x:v>
      </x:c>
      <x:c r="E1226" s="33" t="str">
        <x:v>Law &amp; Order</x:v>
      </x:c>
      <x:c r="F1226" s="33" t="str">
        <x:v>core</x:v>
      </x:c>
      <x:c r="G1226" s="50" t="n">
        <x:v>5</x:v>
      </x:c>
      <x:c r="H1226" s="50" t="n">
        <x:v>12</x:v>
      </x:c>
      <x:c r="I1226" s="44" t="str">
        <x:v>05.12</x:v>
      </x:c>
      <x:c r="J1226" s="33" t="str">
        <x:v>Watch</x:v>
      </x:c>
      <x:c r="K1226" s="33" t="str"/>
      <x:c r="L1226" s="33" t="str"/>
      <x:c r="M1226" s="44" t="str"/>
      <x:c r="N1226" s="50" t="n">
        <x:v>44</x:v>
      </x:c>
      <x:c r="O1226" s="53" t="str">
        <x:v>Logan and Barek investigate after a body is found in the ocean, having fallen from an airline wheelwell. They soon discover that she is just one in a long line of prostitutes to be beaten and murdered. Their investigation leads them to a nervous airline employee, but they just don't feel he has the courage or the violent nature to commit these crimes on his own. A family connection leads them to a second suspect, with a history of both being abused and being the abuser.</x:v>
      </x:c>
      <x:c r="P1226" s="53" t="str">
        <x:v>Core Law &amp; Order franchise</x:v>
      </x:c>
      <x:c r="Q1226" s="17" t="str">
        <x:v>341312</x:v>
      </x:c>
      <x:c r="R1226" s="17" t="str">
        <x:v>tt0629602</x:v>
      </x:c>
      <x:c r="S1226" s="17" t="str">
        <x:v>816</x:v>
      </x:c>
    </x:row>
    <x:row r="1227">
      <x:c r="A1227" s="43" t="n">
        <x:v>1223</x:v>
      </x:c>
      <x:c r="B1227" s="44" t="str">
        <x:v>Not Started</x:v>
      </x:c>
      <x:c r="C1227" s="45" t="n">
        <x:v>38755</x:v>
      </x:c>
      <x:c r="D1227" s="33" t="str">
        <x:v>Law &amp; Order: Special Victims Unit</x:v>
      </x:c>
      <x:c r="E1227" s="33" t="str">
        <x:v>Law &amp; Order</x:v>
      </x:c>
      <x:c r="F1227" s="33" t="str">
        <x:v>core</x:v>
      </x:c>
      <x:c r="G1227" s="50" t="n">
        <x:v>7</x:v>
      </x:c>
      <x:c r="H1227" s="50" t="n">
        <x:v>15</x:v>
      </x:c>
      <x:c r="I1227" s="44" t="str">
        <x:v>07.15</x:v>
      </x:c>
      <x:c r="J1227" s="33" t="str">
        <x:v>Manipulated</x:v>
      </x:c>
      <x:c r="K1227" s="33" t="str"/>
      <x:c r="L1227" s="33" t="str"/>
      <x:c r="M1227" s="44" t="str"/>
      <x:c r="N1227" s="50" t="n">
        <x:v>43</x:v>
      </x:c>
      <x:c r="O1227" s="53" t="str">
        <x:v>After the body of Vicky Riggs is found, Benson and Stabler delve into her private life and finally learn that in addition to being a respected lawyer, she was also a stripper. A surveillance photo leads them to Linus McKellen, her boss' husband, who was also having an affair with her. There isn't enough evidence to prove he murdered Vicky, but when Vicky's co-worker at the club, Josie Post, is also found murdered, DNA proves that McKellen's semen was found in her body, despite his disabled wife Tessa's conviction that he would never murder anyone. Suspicion turns on Tessa herself once the detectives interview the only man who seems capable of having committed the murders.</x:v>
      </x:c>
      <x:c r="P1227" s="53" t="str">
        <x:v>Core Law &amp; Order franchise</x:v>
      </x:c>
      <x:c r="Q1227" s="17" t="str">
        <x:v>225094</x:v>
      </x:c>
      <x:c r="R1227" s="17" t="str">
        <x:v>tt0760911</x:v>
      </x:c>
      <x:c r="S1227" s="17" t="str">
        <x:v>809</x:v>
      </x:c>
    </x:row>
    <x:row r="1228">
      <x:c r="A1228" s="43" t="n">
        <x:v>1224</x:v>
      </x:c>
      <x:c r="B1228" s="44" t="str">
        <x:v>Not Started</x:v>
      </x:c>
      <x:c r="C1228" s="45" t="n">
        <x:v>38756</x:v>
      </x:c>
      <x:c r="D1228" s="33" t="str">
        <x:v>Law &amp; Order</x:v>
      </x:c>
      <x:c r="E1228" s="33" t="str">
        <x:v>Law &amp; Order</x:v>
      </x:c>
      <x:c r="F1228" s="33" t="str">
        <x:v>core</x:v>
      </x:c>
      <x:c r="G1228" s="50" t="n">
        <x:v>16</x:v>
      </x:c>
      <x:c r="H1228" s="50" t="n">
        <x:v>14</x:v>
      </x:c>
      <x:c r="I1228" s="44" t="str">
        <x:v>16.14</x:v>
      </x:c>
      <x:c r="J1228" s="33" t="str">
        <x:v>Magnet</x:v>
      </x:c>
      <x:c r="K1228" s="33" t="str"/>
      <x:c r="L1228" s="33" t="str"/>
      <x:c r="M1228" s="44" t="str"/>
      <x:c r="N1228" s="50" t="n">
        <x:v>45</x:v>
      </x:c>
      <x:c r="O1228" s="53" t="str">
        <x:v>Fontana and Green arrest a fellow student after a young man is murdered, but McCoy faces a tough adversary when he tries to prosecute the crime.</x:v>
      </x:c>
      <x:c r="P1228" s="53" t="str">
        <x:v>Core Law &amp; Order franchise</x:v>
      </x:c>
      <x:c r="Q1228" s="17" t="str">
        <x:v>34417</x:v>
      </x:c>
      <x:c r="R1228" s="17" t="str">
        <x:v>tt0758296</x:v>
      </x:c>
      <x:c r="S1228" s="17" t="str">
        <x:v>810</x:v>
      </x:c>
    </x:row>
    <x:row r="1229">
      <x:c r="A1229" s="43" t="n">
        <x:v>1225</x:v>
      </x:c>
      <x:c r="B1229" s="44" t="str">
        <x:v>Not Started</x:v>
      </x:c>
      <x:c r="C1229" s="45" t="n">
        <x:v>38776</x:v>
      </x:c>
      <x:c r="D1229" s="33" t="str">
        <x:v>Law &amp; Order: Special Victims Unit</x:v>
      </x:c>
      <x:c r="E1229" s="33" t="str">
        <x:v>Law &amp; Order</x:v>
      </x:c>
      <x:c r="F1229" s="33" t="str">
        <x:v>core</x:v>
      </x:c>
      <x:c r="G1229" s="50" t="n">
        <x:v>7</x:v>
      </x:c>
      <x:c r="H1229" s="50" t="n">
        <x:v>16</x:v>
      </x:c>
      <x:c r="I1229" s="44" t="str">
        <x:v>07.16</x:v>
      </x:c>
      <x:c r="J1229" s="33" t="str">
        <x:v>Gone</x:v>
      </x:c>
      <x:c r="K1229" s="33" t="str"/>
      <x:c r="L1229" s="33" t="str"/>
      <x:c r="M1229" s="44" t="str"/>
      <x:c r="N1229" s="50" t="n">
        <x:v>44</x:v>
      </x:c>
      <x:c r="O1229" s="53" t="str">
        <x:v>Doug Waverly and Nick Pratt are charged with rape and murder in the disappearance of Canadian student Jennifer Durning after Nick's cousin, Jason King, claims that while he had consensual sex with her that night the other two raped her. A stray pubic hair leads Novak to Keith Willis, a drunk who was paid off by the boys to get Jennifer out of the hotel and who later saw the boys kidnap her, but Willis exactly fit to be a witness as his mind has gone after years of alcohol abuse. Jason King disappears. Although they are able to find a bug in Donnelly's office, they are not able to prove that it was placed there by Pratt or Waverly. Judge Donnelly is forced to dismiss the case against the two boys since there is no case without Jason's testimony.</x:v>
      </x:c>
      <x:c r="P1229" s="53" t="str">
        <x:v>Core Law &amp; Order franchise</x:v>
      </x:c>
      <x:c r="Q1229" s="17" t="str">
        <x:v>225095</x:v>
      </x:c>
      <x:c r="R1229" s="17" t="str">
        <x:v>tt0760910</x:v>
      </x:c>
      <x:c r="S1229" s="17" t="str">
        <x:v>811</x:v>
      </x:c>
    </x:row>
    <x:row r="1230">
      <x:c r="A1230" s="43" t="n">
        <x:v>1226</x:v>
      </x:c>
      <x:c r="B1230" s="44" t="str">
        <x:v>Not Started</x:v>
      </x:c>
      <x:c r="C1230" s="45" t="n">
        <x:v>38777</x:v>
      </x:c>
      <x:c r="D1230" s="33" t="str">
        <x:v>Law &amp; Order</x:v>
      </x:c>
      <x:c r="E1230" s="33" t="str">
        <x:v>Law &amp; Order</x:v>
      </x:c>
      <x:c r="F1230" s="33" t="str">
        <x:v>core</x:v>
      </x:c>
      <x:c r="G1230" s="50" t="n">
        <x:v>16</x:v>
      </x:c>
      <x:c r="H1230" s="50" t="n">
        <x:v>15</x:v>
      </x:c>
      <x:c r="I1230" s="44" t="str">
        <x:v>16.15</x:v>
      </x:c>
      <x:c r="J1230" s="33" t="str">
        <x:v>Choice of Evils</x:v>
      </x:c>
      <x:c r="K1230" s="33" t="str"/>
      <x:c r="L1230" s="33" t="str"/>
      <x:c r="M1230" s="44" t="str"/>
      <x:c r="N1230" s="50" t="n">
        <x:v>45</x:v>
      </x:c>
      <x:c r="O1230" s="53" t="str">
        <x:v>After the body of a teenage boy is found dead in a warehouse, detectives use DNA to connect the boy to a convicted rapist and serial killer, then to the boy's mother, Allison Ashburn, the convict's ex-wife. While trying to solve Danny's murder, Fontana and Green learn that he recently got his girlfriend Tina pregnant, and his mother had seen him recently when she had given him money despite having claimed she hadn't seen him for months. Allison finally admits that she murdered her son after the police arrest her new husband John, but claims she did it to save the world from her son, whom she was convinced would become a monster just like her father. Borgia and McCoy face an uphill battle trying to convict the perfect soccer mom.</x:v>
      </x:c>
      <x:c r="P1230" s="53" t="str">
        <x:v>Core Law &amp; Order franchise</x:v>
      </x:c>
      <x:c r="Q1230" s="17" t="str">
        <x:v>34418</x:v>
      </x:c>
      <x:c r="R1230" s="17" t="str">
        <x:v>tt0756928</x:v>
      </x:c>
      <x:c r="S1230" s="17" t="str">
        <x:v>812</x:v>
      </x:c>
    </x:row>
    <x:row r="1231">
      <x:c r="A1231" s="43" t="n">
        <x:v>1227</x:v>
      </x:c>
      <x:c r="B1231" s="44" t="str">
        <x:v>Not Started</x:v>
      </x:c>
      <x:c r="C1231" s="45" t="n">
        <x:v>38779</x:v>
      </x:c>
      <x:c r="D1231" s="33" t="str">
        <x:v>Conviction</x:v>
      </x:c>
      <x:c r="E1231" s="33" t="str">
        <x:v>Law &amp; Order</x:v>
      </x:c>
      <x:c r="F1231" s="33" t="str">
        <x:v>connected</x:v>
      </x:c>
      <x:c r="G1231" s="50" t="n">
        <x:v>1</x:v>
      </x:c>
      <x:c r="H1231" s="50" t="n">
        <x:v>1</x:v>
      </x:c>
      <x:c r="I1231" s="44" t="str">
        <x:v>01.01</x:v>
      </x:c>
      <x:c r="J1231" s="33" t="str">
        <x:v>Pilot</x:v>
      </x:c>
      <x:c r="K1231" s="33" t="str"/>
      <x:c r="L1231" s="33" t="str"/>
      <x:c r="M1231" s="44" t="str"/>
      <x:c r="N1231" s="50" t="n">
        <x:v>60</x:v>
      </x:c>
      <x:c r="O1231" s="53" t="str">
        <x:v>Nick Potter leaves his law firm to join the New York District Attorney's office which is currently investigating a known drug dealer. Meanwhile, Sara Finn loses key evidence for her case. Soon an assistant D.A. is gunned down and it turns out that another A.D.A. might be involved.</x:v>
      </x:c>
      <x:c r="P1231" s="53" t="str">
        <x:v>Law &amp; Order spinoff with Alexandra Cabot</x:v>
      </x:c>
      <x:c r="Q1231" s="17" t="str">
        <x:v>194233</x:v>
      </x:c>
      <x:c r="R1231" s="17" t="str">
        <x:v>tt0756434</x:v>
      </x:c>
      <x:c r="S1231" s="17" t="str">
        <x:v>813</x:v>
      </x:c>
    </x:row>
    <x:row r="1232">
      <x:c r="A1232" s="43" t="n">
        <x:v>1228</x:v>
      </x:c>
      <x:c r="B1232" s="44" t="str">
        <x:v>Not Started</x:v>
      </x:c>
      <x:c r="C1232" s="45" t="n">
        <x:v>38784</x:v>
      </x:c>
      <x:c r="D1232" s="33" t="str">
        <x:v>Law &amp; Order</x:v>
      </x:c>
      <x:c r="E1232" s="33" t="str">
        <x:v>Law &amp; Order</x:v>
      </x:c>
      <x:c r="F1232" s="33" t="str">
        <x:v>core</x:v>
      </x:c>
      <x:c r="G1232" s="50" t="n">
        <x:v>16</x:v>
      </x:c>
      <x:c r="H1232" s="50" t="n">
        <x:v>16</x:v>
      </x:c>
      <x:c r="I1232" s="44" t="str">
        <x:v>16.16</x:v>
      </x:c>
      <x:c r="J1232" s="33" t="str">
        <x:v>Cost of Capital</x:v>
      </x:c>
      <x:c r="K1232" s="33" t="str"/>
      <x:c r="L1232" s="33" t="str"/>
      <x:c r="M1232" s="44" t="str"/>
      <x:c r="N1232" s="50" t="n">
        <x:v>45</x:v>
      </x:c>
      <x:c r="O1232" s="53" t="str">
        <x:v>The case against a high powered executive accused of killing her lover rests on the executive's estranged husband and unstable teenage daughter.</x:v>
      </x:c>
      <x:c r="P1232" s="53" t="str">
        <x:v>Core Law &amp; Order franchise</x:v>
      </x:c>
      <x:c r="Q1232" s="17" t="str">
        <x:v>34419</x:v>
      </x:c>
      <x:c r="R1232" s="17" t="str">
        <x:v>tt0629218</x:v>
      </x:c>
      <x:c r="S1232" s="17" t="str">
        <x:v>814</x:v>
      </x:c>
    </x:row>
    <x:row r="1233">
      <x:c r="A1233" s="43" t="n">
        <x:v>1229</x:v>
      </x:c>
      <x:c r="B1233" s="44" t="str">
        <x:v>Not Started</x:v>
      </x:c>
      <x:c r="C1233" s="45" t="n">
        <x:v>38786</x:v>
      </x:c>
      <x:c r="D1233" s="33" t="str">
        <x:v>Conviction</x:v>
      </x:c>
      <x:c r="E1233" s="33" t="str">
        <x:v>Law &amp; Order</x:v>
      </x:c>
      <x:c r="F1233" s="33" t="str">
        <x:v>connected</x:v>
      </x:c>
      <x:c r="G1233" s="50" t="n">
        <x:v>1</x:v>
      </x:c>
      <x:c r="H1233" s="50" t="n">
        <x:v>2</x:v>
      </x:c>
      <x:c r="I1233" s="44" t="str">
        <x:v>01.02</x:v>
      </x:c>
      <x:c r="J1233" s="33" t="str">
        <x:v>Denial</x:v>
      </x:c>
      <x:c r="K1233" s="33" t="str"/>
      <x:c r="L1233" s="33" t="str"/>
      <x:c r="M1233" s="44" t="str"/>
      <x:c r="N1233" s="50" t="n">
        <x:v>43</x:v>
      </x:c>
      <x:c r="O1233" s="53" t="str">
        <x:v>Steele has to prosecute a 14 year old boy as an adult after he killed his brother with a baseball bat. Peluso must investigate why a high school athlete commited a hate crime against a gay man. Rossi tries to get a prostitute to tesify at a rape trial and Finn gets ready for her blind date.</x:v>
      </x:c>
      <x:c r="P1233" s="53" t="str">
        <x:v>Law &amp; Order spinoff with Alexandra Cabot</x:v>
      </x:c>
      <x:c r="Q1233" s="17" t="str">
        <x:v>194234</x:v>
      </x:c>
      <x:c r="R1233" s="17" t="str"/>
      <x:c r="S1233" s="17" t="str">
        <x:v>815</x:v>
      </x:c>
    </x:row>
    <x:row r="1234">
      <x:c r="A1234" s="43" t="n">
        <x:v>1230</x:v>
      </x:c>
      <x:c r="B1234" s="44" t="str">
        <x:v>Not Started</x:v>
      </x:c>
      <x:c r="C1234" s="45" t="n">
        <x:v>38789</x:v>
      </x:c>
      <x:c r="D1234" s="33" t="str">
        <x:v>Law &amp; Order: Criminal Intent</x:v>
      </x:c>
      <x:c r="E1234" s="33" t="str">
        <x:v>Law &amp; Order</x:v>
      </x:c>
      <x:c r="F1234" s="33" t="str">
        <x:v>core</x:v>
      </x:c>
      <x:c r="G1234" s="50" t="n">
        <x:v>5</x:v>
      </x:c>
      <x:c r="H1234" s="50" t="n">
        <x:v>13</x:v>
      </x:c>
      <x:c r="I1234" s="44" t="str">
        <x:v>05.13</x:v>
      </x:c>
      <x:c r="J1234" s="33" t="str">
        <x:v>Proud Flesh</x:v>
      </x:c>
      <x:c r="K1234" s="33" t="str"/>
      <x:c r="L1234" s="33" t="str"/>
      <x:c r="M1234" s="44" t="str"/>
      <x:c r="N1234" s="50" t="n">
        <x:v>44</x:v>
      </x:c>
      <x:c r="O1234" s="53" t="str">
        <x:v>Goren and Eames investigate after Trip Slaughter III, the eldest son of radio magnate Jonas Slaughter, is found dead covered in plastic latex. Initial evidence leads detectives directly to Jonas' Chinese wife Anna, but Goren and Eames realise that the evidence leading her way is a little too pat.</x:v>
      </x:c>
      <x:c r="P1234" s="53" t="str">
        <x:v>Core Law &amp; Order franchise</x:v>
      </x:c>
      <x:c r="Q1234" s="17" t="str">
        <x:v>341313</x:v>
      </x:c>
      <x:c r="R1234" s="17" t="str">
        <x:v>tt0629564</x:v>
      </x:c>
      <x:c r="S1234" s="17" t="str">
        <x:v>818</x:v>
      </x:c>
    </x:row>
    <x:row r="1235">
      <x:c r="A1235" s="43" t="n">
        <x:v>1231</x:v>
      </x:c>
      <x:c r="B1235" s="44" t="str">
        <x:v>Not Started</x:v>
      </x:c>
      <x:c r="C1235" s="45" t="n">
        <x:v>38793</x:v>
      </x:c>
      <x:c r="D1235" s="33" t="str">
        <x:v>Conviction</x:v>
      </x:c>
      <x:c r="E1235" s="33" t="str">
        <x:v>Law &amp; Order</x:v>
      </x:c>
      <x:c r="F1235" s="33" t="str">
        <x:v>connected</x:v>
      </x:c>
      <x:c r="G1235" s="50" t="n">
        <x:v>1</x:v>
      </x:c>
      <x:c r="H1235" s="50" t="n">
        <x:v>3</x:v>
      </x:c>
      <x:c r="I1235" s="44" t="str">
        <x:v>01.03</x:v>
      </x:c>
      <x:c r="J1235" s="33" t="str">
        <x:v>Breakup</x:v>
      </x:c>
      <x:c r="K1235" s="33" t="str"/>
      <x:c r="L1235" s="33" t="str"/>
      <x:c r="M1235" s="44" t="str"/>
      <x:c r="N1235" s="50" t="n">
        <x:v>43</x:v>
      </x:c>
      <x:c r="O1235" s="53" t="str">
        <x:v>Finn has to investigate why a mother said her daughter was dying of cancer because the autopsy done after she supposedly commited suicide proves otherwise. Potter's friend is arrested for cocaine possession, but when his friend comes to him for help, Potter sends him to Desmond. Meanwhile, Cabot begins an anti-drug campaign.</x:v>
      </x:c>
      <x:c r="P1235" s="53" t="str">
        <x:v>Law &amp; Order spinoff with Alexandra Cabot</x:v>
      </x:c>
      <x:c r="Q1235" s="17" t="str">
        <x:v>194235</x:v>
      </x:c>
      <x:c r="R1235" s="17" t="str"/>
      <x:c r="S1235" s="17" t="str">
        <x:v>817</x:v>
      </x:c>
    </x:row>
    <x:row r="1236">
      <x:c r="A1236" s="43" t="n">
        <x:v>1232</x:v>
      </x:c>
      <x:c r="B1236" s="44" t="str">
        <x:v>Not Started</x:v>
      </x:c>
      <x:c r="C1236" s="45" t="n">
        <x:v>38796</x:v>
      </x:c>
      <x:c r="D1236" s="33" t="str">
        <x:v>Law &amp; Order: Criminal Intent</x:v>
      </x:c>
      <x:c r="E1236" s="33" t="str">
        <x:v>Law &amp; Order</x:v>
      </x:c>
      <x:c r="F1236" s="33" t="str">
        <x:v>core</x:v>
      </x:c>
      <x:c r="G1236" s="50" t="n">
        <x:v>5</x:v>
      </x:c>
      <x:c r="H1236" s="50" t="n">
        <x:v>14</x:v>
      </x:c>
      <x:c r="I1236" s="44" t="str">
        <x:v>05.14</x:v>
      </x:c>
      <x:c r="J1236" s="33" t="str">
        <x:v>Wasichu</x:v>
      </x:c>
      <x:c r="K1236" s="33" t="str"/>
      <x:c r="L1236" s="33" t="str"/>
      <x:c r="M1236" s="44" t="str"/>
      <x:c r="N1236" s="50" t="n">
        <x:v>44</x:v>
      </x:c>
      <x:c r="O1236" s="53" t="str">
        <x:v>Logan and Barek investigate after secret service agent Paula Kendall is found dead in her home. Suspicion initially turns to the husband after detectives realize that it took him eleven minutes after a first failed attempt to get in touch with 911, and their investigation leads them to her husband's role in a proposed Indian casino. Logan and Barek are especially interested when it turns out that the 'witness' Paula was supposed to be meeting that night had ties to a local politician, Peter Bellingham, who also had ties to Kendall's husband.</x:v>
      </x:c>
      <x:c r="P1236" s="53" t="str">
        <x:v>Core Law &amp; Order franchise</x:v>
      </x:c>
      <x:c r="Q1236" s="17" t="str">
        <x:v>341314</x:v>
      </x:c>
      <x:c r="R1236" s="17" t="str">
        <x:v>tt0629601</x:v>
      </x:c>
      <x:c r="S1236" s="17" t="str">
        <x:v>822</x:v>
      </x:c>
    </x:row>
    <x:row r="1237">
      <x:c r="A1237" s="43" t="n">
        <x:v>1233</x:v>
      </x:c>
      <x:c r="B1237" s="44" t="str">
        <x:v>Not Started</x:v>
      </x:c>
      <x:c r="C1237" s="45" t="n">
        <x:v>38797</x:v>
      </x:c>
      <x:c r="D1237" s="33" t="str">
        <x:v>Law &amp; Order: Special Victims Unit</x:v>
      </x:c>
      <x:c r="E1237" s="33" t="str">
        <x:v>Law &amp; Order</x:v>
      </x:c>
      <x:c r="F1237" s="33" t="str">
        <x:v>core</x:v>
      </x:c>
      <x:c r="G1237" s="50" t="n">
        <x:v>7</x:v>
      </x:c>
      <x:c r="H1237" s="50" t="n">
        <x:v>17</x:v>
      </x:c>
      <x:c r="I1237" s="44" t="str">
        <x:v>07.17</x:v>
      </x:c>
      <x:c r="J1237" s="33" t="str">
        <x:v>Class</x:v>
      </x:c>
      <x:c r="K1237" s="33" t="str"/>
      <x:c r="L1237" s="33" t="str"/>
      <x:c r="M1237" s="44" t="str"/>
      <x:c r="N1237" s="50" t="n">
        <x:v>42</x:v>
      </x:c>
      <x:c r="O1237" s="53" t="str">
        <x:v>After Carolyn Pereira's body is dumped in an area frequented by prostitutes, Stabler and Tutuola soon realise she had far more money than a student on financial aid should have had, and learn that she was deeply involved in the worlds of online gambling and high stakes poker. Suspects include the Gloria Culhane, the roommate who ended up with the very expensive ring that Caroline stole from a star athlete, Roddy Franklin, the star athlete who had his ring taken by Caroline, and Adam Halder, Caroline's best friend from childhood who turned out to be her backup during her online gambling forays. Stabler makes a special plea for Halder, feeling like he and the young man have something in common because both were boys from the wrong side of the tracks dealing with rich kids who treated them like dirt.</x:v>
      </x:c>
      <x:c r="P1237" s="53" t="str">
        <x:v>Core Law &amp; Order franchise</x:v>
      </x:c>
      <x:c r="Q1237" s="17" t="str">
        <x:v>225096</x:v>
      </x:c>
      <x:c r="R1237" s="17" t="str">
        <x:v>tt0756929</x:v>
      </x:c>
      <x:c r="S1237" s="17" t="str">
        <x:v>819</x:v>
      </x:c>
    </x:row>
    <x:row r="1238">
      <x:c r="A1238" s="43" t="n">
        <x:v>1234</x:v>
      </x:c>
      <x:c r="B1238" s="44" t="str">
        <x:v>Not Started</x:v>
      </x:c>
      <x:c r="C1238" s="45" t="n">
        <x:v>38798</x:v>
      </x:c>
      <x:c r="D1238" s="33" t="str">
        <x:v>Law &amp; Order</x:v>
      </x:c>
      <x:c r="E1238" s="33" t="str">
        <x:v>Law &amp; Order</x:v>
      </x:c>
      <x:c r="F1238" s="33" t="str">
        <x:v>core</x:v>
      </x:c>
      <x:c r="G1238" s="50" t="n">
        <x:v>16</x:v>
      </x:c>
      <x:c r="H1238" s="50" t="n">
        <x:v>17</x:v>
      </x:c>
      <x:c r="I1238" s="44" t="str">
        <x:v>16.17</x:v>
      </x:c>
      <x:c r="J1238" s="33" t="str">
        <x:v>America, Inc.</x:v>
      </x:c>
      <x:c r="K1238" s="33" t="str"/>
      <x:c r="L1238" s="33" t="str"/>
      <x:c r="M1238" s="44" t="str"/>
      <x:c r="N1238" s="50" t="n">
        <x:v>45</x:v>
      </x:c>
      <x:c r="O1238" s="53" t="str">
        <x:v>After Jeffrey Pope, a private military contractor, is found dead, suspicion eventually leads Green and Fontana to Robbie Howell, the younger brother of a man who died because of Pope's incompetance, and Kevin Boatman, Nick Howell's former co-worker who had witnessed the tragic events in Iraq.</x:v>
      </x:c>
      <x:c r="P1238" s="53" t="str">
        <x:v>Core Law &amp; Order franchise</x:v>
      </x:c>
      <x:c r="Q1238" s="17" t="str">
        <x:v>34420</x:v>
      </x:c>
      <x:c r="R1238" s="17" t="str">
        <x:v>tt0775648</x:v>
      </x:c>
      <x:c r="S1238" s="17" t="str">
        <x:v>820</x:v>
      </x:c>
    </x:row>
    <x:row r="1239">
      <x:c r="A1239" s="43" t="n">
        <x:v>1235</x:v>
      </x:c>
      <x:c r="B1239" s="44" t="str">
        <x:v>Not Started</x:v>
      </x:c>
      <x:c r="C1239" s="45" t="n">
        <x:v>38800</x:v>
      </x:c>
      <x:c r="D1239" s="33" t="str">
        <x:v>Conviction</x:v>
      </x:c>
      <x:c r="E1239" s="33" t="str">
        <x:v>Law &amp; Order</x:v>
      </x:c>
      <x:c r="F1239" s="33" t="str">
        <x:v>connected</x:v>
      </x:c>
      <x:c r="G1239" s="50" t="n">
        <x:v>1</x:v>
      </x:c>
      <x:c r="H1239" s="50" t="n">
        <x:v>4</x:v>
      </x:c>
      <x:c r="I1239" s="44" t="str">
        <x:v>01.04</x:v>
      </x:c>
      <x:c r="J1239" s="33" t="str">
        <x:v>Indebted</x:v>
      </x:c>
      <x:c r="K1239" s="33" t="str"/>
      <x:c r="L1239" s="33" t="str"/>
      <x:c r="M1239" s="44" t="str"/>
      <x:c r="N1239" s="50" t="n">
        <x:v>43</x:v>
      </x:c>
      <x:c r="O1239" s="53" t="str">
        <x:v>Desmond has to prosecute a well-known rap producer who has been charged with murder.  Nick Potter goes on a ride along with two ghetto cops, landing Potter in a meeting with Internal Affairs; Jessica Rossi prosecutes a wife beater, while wrestling with the same problem at home, when her mother tells her she's leaving her father for being abusive, and Christina Finn gets caught up in a case with a spoiled diplomat's son and a strip club.</x:v>
      </x:c>
      <x:c r="P1239" s="53" t="str">
        <x:v>Law &amp; Order spinoff with Alexandra Cabot</x:v>
      </x:c>
      <x:c r="Q1239" s="17" t="str">
        <x:v>194236</x:v>
      </x:c>
      <x:c r="R1239" s="17" t="str"/>
      <x:c r="S1239" s="17" t="str">
        <x:v>821</x:v>
      </x:c>
    </x:row>
    <x:row r="1240">
      <x:c r="A1240" s="43" t="n">
        <x:v>1236</x:v>
      </x:c>
      <x:c r="B1240" s="44" t="str">
        <x:v>Not Started</x:v>
      </x:c>
      <x:c r="C1240" s="45" t="n">
        <x:v>38803</x:v>
      </x:c>
      <x:c r="D1240" s="33" t="str">
        <x:v>Law &amp; Order: Criminal Intent</x:v>
      </x:c>
      <x:c r="E1240" s="33" t="str">
        <x:v>Law &amp; Order</x:v>
      </x:c>
      <x:c r="F1240" s="33" t="str">
        <x:v>core</x:v>
      </x:c>
      <x:c r="G1240" s="50" t="n">
        <x:v>5</x:v>
      </x:c>
      <x:c r="H1240" s="50" t="n">
        <x:v>15</x:v>
      </x:c>
      <x:c r="I1240" s="44" t="str">
        <x:v>05.15</x:v>
      </x:c>
      <x:c r="J1240" s="33" t="str">
        <x:v>Wrongful Life</x:v>
      </x:c>
      <x:c r="K1240" s="33" t="str"/>
      <x:c r="L1240" s="33" t="str"/>
      <x:c r="M1240" s="44" t="str"/>
      <x:c r="N1240" s="50" t="n">
        <x:v>44</x:v>
      </x:c>
      <x:c r="O1240" s="53" t="str">
        <x:v>Goren and Eames investigate the death of Eric Newsome, an urban explorer who was found in a water tower. During their investigation, they learn that Eric had been looking into the files of Dr. Everett Janns, an OB/GYN who had examined his sister Nikki's boyfriend Drew's mother years earlier when she had been carrying his sister Lisa. Lisa Ramsey was born with spina bifida, and Victoria Carson was suing her primary OB/GYN, Dr. Dominic McKenna, with a wrongful life suit, charging that he did not perform the necessary tests needed to establish whether or not her child had spina bifida, which would have influenced whether or not she had an abortion.</x:v>
      </x:c>
      <x:c r="P1240" s="53" t="str">
        <x:v>Core Law &amp; Order franchise</x:v>
      </x:c>
      <x:c r="Q1240" s="17" t="str">
        <x:v>341315</x:v>
      </x:c>
      <x:c r="R1240" s="17" t="str">
        <x:v>tt0770583</x:v>
      </x:c>
      <x:c r="S1240" s="17" t="str">
        <x:v>829</x:v>
      </x:c>
    </x:row>
    <x:row r="1241">
      <x:c r="A1241" s="43" t="n">
        <x:v>1237</x:v>
      </x:c>
      <x:c r="B1241" s="44" t="str">
        <x:v>Not Started</x:v>
      </x:c>
      <x:c r="C1241" s="45" t="n">
        <x:v>38804</x:v>
      </x:c>
      <x:c r="D1241" s="33" t="str">
        <x:v>Law &amp; Order: Special Victims Unit</x:v>
      </x:c>
      <x:c r="E1241" s="33" t="str">
        <x:v>Law &amp; Order</x:v>
      </x:c>
      <x:c r="F1241" s="33" t="str">
        <x:v>core</x:v>
      </x:c>
      <x:c r="G1241" s="50" t="n">
        <x:v>7</x:v>
      </x:c>
      <x:c r="H1241" s="50" t="n">
        <x:v>18</x:v>
      </x:c>
      <x:c r="I1241" s="44" t="str">
        <x:v>07.18</x:v>
      </x:c>
      <x:c r="J1241" s="33" t="str">
        <x:v>Venom</x:v>
      </x:c>
      <x:c r="K1241" s="33" t="str"/>
      <x:c r="L1241" s="33" t="str"/>
      <x:c r="M1241" s="44" t="str"/>
      <x:c r="N1241" s="50" t="n">
        <x:v>42</x:v>
      </x:c>
      <x:c r="O1241" s="53" t="str">
        <x:v>Ken Randall calls Benson for help after he's picked up in an alley late at night. He claims that he was looking for a body after overhearing a man talk about murdering a woman and dumping her body while he was at the bar that night. Tutuola is upset that no one informed him, and determined to clear his son's name even though Ken immediately gets his own lawyer. Tutuola turns his eye on Ken's cousin, Darius Parker, who was with Ken that night and has been in and out of trouble for years, and after Ken voluntarily submits his DNA to clear his name, a shocking family connection between Darius and Ken is revealed. Darius confesses to having murdered the woman and her baby, but his confession is out because no one had contacted his lawyer.</x:v>
      </x:c>
      <x:c r="P1241" s="53" t="str">
        <x:v>Core Law &amp; Order franchise</x:v>
      </x:c>
      <x:c r="Q1241" s="17" t="str">
        <x:v>225097</x:v>
      </x:c>
      <x:c r="R1241" s="17" t="str">
        <x:v>tt0784441</x:v>
      </x:c>
      <x:c r="S1241" s="17" t="str">
        <x:v>823</x:v>
      </x:c>
    </x:row>
    <x:row r="1242">
      <x:c r="A1242" s="43" t="n">
        <x:v>1238</x:v>
      </x:c>
      <x:c r="B1242" s="44" t="str">
        <x:v>Not Started</x:v>
      </x:c>
      <x:c r="C1242" s="45" t="n">
        <x:v>38805</x:v>
      </x:c>
      <x:c r="D1242" s="33" t="str">
        <x:v>Law &amp; Order</x:v>
      </x:c>
      <x:c r="E1242" s="33" t="str">
        <x:v>Law &amp; Order</x:v>
      </x:c>
      <x:c r="F1242" s="33" t="str">
        <x:v>core</x:v>
      </x:c>
      <x:c r="G1242" s="50" t="n">
        <x:v>16</x:v>
      </x:c>
      <x:c r="H1242" s="50" t="n">
        <x:v>18</x:v>
      </x:c>
      <x:c r="I1242" s="44" t="str">
        <x:v>16.18</x:v>
      </x:c>
      <x:c r="J1242" s="33" t="str">
        <x:v>Thinking Makes It So</x:v>
      </x:c>
      <x:c r="K1242" s="33" t="str"/>
      <x:c r="L1242" s="33" t="str"/>
      <x:c r="M1242" s="44" t="str"/>
      <x:c r="N1242" s="50" t="n">
        <x:v>45</x:v>
      </x:c>
      <x:c r="O1242" s="53" t="str">
        <x:v>Fontana and Green investigate when a bank manager is involved in the robbing of his own bank and learn that his daughter is being held hostage and that he had to go along with the robbery or risk losing his daughter.</x:v>
      </x:c>
      <x:c r="P1242" s="53" t="str">
        <x:v>Core Law &amp; Order franchise</x:v>
      </x:c>
      <x:c r="Q1242" s="17" t="str">
        <x:v>34421</x:v>
      </x:c>
      <x:c r="R1242" s="17" t="str">
        <x:v>tt0773937</x:v>
      </x:c>
      <x:c r="S1242" s="17" t="str">
        <x:v>824</x:v>
      </x:c>
    </x:row>
    <x:row r="1243">
      <x:c r="A1243" s="43" t="n">
        <x:v>1239</x:v>
      </x:c>
      <x:c r="B1243" s="44" t="str">
        <x:v>Not Started</x:v>
      </x:c>
      <x:c r="C1243" s="45" t="n">
        <x:v>38807</x:v>
      </x:c>
      <x:c r="D1243" s="33" t="str">
        <x:v>Conviction</x:v>
      </x:c>
      <x:c r="E1243" s="33" t="str">
        <x:v>Law &amp; Order</x:v>
      </x:c>
      <x:c r="F1243" s="33" t="str">
        <x:v>connected</x:v>
      </x:c>
      <x:c r="G1243" s="50" t="n">
        <x:v>1</x:v>
      </x:c>
      <x:c r="H1243" s="50" t="n">
        <x:v>5</x:v>
      </x:c>
      <x:c r="I1243" s="44" t="str">
        <x:v>01.05</x:v>
      </x:c>
      <x:c r="J1243" s="33" t="str">
        <x:v>Savasana</x:v>
      </x:c>
      <x:c r="K1243" s="33" t="str"/>
      <x:c r="L1243" s="33" t="str"/>
      <x:c r="M1243" s="44" t="str"/>
      <x:c r="N1243" s="50" t="n">
        <x:v>43</x:v>
      </x:c>
      <x:c r="O1243" s="53" t="str">
        <x:v>Finn has to deal with a shaken baby case. Even though his boss wants him to settle a case, Potter says no,  but wins anyway. Desmond has a one night stand with a woman from the courthouse. Steele ends up canceling a date with Rossi, but then gets intimate with Cabot moments before she makes a big announcement.</x:v>
      </x:c>
      <x:c r="P1243" s="53" t="str">
        <x:v>Law &amp; Order spinoff with Alexandra Cabot</x:v>
      </x:c>
      <x:c r="Q1243" s="17" t="str">
        <x:v>194237</x:v>
      </x:c>
      <x:c r="R1243" s="17" t="str"/>
      <x:c r="S1243" s="17" t="str">
        <x:v>825</x:v>
      </x:c>
    </x:row>
    <x:row r="1244">
      <x:c r="A1244" s="43" t="n">
        <x:v>1240</x:v>
      </x:c>
      <x:c r="B1244" s="44" t="str">
        <x:v>Not Started</x:v>
      </x:c>
      <x:c r="C1244" s="45" t="n">
        <x:v>38811</x:v>
      </x:c>
      <x:c r="D1244" s="33" t="str">
        <x:v>Law &amp; Order: Special Victims Unit</x:v>
      </x:c>
      <x:c r="E1244" s="33" t="str">
        <x:v>Law &amp; Order</x:v>
      </x:c>
      <x:c r="F1244" s="33" t="str">
        <x:v>core</x:v>
      </x:c>
      <x:c r="G1244" s="50" t="n">
        <x:v>7</x:v>
      </x:c>
      <x:c r="H1244" s="50" t="n">
        <x:v>19</x:v>
      </x:c>
      <x:c r="I1244" s="44" t="str">
        <x:v>07.19</x:v>
      </x:c>
      <x:c r="J1244" s="33" t="str">
        <x:v>Fault</x:v>
      </x:c>
      <x:c r="K1244" s="33" t="str"/>
      <x:c r="L1244" s="33" t="str"/>
      <x:c r="M1244" s="44" t="str"/>
      <x:c r="N1244" s="50" t="n">
        <x:v>43</x:v>
      </x:c>
      <x:c r="O1244" s="53" t="str">
        <x:v>A manhunt ensues when Victor Paul Gitano, a recently released sex offender, kidnaps two children after killing the rest of their family. Benson and Stabler pursue Gitano only to find their own relationship challenged as both experience opportunities where they put their personal relationship ahead of their job. After having her throat slashed, Benson requests for a new partner when she hears what Stabler has to say about their relationship and their job.</x:v>
      </x:c>
      <x:c r="P1244" s="53" t="str">
        <x:v>Core Law &amp; Order franchise</x:v>
      </x:c>
      <x:c r="Q1244" s="17" t="str">
        <x:v>225098</x:v>
      </x:c>
      <x:c r="R1244" s="17" t="str">
        <x:v>tt0771259</x:v>
      </x:c>
      <x:c r="S1244" s="17" t="str">
        <x:v>826</x:v>
      </x:c>
    </x:row>
    <x:row r="1245">
      <x:c r="A1245" s="43" t="n">
        <x:v>1241</x:v>
      </x:c>
      <x:c r="B1245" s="44" t="str">
        <x:v>Not Started</x:v>
      </x:c>
      <x:c r="C1245" s="45" t="n">
        <x:v>38812</x:v>
      </x:c>
      <x:c r="D1245" s="33" t="str">
        <x:v>Law &amp; Order</x:v>
      </x:c>
      <x:c r="E1245" s="33" t="str">
        <x:v>Law &amp; Order</x:v>
      </x:c>
      <x:c r="F1245" s="33" t="str">
        <x:v>core</x:v>
      </x:c>
      <x:c r="G1245" s="50" t="n">
        <x:v>16</x:v>
      </x:c>
      <x:c r="H1245" s="50" t="n">
        <x:v>19</x:v>
      </x:c>
      <x:c r="I1245" s="44" t="str">
        <x:v>16.19</x:v>
      </x:c>
      <x:c r="J1245" s="33" t="str">
        <x:v>Positive</x:v>
      </x:c>
      <x:c r="K1245" s="33" t="str"/>
      <x:c r="L1245" s="33" t="str"/>
      <x:c r="M1245" s="44" t="str"/>
      <x:c r="N1245" s="50" t="n">
        <x:v>45</x:v>
      </x:c>
      <x:c r="O1245" s="53" t="str">
        <x:v>When a teenage boy commits suicide after firing on a doctor and hitting an innocent party, Fontana and Green investigate why he was after the doctor to begin with.</x:v>
      </x:c>
      <x:c r="P1245" s="53" t="str">
        <x:v>Core Law &amp; Order franchise</x:v>
      </x:c>
      <x:c r="Q1245" s="17" t="str">
        <x:v>34422</x:v>
      </x:c>
      <x:c r="R1245" s="17" t="str">
        <x:v>tt0790178</x:v>
      </x:c>
      <x:c r="S1245" s="17" t="str">
        <x:v>827</x:v>
      </x:c>
    </x:row>
    <x:row r="1246">
      <x:c r="A1246" s="43" t="n">
        <x:v>1242</x:v>
      </x:c>
      <x:c r="B1246" s="44" t="str">
        <x:v>Not Started</x:v>
      </x:c>
      <x:c r="C1246" s="45" t="n">
        <x:v>38814</x:v>
      </x:c>
      <x:c r="D1246" s="33" t="str">
        <x:v>Conviction</x:v>
      </x:c>
      <x:c r="E1246" s="33" t="str">
        <x:v>Law &amp; Order</x:v>
      </x:c>
      <x:c r="F1246" s="33" t="str">
        <x:v>connected</x:v>
      </x:c>
      <x:c r="G1246" s="50" t="n">
        <x:v>1</x:v>
      </x:c>
      <x:c r="H1246" s="50" t="n">
        <x:v>6</x:v>
      </x:c>
      <x:c r="I1246" s="44" t="str">
        <x:v>01.06</x:v>
      </x:c>
      <x:c r="J1246" s="33" t="str">
        <x:v>Madness</x:v>
      </x:c>
      <x:c r="K1246" s="33" t="str"/>
      <x:c r="L1246" s="33" t="str"/>
      <x:c r="M1246" s="44" t="str"/>
      <x:c r="N1246" s="50" t="n">
        <x:v>43</x:v>
      </x:c>
      <x:c r="O1246" s="53" t="str">
        <x:v>Brian Peluso (Eric Balfour) gets pressure from his recently reunited girlfriend; Christina Finn (Julianne Nicholson), who is light on case work, is loaned out to a hard-driving, nasty prosecutor; Alexandra Cabot (Stephanie March) feels the pressure to hire an image consultant; Nick Potter (Jordan Bridges) fills in for Desmond on a bail reduction case that has tragic consequences, and Jessica Rossi (Milena Govich) finds herself in the middle of a family battle when prosecuting a deaf girl's boyfriend for stabbing the girl's father.</x:v>
      </x:c>
      <x:c r="P1246" s="53" t="str">
        <x:v>Law &amp; Order spinoff with Alexandra Cabot</x:v>
      </x:c>
      <x:c r="Q1246" s="17" t="str">
        <x:v>194238</x:v>
      </x:c>
      <x:c r="R1246" s="17" t="str"/>
      <x:c r="S1246" s="17" t="str">
        <x:v>828</x:v>
      </x:c>
    </x:row>
    <x:row r="1247">
      <x:c r="A1247" s="43" t="n">
        <x:v>1243</x:v>
      </x:c>
      <x:c r="B1247" s="44" t="str">
        <x:v>Not Started</x:v>
      </x:c>
      <x:c r="C1247" s="45" t="n">
        <x:v>38817</x:v>
      </x:c>
      <x:c r="D1247" s="33" t="str">
        <x:v>Law &amp; Order: Criminal Intent</x:v>
      </x:c>
      <x:c r="E1247" s="33" t="str">
        <x:v>Law &amp; Order</x:v>
      </x:c>
      <x:c r="F1247" s="33" t="str">
        <x:v>core</x:v>
      </x:c>
      <x:c r="G1247" s="50" t="n">
        <x:v>5</x:v>
      </x:c>
      <x:c r="H1247" s="50" t="n">
        <x:v>16</x:v>
      </x:c>
      <x:c r="I1247" s="44" t="str">
        <x:v>05.16</x:v>
      </x:c>
      <x:c r="J1247" s="33" t="str">
        <x:v>Dramma Giocoso</x:v>
      </x:c>
      <x:c r="K1247" s="33" t="str"/>
      <x:c r="L1247" s="33" t="str"/>
      <x:c r="M1247" s="44" t="str"/>
      <x:c r="N1247" s="50" t="n">
        <x:v>44</x:v>
      </x:c>
      <x:c r="O1247" s="53" t="str">
        <x:v>Logan and Barek investigate after the body of eighteen-year-old violinist Laura Booth is found stuffed in a shaft, her fingers covered with cocaine and resin. Although initially they believe her death may be connected to the cocaine that some of the crew were transporting, they're soon turned on to a romantic relationship between the maestro, Julian Reinhardt, and the victim's mother, Gillian Booth. Once teethmarks are found on Reinhardt's back that belong to Laura, Logan and Barek think they may have a slam dunk on their hands until Gillian weds her daughter's supposed killer.</x:v>
      </x:c>
      <x:c r="P1247" s="53" t="str">
        <x:v>Core Law &amp; Order franchise</x:v>
      </x:c>
      <x:c r="Q1247" s="17" t="str">
        <x:v>341316</x:v>
      </x:c>
      <x:c r="R1247" s="17" t="str">
        <x:v>tt0763480</x:v>
      </x:c>
      <x:c r="S1247" s="17" t="str">
        <x:v>832</x:v>
      </x:c>
    </x:row>
    <x:row r="1248">
      <x:c r="A1248" s="43" t="n">
        <x:v>1244</x:v>
      </x:c>
      <x:c r="B1248" s="44" t="str">
        <x:v>Not Started</x:v>
      </x:c>
      <x:c r="C1248" s="45" t="n">
        <x:v>38818</x:v>
      </x:c>
      <x:c r="D1248" s="33" t="str">
        <x:v>Conviction</x:v>
      </x:c>
      <x:c r="E1248" s="33" t="str">
        <x:v>Law &amp; Order</x:v>
      </x:c>
      <x:c r="F1248" s="33" t="str">
        <x:v>connected</x:v>
      </x:c>
      <x:c r="G1248" s="50" t="n">
        <x:v>1</x:v>
      </x:c>
      <x:c r="H1248" s="50" t="n">
        <x:v>7</x:v>
      </x:c>
      <x:c r="I1248" s="44" t="str">
        <x:v>01.07</x:v>
      </x:c>
      <x:c r="J1248" s="33" t="str">
        <x:v>True Love</x:v>
      </x:c>
      <x:c r="K1248" s="33" t="str"/>
      <x:c r="L1248" s="33" t="str"/>
      <x:c r="M1248" s="44" t="str"/>
      <x:c r="N1248" s="50" t="n">
        <x:v>41</x:v>
      </x:c>
      <x:c r="O1248" s="53" t="str">
        <x:v>Brian Peluso (Eric Balfour) gets ready to move in with his girlfriend until he learns of her infidelity; Jessica Rossi's (Milena Govich) uncertain case involves a model who claims she was beaten and raped by a high-profile professional; Jim Steele's (Anson Mount) case involves a gay couple who recently broke up and the "suicide" of one is questioned when his former partner is charged with murder and Christina Finn (Julianne Nicholson) meets a hot doctor when he becomes her star witness for a case.
Read more: Listings | TheFutonCritic.com - The Web's Best Television Resource http://www.thefutoncritic.com/listings/20060405nbc02/#ixzz5c2jX1bjI</x:v>
      </x:c>
      <x:c r="P1248" s="53" t="str">
        <x:v>Law &amp; Order spinoff with Alexandra Cabot</x:v>
      </x:c>
      <x:c r="Q1248" s="17" t="str">
        <x:v>194239</x:v>
      </x:c>
      <x:c r="R1248" s="17" t="str"/>
      <x:c r="S1248" s="17" t="str">
        <x:v>830</x:v>
      </x:c>
    </x:row>
    <x:row r="1249">
      <x:c r="A1249" s="43" t="n">
        <x:v>1245</x:v>
      </x:c>
      <x:c r="B1249" s="44" t="str">
        <x:v>Not Started</x:v>
      </x:c>
      <x:c r="C1249" s="45" t="n">
        <x:v>38821</x:v>
      </x:c>
      <x:c r="D1249" s="33" t="str">
        <x:v>Conviction</x:v>
      </x:c>
      <x:c r="E1249" s="33" t="str">
        <x:v>Law &amp; Order</x:v>
      </x:c>
      <x:c r="F1249" s="33" t="str">
        <x:v>connected</x:v>
      </x:c>
      <x:c r="G1249" s="50" t="n">
        <x:v>1</x:v>
      </x:c>
      <x:c r="H1249" s="50" t="n">
        <x:v>8</x:v>
      </x:c>
      <x:c r="I1249" s="44" t="str">
        <x:v>01.08</x:v>
      </x:c>
      <x:c r="J1249" s="33" t="str">
        <x:v>Downhill</x:v>
      </x:c>
      <x:c r="K1249" s="33" t="str"/>
      <x:c r="L1249" s="33" t="str"/>
      <x:c r="M1249" s="44" t="str"/>
      <x:c r="N1249" s="50" t="n">
        <x:v>41</x:v>
      </x:c>
      <x:c r="O1249" s="53" t="str">
        <x:v>ADA Jessica Rossi (Milena Govich) is close to getting a conviction on a rape case until Bureau Chief Alexandra Cabot (Stephanie March) steals away her defendant for her own insurance fraud prosecution; while ADA Billy Desmond (J. August Richards) decides to network with an exclusive group of upwardly mobile black men, but the high powered connections come with a price, and his colleague Christina Finn (Julianne Nicholson) gets caught in a landlord/tenant lawsuit.</x:v>
      </x:c>
      <x:c r="P1249" s="53" t="str">
        <x:v>Law &amp; Order spinoff with Alexandra Cabot</x:v>
      </x:c>
      <x:c r="Q1249" s="17" t="str">
        <x:v>194240</x:v>
      </x:c>
      <x:c r="R1249" s="17" t="str"/>
      <x:c r="S1249" s="17" t="str">
        <x:v>831</x:v>
      </x:c>
    </x:row>
    <x:row r="1250">
      <x:c r="A1250" s="43" t="n">
        <x:v>1246</x:v>
      </x:c>
      <x:c r="B1250" s="44" t="str">
        <x:v>Not Started</x:v>
      </x:c>
      <x:c r="C1250" s="45" t="n">
        <x:v>38824</x:v>
      </x:c>
      <x:c r="D1250" s="33" t="str">
        <x:v>Law &amp; Order: Criminal Intent</x:v>
      </x:c>
      <x:c r="E1250" s="33" t="str">
        <x:v>Law &amp; Order</x:v>
      </x:c>
      <x:c r="F1250" s="33" t="str">
        <x:v>core</x:v>
      </x:c>
      <x:c r="G1250" s="50" t="n">
        <x:v>5</x:v>
      </x:c>
      <x:c r="H1250" s="50" t="n">
        <x:v>17</x:v>
      </x:c>
      <x:c r="I1250" s="44" t="str">
        <x:v>05.17</x:v>
      </x:c>
      <x:c r="J1250" s="33" t="str">
        <x:v>Vacancy</x:v>
      </x:c>
      <x:c r="K1250" s="33" t="str"/>
      <x:c r="L1250" s="33" t="str"/>
      <x:c r="M1250" s="44" t="str"/>
      <x:c r="N1250" s="50" t="n">
        <x:v>44</x:v>
      </x:c>
      <x:c r="O1250" s="53" t="str">
        <x:v>Goren and Eames investigate after a bridesmaid, Megan, is found dead in the cheap motel room she had been sharing with Alice, another bridesmaid at their friend Tory's wedding. The two detectives start with investigating Pete and Jayson, the two guys the women had met at Brasserie Nylorac, but soon realise that Alice's story has a lot of holes in it, and the presence of cigar smoke around Megan, a young woman who hated smoking, leads Goren and Eames to suspect that the killer had a personal connection to Megan. Their investigation soon leads them to a cab driver named Lester Summerhill, whom they soon realise is an actor preparing for the ultimate role.</x:v>
      </x:c>
      <x:c r="P1250" s="53" t="str">
        <x:v>Core Law &amp; Order franchise</x:v>
      </x:c>
      <x:c r="Q1250" s="17" t="str">
        <x:v>341317</x:v>
      </x:c>
      <x:c r="R1250" s="17" t="str">
        <x:v>tt0770005</x:v>
      </x:c>
      <x:c r="S1250" s="17" t="str">
        <x:v>833</x:v>
      </x:c>
    </x:row>
    <x:row r="1251">
      <x:c r="A1251" s="43" t="n">
        <x:v>1247</x:v>
      </x:c>
      <x:c r="B1251" s="44" t="str">
        <x:v>Not Started</x:v>
      </x:c>
      <x:c r="C1251" s="45" t="n">
        <x:v>38831</x:v>
      </x:c>
      <x:c r="D1251" s="33" t="str">
        <x:v>Law &amp; Order: Criminal Intent</x:v>
      </x:c>
      <x:c r="E1251" s="33" t="str">
        <x:v>Law &amp; Order</x:v>
      </x:c>
      <x:c r="F1251" s="33" t="str">
        <x:v>core</x:v>
      </x:c>
      <x:c r="G1251" s="50" t="n">
        <x:v>5</x:v>
      </x:c>
      <x:c r="H1251" s="50" t="n">
        <x:v>18</x:v>
      </x:c>
      <x:c r="I1251" s="44" t="str">
        <x:v>05.18</x:v>
      </x:c>
      <x:c r="J1251" s="33" t="str">
        <x:v>The Healer</x:v>
      </x:c>
      <x:c r="K1251" s="33" t="str"/>
      <x:c r="L1251" s="33" t="str"/>
      <x:c r="M1251" s="44" t="str"/>
      <x:c r="N1251" s="50" t="n">
        <x:v>44</x:v>
      </x:c>
      <x:c r="O1251" s="53" t="str">
        <x:v>Barek and Logan investigate when the deaths of two young girls seem to be connected to a voodoo-practicing nurse. Things turn interesting when it seems the young woman has placed a voodoo curse on Logan.</x:v>
      </x:c>
      <x:c r="P1251" s="53" t="str">
        <x:v>Core Law &amp; Order franchise</x:v>
      </x:c>
      <x:c r="Q1251" s="17" t="str">
        <x:v>341318</x:v>
      </x:c>
      <x:c r="R1251" s="17" t="str">
        <x:v>tt0770006</x:v>
      </x:c>
      <x:c r="S1251" s="17" t="str">
        <x:v>835</x:v>
      </x:c>
    </x:row>
    <x:row r="1252">
      <x:c r="A1252" s="43" t="n">
        <x:v>1248</x:v>
      </x:c>
      <x:c r="B1252" s="44" t="str">
        <x:v>Not Started</x:v>
      </x:c>
      <x:c r="C1252" s="45" t="n">
        <x:v>38835</x:v>
      </x:c>
      <x:c r="D1252" s="33" t="str">
        <x:v>Conviction</x:v>
      </x:c>
      <x:c r="E1252" s="33" t="str">
        <x:v>Law &amp; Order</x:v>
      </x:c>
      <x:c r="F1252" s="33" t="str">
        <x:v>connected</x:v>
      </x:c>
      <x:c r="G1252" s="50" t="n">
        <x:v>1</x:v>
      </x:c>
      <x:c r="H1252" s="50" t="n">
        <x:v>9</x:v>
      </x:c>
      <x:c r="I1252" s="44" t="str">
        <x:v>01.09</x:v>
      </x:c>
      <x:c r="J1252" s="33" t="str">
        <x:v>The Wall</x:v>
      </x:c>
      <x:c r="K1252" s="33" t="str"/>
      <x:c r="L1252" s="33" t="str"/>
      <x:c r="M1252" s="44" t="str"/>
      <x:c r="N1252" s="50" t="n">
        <x:v>42</x:v>
      </x:c>
      <x:c r="O1252" s="53" t="str">
        <x:v>ADA Brian Peluso (Eric Balfour) faces a "wall of blue" when prosecuting a cop-shooter; Christina Finn (Julianne Nicholson) and her colleague ADA Nick Potter (Jordan Bridges) have been summoned to Bureau Chief Alexandra Cabot's (Stephanie March) office where she sends them to acting class to improve their court appearance, and ADA Jessica Rossi (Milena Govich) has to contend with her dysfunctional family.</x:v>
      </x:c>
      <x:c r="P1252" s="53" t="str">
        <x:v>Law &amp; Order spinoff with Alexandra Cabot</x:v>
      </x:c>
      <x:c r="Q1252" s="17" t="str">
        <x:v>194241</x:v>
      </x:c>
      <x:c r="R1252" s="17" t="str"/>
      <x:c r="S1252" s="17" t="str">
        <x:v>834</x:v>
      </x:c>
    </x:row>
    <x:row r="1253">
      <x:c r="A1253" s="43" t="n">
        <x:v>1249</x:v>
      </x:c>
      <x:c r="B1253" s="44" t="str">
        <x:v>Not Started</x:v>
      </x:c>
      <x:c r="C1253" s="45" t="n">
        <x:v>38838</x:v>
      </x:c>
      <x:c r="D1253" s="33" t="str">
        <x:v>Law &amp; Order: Criminal Intent</x:v>
      </x:c>
      <x:c r="E1253" s="33" t="str">
        <x:v>Law &amp; Order</x:v>
      </x:c>
      <x:c r="F1253" s="33" t="str">
        <x:v>core</x:v>
      </x:c>
      <x:c r="G1253" s="50" t="n">
        <x:v>5</x:v>
      </x:c>
      <x:c r="H1253" s="50" t="n">
        <x:v>19</x:v>
      </x:c>
      <x:c r="I1253" s="44" t="str">
        <x:v>05.19</x:v>
      </x:c>
      <x:c r="J1253" s="33" t="str">
        <x:v>Cruise to Nowhere</x:v>
      </x:c>
      <x:c r="K1253" s="33" t="str"/>
      <x:c r="L1253" s="33" t="str"/>
      <x:c r="M1253" s="44" t="str"/>
      <x:c r="N1253" s="50" t="n">
        <x:v>44</x:v>
      </x:c>
      <x:c r="O1253" s="53" t="str">
        <x:v>Goren and Eames investigate when a respected professional is found murdered in the East River, his death presumably connected to a series of gambling losses.</x:v>
      </x:c>
      <x:c r="P1253" s="53" t="str">
        <x:v>Core Law &amp; Order franchise</x:v>
      </x:c>
      <x:c r="Q1253" s="17" t="str">
        <x:v>341319</x:v>
      </x:c>
      <x:c r="R1253" s="17" t="str">
        <x:v>tt0799186</x:v>
      </x:c>
      <x:c r="S1253" s="17" t="str">
        <x:v>839</x:v>
      </x:c>
    </x:row>
    <x:row r="1254">
      <x:c r="A1254" s="43" t="n">
        <x:v>1250</x:v>
      </x:c>
      <x:c r="B1254" s="44" t="str">
        <x:v>Not Started</x:v>
      </x:c>
      <x:c r="C1254" s="45" t="n">
        <x:v>38839</x:v>
      </x:c>
      <x:c r="D1254" s="33" t="str">
        <x:v>Law &amp; Order: Special Victims Unit</x:v>
      </x:c>
      <x:c r="E1254" s="33" t="str">
        <x:v>Law &amp; Order</x:v>
      </x:c>
      <x:c r="F1254" s="33" t="str">
        <x:v>core</x:v>
      </x:c>
      <x:c r="G1254" s="50" t="n">
        <x:v>7</x:v>
      </x:c>
      <x:c r="H1254" s="50" t="n">
        <x:v>20</x:v>
      </x:c>
      <x:c r="I1254" s="44" t="str">
        <x:v>07.20</x:v>
      </x:c>
      <x:c r="J1254" s="33" t="str">
        <x:v>Fat</x:v>
      </x:c>
      <x:c r="K1254" s="33" t="str"/>
      <x:c r="L1254" s="33" t="str"/>
      <x:c r="M1254" s="44" t="str"/>
      <x:c r="N1254" s="50" t="n">
        <x:v>44</x:v>
      </x:c>
      <x:c r="O1254" s="53" t="str">
        <x:v>Stabler teams up with an new partner to investigate a sexual attack on Jessica DeLay, a sixteen-year-old girl who worked tobacco stings for the Department of Health and face an overweight young brother and sister who claim it was an act of vengeance for Jessica and her friend, Tommy Strahan, beating up their older brother Rudi for being fat. Stabler and Blaine arrest DeLay and Strahan, but when the two are released due to lack of admissable evidence, Rudi Bixton takes justice into his own hands.</x:v>
      </x:c>
      <x:c r="P1254" s="53" t="str">
        <x:v>Core Law &amp; Order franchise</x:v>
      </x:c>
      <x:c r="Q1254" s="17" t="str">
        <x:v>225099</x:v>
      </x:c>
      <x:c r="R1254" s="17" t="str">
        <x:v>tt0771260</x:v>
      </x:c>
      <x:c r="S1254" s="17" t="str">
        <x:v>836</x:v>
      </x:c>
    </x:row>
    <x:row r="1255">
      <x:c r="A1255" s="43" t="n">
        <x:v>1251</x:v>
      </x:c>
      <x:c r="B1255" s="44" t="str">
        <x:v>Not Started</x:v>
      </x:c>
      <x:c r="C1255" s="45" t="n">
        <x:v>38840</x:v>
      </x:c>
      <x:c r="D1255" s="33" t="str">
        <x:v>Law &amp; Order</x:v>
      </x:c>
      <x:c r="E1255" s="33" t="str">
        <x:v>Law &amp; Order</x:v>
      </x:c>
      <x:c r="F1255" s="33" t="str">
        <x:v>core</x:v>
      </x:c>
      <x:c r="G1255" s="50" t="n">
        <x:v>16</x:v>
      </x:c>
      <x:c r="H1255" s="50" t="n">
        <x:v>20</x:v>
      </x:c>
      <x:c r="I1255" s="44" t="str">
        <x:v>16.20</x:v>
      </x:c>
      <x:c r="J1255" s="33" t="str">
        <x:v>Kingmaker</x:v>
      </x:c>
      <x:c r="K1255" s="33" t="str"/>
      <x:c r="L1255" s="33" t="str"/>
      <x:c r="M1255" s="44" t="str"/>
      <x:c r="N1255" s="50" t="n">
        <x:v>45</x:v>
      </x:c>
      <x:c r="O1255" s="53" t="str">
        <x:v>After undercover cop Dana Baker is murdered, Fontana and Green learn that the man who killed her had discovered her identity after seeing a photograph of her.</x:v>
      </x:c>
      <x:c r="P1255" s="53" t="str">
        <x:v>Core Law &amp; Order franchise</x:v>
      </x:c>
      <x:c r="Q1255" s="17" t="str">
        <x:v>34423</x:v>
      </x:c>
      <x:c r="R1255" s="17" t="str">
        <x:v>tt0763479</x:v>
      </x:c>
      <x:c r="S1255" s="17" t="str">
        <x:v>837</x:v>
      </x:c>
    </x:row>
    <x:row r="1256">
      <x:c r="A1256" s="43" t="n">
        <x:v>1252</x:v>
      </x:c>
      <x:c r="B1256" s="44" t="str">
        <x:v>Not Started</x:v>
      </x:c>
      <x:c r="C1256" s="45" t="n">
        <x:v>38842</x:v>
      </x:c>
      <x:c r="D1256" s="33" t="str">
        <x:v>Conviction</x:v>
      </x:c>
      <x:c r="E1256" s="33" t="str">
        <x:v>Law &amp; Order</x:v>
      </x:c>
      <x:c r="F1256" s="33" t="str">
        <x:v>connected</x:v>
      </x:c>
      <x:c r="G1256" s="50" t="n">
        <x:v>1</x:v>
      </x:c>
      <x:c r="H1256" s="50" t="n">
        <x:v>10</x:v>
      </x:c>
      <x:c r="I1256" s="44" t="str">
        <x:v>01.10</x:v>
      </x:c>
      <x:c r="J1256" s="33" t="str">
        <x:v>Deliverance</x:v>
      </x:c>
      <x:c r="K1256" s="33" t="str"/>
      <x:c r="L1256" s="33" t="str"/>
      <x:c r="M1256" s="44" t="str"/>
      <x:c r="N1256" s="50" t="n">
        <x:v>43</x:v>
      </x:c>
      <x:c r="O1256" s="53" t="str">
        <x:v>Steele has to go head-to-head with a respected female attorney who defends herself after she is accused of killing her husband.</x:v>
      </x:c>
      <x:c r="P1256" s="53" t="str">
        <x:v>Law &amp; Order spinoff with Alexandra Cabot</x:v>
      </x:c>
      <x:c r="Q1256" s="17" t="str">
        <x:v>194242</x:v>
      </x:c>
      <x:c r="R1256" s="17" t="str"/>
      <x:c r="S1256" s="17" t="str">
        <x:v>838</x:v>
      </x:c>
    </x:row>
    <x:row r="1257">
      <x:c r="A1257" s="43" t="n">
        <x:v>1253</x:v>
      </x:c>
      <x:c r="B1257" s="44" t="str">
        <x:v>Not Started</x:v>
      </x:c>
      <x:c r="C1257" s="45" t="n">
        <x:v>38845</x:v>
      </x:c>
      <x:c r="D1257" s="33" t="str">
        <x:v>Law &amp; Order: Criminal Intent</x:v>
      </x:c>
      <x:c r="E1257" s="33" t="str">
        <x:v>Law &amp; Order</x:v>
      </x:c>
      <x:c r="F1257" s="33" t="str">
        <x:v>core</x:v>
      </x:c>
      <x:c r="G1257" s="50" t="n">
        <x:v>5</x:v>
      </x:c>
      <x:c r="H1257" s="50" t="n">
        <x:v>20</x:v>
      </x:c>
      <x:c r="I1257" s="44" t="str">
        <x:v>05.20</x:v>
      </x:c>
      <x:c r="J1257" s="33" t="str">
        <x:v>To the Bone</x:v>
      </x:c>
      <x:c r="K1257" s="33" t="str"/>
      <x:c r="L1257" s="33" t="str"/>
      <x:c r="M1257" s="44" t="str"/>
      <x:c r="N1257" s="50" t="n">
        <x:v>44</x:v>
      </x:c>
      <x:c r="O1257" s="53" t="str">
        <x:v>Logan and Barek investigate a series of home invasions that result in grisly murders and their search leads them to local foster mother Chesley Watkins who had a series of young men going in and out of her home throughout the years. One of the young men involved in the home invasions was one of her boys, and while trailing the young man, Logan shoots a suspect who was brandishing a weapon at himself and Barek. When the suspect turns out to be a cop, Logan finds himself in the hot seat, and Barek sticks up for her partner, knowing that the truth is on their side. The investigation leads to Watkins as a suspect, and Logan is forced to deal with memories from his own past as Watkins plays on the weaknesses she sees.</x:v>
      </x:c>
      <x:c r="P1257" s="53" t="str">
        <x:v>Core Law &amp; Order franchise</x:v>
      </x:c>
      <x:c r="Q1257" s="17" t="str">
        <x:v>341320</x:v>
      </x:c>
      <x:c r="R1257" s="17" t="str">
        <x:v>tt0805300</x:v>
      </x:c>
      <x:c r="S1257" s="17" t="str">
        <x:v>843</x:v>
      </x:c>
    </x:row>
    <x:row r="1258">
      <x:c r="A1258" s="43" t="n">
        <x:v>1254</x:v>
      </x:c>
      <x:c r="B1258" s="44" t="str">
        <x:v>Not Started</x:v>
      </x:c>
      <x:c r="C1258" s="45" t="n">
        <x:v>38846</x:v>
      </x:c>
      <x:c r="D1258" s="33" t="str">
        <x:v>Law &amp; Order: Special Victims Unit</x:v>
      </x:c>
      <x:c r="E1258" s="33" t="str">
        <x:v>Law &amp; Order</x:v>
      </x:c>
      <x:c r="F1258" s="33" t="str">
        <x:v>core</x:v>
      </x:c>
      <x:c r="G1258" s="50" t="n">
        <x:v>7</x:v>
      </x:c>
      <x:c r="H1258" s="50" t="n">
        <x:v>21</x:v>
      </x:c>
      <x:c r="I1258" s="44" t="str">
        <x:v>07.21</x:v>
      </x:c>
      <x:c r="J1258" s="33" t="str">
        <x:v>Web</x:v>
      </x:c>
      <x:c r="K1258" s="33" t="str"/>
      <x:c r="L1258" s="33" t="str"/>
      <x:c r="M1258" s="44" t="str"/>
      <x:c r="N1258" s="50" t="n">
        <x:v>44</x:v>
      </x:c>
      <x:c r="O1258" s="53" t="str">
        <x:v>When an eight-year-old propositions a male classmate, Stabler and Tutuola are called in to investigate the case and soon learn that Jake Winnock's father spent seven years in prison for molesting his older brother, Teddy. D.N.A. tests clear Gregory Hensal of abusive his son, but implicate Jake's older brother, whom detectives soon learn has been running his own personal Internet pornography site. T.A.R.U. tech Ruben Morales joins the detectives in their search for Teddy after he goes missing, but his own guilt about his nephew's molestation after being raped by an online predator he met using the computer Morales had given him colors his judgment when dealing with one of the suspect's.</x:v>
      </x:c>
      <x:c r="P1258" s="53" t="str">
        <x:v>Core Law &amp; Order franchise</x:v>
      </x:c>
      <x:c r="Q1258" s="17" t="str">
        <x:v>225100</x:v>
      </x:c>
      <x:c r="R1258" s="17" t="str">
        <x:v>tt0799656</x:v>
      </x:c>
      <x:c r="S1258" s="17" t="str">
        <x:v>840</x:v>
      </x:c>
    </x:row>
    <x:row r="1259">
      <x:c r="A1259" s="43" t="n">
        <x:v>1255</x:v>
      </x:c>
      <x:c r="B1259" s="44" t="str">
        <x:v>Not Started</x:v>
      </x:c>
      <x:c r="C1259" s="45" t="n">
        <x:v>38847</x:v>
      </x:c>
      <x:c r="D1259" s="33" t="str">
        <x:v>Law &amp; Order</x:v>
      </x:c>
      <x:c r="E1259" s="33" t="str">
        <x:v>Law &amp; Order</x:v>
      </x:c>
      <x:c r="F1259" s="33" t="str">
        <x:v>core</x:v>
      </x:c>
      <x:c r="G1259" s="50" t="n">
        <x:v>16</x:v>
      </x:c>
      <x:c r="H1259" s="50" t="n">
        <x:v>21</x:v>
      </x:c>
      <x:c r="I1259" s="44" t="str">
        <x:v>16.21</x:v>
      </x:c>
      <x:c r="J1259" s="33" t="str">
        <x:v>Hindsight</x:v>
      </x:c>
      <x:c r="K1259" s="33" t="str"/>
      <x:c r="L1259" s="33" t="str"/>
      <x:c r="M1259" s="44" t="str"/>
      <x:c r="N1259" s="50" t="n">
        <x:v>45</x:v>
      </x:c>
      <x:c r="O1259" s="53" t="str">
        <x:v>Fontana and Green are called in to investigate when Green's former replacement, Nick Falco, is suspected of murdering a young woman he had spent the night with.</x:v>
      </x:c>
      <x:c r="P1259" s="53" t="str">
        <x:v>Core Law &amp; Order franchise</x:v>
      </x:c>
      <x:c r="Q1259" s="17" t="str">
        <x:v>34424</x:v>
      </x:c>
      <x:c r="R1259" s="17" t="str">
        <x:v>tt0805298</x:v>
      </x:c>
      <x:c r="S1259" s="17" t="str">
        <x:v>841</x:v>
      </x:c>
    </x:row>
    <x:row r="1260">
      <x:c r="A1260" s="43" t="n">
        <x:v>1256</x:v>
      </x:c>
      <x:c r="B1260" s="44" t="str">
        <x:v>Not Started</x:v>
      </x:c>
      <x:c r="C1260" s="45" t="n">
        <x:v>38849</x:v>
      </x:c>
      <x:c r="D1260" s="33" t="str">
        <x:v>Conviction</x:v>
      </x:c>
      <x:c r="E1260" s="33" t="str">
        <x:v>Law &amp; Order</x:v>
      </x:c>
      <x:c r="F1260" s="33" t="str">
        <x:v>connected</x:v>
      </x:c>
      <x:c r="G1260" s="50" t="n">
        <x:v>1</x:v>
      </x:c>
      <x:c r="H1260" s="50" t="n">
        <x:v>11</x:v>
      </x:c>
      <x:c r="I1260" s="44" t="str">
        <x:v>01.11</x:v>
      </x:c>
      <x:c r="J1260" s="33" t="str">
        <x:v>Indiscretion</x:v>
      </x:c>
      <x:c r="K1260" s="33" t="str"/>
      <x:c r="L1260" s="33" t="str"/>
      <x:c r="M1260" s="44" t="str"/>
      <x:c r="N1260" s="50" t="n">
        <x:v>40</x:v>
      </x:c>
      <x:c r="O1260" s="53" t="str">
        <x:v>Steele tries to prosescute a rape case, but the victim's father stands in his way. Potter ends up bungling an easy drug case he took from Rossi. Desmond's case involves an Upper West Side couple and a fortune teller. Finn and Peluso have what they call an ""almost"" date.</x:v>
      </x:c>
      <x:c r="P1260" s="53" t="str">
        <x:v>Law &amp; Order spinoff with Alexandra Cabot</x:v>
      </x:c>
      <x:c r="Q1260" s="17" t="str">
        <x:v>194243</x:v>
      </x:c>
      <x:c r="R1260" s="17" t="str"/>
      <x:c r="S1260" s="17" t="str">
        <x:v>842</x:v>
      </x:c>
    </x:row>
    <x:row r="1261">
      <x:c r="A1261" s="43" t="n">
        <x:v>1257</x:v>
      </x:c>
      <x:c r="B1261" s="44" t="str">
        <x:v>Not Started</x:v>
      </x:c>
      <x:c r="C1261" s="45" t="n">
        <x:v>38851</x:v>
      </x:c>
      <x:c r="D1261" s="33" t="str">
        <x:v>Law &amp; Order: Criminal Intent</x:v>
      </x:c>
      <x:c r="E1261" s="33" t="str">
        <x:v>Law &amp; Order</x:v>
      </x:c>
      <x:c r="F1261" s="33" t="str">
        <x:v>core</x:v>
      </x:c>
      <x:c r="G1261" s="50" t="n">
        <x:v>5</x:v>
      </x:c>
      <x:c r="H1261" s="50" t="n">
        <x:v>21</x:v>
      </x:c>
      <x:c r="I1261" s="44" t="str">
        <x:v>05.21</x:v>
      </x:c>
      <x:c r="J1261" s="33" t="str">
        <x:v>On Fire</x:v>
      </x:c>
      <x:c r="K1261" s="33" t="str"/>
      <x:c r="L1261" s="33" t="str"/>
      <x:c r="M1261" s="44" t="str"/>
      <x:c r="N1261" s="50" t="n">
        <x:v>44</x:v>
      </x:c>
      <x:c r="O1261" s="53" t="str">
        <x:v>Goren and Eames investigate a fire at St. Gerald's which led to the death of a Church employee and soon realize that an arsonist around town is targeting churches. Throughout their investigation, they realize that St. Gerald's was the arsonist's primary target, and clues lead them to Justin Reid, who had donated $100,000 to rebuild the Church, his step-mother Regina, whom they soon learn had seduced Justin when he was only a teen, and his half-brother Glynn, who works for a clean-up crew that had worked at all the churches that were burned down shortly after they were renovated. Deakins comes under fire when an e-mail surfaces that insinuates he got Martinez (from &lt;a href="http://www.tv.com/law-and-order-criminal-intent/to-the-bone/episode/730599/summary.html"&gt;To the Bone&lt;/a&gt;) to lie about the Logan shooting by getting him a promotion. The e-mail is soon traced back to former cop Frank Adair (from Season 4, Ep. 22 - My Good Name), who is doing time for murder.</x:v>
      </x:c>
      <x:c r="P1261" s="53" t="str">
        <x:v>Core Law &amp; Order franchise</x:v>
      </x:c>
      <x:c r="Q1261" s="17" t="str">
        <x:v>341321</x:v>
      </x:c>
      <x:c r="R1261" s="17" t="str">
        <x:v>tt0805299</x:v>
      </x:c>
      <x:c r="S1261" s="17" t="str">
        <x:v>844</x:v>
      </x:c>
    </x:row>
    <x:row r="1262">
      <x:c r="A1262" s="43" t="n">
        <x:v>1258</x:v>
      </x:c>
      <x:c r="B1262" s="44" t="str">
        <x:v>Not Started</x:v>
      </x:c>
      <x:c r="C1262" s="45" t="n">
        <x:v>38852</x:v>
      </x:c>
      <x:c r="D1262" s="33" t="str">
        <x:v>Law &amp; Order: Criminal Intent</x:v>
      </x:c>
      <x:c r="E1262" s="33" t="str">
        <x:v>Law &amp; Order</x:v>
      </x:c>
      <x:c r="F1262" s="33" t="str">
        <x:v>core</x:v>
      </x:c>
      <x:c r="G1262" s="50" t="n">
        <x:v>5</x:v>
      </x:c>
      <x:c r="H1262" s="50" t="n">
        <x:v>22</x:v>
      </x:c>
      <x:c r="I1262" s="44" t="str">
        <x:v>05.22</x:v>
      </x:c>
      <x:c r="J1262" s="33" t="str">
        <x:v>The Good</x:v>
      </x:c>
      <x:c r="K1262" s="33" t="str"/>
      <x:c r="L1262" s="33" t="str"/>
      <x:c r="M1262" s="44" t="str"/>
      <x:c r="N1262" s="50" t="n">
        <x:v>44</x:v>
      </x:c>
      <x:c r="O1262" s="53" t="str">
        <x:v>Logan and Barek investigate a troubled young man named Kevin Colemar after his parents are found murdered in their suburban home. Kevin initially believes that drug dealers named Big Lennie and Ray-Ray may have done the murders, but Carson Laird, a Nassau cop, soon tricks Kevin, who cannot remember the night in question, into confessing to the murder. It all seems cut and dried, but Logan and Barek just can't shake the feeling that the kid is innocent. Deakins spends his last two weeks on the job preparing for his future.</x:v>
      </x:c>
      <x:c r="P1262" s="53" t="str">
        <x:v>Core Law &amp; Order franchise</x:v>
      </x:c>
      <x:c r="Q1262" s="17" t="str">
        <x:v>341322</x:v>
      </x:c>
      <x:c r="R1262" s="17" t="str">
        <x:v>tt0809493</x:v>
      </x:c>
      <x:c r="S1262" s="17" t="str"/>
    </x:row>
    <x:row r="1263">
      <x:c r="A1263" s="43" t="n">
        <x:v>1259</x:v>
      </x:c>
      <x:c r="B1263" s="44" t="str">
        <x:v>Not Started</x:v>
      </x:c>
      <x:c r="C1263" s="45" t="n">
        <x:v>38853</x:v>
      </x:c>
      <x:c r="D1263" s="33" t="str">
        <x:v>Law &amp; Order: Special Victims Unit</x:v>
      </x:c>
      <x:c r="E1263" s="33" t="str">
        <x:v>Law &amp; Order</x:v>
      </x:c>
      <x:c r="F1263" s="33" t="str">
        <x:v>core</x:v>
      </x:c>
      <x:c r="G1263" s="50" t="n">
        <x:v>7</x:v>
      </x:c>
      <x:c r="H1263" s="50" t="n">
        <x:v>22</x:v>
      </x:c>
      <x:c r="I1263" s="44" t="str">
        <x:v>07.22</x:v>
      </x:c>
      <x:c r="J1263" s="33" t="str">
        <x:v>Influence</x:v>
      </x:c>
      <x:c r="K1263" s="33" t="str"/>
      <x:c r="L1263" s="33" t="str"/>
      <x:c r="M1263" s="44" t="str"/>
      <x:c r="N1263" s="50" t="n">
        <x:v>43</x:v>
      </x:c>
      <x:c r="O1263" s="53" t="str">
        <x:v>After Jamie Hoskins falsely accuses two classmates of rape after a consensual act then hits nine pedestrians during an attempted suicide, medical tests reveal she has been taking medication for bipolar disorder and stopped her pills a week earlier. Jamie is charged with murder and released on her own recognizance after she agrees to take her medication, but after rock star Derek Lord, who is well known for his negative views on psychiatry, gets involved and begins spearheading her defense, Jamie again stops taking her medication. Novak is sympathetic to Jamie, but Jamie's insistence on following Derek Lord's advice leaves Novak with no choice but to take the case to trial.</x:v>
      </x:c>
      <x:c r="P1263" s="53" t="str">
        <x:v>Core Law &amp; Order franchise</x:v>
      </x:c>
      <x:c r="Q1263" s="17" t="str">
        <x:v>225101</x:v>
      </x:c>
      <x:c r="R1263" s="17" t="str">
        <x:v>tt0807685</x:v>
      </x:c>
      <x:c r="S1263" s="17" t="str">
        <x:v>845</x:v>
      </x:c>
    </x:row>
    <x:row r="1264">
      <x:c r="A1264" s="43" t="n">
        <x:v>1260</x:v>
      </x:c>
      <x:c r="B1264" s="44" t="str">
        <x:v>Not Started</x:v>
      </x:c>
      <x:c r="C1264" s="45" t="n">
        <x:v>38854</x:v>
      </x:c>
      <x:c r="D1264" s="33" t="str">
        <x:v>Law &amp; Order</x:v>
      </x:c>
      <x:c r="E1264" s="33" t="str">
        <x:v>Law &amp; Order</x:v>
      </x:c>
      <x:c r="F1264" s="33" t="str">
        <x:v>core</x:v>
      </x:c>
      <x:c r="G1264" s="50" t="n">
        <x:v>16</x:v>
      </x:c>
      <x:c r="H1264" s="50" t="n">
        <x:v>22</x:v>
      </x:c>
      <x:c r="I1264" s="44" t="str">
        <x:v>16.22</x:v>
      </x:c>
      <x:c r="J1264" s="33" t="str">
        <x:v>Invaders</x:v>
      </x:c>
      <x:c r="K1264" s="33" t="str"/>
      <x:c r="L1264" s="33" t="str"/>
      <x:c r="M1264" s="44" t="str"/>
      <x:c r="N1264" s="50" t="n">
        <x:v>45</x:v>
      </x:c>
      <x:c r="O1264" s="53" t="str">
        <x:v>The family of a man who once turned his customers into the police is slain, and the ensuing fracas pits McCoy against a corrupt D.E.A. agent.</x:v>
      </x:c>
      <x:c r="P1264" s="53" t="str">
        <x:v>Core Law &amp; Order franchise</x:v>
      </x:c>
      <x:c r="Q1264" s="17" t="str">
        <x:v>34425</x:v>
      </x:c>
      <x:c r="R1264" s="17" t="str">
        <x:v>tt0799655</x:v>
      </x:c>
      <x:c r="S1264" s="17" t="str">
        <x:v>846</x:v>
      </x:c>
    </x:row>
    <x:row r="1265">
      <x:c r="A1265" s="43" t="n">
        <x:v>1261</x:v>
      </x:c>
      <x:c r="B1265" s="44" t="str">
        <x:v>Not Started</x:v>
      </x:c>
      <x:c r="C1265" s="45" t="n">
        <x:v>38856</x:v>
      </x:c>
      <x:c r="D1265" s="33" t="str">
        <x:v>Conviction</x:v>
      </x:c>
      <x:c r="E1265" s="33" t="str">
        <x:v>Law &amp; Order</x:v>
      </x:c>
      <x:c r="F1265" s="33" t="str">
        <x:v>connected</x:v>
      </x:c>
      <x:c r="G1265" s="50" t="n">
        <x:v>1</x:v>
      </x:c>
      <x:c r="H1265" s="50" t="n">
        <x:v>12</x:v>
      </x:c>
      <x:c r="I1265" s="44" t="str">
        <x:v>01.12</x:v>
      </x:c>
      <x:c r="J1265" s="33" t="str">
        <x:v>180.80 (1)</x:v>
      </x:c>
      <x:c r="K1265" s="33" t="str"/>
      <x:c r="L1265" s="33" t="str"/>
      <x:c r="M1265" s="44" t="str"/>
      <x:c r="N1265" s="50" t="n">
        <x:v>85</x:v>
      </x:c>
      <x:c r="O1265" s="53" t="str">
        <x:v>A young woman is discovered murdered shortly after she was seen leaving a local bar. Soon, the bar's bouncer is accused of her death. After a shootout at the courthouse, members of the A.D.A's office are involved in a dangerous hostage situation.</x:v>
      </x:c>
      <x:c r="P1265" s="53" t="str">
        <x:v>Law &amp; Order spinoff with Alexandra Cabot</x:v>
      </x:c>
      <x:c r="Q1265" s="17" t="str">
        <x:v>194244</x:v>
      </x:c>
      <x:c r="R1265" s="17" t="str"/>
      <x:c r="S1265" s="17" t="str">
        <x:v>847</x:v>
      </x:c>
    </x:row>
    <x:row r="1266">
      <x:c r="A1266" s="43" t="n">
        <x:v>1262</x:v>
      </x:c>
      <x:c r="B1266" s="44" t="str">
        <x:v>Not Started</x:v>
      </x:c>
      <x:c r="C1266" s="45" t="n">
        <x:v>38856</x:v>
      </x:c>
      <x:c r="D1266" s="33" t="str">
        <x:v>Conviction</x:v>
      </x:c>
      <x:c r="E1266" s="33" t="str">
        <x:v>Law &amp; Order</x:v>
      </x:c>
      <x:c r="F1266" s="33" t="str">
        <x:v>connected</x:v>
      </x:c>
      <x:c r="G1266" s="50" t="n">
        <x:v>1</x:v>
      </x:c>
      <x:c r="H1266" s="50" t="n">
        <x:v>13</x:v>
      </x:c>
      <x:c r="I1266" s="44" t="str">
        <x:v>01.13</x:v>
      </x:c>
      <x:c r="J1266" s="33" t="str">
        <x:v>Hostage (2)</x:v>
      </x:c>
      <x:c r="K1266" s="33" t="str"/>
      <x:c r="L1266" s="33" t="str"/>
      <x:c r="M1266" s="44" t="str"/>
      <x:c r="N1266" s="50" t="n">
        <x:v>43</x:v>
      </x:c>
      <x:c r="O1266" s="53" t="str">
        <x:v>The two murder suspects violently take control over the courthouse and end up taking several members of the DA's office hostage while trying to negotiate their escape with the police.</x:v>
      </x:c>
      <x:c r="P1266" s="53" t="str">
        <x:v>Law &amp; Order spinoff with Alexandra Cabot</x:v>
      </x:c>
      <x:c r="Q1266" s="17" t="str">
        <x:v>194245</x:v>
      </x:c>
      <x:c r="R1266" s="17" t="str"/>
      <x:c r="S1266" s="17" t="str">
        <x:v>848</x:v>
      </x:c>
    </x:row>
    <x:row r="1267">
      <x:c r="A1267" s="43" t="n">
        <x:v>1263</x:v>
      </x:c>
      <x:c r="B1267" s="44" t="str">
        <x:v>Not Started</x:v>
      </x:c>
      <x:c r="C1267" s="45" t="n">
        <x:v>38979</x:v>
      </x:c>
      <x:c r="D1267" s="33" t="str">
        <x:v>Law &amp; Order: Criminal Intent</x:v>
      </x:c>
      <x:c r="E1267" s="33" t="str">
        <x:v>Law &amp; Order</x:v>
      </x:c>
      <x:c r="F1267" s="33" t="str">
        <x:v>core</x:v>
      </x:c>
      <x:c r="G1267" s="50" t="n">
        <x:v>6</x:v>
      </x:c>
      <x:c r="H1267" s="50" t="n">
        <x:v>1</x:v>
      </x:c>
      <x:c r="I1267" s="44" t="str">
        <x:v>06.01</x:v>
      </x:c>
      <x:c r="J1267" s="33" t="str">
        <x:v>Blind Spot</x:v>
      </x:c>
      <x:c r="K1267" s="33" t="str"/>
      <x:c r="L1267" s="33" t="str"/>
      <x:c r="M1267" s="44" t="str"/>
      <x:c r="N1267" s="50" t="n">
        <x:v>43</x:v>
      </x:c>
      <x:c r="O1267" s="53" t="str">
        <x:v>Captain Danny Ross closely oversees Goren and Eames as they hunt for a possible serial killer. This difficult and harrowing case brings Goren back in touch with his old mentor, a profiler, and his mentor's daughter.</x:v>
      </x:c>
      <x:c r="P1267" s="53" t="str">
        <x:v>Core Law &amp; Order franchise</x:v>
      </x:c>
      <x:c r="Q1267" s="17" t="str">
        <x:v>341323</x:v>
      </x:c>
      <x:c r="R1267" s="17" t="str">
        <x:v>tt0861172</x:v>
      </x:c>
      <x:c r="S1267" s="17" t="str">
        <x:v>850</x:v>
      </x:c>
    </x:row>
    <x:row r="1268">
      <x:c r="A1268" s="43" t="n">
        <x:v>1264</x:v>
      </x:c>
      <x:c r="B1268" s="44" t="str">
        <x:v>Not Started</x:v>
      </x:c>
      <x:c r="C1268" s="45" t="n">
        <x:v>38979</x:v>
      </x:c>
      <x:c r="D1268" s="33" t="str">
        <x:v>Law &amp; Order: Special Victims Unit</x:v>
      </x:c>
      <x:c r="E1268" s="33" t="str">
        <x:v>Law &amp; Order</x:v>
      </x:c>
      <x:c r="F1268" s="33" t="str">
        <x:v>core</x:v>
      </x:c>
      <x:c r="G1268" s="50" t="n">
        <x:v>8</x:v>
      </x:c>
      <x:c r="H1268" s="50" t="n">
        <x:v>1</x:v>
      </x:c>
      <x:c r="I1268" s="44" t="str">
        <x:v>08.01</x:v>
      </x:c>
      <x:c r="J1268" s="33" t="str">
        <x:v>Informed</x:v>
      </x:c>
      <x:c r="K1268" s="33" t="str"/>
      <x:c r="L1268" s="33" t="str"/>
      <x:c r="M1268" s="44" t="str"/>
      <x:c r="N1268" s="50" t="n">
        <x:v>43</x:v>
      </x:c>
      <x:c r="O1268" s="53" t="str">
        <x:v>Benson is called in after a young woman shows up at the hospital, raped and beaten with her head shaved. Haley Kerns refuses to submit to a rape kit, but Benson steals her underwear before leaving the apartment and gives it to Warner to check out. When Benson returns to her apartment she encounters Star Morrison, who admits that Haley is a federal informant working with them on eco-terrorism. After Stabler is wounded while out on a search with Morrison, Benson and she work to get information from Haley before the eco-terrorists can strike.</x:v>
      </x:c>
      <x:c r="P1268" s="53" t="str">
        <x:v>Core Law &amp; Order franchise</x:v>
      </x:c>
      <x:c r="Q1268" s="17" t="str">
        <x:v>225102</x:v>
      </x:c>
      <x:c r="R1268" s="17" t="str">
        <x:v>tt0860060</x:v>
      </x:c>
      <x:c r="S1268" s="17" t="str">
        <x:v>849</x:v>
      </x:c>
    </x:row>
    <x:row r="1269">
      <x:c r="A1269" s="43" t="n">
        <x:v>1265</x:v>
      </x:c>
      <x:c r="B1269" s="44" t="str">
        <x:v>Not Started</x:v>
      </x:c>
      <x:c r="C1269" s="45" t="n">
        <x:v>38982</x:v>
      </x:c>
      <x:c r="D1269" s="33" t="str">
        <x:v>Law &amp; Order</x:v>
      </x:c>
      <x:c r="E1269" s="33" t="str">
        <x:v>Law &amp; Order</x:v>
      </x:c>
      <x:c r="F1269" s="33" t="str">
        <x:v>core</x:v>
      </x:c>
      <x:c r="G1269" s="50" t="n">
        <x:v>17</x:v>
      </x:c>
      <x:c r="H1269" s="50" t="n">
        <x:v>1</x:v>
      </x:c>
      <x:c r="I1269" s="44" t="str">
        <x:v>17.01</x:v>
      </x:c>
      <x:c r="J1269" s="33" t="str">
        <x:v>Fame</x:v>
      </x:c>
      <x:c r="K1269" s="33" t="str"/>
      <x:c r="L1269" s="33" t="str"/>
      <x:c r="M1269" s="44" t="str"/>
      <x:c r="N1269" s="50" t="n">
        <x:v>45</x:v>
      </x:c>
      <x:c r="O1269" s="53" t="str">
        <x:v>Green and Cassady investigate the death of a cop accidentally killed during a botched robbery which leads them to stolen photographs of a celebrity mother married to a player.</x:v>
      </x:c>
      <x:c r="P1269" s="53" t="str">
        <x:v>Core Law &amp; Order franchise</x:v>
      </x:c>
      <x:c r="Q1269" s="17" t="str">
        <x:v>34426</x:v>
      </x:c>
      <x:c r="R1269" s="17" t="str">
        <x:v>tt0860058</x:v>
      </x:c>
      <x:c r="S1269" s="17" t="str">
        <x:v>851</x:v>
      </x:c>
    </x:row>
    <x:row r="1270">
      <x:c r="A1270" s="43" t="n">
        <x:v>1266</x:v>
      </x:c>
      <x:c r="B1270" s="44" t="str">
        <x:v>Not Started</x:v>
      </x:c>
      <x:c r="C1270" s="45" t="n">
        <x:v>38986</x:v>
      </x:c>
      <x:c r="D1270" s="33" t="str">
        <x:v>Law &amp; Order: Criminal Intent</x:v>
      </x:c>
      <x:c r="E1270" s="33" t="str">
        <x:v>Law &amp; Order</x:v>
      </x:c>
      <x:c r="F1270" s="33" t="str">
        <x:v>core</x:v>
      </x:c>
      <x:c r="G1270" s="50" t="n">
        <x:v>6</x:v>
      </x:c>
      <x:c r="H1270" s="50" t="n">
        <x:v>2</x:v>
      </x:c>
      <x:c r="I1270" s="44" t="str">
        <x:v>06.02</x:v>
      </x:c>
      <x:c r="J1270" s="33" t="str">
        <x:v>Tru Love</x:v>
      </x:c>
      <x:c r="K1270" s="33" t="str"/>
      <x:c r="L1270" s="33" t="str"/>
      <x:c r="M1270" s="44" t="str"/>
      <x:c r="N1270" s="50" t="n">
        <x:v>43</x:v>
      </x:c>
      <x:c r="O1270" s="53" t="str">
        <x:v>Det. Megan Wheeler teams up with Logan on an investigation involving the murder of a womanizer.</x:v>
      </x:c>
      <x:c r="P1270" s="53" t="str">
        <x:v>Core Law &amp; Order franchise</x:v>
      </x:c>
      <x:c r="Q1270" s="17" t="str">
        <x:v>341324</x:v>
      </x:c>
      <x:c r="R1270" s="17" t="str">
        <x:v>tt0870430</x:v>
      </x:c>
      <x:c r="S1270" s="17" t="str">
        <x:v>853</x:v>
      </x:c>
    </x:row>
    <x:row r="1271">
      <x:c r="A1271" s="43" t="n">
        <x:v>1267</x:v>
      </x:c>
      <x:c r="B1271" s="44" t="str">
        <x:v>Not Started</x:v>
      </x:c>
      <x:c r="C1271" s="45" t="n">
        <x:v>38986</x:v>
      </x:c>
      <x:c r="D1271" s="33" t="str">
        <x:v>Law &amp; Order: Special Victims Unit</x:v>
      </x:c>
      <x:c r="E1271" s="33" t="str">
        <x:v>Law &amp; Order</x:v>
      </x:c>
      <x:c r="F1271" s="33" t="str">
        <x:v>core</x:v>
      </x:c>
      <x:c r="G1271" s="50" t="n">
        <x:v>8</x:v>
      </x:c>
      <x:c r="H1271" s="50" t="n">
        <x:v>2</x:v>
      </x:c>
      <x:c r="I1271" s="44" t="str">
        <x:v>08.02</x:v>
      </x:c>
      <x:c r="J1271" s="33" t="str">
        <x:v>Clock</x:v>
      </x:c>
      <x:c r="K1271" s="33" t="str"/>
      <x:c r="L1271" s="33" t="str"/>
      <x:c r="M1271" s="44" t="str"/>
      <x:c r="N1271" s="50" t="n">
        <x:v>43</x:v>
      </x:c>
      <x:c r="O1271" s="53" t="str">
        <x:v>Stabler and Tutuola pair up to investigate when two teens go missing while their school is on a field trip to a local museum. Their investigation soon turns up evidence that the disappearance was staged to help Janey, who suffers from Turner's Syndrome, be with her older boyfriend, a man with a prediliction for young girls, and to help the boy, Connor, make good on a gambling debt. Stabler experiences a rift with his daughter, Kathleen, who is upset over the way that he has handled her relationship with a young man named Kevin.</x:v>
      </x:c>
      <x:c r="P1271" s="53" t="str">
        <x:v>Core Law &amp; Order franchise</x:v>
      </x:c>
      <x:c r="Q1271" s="17" t="str">
        <x:v>225103</x:v>
      </x:c>
      <x:c r="R1271" s="17" t="str">
        <x:v>tt0860059</x:v>
      </x:c>
      <x:c r="S1271" s="17" t="str">
        <x:v>852</x:v>
      </x:c>
    </x:row>
    <x:row r="1272">
      <x:c r="A1272" s="43" t="n">
        <x:v>1268</x:v>
      </x:c>
      <x:c r="B1272" s="44" t="str">
        <x:v>Not Started</x:v>
      </x:c>
      <x:c r="C1272" s="45" t="n">
        <x:v>38989</x:v>
      </x:c>
      <x:c r="D1272" s="33" t="str">
        <x:v>Law &amp; Order</x:v>
      </x:c>
      <x:c r="E1272" s="33" t="str">
        <x:v>Law &amp; Order</x:v>
      </x:c>
      <x:c r="F1272" s="33" t="str">
        <x:v>core</x:v>
      </x:c>
      <x:c r="G1272" s="50" t="n">
        <x:v>17</x:v>
      </x:c>
      <x:c r="H1272" s="50" t="n">
        <x:v>2</x:v>
      </x:c>
      <x:c r="I1272" s="44" t="str">
        <x:v>17.02</x:v>
      </x:c>
      <x:c r="J1272" s="33" t="str">
        <x:v>Avatar</x:v>
      </x:c>
      <x:c r="K1272" s="33" t="str"/>
      <x:c r="L1272" s="33" t="str"/>
      <x:c r="M1272" s="44" t="str"/>
      <x:c r="N1272" s="50" t="n">
        <x:v>45</x:v>
      </x:c>
      <x:c r="O1272" s="53" t="str">
        <x:v>Green and Cassady investigate after the photograph of a dead woman is found on a popular website, B-Frendz.com. Their investigation leads them to a mentally disturbed young man whom the teenage daughter of the victim claims kidnapped and raped her, but his lawyer offers up an even greater incentive -- the supposed kidnapping victim, Molly Preston.</x:v>
      </x:c>
      <x:c r="P1272" s="53" t="str">
        <x:v>Core Law &amp; Order franchise</x:v>
      </x:c>
      <x:c r="Q1272" s="17" t="str">
        <x:v>34427</x:v>
      </x:c>
      <x:c r="R1272" s="17" t="str">
        <x:v>tt0860057</x:v>
      </x:c>
      <x:c r="S1272" s="17" t="str">
        <x:v>854</x:v>
      </x:c>
    </x:row>
    <x:row r="1273">
      <x:c r="A1273" s="43" t="n">
        <x:v>1269</x:v>
      </x:c>
      <x:c r="B1273" s="44" t="str">
        <x:v>Not Started</x:v>
      </x:c>
      <x:c r="C1273" s="45" t="n">
        <x:v>38993</x:v>
      </x:c>
      <x:c r="D1273" s="33" t="str">
        <x:v>Law &amp; Order: Criminal Intent</x:v>
      </x:c>
      <x:c r="E1273" s="33" t="str">
        <x:v>Law &amp; Order</x:v>
      </x:c>
      <x:c r="F1273" s="33" t="str">
        <x:v>core</x:v>
      </x:c>
      <x:c r="G1273" s="50" t="n">
        <x:v>6</x:v>
      </x:c>
      <x:c r="H1273" s="50" t="n">
        <x:v>3</x:v>
      </x:c>
      <x:c r="I1273" s="44" t="str">
        <x:v>06.03</x:v>
      </x:c>
      <x:c r="J1273" s="33" t="str">
        <x:v>Siren Call</x:v>
      </x:c>
      <x:c r="K1273" s="33" t="str"/>
      <x:c r="L1273" s="33" t="str"/>
      <x:c r="M1273" s="44" t="str"/>
      <x:c r="N1273" s="50" t="n">
        <x:v>42</x:v>
      </x:c>
      <x:c r="O1273" s="53" t="str">
        <x:v>Goren and Eames investigate the murder of a teen with a party-girl reputation.</x:v>
      </x:c>
      <x:c r="P1273" s="53" t="str">
        <x:v>Core Law &amp; Order franchise</x:v>
      </x:c>
      <x:c r="Q1273" s="17" t="str">
        <x:v>341325</x:v>
      </x:c>
      <x:c r="R1273" s="17" t="str">
        <x:v>tt0865161</x:v>
      </x:c>
      <x:c r="S1273" s="17" t="str">
        <x:v>856</x:v>
      </x:c>
    </x:row>
    <x:row r="1274">
      <x:c r="A1274" s="43" t="n">
        <x:v>1270</x:v>
      </x:c>
      <x:c r="B1274" s="44" t="str">
        <x:v>Not Started</x:v>
      </x:c>
      <x:c r="C1274" s="45" t="n">
        <x:v>38993</x:v>
      </x:c>
      <x:c r="D1274" s="33" t="str">
        <x:v>Law &amp; Order: Special Victims Unit</x:v>
      </x:c>
      <x:c r="E1274" s="33" t="str">
        <x:v>Law &amp; Order</x:v>
      </x:c>
      <x:c r="F1274" s="33" t="str">
        <x:v>core</x:v>
      </x:c>
      <x:c r="G1274" s="50" t="n">
        <x:v>8</x:v>
      </x:c>
      <x:c r="H1274" s="50" t="n">
        <x:v>3</x:v>
      </x:c>
      <x:c r="I1274" s="44" t="str">
        <x:v>08.03</x:v>
      </x:c>
      <x:c r="J1274" s="33" t="str">
        <x:v>Recall</x:v>
      </x:c>
      <x:c r="K1274" s="33" t="str"/>
      <x:c r="L1274" s="33" t="str"/>
      <x:c r="M1274" s="44" t="str"/>
      <x:c r="N1274" s="50" t="n">
        <x:v>43</x:v>
      </x:c>
      <x:c r="O1274" s="53" t="str">
        <x:v>Stabler and his new partner, Dani Beck, investigate the rape of a young woman named Nikki, who soon identifies a prominent lawyer, Martin Trenway, as her rapist. The squad has difficulty making the charges stick until another victim comes forward, but her testimony cannot be proven reliable. Determined to get at Trenway, Beck tracks down a woman from his past who holds the key to convicting Trenway, if they can convince her to expose the truth.</x:v>
      </x:c>
      <x:c r="P1274" s="53" t="str">
        <x:v>Core Law &amp; Order franchise</x:v>
      </x:c>
      <x:c r="Q1274" s="17" t="str">
        <x:v>225104</x:v>
      </x:c>
      <x:c r="R1274" s="17" t="str">
        <x:v>tt0863685</x:v>
      </x:c>
      <x:c r="S1274" s="17" t="str">
        <x:v>855</x:v>
      </x:c>
    </x:row>
    <x:row r="1275">
      <x:c r="A1275" s="43" t="n">
        <x:v>1271</x:v>
      </x:c>
      <x:c r="B1275" s="44" t="str">
        <x:v>Not Started</x:v>
      </x:c>
      <x:c r="C1275" s="45" t="n">
        <x:v>38996</x:v>
      </x:c>
      <x:c r="D1275" s="33" t="str">
        <x:v>Law &amp; Order</x:v>
      </x:c>
      <x:c r="E1275" s="33" t="str">
        <x:v>Law &amp; Order</x:v>
      </x:c>
      <x:c r="F1275" s="33" t="str">
        <x:v>core</x:v>
      </x:c>
      <x:c r="G1275" s="50" t="n">
        <x:v>17</x:v>
      </x:c>
      <x:c r="H1275" s="50" t="n">
        <x:v>3</x:v>
      </x:c>
      <x:c r="I1275" s="44" t="str">
        <x:v>17.03</x:v>
      </x:c>
      <x:c r="J1275" s="33" t="str">
        <x:v>Home Sweet</x:v>
      </x:c>
      <x:c r="K1275" s="33" t="str"/>
      <x:c r="L1275" s="33" t="str"/>
      <x:c r="M1275" s="44" t="str"/>
      <x:c r="N1275" s="50" t="n">
        <x:v>45</x:v>
      </x:c>
      <x:c r="O1275" s="53" t="str">
        <x:v>When eight-year-old Jenna Wechsler dies as a result of a building explosion, Green and Cassady follow the trail of evidence to Rosalie Schaffner, the owner's ex-wife. McCoy and Rubirosa pursue Rosalie Schaffner despite a lack of concrete evidence, but the case takes a turn when Rubirosa finds a piece of evidence that points them in a new direction.</x:v>
      </x:c>
      <x:c r="P1275" s="53" t="str">
        <x:v>Core Law &amp; Order franchise</x:v>
      </x:c>
      <x:c r="Q1275" s="17" t="str">
        <x:v>34428</x:v>
      </x:c>
      <x:c r="R1275" s="17" t="str">
        <x:v>tt0876808</x:v>
      </x:c>
      <x:c r="S1275" s="17" t="str">
        <x:v>857</x:v>
      </x:c>
    </x:row>
    <x:row r="1276">
      <x:c r="A1276" s="43" t="n">
        <x:v>1272</x:v>
      </x:c>
      <x:c r="B1276" s="44" t="str">
        <x:v>Not Started</x:v>
      </x:c>
      <x:c r="C1276" s="45" t="n">
        <x:v>39000</x:v>
      </x:c>
      <x:c r="D1276" s="33" t="str">
        <x:v>Law &amp; Order: Criminal Intent</x:v>
      </x:c>
      <x:c r="E1276" s="33" t="str">
        <x:v>Law &amp; Order</x:v>
      </x:c>
      <x:c r="F1276" s="33" t="str">
        <x:v>core</x:v>
      </x:c>
      <x:c r="G1276" s="50" t="n">
        <x:v>6</x:v>
      </x:c>
      <x:c r="H1276" s="50" t="n">
        <x:v>4</x:v>
      </x:c>
      <x:c r="I1276" s="44" t="str">
        <x:v>06.04</x:v>
      </x:c>
      <x:c r="J1276" s="33" t="str">
        <x:v>Maltese Cross</x:v>
      </x:c>
      <x:c r="K1276" s="33" t="str"/>
      <x:c r="L1276" s="33" t="str"/>
      <x:c r="M1276" s="44" t="str"/>
      <x:c r="N1276" s="50" t="n">
        <x:v>43</x:v>
      </x:c>
      <x:c r="O1276" s="53" t="str">
        <x:v>Logan and Wheeler investigate a firefighter's stabbing death, a crime that took place after the victim prevented a hate crime.</x:v>
      </x:c>
      <x:c r="P1276" s="53" t="str">
        <x:v>Core Law &amp; Order franchise</x:v>
      </x:c>
      <x:c r="Q1276" s="17" t="str">
        <x:v>341326</x:v>
      </x:c>
      <x:c r="R1276" s="17" t="str">
        <x:v>tt0877972</x:v>
      </x:c>
      <x:c r="S1276" s="17" t="str">
        <x:v>859</x:v>
      </x:c>
    </x:row>
    <x:row r="1277">
      <x:c r="A1277" s="43" t="n">
        <x:v>1273</x:v>
      </x:c>
      <x:c r="B1277" s="44" t="str">
        <x:v>Not Started</x:v>
      </x:c>
      <x:c r="C1277" s="45" t="n">
        <x:v>39000</x:v>
      </x:c>
      <x:c r="D1277" s="33" t="str">
        <x:v>Law &amp; Order: Special Victims Unit</x:v>
      </x:c>
      <x:c r="E1277" s="33" t="str">
        <x:v>Law &amp; Order</x:v>
      </x:c>
      <x:c r="F1277" s="33" t="str">
        <x:v>core</x:v>
      </x:c>
      <x:c r="G1277" s="50" t="n">
        <x:v>8</x:v>
      </x:c>
      <x:c r="H1277" s="50" t="n">
        <x:v>4</x:v>
      </x:c>
      <x:c r="I1277" s="44" t="str">
        <x:v>08.04</x:v>
      </x:c>
      <x:c r="J1277" s="33" t="str">
        <x:v>Uncle</x:v>
      </x:c>
      <x:c r="K1277" s="33" t="str"/>
      <x:c r="L1277" s="33" t="str"/>
      <x:c r="M1277" s="44" t="str"/>
      <x:c r="N1277" s="50" t="n">
        <x:v>43</x:v>
      </x:c>
      <x:c r="O1277" s="53" t="str">
        <x:v>After a mother and her ten-year-old daughter are found raped and butchered in their apartment, Stabler and Beck take in a homeless man who turns out to be Munch's uncle, Andrew. Initially he's their main suspect until they find their way to a new suspect. Unfortunately, when their only evidence against Brent Allen Banks is thrown out in court, Andrew, suffering from mental illness, goes too far trying to do what he is convinced is the right thing.</x:v>
      </x:c>
      <x:c r="P1277" s="53" t="str">
        <x:v>Core Law &amp; Order franchise</x:v>
      </x:c>
      <x:c r="Q1277" s="17" t="str">
        <x:v>225105</x:v>
      </x:c>
      <x:c r="R1277" s="17" t="str">
        <x:v>tt0853818</x:v>
      </x:c>
      <x:c r="S1277" s="17" t="str">
        <x:v>858</x:v>
      </x:c>
    </x:row>
    <x:row r="1278">
      <x:c r="A1278" s="43" t="n">
        <x:v>1274</x:v>
      </x:c>
      <x:c r="B1278" s="44" t="str">
        <x:v>Not Started</x:v>
      </x:c>
      <x:c r="C1278" s="45" t="n">
        <x:v>39003</x:v>
      </x:c>
      <x:c r="D1278" s="33" t="str">
        <x:v>Law &amp; Order</x:v>
      </x:c>
      <x:c r="E1278" s="33" t="str">
        <x:v>Law &amp; Order</x:v>
      </x:c>
      <x:c r="F1278" s="33" t="str">
        <x:v>core</x:v>
      </x:c>
      <x:c r="G1278" s="50" t="n">
        <x:v>17</x:v>
      </x:c>
      <x:c r="H1278" s="50" t="n">
        <x:v>4</x:v>
      </x:c>
      <x:c r="I1278" s="44" t="str">
        <x:v>17.04</x:v>
      </x:c>
      <x:c r="J1278" s="33" t="str">
        <x:v>Fear America</x:v>
      </x:c>
      <x:c r="K1278" s="33" t="str"/>
      <x:c r="L1278" s="33" t="str"/>
      <x:c r="M1278" s="44" t="str"/>
      <x:c r="N1278" s="50" t="n">
        <x:v>45</x:v>
      </x:c>
      <x:c r="O1278" s="53" t="str">
        <x:v>After Eric Khabaly is seen being murdered on tape in what appears to be an American movement against Islam, Green and Cassady investigate the case which leads them to Khabaly's cousin, Ben Faoud, who appears to be connected to a terrorist cell functioning inside New York. Unfortunately, the best link to Faoud appears to surround a recent shipment of uranium, which McCoy and Rubirosa are forbidden to mention by the federal government. When news of the uranium leaks out, McCoy and Rubirosa find themselves the victims of intense federal scrutiny, and Paul Robinette's vigorous defense of young Faoud doesn't help matters.</x:v>
      </x:c>
      <x:c r="P1278" s="53" t="str">
        <x:v>Core Law &amp; Order franchise</x:v>
      </x:c>
      <x:c r="Q1278" s="17" t="str">
        <x:v>34429</x:v>
      </x:c>
      <x:c r="R1278" s="17" t="str">
        <x:v>tt0879094</x:v>
      </x:c>
      <x:c r="S1278" s="17" t="str">
        <x:v>860</x:v>
      </x:c>
    </x:row>
    <x:row r="1279">
      <x:c r="A1279" s="43" t="n">
        <x:v>1275</x:v>
      </x:c>
      <x:c r="B1279" s="44" t="str">
        <x:v>Not Started</x:v>
      </x:c>
      <x:c r="C1279" s="45" t="n">
        <x:v>39007</x:v>
      </x:c>
      <x:c r="D1279" s="33" t="str">
        <x:v>Law &amp; Order: Criminal Intent</x:v>
      </x:c>
      <x:c r="E1279" s="33" t="str">
        <x:v>Law &amp; Order</x:v>
      </x:c>
      <x:c r="F1279" s="33" t="str">
        <x:v>core</x:v>
      </x:c>
      <x:c r="G1279" s="50" t="n">
        <x:v>6</x:v>
      </x:c>
      <x:c r="H1279" s="50" t="n">
        <x:v>5</x:v>
      </x:c>
      <x:c r="I1279" s="44" t="str">
        <x:v>06.05</x:v>
      </x:c>
      <x:c r="J1279" s="33" t="str">
        <x:v>Bedfellows</x:v>
      </x:c>
      <x:c r="K1279" s="33" t="str"/>
      <x:c r="L1279" s="33" t="str"/>
      <x:c r="M1279" s="44" t="str"/>
      <x:c r="N1279" s="50" t="n">
        <x:v>43</x:v>
      </x:c>
      <x:c r="O1279" s="53" t="str">
        <x:v>Goren and Eames must sort through complicated family dynamics when the favorite son of a patronizing father's two grown children is found poisoned to death.</x:v>
      </x:c>
      <x:c r="P1279" s="53" t="str">
        <x:v>Core Law &amp; Order franchise</x:v>
      </x:c>
      <x:c r="Q1279" s="17" t="str">
        <x:v>341327</x:v>
      </x:c>
      <x:c r="R1279" s="17" t="str">
        <x:v>tt0876809</x:v>
      </x:c>
      <x:c r="S1279" s="17" t="str">
        <x:v>862</x:v>
      </x:c>
    </x:row>
    <x:row r="1280">
      <x:c r="A1280" s="43" t="n">
        <x:v>1276</x:v>
      </x:c>
      <x:c r="B1280" s="44" t="str">
        <x:v>Not Started</x:v>
      </x:c>
      <x:c r="C1280" s="45" t="n">
        <x:v>39007</x:v>
      </x:c>
      <x:c r="D1280" s="33" t="str">
        <x:v>Law &amp; Order: Special Victims Unit</x:v>
      </x:c>
      <x:c r="E1280" s="33" t="str">
        <x:v>Law &amp; Order</x:v>
      </x:c>
      <x:c r="F1280" s="33" t="str">
        <x:v>core</x:v>
      </x:c>
      <x:c r="G1280" s="50" t="n">
        <x:v>8</x:v>
      </x:c>
      <x:c r="H1280" s="50" t="n">
        <x:v>5</x:v>
      </x:c>
      <x:c r="I1280" s="44" t="str">
        <x:v>08.05</x:v>
      </x:c>
      <x:c r="J1280" s="33" t="str">
        <x:v>Confrontation</x:v>
      </x:c>
      <x:c r="K1280" s="33" t="str"/>
      <x:c r="L1280" s="33" t="str"/>
      <x:c r="M1280" s="44" t="str"/>
      <x:c r="N1280" s="50" t="n">
        <x:v>43</x:v>
      </x:c>
      <x:c r="O1280" s="53" t="str">
        <x:v>Stabler and Beck disagree on how to handle a case involving a rapist who seems to be escalating his attacks. Beck is getting too personally involved in the case and with the victims, which Stabler warns her against. The key witness in the case is a pregnant woman who denies having been raped more than once by the man, whose goal appears to have been to impregnate the women.</x:v>
      </x:c>
      <x:c r="P1280" s="53" t="str">
        <x:v>Core Law &amp; Order franchise</x:v>
      </x:c>
      <x:c r="Q1280" s="17" t="str">
        <x:v>225106</x:v>
      </x:c>
      <x:c r="R1280" s="17" t="str">
        <x:v>tt0882455</x:v>
      </x:c>
      <x:c r="S1280" s="17" t="str">
        <x:v>861</x:v>
      </x:c>
    </x:row>
    <x:row r="1281">
      <x:c r="A1281" s="43" t="n">
        <x:v>1277</x:v>
      </x:c>
      <x:c r="B1281" s="44" t="str">
        <x:v>Not Started</x:v>
      </x:c>
      <x:c r="C1281" s="45" t="n">
        <x:v>39010</x:v>
      </x:c>
      <x:c r="D1281" s="33" t="str">
        <x:v>Law &amp; Order</x:v>
      </x:c>
      <x:c r="E1281" s="33" t="str">
        <x:v>Law &amp; Order</x:v>
      </x:c>
      <x:c r="F1281" s="33" t="str">
        <x:v>core</x:v>
      </x:c>
      <x:c r="G1281" s="50" t="n">
        <x:v>17</x:v>
      </x:c>
      <x:c r="H1281" s="50" t="n">
        <x:v>5</x:v>
      </x:c>
      <x:c r="I1281" s="44" t="str">
        <x:v>17.05</x:v>
      </x:c>
      <x:c r="J1281" s="33" t="str">
        <x:v>Public Service Homicide</x:v>
      </x:c>
      <x:c r="K1281" s="33" t="str"/>
      <x:c r="L1281" s="33" t="str"/>
      <x:c r="M1281" s="44" t="str"/>
      <x:c r="N1281" s="50" t="n">
        <x:v>45</x:v>
      </x:c>
      <x:c r="O1281" s="53" t="str">
        <x:v>When Carl Mullaly is discovered murdered in his apartment, Green and Cassady learn that he had recently been profiled on HardFocus, a tabloid talk show that exposes sex offenders who are caught via the ScumWatch website. With an eight-year-old girl as the only eye witness, detectives arrest the murderer, but McCoy and Rubirosa soon learn that HardFocus is a lot more involved than they claim.</x:v>
      </x:c>
      <x:c r="P1281" s="53" t="str">
        <x:v>Core Law &amp; Order franchise</x:v>
      </x:c>
      <x:c r="Q1281" s="17" t="str">
        <x:v>34430</x:v>
      </x:c>
      <x:c r="R1281" s="17" t="str">
        <x:v>tt0884602</x:v>
      </x:c>
      <x:c r="S1281" s="17" t="str">
        <x:v>863</x:v>
      </x:c>
    </x:row>
    <x:row r="1282">
      <x:c r="A1282" s="43" t="n">
        <x:v>1278</x:v>
      </x:c>
      <x:c r="B1282" s="44" t="str">
        <x:v>Not Started</x:v>
      </x:c>
      <x:c r="C1282" s="45" t="n">
        <x:v>39017</x:v>
      </x:c>
      <x:c r="D1282" s="33" t="str">
        <x:v>Law &amp; Order</x:v>
      </x:c>
      <x:c r="E1282" s="33" t="str">
        <x:v>Law &amp; Order</x:v>
      </x:c>
      <x:c r="F1282" s="33" t="str">
        <x:v>core</x:v>
      </x:c>
      <x:c r="G1282" s="50" t="n">
        <x:v>17</x:v>
      </x:c>
      <x:c r="H1282" s="50" t="n">
        <x:v>6</x:v>
      </x:c>
      <x:c r="I1282" s="44" t="str">
        <x:v>17.06</x:v>
      </x:c>
      <x:c r="J1282" s="33" t="str">
        <x:v>Profiteer</x:v>
      </x:c>
      <x:c r="K1282" s="33" t="str"/>
      <x:c r="L1282" s="33" t="str"/>
      <x:c r="M1282" s="44" t="str"/>
      <x:c r="N1282" s="50" t="n">
        <x:v>45</x:v>
      </x:c>
      <x:c r="O1282" s="53" t="str">
        <x:v>The shooting of a local businessman is linked to a killing in Iraq, and McCoy and Rubirosa refuse to allow the killer to plead out.</x:v>
      </x:c>
      <x:c r="P1282" s="53" t="str">
        <x:v>Core Law &amp; Order franchise</x:v>
      </x:c>
      <x:c r="Q1282" s="17" t="str">
        <x:v>34431</x:v>
      </x:c>
      <x:c r="R1282" s="17" t="str">
        <x:v>tt0887552</x:v>
      </x:c>
      <x:c r="S1282" s="17" t="str">
        <x:v>864</x:v>
      </x:c>
    </x:row>
    <x:row r="1283">
      <x:c r="A1283" s="43" t="n">
        <x:v>1279</x:v>
      </x:c>
      <x:c r="B1283" s="44" t="str">
        <x:v>Not Started</x:v>
      </x:c>
      <x:c r="C1283" s="45" t="n">
        <x:v>39021</x:v>
      </x:c>
      <x:c r="D1283" s="33" t="str">
        <x:v>Law &amp; Order: Criminal Intent</x:v>
      </x:c>
      <x:c r="E1283" s="33" t="str">
        <x:v>Law &amp; Order</x:v>
      </x:c>
      <x:c r="F1283" s="33" t="str">
        <x:v>core</x:v>
      </x:c>
      <x:c r="G1283" s="50" t="n">
        <x:v>6</x:v>
      </x:c>
      <x:c r="H1283" s="50" t="n">
        <x:v>6</x:v>
      </x:c>
      <x:c r="I1283" s="44" t="str">
        <x:v>06.06</x:v>
      </x:c>
      <x:c r="J1283" s="33" t="str">
        <x:v>Masquerade</x:v>
      </x:c>
      <x:c r="K1283" s="33" t="str"/>
      <x:c r="L1283" s="33" t="str"/>
      <x:c r="M1283" s="44" t="str"/>
      <x:c r="N1283" s="50" t="n">
        <x:v>44</x:v>
      </x:c>
      <x:c r="O1283" s="53" t="str">
        <x:v>Goren and Eames revisit the Oct. 31, 1992, murder of a young beauty queen after a man who's obsessed with her confesses to the crime.</x:v>
      </x:c>
      <x:c r="P1283" s="53" t="str">
        <x:v>Core Law &amp; Order franchise</x:v>
      </x:c>
      <x:c r="Q1283" s="17" t="str">
        <x:v>341328</x:v>
      </x:c>
      <x:c r="R1283" s="17" t="str">
        <x:v>tt0888226</x:v>
      </x:c>
      <x:c r="S1283" s="17" t="str">
        <x:v>866</x:v>
      </x:c>
    </x:row>
    <x:row r="1284">
      <x:c r="A1284" s="43" t="n">
        <x:v>1280</x:v>
      </x:c>
      <x:c r="B1284" s="44" t="str">
        <x:v>Not Started</x:v>
      </x:c>
      <x:c r="C1284" s="45" t="n">
        <x:v>39021</x:v>
      </x:c>
      <x:c r="D1284" s="33" t="str">
        <x:v>Law &amp; Order: Special Victims Unit</x:v>
      </x:c>
      <x:c r="E1284" s="33" t="str">
        <x:v>Law &amp; Order</x:v>
      </x:c>
      <x:c r="F1284" s="33" t="str">
        <x:v>core</x:v>
      </x:c>
      <x:c r="G1284" s="50" t="n">
        <x:v>8</x:v>
      </x:c>
      <x:c r="H1284" s="50" t="n">
        <x:v>6</x:v>
      </x:c>
      <x:c r="I1284" s="44" t="str">
        <x:v>08.06</x:v>
      </x:c>
      <x:c r="J1284" s="33" t="str">
        <x:v>Infiltrated</x:v>
      </x:c>
      <x:c r="K1284" s="33" t="str"/>
      <x:c r="L1284" s="33" t="str"/>
      <x:c r="M1284" s="44" t="str"/>
      <x:c r="N1284" s="50" t="n">
        <x:v>43</x:v>
      </x:c>
      <x:c r="O1284" s="53" t="str">
        <x:v>Novak tries to find Benson when the case for a previous rape victim, Chelsea Arndale, hinges on her testimony. Benson, meanwhile, is still living as Persephone James and has been arrested in Oregon after the ecologist's group she has infiltrated is involved in a fracas with the local police. After the local sheriff advises her that her group is being looked at in connection with a recent murder, Benson decides to do a little investigating on her own and learns that the man was a pedophile. When she finally finds his private hideaway, it leads to a shocking conclusion.</x:v>
      </x:c>
      <x:c r="P1284" s="53" t="str">
        <x:v>Core Law &amp; Order franchise</x:v>
      </x:c>
      <x:c r="Q1284" s="17" t="str">
        <x:v>225107</x:v>
      </x:c>
      <x:c r="R1284" s="17" t="str">
        <x:v>tt0883172</x:v>
      </x:c>
      <x:c r="S1284" s="17" t="str">
        <x:v>865</x:v>
      </x:c>
    </x:row>
    <x:row r="1285">
      <x:c r="A1285" s="43" t="n">
        <x:v>1281</x:v>
      </x:c>
      <x:c r="B1285" s="44" t="str">
        <x:v>Not Started</x:v>
      </x:c>
      <x:c r="C1285" s="45" t="n">
        <x:v>39024</x:v>
      </x:c>
      <x:c r="D1285" s="33" t="str">
        <x:v>Law &amp; Order</x:v>
      </x:c>
      <x:c r="E1285" s="33" t="str">
        <x:v>Law &amp; Order</x:v>
      </x:c>
      <x:c r="F1285" s="33" t="str">
        <x:v>core</x:v>
      </x:c>
      <x:c r="G1285" s="50" t="n">
        <x:v>17</x:v>
      </x:c>
      <x:c r="H1285" s="50" t="n">
        <x:v>7</x:v>
      </x:c>
      <x:c r="I1285" s="44" t="str">
        <x:v>17.07</x:v>
      </x:c>
      <x:c r="J1285" s="33" t="str">
        <x:v>In Vino Veritas</x:v>
      </x:c>
      <x:c r="K1285" s="33" t="str"/>
      <x:c r="L1285" s="33" t="str"/>
      <x:c r="M1285" s="44" t="str"/>
      <x:c r="N1285" s="50" t="n">
        <x:v>45</x:v>
      </x:c>
      <x:c r="O1285" s="53" t="str">
        <x:v>A has-been actor wearing blood-stained clothing arrested for drunken driving reveals religious prejudices during his rantings.</x:v>
      </x:c>
      <x:c r="P1285" s="53" t="str">
        <x:v>Core Law &amp; Order franchise</x:v>
      </x:c>
      <x:c r="Q1285" s="17" t="str">
        <x:v>34432</x:v>
      </x:c>
      <x:c r="R1285" s="17" t="str">
        <x:v>tt0886940</x:v>
      </x:c>
      <x:c r="S1285" s="17" t="str">
        <x:v>867</x:v>
      </x:c>
    </x:row>
    <x:row r="1286">
      <x:c r="A1286" s="43" t="n">
        <x:v>1282</x:v>
      </x:c>
      <x:c r="B1286" s="44" t="str">
        <x:v>Not Started</x:v>
      </x:c>
      <x:c r="C1286" s="45" t="n">
        <x:v>39028</x:v>
      </x:c>
      <x:c r="D1286" s="33" t="str">
        <x:v>Law &amp; Order: Criminal Intent</x:v>
      </x:c>
      <x:c r="E1286" s="33" t="str">
        <x:v>Law &amp; Order</x:v>
      </x:c>
      <x:c r="F1286" s="33" t="str">
        <x:v>core</x:v>
      </x:c>
      <x:c r="G1286" s="50" t="n">
        <x:v>6</x:v>
      </x:c>
      <x:c r="H1286" s="50" t="n">
        <x:v>7</x:v>
      </x:c>
      <x:c r="I1286" s="44" t="str">
        <x:v>06.07</x:v>
      </x:c>
      <x:c r="J1286" s="33" t="str">
        <x:v>Country Crossover</x:v>
      </x:c>
      <x:c r="K1286" s="33" t="str"/>
      <x:c r="L1286" s="33" t="str"/>
      <x:c r="M1286" s="44" t="str"/>
      <x:c r="N1286" s="50" t="n">
        <x:v>42</x:v>
      </x:c>
      <x:c r="O1286" s="53" t="str">
        <x:v>Logan and Wheeler must sort through multiple motives as they investigate an award-winning music producer's death.</x:v>
      </x:c>
      <x:c r="P1286" s="53" t="str">
        <x:v>Core Law &amp; Order franchise</x:v>
      </x:c>
      <x:c r="Q1286" s="17" t="str">
        <x:v>341329</x:v>
      </x:c>
      <x:c r="R1286" s="17" t="str">
        <x:v>tt0888225</x:v>
      </x:c>
      <x:c r="S1286" s="17" t="str">
        <x:v>868</x:v>
      </x:c>
    </x:row>
    <x:row r="1287">
      <x:c r="A1287" s="43" t="n">
        <x:v>1283</x:v>
      </x:c>
      <x:c r="B1287" s="44" t="str">
        <x:v>Not Started</x:v>
      </x:c>
      <x:c r="C1287" s="45" t="n">
        <x:v>39031</x:v>
      </x:c>
      <x:c r="D1287" s="33" t="str">
        <x:v>Law &amp; Order</x:v>
      </x:c>
      <x:c r="E1287" s="33" t="str">
        <x:v>Law &amp; Order</x:v>
      </x:c>
      <x:c r="F1287" s="33" t="str">
        <x:v>core</x:v>
      </x:c>
      <x:c r="G1287" s="50" t="n">
        <x:v>17</x:v>
      </x:c>
      <x:c r="H1287" s="50" t="n">
        <x:v>8</x:v>
      </x:c>
      <x:c r="I1287" s="44" t="str">
        <x:v>17.08</x:v>
      </x:c>
      <x:c r="J1287" s="33" t="str">
        <x:v>Release</x:v>
      </x:c>
      <x:c r="K1287" s="33" t="str"/>
      <x:c r="L1287" s="33" t="str"/>
      <x:c r="M1287" s="44" t="str"/>
      <x:c r="N1287" s="50" t="n">
        <x:v>45</x:v>
      </x:c>
      <x:c r="O1287" s="53" t="str">
        <x:v>After Hudson Moore is found bludgeoned in the back of the Babes Being Bad bus, suspicion initially truns to the company's creator, Chris Drake, until video footage leads detectives to a young woman who was with Moore the night that he died. After concentrating their investigation on the young woman, the reasons behind Moore's murder soon become apparent, and McCoy and Rubirosa struggle to prosecute a man who, while not directly responsible for the murder, may have been responsible for the incidents that led up to it.</x:v>
      </x:c>
      <x:c r="P1287" s="53" t="str">
        <x:v>Core Law &amp; Order franchise</x:v>
      </x:c>
      <x:c r="Q1287" s="17" t="str">
        <x:v>34433</x:v>
      </x:c>
      <x:c r="R1287" s="17" t="str">
        <x:v>tt0888224</x:v>
      </x:c>
      <x:c r="S1287" s="17" t="str">
        <x:v>869</x:v>
      </x:c>
    </x:row>
    <x:row r="1288">
      <x:c r="A1288" s="43" t="n">
        <x:v>1284</x:v>
      </x:c>
      <x:c r="B1288" s="44" t="str">
        <x:v>Not Started</x:v>
      </x:c>
      <x:c r="C1288" s="45" t="n">
        <x:v>39035</x:v>
      </x:c>
      <x:c r="D1288" s="33" t="str">
        <x:v>Law &amp; Order: Criminal Intent</x:v>
      </x:c>
      <x:c r="E1288" s="33" t="str">
        <x:v>Law &amp; Order</x:v>
      </x:c>
      <x:c r="F1288" s="33" t="str">
        <x:v>core</x:v>
      </x:c>
      <x:c r="G1288" s="50" t="n">
        <x:v>6</x:v>
      </x:c>
      <x:c r="H1288" s="50" t="n">
        <x:v>8</x:v>
      </x:c>
      <x:c r="I1288" s="44" t="str">
        <x:v>06.08</x:v>
      </x:c>
      <x:c r="J1288" s="33" t="str">
        <x:v>The War at Home</x:v>
      </x:c>
      <x:c r="K1288" s="33" t="str"/>
      <x:c r="L1288" s="33" t="str"/>
      <x:c r="M1288" s="44" t="str"/>
      <x:c r="N1288" s="50" t="n">
        <x:v>44</x:v>
      </x:c>
      <x:c r="O1288" s="53" t="str">
        <x:v>Captain Ross, Goren and Eames have their Thanksgiving plans interrupted when the deputy commissioner's daughter, a US soldier home from Iraq, goes missing. At the same time, Goren has difficulty coping with the failing health of his needy mother.</x:v>
      </x:c>
      <x:c r="P1288" s="53" t="str">
        <x:v>Core Law &amp; Order franchise</x:v>
      </x:c>
      <x:c r="Q1288" s="17" t="str">
        <x:v>341330</x:v>
      </x:c>
      <x:c r="R1288" s="17" t="str">
        <x:v>tt0890484</x:v>
      </x:c>
      <x:c r="S1288" s="17" t="str">
        <x:v>871</x:v>
      </x:c>
    </x:row>
    <x:row r="1289">
      <x:c r="A1289" s="43" t="n">
        <x:v>1285</x:v>
      </x:c>
      <x:c r="B1289" s="44" t="str">
        <x:v>Not Started</x:v>
      </x:c>
      <x:c r="C1289" s="45" t="n">
        <x:v>39035</x:v>
      </x:c>
      <x:c r="D1289" s="33" t="str">
        <x:v>Law &amp; Order: Special Victims Unit</x:v>
      </x:c>
      <x:c r="E1289" s="33" t="str">
        <x:v>Law &amp; Order</x:v>
      </x:c>
      <x:c r="F1289" s="33" t="str">
        <x:v>core</x:v>
      </x:c>
      <x:c r="G1289" s="50" t="n">
        <x:v>8</x:v>
      </x:c>
      <x:c r="H1289" s="50" t="n">
        <x:v>7</x:v>
      </x:c>
      <x:c r="I1289" s="44" t="str">
        <x:v>08.07</x:v>
      </x:c>
      <x:c r="J1289" s="33" t="str">
        <x:v>Underbelly</x:v>
      </x:c>
      <x:c r="K1289" s="33" t="str"/>
      <x:c r="L1289" s="33" t="str"/>
      <x:c r="M1289" s="44" t="str"/>
      <x:c r="N1289" s="50" t="n">
        <x:v>42</x:v>
      </x:c>
      <x:c r="O1289" s="53" t="str">
        <x:v>After a third young teen is found dead, a paw print tattoo on her lower back, Stabler and Beck investigate the tattoo, which leads them to Broder House, a foster home for young girls. They learn that Chantal was one of a number of girls who had ended up working the streets for a man named Victor. Stabler warns Beck that she can't get emotionally involved in every case, but the two work together to bring down Victor, relying on one of his girls to get the evidence that they need.</x:v>
      </x:c>
      <x:c r="P1289" s="53" t="str">
        <x:v>Core Law &amp; Order franchise</x:v>
      </x:c>
      <x:c r="Q1289" s="17" t="str">
        <x:v>225108</x:v>
      </x:c>
      <x:c r="R1289" s="17" t="str">
        <x:v>tt0887553</x:v>
      </x:c>
      <x:c r="S1289" s="17" t="str">
        <x:v>870</x:v>
      </x:c>
    </x:row>
    <x:row r="1290">
      <x:c r="A1290" s="43" t="n">
        <x:v>1286</x:v>
      </x:c>
      <x:c r="B1290" s="44" t="str">
        <x:v>Not Started</x:v>
      </x:c>
      <x:c r="C1290" s="45" t="n">
        <x:v>39038</x:v>
      </x:c>
      <x:c r="D1290" s="33" t="str">
        <x:v>Law &amp; Order</x:v>
      </x:c>
      <x:c r="E1290" s="33" t="str">
        <x:v>Law &amp; Order</x:v>
      </x:c>
      <x:c r="F1290" s="33" t="str">
        <x:v>core</x:v>
      </x:c>
      <x:c r="G1290" s="50" t="n">
        <x:v>17</x:v>
      </x:c>
      <x:c r="H1290" s="50" t="n">
        <x:v>9</x:v>
      </x:c>
      <x:c r="I1290" s="44" t="str">
        <x:v>17.09</x:v>
      </x:c>
      <x:c r="J1290" s="33" t="str">
        <x:v>Deadlock</x:v>
      </x:c>
      <x:c r="K1290" s="33" t="str"/>
      <x:c r="L1290" s="33" t="str"/>
      <x:c r="M1290" s="44" t="str"/>
      <x:c r="N1290" s="50" t="n">
        <x:v>45</x:v>
      </x:c>
      <x:c r="O1290" s="53" t="str">
        <x:v>Green and Cassady hunt a mass murderer Leon Vorgitch, who recently escaped from prison. The finally corner Vorgitch in a school with a room full of hostages, and before surrendering himself to police, Vorgitch shoots a number of innocent children. His unwillingness to accept a deal infuriates McCoy, as it gives him more time to escape prison again. When the father of one of his victims takes justice into his own hands and ends up being used as a campaign slogan for a local politician, McCoy and Rubirosa try to convince Robert Purcell not to let himself be a scapegoat for a political platform.</x:v>
      </x:c>
      <x:c r="P1290" s="53" t="str">
        <x:v>Core Law &amp; Order franchise</x:v>
      </x:c>
      <x:c r="Q1290" s="17" t="str">
        <x:v>34434</x:v>
      </x:c>
      <x:c r="R1290" s="17" t="str">
        <x:v>tt0894293</x:v>
      </x:c>
      <x:c r="S1290" s="17" t="str">
        <x:v>872</x:v>
      </x:c>
    </x:row>
    <x:row r="1291">
      <x:c r="A1291" s="43" t="n">
        <x:v>1287</x:v>
      </x:c>
      <x:c r="B1291" s="44" t="str">
        <x:v>Not Started</x:v>
      </x:c>
      <x:c r="C1291" s="45" t="n">
        <x:v>39042</x:v>
      </x:c>
      <x:c r="D1291" s="33" t="str">
        <x:v>Law &amp; Order: Criminal Intent</x:v>
      </x:c>
      <x:c r="E1291" s="33" t="str">
        <x:v>Law &amp; Order</x:v>
      </x:c>
      <x:c r="F1291" s="33" t="str">
        <x:v>core</x:v>
      </x:c>
      <x:c r="G1291" s="50" t="n">
        <x:v>6</x:v>
      </x:c>
      <x:c r="H1291" s="50" t="n">
        <x:v>9</x:v>
      </x:c>
      <x:c r="I1291" s="44" t="str">
        <x:v>06.09</x:v>
      </x:c>
      <x:c r="J1291" s="33" t="str">
        <x:v>Blasters</x:v>
      </x:c>
      <x:c r="K1291" s="33" t="str"/>
      <x:c r="L1291" s="33" t="str"/>
      <x:c r="M1291" s="44" t="str"/>
      <x:c r="N1291" s="50" t="n">
        <x:v>42</x:v>
      </x:c>
      <x:c r="O1291" s="53" t="str">
        <x:v>The investigation into the beating death of a former child star takes an intriguing turn when Logan and Wheeler discover that the victim had ties to the Albanian mob.</x:v>
      </x:c>
      <x:c r="P1291" s="53" t="str">
        <x:v>Core Law &amp; Order franchise</x:v>
      </x:c>
      <x:c r="Q1291" s="17" t="str">
        <x:v>341331</x:v>
      </x:c>
      <x:c r="R1291" s="17" t="str">
        <x:v>tt0894294</x:v>
      </x:c>
      <x:c r="S1291" s="17" t="str">
        <x:v>874</x:v>
      </x:c>
    </x:row>
    <x:row r="1292">
      <x:c r="A1292" s="43" t="n">
        <x:v>1288</x:v>
      </x:c>
      <x:c r="B1292" s="44" t="str">
        <x:v>Not Started</x:v>
      </x:c>
      <x:c r="C1292" s="45" t="n">
        <x:v>39042</x:v>
      </x:c>
      <x:c r="D1292" s="33" t="str">
        <x:v>Law &amp; Order: Special Victims Unit</x:v>
      </x:c>
      <x:c r="E1292" s="33" t="str">
        <x:v>Law &amp; Order</x:v>
      </x:c>
      <x:c r="F1292" s="33" t="str">
        <x:v>core</x:v>
      </x:c>
      <x:c r="G1292" s="50" t="n">
        <x:v>8</x:v>
      </x:c>
      <x:c r="H1292" s="50" t="n">
        <x:v>8</x:v>
      </x:c>
      <x:c r="I1292" s="44" t="str">
        <x:v>08.08</x:v>
      </x:c>
      <x:c r="J1292" s="33" t="str">
        <x:v>Cage</x:v>
      </x:c>
      <x:c r="K1292" s="33" t="str"/>
      <x:c r="L1292" s="33" t="str"/>
      <x:c r="M1292" s="44" t="str"/>
      <x:c r="N1292" s="50" t="n">
        <x:v>42</x:v>
      </x:c>
      <x:c r="O1292" s="53" t="str">
        <x:v>After a van containing two young children ends up in the river, Beck finds herself drawn to the young girl, Eden, and the investigation into a tape found in the vehicle turns up a mysterious death involving a controversial attachment therapy technique. Beck tries to do the right thing by saving Eden, only to find herself torn when it seems as though there is nothing she can do to help. The investigation into the rebirthing turns up a foster family who abuses the children in their care, but not all of the children agree that it was abuse.</x:v>
      </x:c>
      <x:c r="P1292" s="53" t="str">
        <x:v>Core Law &amp; Order franchise</x:v>
      </x:c>
      <x:c r="Q1292" s="17" t="str">
        <x:v>225109</x:v>
      </x:c>
      <x:c r="R1292" s="17" t="str">
        <x:v>tt0897711</x:v>
      </x:c>
      <x:c r="S1292" s="17" t="str">
        <x:v>873</x:v>
      </x:c>
    </x:row>
    <x:row r="1293">
      <x:c r="A1293" s="43" t="n">
        <x:v>1289</x:v>
      </x:c>
      <x:c r="B1293" s="44" t="str">
        <x:v>Not Started</x:v>
      </x:c>
      <x:c r="C1293" s="45" t="n">
        <x:v>39049</x:v>
      </x:c>
      <x:c r="D1293" s="33" t="str">
        <x:v>Law &amp; Order: Criminal Intent</x:v>
      </x:c>
      <x:c r="E1293" s="33" t="str">
        <x:v>Law &amp; Order</x:v>
      </x:c>
      <x:c r="F1293" s="33" t="str">
        <x:v>core</x:v>
      </x:c>
      <x:c r="G1293" s="50" t="n">
        <x:v>6</x:v>
      </x:c>
      <x:c r="H1293" s="50" t="n">
        <x:v>10</x:v>
      </x:c>
      <x:c r="I1293" s="44" t="str">
        <x:v>06.10</x:v>
      </x:c>
      <x:c r="J1293" s="33" t="str">
        <x:v>Weeping Willow</x:v>
      </x:c>
      <x:c r="K1293" s="33" t="str"/>
      <x:c r="L1293" s="33" t="str"/>
      <x:c r="M1293" s="44" t="str"/>
      <x:c r="N1293" s="50" t="n">
        <x:v>44</x:v>
      </x:c>
      <x:c r="O1293" s="53" t="str">
        <x:v>The kidnapping of a popular video blogger and her boyfriend--which is witnessed live on the Internet--seems suspicious to Logan and Wheeler.</x:v>
      </x:c>
      <x:c r="P1293" s="53" t="str">
        <x:v>Core Law &amp; Order franchise</x:v>
      </x:c>
      <x:c r="Q1293" s="17" t="str">
        <x:v>341332</x:v>
      </x:c>
      <x:c r="R1293" s="17" t="str">
        <x:v>tt0891812</x:v>
      </x:c>
      <x:c r="S1293" s="17" t="str">
        <x:v>876</x:v>
      </x:c>
    </x:row>
    <x:row r="1294">
      <x:c r="A1294" s="43" t="n">
        <x:v>1290</x:v>
      </x:c>
      <x:c r="B1294" s="44" t="str">
        <x:v>Not Started</x:v>
      </x:c>
      <x:c r="C1294" s="45" t="n">
        <x:v>39049</x:v>
      </x:c>
      <x:c r="D1294" s="33" t="str">
        <x:v>Law &amp; Order: Special Victims Unit</x:v>
      </x:c>
      <x:c r="E1294" s="33" t="str">
        <x:v>Law &amp; Order</x:v>
      </x:c>
      <x:c r="F1294" s="33" t="str">
        <x:v>core</x:v>
      </x:c>
      <x:c r="G1294" s="50" t="n">
        <x:v>8</x:v>
      </x:c>
      <x:c r="H1294" s="50" t="n">
        <x:v>9</x:v>
      </x:c>
      <x:c r="I1294" s="44" t="str">
        <x:v>08.09</x:v>
      </x:c>
      <x:c r="J1294" s="33" t="str">
        <x:v>Choreographed</x:v>
      </x:c>
      <x:c r="K1294" s="33" t="str"/>
      <x:c r="L1294" s="33" t="str"/>
      <x:c r="M1294" s="44" t="str"/>
      <x:c r="N1294" s="50" t="n">
        <x:v>42</x:v>
      </x:c>
      <x:c r="O1294" s="53" t="str">
        <x:v>After Danielle Masoner dies in Central Park, Stabler follows the leads to a homeless man who turns out to be a better witness than he thought. Paired up again with Benson, Stabler investigates her death, but it keeps bringing up memories of Dani Beck for him. During the course of the investigation, Benson and Stabler learn that Danielle's husband was sleeping with a friend of theirs, leading the squad to suspect first him, but their suspicion soon turns to the husband of the other woman.</x:v>
      </x:c>
      <x:c r="P1294" s="53" t="str">
        <x:v>Core Law &amp; Order franchise</x:v>
      </x:c>
      <x:c r="Q1294" s="17" t="str">
        <x:v>225110</x:v>
      </x:c>
      <x:c r="R1294" s="17" t="str">
        <x:v>tt0897712</x:v>
      </x:c>
      <x:c r="S1294" s="17" t="str">
        <x:v>875</x:v>
      </x:c>
    </x:row>
    <x:row r="1295">
      <x:c r="A1295" s="43" t="n">
        <x:v>1291</x:v>
      </x:c>
      <x:c r="B1295" s="44" t="str">
        <x:v>Not Started</x:v>
      </x:c>
      <x:c r="C1295" s="45" t="n">
        <x:v>39059</x:v>
      </x:c>
      <x:c r="D1295" s="33" t="str">
        <x:v>Law &amp; Order</x:v>
      </x:c>
      <x:c r="E1295" s="33" t="str">
        <x:v>Law &amp; Order</x:v>
      </x:c>
      <x:c r="F1295" s="33" t="str">
        <x:v>core</x:v>
      </x:c>
      <x:c r="G1295" s="50" t="n">
        <x:v>17</x:v>
      </x:c>
      <x:c r="H1295" s="50" t="n">
        <x:v>10</x:v>
      </x:c>
      <x:c r="I1295" s="44" t="str">
        <x:v>17.10</x:v>
      </x:c>
      <x:c r="J1295" s="33" t="str">
        <x:v>Corner Office</x:v>
      </x:c>
      <x:c r="K1295" s="33" t="str"/>
      <x:c r="L1295" s="33" t="str"/>
      <x:c r="M1295" s="44" t="str"/>
      <x:c r="N1295" s="50" t="n">
        <x:v>45</x:v>
      </x:c>
      <x:c r="O1295" s="53" t="str">
        <x:v>After corporate attorney Charles Dillon is discovered dead in a hotel room, Green and Cassady investigate and learn that the company he was working for is in the process of being indicted. Their investigation leads them to a high-priced callgirl, Julia Veloso, who turns out to have been romantically involved with the company's C.E.O., Samantha Weaver. McCoy and Rubirosa find themselves at odds as Rubirosa wonders if McCoy's prosecution of Weaver has more to do with her gender than her guilt.</x:v>
      </x:c>
      <x:c r="P1295" s="53" t="str">
        <x:v>Core Law &amp; Order franchise</x:v>
      </x:c>
      <x:c r="Q1295" s="17" t="str">
        <x:v>34435</x:v>
      </x:c>
      <x:c r="R1295" s="17" t="str">
        <x:v>tt0898586</x:v>
      </x:c>
      <x:c r="S1295" s="17" t="str">
        <x:v>877</x:v>
      </x:c>
    </x:row>
    <x:row r="1296">
      <x:c r="A1296" s="43" t="n">
        <x:v>1292</x:v>
      </x:c>
      <x:c r="B1296" s="44" t="str">
        <x:v>Not Started</x:v>
      </x:c>
      <x:c r="C1296" s="45" t="n">
        <x:v>39084</x:v>
      </x:c>
      <x:c r="D1296" s="33" t="str">
        <x:v>Law &amp; Order: Criminal Intent</x:v>
      </x:c>
      <x:c r="E1296" s="33" t="str">
        <x:v>Law &amp; Order</x:v>
      </x:c>
      <x:c r="F1296" s="33" t="str">
        <x:v>core</x:v>
      </x:c>
      <x:c r="G1296" s="50" t="n">
        <x:v>6</x:v>
      </x:c>
      <x:c r="H1296" s="50" t="n">
        <x:v>11</x:v>
      </x:c>
      <x:c r="I1296" s="44" t="str">
        <x:v>06.11</x:v>
      </x:c>
      <x:c r="J1296" s="33" t="str">
        <x:v>World's Fair</x:v>
      </x:c>
      <x:c r="K1296" s="33" t="str"/>
      <x:c r="L1296" s="33" t="str"/>
      <x:c r="M1296" s="44" t="str"/>
      <x:c r="N1296" s="50" t="n">
        <x:v>43</x:v>
      </x:c>
      <x:c r="O1296" s="53" t="str">
        <x:v>The death of a young, pregnant Pakistani woman leads Logan and Wheeler to question the man she was secretly dating, as well as both his and the victim's disapproving relatives.</x:v>
      </x:c>
      <x:c r="P1296" s="53" t="str">
        <x:v>Core Law &amp; Order franchise</x:v>
      </x:c>
      <x:c r="Q1296" s="17" t="str">
        <x:v>341333</x:v>
      </x:c>
      <x:c r="R1296" s="17" t="str">
        <x:v>tt0902660</x:v>
      </x:c>
      <x:c r="S1296" s="17" t="str">
        <x:v>879</x:v>
      </x:c>
    </x:row>
    <x:row r="1297">
      <x:c r="A1297" s="43" t="n">
        <x:v>1293</x:v>
      </x:c>
      <x:c r="B1297" s="44" t="str">
        <x:v>Not Started</x:v>
      </x:c>
      <x:c r="C1297" s="45" t="n">
        <x:v>39084</x:v>
      </x:c>
      <x:c r="D1297" s="33" t="str">
        <x:v>Law &amp; Order: Special Victims Unit</x:v>
      </x:c>
      <x:c r="E1297" s="33" t="str">
        <x:v>Law &amp; Order</x:v>
      </x:c>
      <x:c r="F1297" s="33" t="str">
        <x:v>core</x:v>
      </x:c>
      <x:c r="G1297" s="50" t="n">
        <x:v>8</x:v>
      </x:c>
      <x:c r="H1297" s="50" t="n">
        <x:v>10</x:v>
      </x:c>
      <x:c r="I1297" s="44" t="str">
        <x:v>08.10</x:v>
      </x:c>
      <x:c r="J1297" s="33" t="str">
        <x:v>Scheherazade</x:v>
      </x:c>
      <x:c r="K1297" s="33" t="str"/>
      <x:c r="L1297" s="33" t="str"/>
      <x:c r="M1297" s="44" t="str"/>
      <x:c r="N1297" s="50" t="n">
        <x:v>43</x:v>
      </x:c>
      <x:c r="O1297" s="53" t="str">
        <x:v>Stabler heads to see terminal cancer patient Judson Tierney after a request from his parish priest, and soon realizes that Tierney has a story that he is dying to tell but only wants to tell to his estranged daughter. With Benson keeping an eye on Tierney, Stabler looks into the man's past and learns that he was once involved in a series of unsolved bank robberies, and that he has been keeping a secret about his daughter for over twenty years.</x:v>
      </x:c>
      <x:c r="P1297" s="53" t="str">
        <x:v>Core Law &amp; Order franchise</x:v>
      </x:c>
      <x:c r="Q1297" s="17" t="str">
        <x:v>225111</x:v>
      </x:c>
      <x:c r="R1297" s="17" t="str">
        <x:v>tt0925453</x:v>
      </x:c>
      <x:c r="S1297" s="17" t="str">
        <x:v>878</x:v>
      </x:c>
    </x:row>
    <x:row r="1298">
      <x:c r="A1298" s="43" t="n">
        <x:v>1294</x:v>
      </x:c>
      <x:c r="B1298" s="44" t="str">
        <x:v>Not Started</x:v>
      </x:c>
      <x:c r="C1298" s="45" t="n">
        <x:v>39087</x:v>
      </x:c>
      <x:c r="D1298" s="33" t="str">
        <x:v>Law &amp; Order</x:v>
      </x:c>
      <x:c r="E1298" s="33" t="str">
        <x:v>Law &amp; Order</x:v>
      </x:c>
      <x:c r="F1298" s="33" t="str">
        <x:v>core</x:v>
      </x:c>
      <x:c r="G1298" s="50" t="n">
        <x:v>17</x:v>
      </x:c>
      <x:c r="H1298" s="50" t="n">
        <x:v>11</x:v>
      </x:c>
      <x:c r="I1298" s="44" t="str">
        <x:v>17.11</x:v>
      </x:c>
      <x:c r="J1298" s="33" t="str">
        <x:v>Remains of the Day</x:v>
      </x:c>
      <x:c r="K1298" s="33" t="str"/>
      <x:c r="L1298" s="33" t="str"/>
      <x:c r="M1298" s="44" t="str"/>
      <x:c r="N1298" s="50" t="n">
        <x:v>45</x:v>
      </x:c>
      <x:c r="O1298" s="53" t="str">
        <x:v>After Michael Jones dies in his mother's hospital room with no immediate explanation, his mother Ashley accuses her former husband's adult children, Miles and Hillary Foster, who are fighting her for control of their father's substantial fortune. The autopsy rules out the Fosters, and points Green and Cassady in the direction of illegally harvested donor bones, which Jones had received in a transplant eighteen months prior. McCoy and Rubirosa struggle to prosecute the case after it becomes clear the only way they will get the evidence they need is to test another young man who received bone grafts from the same woman who had given Michael Jones his legs.</x:v>
      </x:c>
      <x:c r="P1298" s="53" t="str">
        <x:v>Core Law &amp; Order franchise</x:v>
      </x:c>
      <x:c r="Q1298" s="17" t="str">
        <x:v>34436</x:v>
      </x:c>
      <x:c r="R1298" s="17" t="str">
        <x:v>tt0935648</x:v>
      </x:c>
      <x:c r="S1298" s="17" t="str">
        <x:v>880</x:v>
      </x:c>
    </x:row>
    <x:row r="1299">
      <x:c r="A1299" s="43" t="n">
        <x:v>1295</x:v>
      </x:c>
      <x:c r="B1299" s="44" t="str">
        <x:v>Not Started</x:v>
      </x:c>
      <x:c r="C1299" s="45" t="n">
        <x:v>39091</x:v>
      </x:c>
      <x:c r="D1299" s="33" t="str">
        <x:v>Law &amp; Order: Criminal Intent</x:v>
      </x:c>
      <x:c r="E1299" s="33" t="str">
        <x:v>Law &amp; Order</x:v>
      </x:c>
      <x:c r="F1299" s="33" t="str">
        <x:v>core</x:v>
      </x:c>
      <x:c r="G1299" s="50" t="n">
        <x:v>6</x:v>
      </x:c>
      <x:c r="H1299" s="50" t="n">
        <x:v>12</x:v>
      </x:c>
      <x:c r="I1299" s="44" t="str">
        <x:v>06.12</x:v>
      </x:c>
      <x:c r="J1299" s="33" t="str">
        <x:v>Privilege</x:v>
      </x:c>
      <x:c r="K1299" s="33" t="str"/>
      <x:c r="L1299" s="33" t="str"/>
      <x:c r="M1299" s="44" t="str"/>
      <x:c r="N1299" s="50" t="n">
        <x:v>43</x:v>
      </x:c>
      <x:c r="O1299" s="53" t="str">
        <x:v>Goren and Eames uncover a deadly web of secrets when they investigate the murder of a prominent socialite's granddaughter.</x:v>
      </x:c>
      <x:c r="P1299" s="53" t="str">
        <x:v>Core Law &amp; Order franchise</x:v>
      </x:c>
      <x:c r="Q1299" s="17" t="str">
        <x:v>341334</x:v>
      </x:c>
      <x:c r="R1299" s="17" t="str">
        <x:v>tt0928280</x:v>
      </x:c>
      <x:c r="S1299" s="17" t="str">
        <x:v>882</x:v>
      </x:c>
    </x:row>
    <x:row r="1300">
      <x:c r="A1300" s="43" t="n">
        <x:v>1296</x:v>
      </x:c>
      <x:c r="B1300" s="44" t="str">
        <x:v>Not Started</x:v>
      </x:c>
      <x:c r="C1300" s="45" t="n">
        <x:v>39091</x:v>
      </x:c>
      <x:c r="D1300" s="33" t="str">
        <x:v>Law &amp; Order: Special Victims Unit</x:v>
      </x:c>
      <x:c r="E1300" s="33" t="str">
        <x:v>Law &amp; Order</x:v>
      </x:c>
      <x:c r="F1300" s="33" t="str">
        <x:v>core</x:v>
      </x:c>
      <x:c r="G1300" s="50" t="n">
        <x:v>8</x:v>
      </x:c>
      <x:c r="H1300" s="50" t="n">
        <x:v>11</x:v>
      </x:c>
      <x:c r="I1300" s="44" t="str">
        <x:v>08.11</x:v>
      </x:c>
      <x:c r="J1300" s="33" t="str">
        <x:v>Burned</x:v>
      </x:c>
      <x:c r="K1300" s="33" t="str"/>
      <x:c r="L1300" s="33" t="str"/>
      <x:c r="M1300" s="44" t="str"/>
      <x:c r="N1300" s="50" t="n">
        <x:v>43</x:v>
      </x:c>
      <x:c r="O1300" s="53" t="str">
        <x:v>Stabler and Benson find themselves on opposite sides when Valerie Sennet accuses her estranged husband, Miles Sennet, of breaking into her home and raping her. Because Miles has no history of violence and Valerie refuses to allow detectives to use her daughter Tessa as a witness, he is soon released, and Stabler and Benson continue to clash as Benson remains convinced that Miles raped Valerie and is a danger, and Stabler believes it may be a case of a wife crying foul to punish her soon-to-be ex-husband.</x:v>
      </x:c>
      <x:c r="P1300" s="53" t="str">
        <x:v>Core Law &amp; Order franchise</x:v>
      </x:c>
      <x:c r="Q1300" s="17" t="str">
        <x:v>225112</x:v>
      </x:c>
      <x:c r="R1300" s="17" t="str">
        <x:v>tt0925451</x:v>
      </x:c>
      <x:c r="S1300" s="17" t="str">
        <x:v>881</x:v>
      </x:c>
    </x:row>
    <x:row r="1301">
      <x:c r="A1301" s="43" t="n">
        <x:v>1297</x:v>
      </x:c>
      <x:c r="B1301" s="44" t="str">
        <x:v>Not Started</x:v>
      </x:c>
      <x:c r="C1301" s="45" t="n">
        <x:v>39094</x:v>
      </x:c>
      <x:c r="D1301" s="33" t="str">
        <x:v>Law &amp; Order</x:v>
      </x:c>
      <x:c r="E1301" s="33" t="str">
        <x:v>Law &amp; Order</x:v>
      </x:c>
      <x:c r="F1301" s="33" t="str">
        <x:v>core</x:v>
      </x:c>
      <x:c r="G1301" s="50" t="n">
        <x:v>17</x:v>
      </x:c>
      <x:c r="H1301" s="50" t="n">
        <x:v>12</x:v>
      </x:c>
      <x:c r="I1301" s="44" t="str">
        <x:v>17.12</x:v>
      </x:c>
      <x:c r="J1301" s="33" t="str">
        <x:v>Charity Case</x:v>
      </x:c>
      <x:c r="K1301" s="33" t="str"/>
      <x:c r="L1301" s="33" t="str"/>
      <x:c r="M1301" s="44" t="str"/>
      <x:c r="N1301" s="50" t="n">
        <x:v>45</x:v>
      </x:c>
      <x:c r="O1301" s="53" t="str">
        <x:v>Green and Cassady investigate after Sean Archer, a producer who had recently adopted a child from Africa with his wife, well-known actress Sofia, is gunned down outside an ice cream shop while holding baby Christopher. The shooting is soon linked to the recent adoption of Christopher, which had received international scrutiny because it appeared to have been pushed through based on the couple's celebrity status. McCoy and Rubirosa initially investigate the murder of Sean Archer, which soon turns into an investigation of a child's death when the identity of baby Christopher comes under question.</x:v>
      </x:c>
      <x:c r="P1301" s="53" t="str">
        <x:v>Core Law &amp; Order franchise</x:v>
      </x:c>
      <x:c r="Q1301" s="17" t="str">
        <x:v>34437</x:v>
      </x:c>
      <x:c r="R1301" s="17" t="str">
        <x:v>tt0941732</x:v>
      </x:c>
      <x:c r="S1301" s="17" t="str">
        <x:v>883</x:v>
      </x:c>
    </x:row>
    <x:row r="1302">
      <x:c r="A1302" s="43" t="n">
        <x:v>1298</x:v>
      </x:c>
      <x:c r="B1302" s="44" t="str">
        <x:v>Not Started</x:v>
      </x:c>
      <x:c r="C1302" s="45" t="n">
        <x:v>39098</x:v>
      </x:c>
      <x:c r="D1302" s="33" t="str">
        <x:v>Law &amp; Order: Special Victims Unit</x:v>
      </x:c>
      <x:c r="E1302" s="33" t="str">
        <x:v>Law &amp; Order</x:v>
      </x:c>
      <x:c r="F1302" s="33" t="str">
        <x:v>core</x:v>
      </x:c>
      <x:c r="G1302" s="50" t="n">
        <x:v>8</x:v>
      </x:c>
      <x:c r="H1302" s="50" t="n">
        <x:v>12</x:v>
      </x:c>
      <x:c r="I1302" s="44" t="str">
        <x:v>08.12</x:v>
      </x:c>
      <x:c r="J1302" s="33" t="str">
        <x:v>Outsider</x:v>
      </x:c>
      <x:c r="K1302" s="33" t="str"/>
      <x:c r="L1302" s="33" t="str"/>
      <x:c r="M1302" s="44" t="str"/>
      <x:c r="N1302" s="50" t="n">
        <x:v>43</x:v>
      </x:c>
      <x:c r="O1302" s="53" t="str">
        <x:v>Tutuola reluctantly works on a case involving the rape of a coed after his son Ken feels responsible for catching the rapist. Tutuola trying to solve the case with the rape victim unwilling to cooperate, crosses paths with another detective, Chester Lake, who is also investigating similar cases as part of Brooklyn SVU. The two clash at first but when another rape occurs, the two detectives must work together and pick up the pace before the rapist strikes again.</x:v>
      </x:c>
      <x:c r="P1302" s="53" t="str">
        <x:v>Core Law &amp; Order franchise</x:v>
      </x:c>
      <x:c r="Q1302" s="17" t="str">
        <x:v>225113</x:v>
      </x:c>
      <x:c r="R1302" s="17" t="str">
        <x:v>tt0915390</x:v>
      </x:c>
      <x:c r="S1302" s="17" t="str">
        <x:v>884</x:v>
      </x:c>
    </x:row>
    <x:row r="1303">
      <x:c r="A1303" s="43" t="n">
        <x:v>1299</x:v>
      </x:c>
      <x:c r="B1303" s="44" t="str">
        <x:v>Not Started</x:v>
      </x:c>
      <x:c r="C1303" s="45" t="n">
        <x:v>39115</x:v>
      </x:c>
      <x:c r="D1303" s="33" t="str">
        <x:v>Law &amp; Order</x:v>
      </x:c>
      <x:c r="E1303" s="33" t="str">
        <x:v>Law &amp; Order</x:v>
      </x:c>
      <x:c r="F1303" s="33" t="str">
        <x:v>core</x:v>
      </x:c>
      <x:c r="G1303" s="50" t="n">
        <x:v>17</x:v>
      </x:c>
      <x:c r="H1303" s="50" t="n">
        <x:v>13</x:v>
      </x:c>
      <x:c r="I1303" s="44" t="str">
        <x:v>17.13</x:v>
      </x:c>
      <x:c r="J1303" s="33" t="str">
        <x:v>Talking Points</x:v>
      </x:c>
      <x:c r="K1303" s="33" t="str"/>
      <x:c r="L1303" s="33" t="str"/>
      <x:c r="M1303" s="44" t="str"/>
      <x:c r="N1303" s="50" t="n">
        <x:v>45</x:v>
      </x:c>
      <x:c r="O1303" s="53" t="str">
        <x:v>The shooting of university student Jason Miles at a political rally hosted by controversial speaker Judith Barlow leaves any number of suspects, but after Green and Cassady prove that two of the people they've questioned are lying about their alibis, they turn their attention to Malcom Yates, a grad student who claimed to be with Jason's girlfriend at the time of his death. McCoy and Rubirosa realise that Yates went after Barlow because of her open criticism of stem-cell research, something that Yates had high hopes could help find a cure for his own Parkinsons.</x:v>
      </x:c>
      <x:c r="P1303" s="53" t="str">
        <x:v>Core Law &amp; Order franchise</x:v>
      </x:c>
      <x:c r="Q1303" s="17" t="str">
        <x:v>34438</x:v>
      </x:c>
      <x:c r="R1303" s="17" t="str">
        <x:v>tt0947375</x:v>
      </x:c>
      <x:c r="S1303" s="17" t="str">
        <x:v>885</x:v>
      </x:c>
    </x:row>
    <x:row r="1304">
      <x:c r="A1304" s="43" t="n">
        <x:v>1300</x:v>
      </x:c>
      <x:c r="B1304" s="44" t="str">
        <x:v>Not Started</x:v>
      </x:c>
      <x:c r="C1304" s="45" t="n">
        <x:v>39119</x:v>
      </x:c>
      <x:c r="D1304" s="33" t="str">
        <x:v>Law &amp; Order: Criminal Intent</x:v>
      </x:c>
      <x:c r="E1304" s="33" t="str">
        <x:v>Law &amp; Order</x:v>
      </x:c>
      <x:c r="F1304" s="33" t="str">
        <x:v>core</x:v>
      </x:c>
      <x:c r="G1304" s="50" t="n">
        <x:v>6</x:v>
      </x:c>
      <x:c r="H1304" s="50" t="n">
        <x:v>13</x:v>
      </x:c>
      <x:c r="I1304" s="44" t="str">
        <x:v>06.13</x:v>
      </x:c>
      <x:c r="J1304" s="33" t="str">
        <x:v>Albatross</x:v>
      </x:c>
      <x:c r="K1304" s="33" t="str"/>
      <x:c r="L1304" s="33" t="str"/>
      <x:c r="M1304" s="44" t="str"/>
      <x:c r="N1304" s="50" t="n">
        <x:v>43</x:v>
      </x:c>
      <x:c r="O1304" s="53" t="str">
        <x:v>A judge ends up a real-life casualty when he takes part in a reenactment of a famous historic duel. Goren and Eames question the victim's opponent, whose wife is running for mayor of New York City.</x:v>
      </x:c>
      <x:c r="P1304" s="53" t="str">
        <x:v>Core Law &amp; Order franchise</x:v>
      </x:c>
      <x:c r="Q1304" s="17" t="str">
        <x:v>341335</x:v>
      </x:c>
      <x:c r="R1304" s="17" t="str">
        <x:v>tt0922039</x:v>
      </x:c>
      <x:c r="S1304" s="17" t="str">
        <x:v>887</x:v>
      </x:c>
    </x:row>
    <x:row r="1305">
      <x:c r="A1305" s="43" t="n">
        <x:v>1301</x:v>
      </x:c>
      <x:c r="B1305" s="44" t="str">
        <x:v>Not Started</x:v>
      </x:c>
      <x:c r="C1305" s="45" t="n">
        <x:v>39119</x:v>
      </x:c>
      <x:c r="D1305" s="33" t="str">
        <x:v>Law &amp; Order: Special Victims Unit</x:v>
      </x:c>
      <x:c r="E1305" s="33" t="str">
        <x:v>Law &amp; Order</x:v>
      </x:c>
      <x:c r="F1305" s="33" t="str">
        <x:v>core</x:v>
      </x:c>
      <x:c r="G1305" s="50" t="n">
        <x:v>8</x:v>
      </x:c>
      <x:c r="H1305" s="50" t="n">
        <x:v>13</x:v>
      </x:c>
      <x:c r="I1305" s="44" t="str">
        <x:v>08.13</x:v>
      </x:c>
      <x:c r="J1305" s="33" t="str">
        <x:v>Loophole</x:v>
      </x:c>
      <x:c r="K1305" s="33" t="str"/>
      <x:c r="L1305" s="33" t="str"/>
      <x:c r="M1305" s="44" t="str"/>
      <x:c r="N1305" s="50" t="n">
        <x:v>43</x:v>
      </x:c>
      <x:c r="O1305" s="53" t="str">
        <x:v>Stabler ends out being out of commission after a perpetrator high on PCP throws him through a window at the station, so Benson teams up with Munch and Tutuola to investigate a mysterious packet of photos. The photographs lead them to both a suspected child pornographer and a junkie burgler, but after Benson takes ill during the investigation, the team realises that there is more than child pornography at stake as their investigation soon reveals that Seth Millstead wasn't into little boys at all, but had been using the tenants of the apartment building in an experiment for a new pesticide.</x:v>
      </x:c>
      <x:c r="P1305" s="53" t="str">
        <x:v>Core Law &amp; Order franchise</x:v>
      </x:c>
      <x:c r="Q1305" s="17" t="str">
        <x:v>225114</x:v>
      </x:c>
      <x:c r="R1305" s="17" t="str">
        <x:v>tt0946365</x:v>
      </x:c>
      <x:c r="S1305" s="17" t="str">
        <x:v>886</x:v>
      </x:c>
    </x:row>
    <x:row r="1306">
      <x:c r="A1306" s="43" t="n">
        <x:v>1302</x:v>
      </x:c>
      <x:c r="B1306" s="44" t="str">
        <x:v>Not Started</x:v>
      </x:c>
      <x:c r="C1306" s="45" t="n">
        <x:v>39122</x:v>
      </x:c>
      <x:c r="D1306" s="33" t="str">
        <x:v>Law &amp; Order</x:v>
      </x:c>
      <x:c r="E1306" s="33" t="str">
        <x:v>Law &amp; Order</x:v>
      </x:c>
      <x:c r="F1306" s="33" t="str">
        <x:v>core</x:v>
      </x:c>
      <x:c r="G1306" s="50" t="n">
        <x:v>17</x:v>
      </x:c>
      <x:c r="H1306" s="50" t="n">
        <x:v>14</x:v>
      </x:c>
      <x:c r="I1306" s="44" t="str">
        <x:v>17.14</x:v>
      </x:c>
      <x:c r="J1306" s="33" t="str">
        <x:v>Church</x:v>
      </x:c>
      <x:c r="K1306" s="33" t="str"/>
      <x:c r="L1306" s="33" t="str"/>
      <x:c r="M1306" s="44" t="str"/>
      <x:c r="N1306" s="50" t="n">
        <x:v>45</x:v>
      </x:c>
      <x:c r="O1306" s="53" t="str">
        <x:v>A reverend confesses to the murder of a young gay actor, but McCoy and Rubirosa soon learn that he may not be the guilty party.</x:v>
      </x:c>
      <x:c r="P1306" s="53" t="str">
        <x:v>Core Law &amp; Order franchise</x:v>
      </x:c>
      <x:c r="Q1306" s="17" t="str">
        <x:v>34439</x:v>
      </x:c>
      <x:c r="R1306" s="17" t="str">
        <x:v>tt0962424</x:v>
      </x:c>
      <x:c r="S1306" s="17" t="str">
        <x:v>888</x:v>
      </x:c>
    </x:row>
    <x:row r="1307">
      <x:c r="A1307" s="43" t="n">
        <x:v>1303</x:v>
      </x:c>
      <x:c r="B1307" s="44" t="str">
        <x:v>Not Started</x:v>
      </x:c>
      <x:c r="C1307" s="45" t="n">
        <x:v>39126</x:v>
      </x:c>
      <x:c r="D1307" s="33" t="str">
        <x:v>Law &amp; Order: Criminal Intent</x:v>
      </x:c>
      <x:c r="E1307" s="33" t="str">
        <x:v>Law &amp; Order</x:v>
      </x:c>
      <x:c r="F1307" s="33" t="str">
        <x:v>core</x:v>
      </x:c>
      <x:c r="G1307" s="50" t="n">
        <x:v>6</x:v>
      </x:c>
      <x:c r="H1307" s="50" t="n">
        <x:v>14</x:v>
      </x:c>
      <x:c r="I1307" s="44" t="str">
        <x:v>06.14</x:v>
      </x:c>
      <x:c r="J1307" s="33" t="str">
        <x:v>Flipped</x:v>
      </x:c>
      <x:c r="K1307" s="33" t="str"/>
      <x:c r="L1307" s="33" t="str"/>
      <x:c r="M1307" s="44" t="str"/>
      <x:c r="N1307" s="50" t="n">
        <x:v>43</x:v>
      </x:c>
      <x:c r="O1307" s="53" t="str">
        <x:v>A rap artist is shot after a radio interview, and the only witness is an undercover cop whose task force specializes in rap-world crimes.</x:v>
      </x:c>
      <x:c r="P1307" s="53" t="str">
        <x:v>Core Law &amp; Order franchise</x:v>
      </x:c>
      <x:c r="Q1307" s="17" t="str">
        <x:v>341336</x:v>
      </x:c>
      <x:c r="R1307" s="17" t="str">
        <x:v>tt0964315</x:v>
      </x:c>
      <x:c r="S1307" s="17" t="str">
        <x:v>890</x:v>
      </x:c>
    </x:row>
    <x:row r="1308">
      <x:c r="A1308" s="43" t="n">
        <x:v>1304</x:v>
      </x:c>
      <x:c r="B1308" s="44" t="str">
        <x:v>Not Started</x:v>
      </x:c>
      <x:c r="C1308" s="45" t="n">
        <x:v>39126</x:v>
      </x:c>
      <x:c r="D1308" s="33" t="str">
        <x:v>Law &amp; Order: Special Victims Unit</x:v>
      </x:c>
      <x:c r="E1308" s="33" t="str">
        <x:v>Law &amp; Order</x:v>
      </x:c>
      <x:c r="F1308" s="33" t="str">
        <x:v>core</x:v>
      </x:c>
      <x:c r="G1308" s="50" t="n">
        <x:v>8</x:v>
      </x:c>
      <x:c r="H1308" s="50" t="n">
        <x:v>14</x:v>
      </x:c>
      <x:c r="I1308" s="44" t="str">
        <x:v>08.14</x:v>
      </x:c>
      <x:c r="J1308" s="33" t="str">
        <x:v>Dependent</x:v>
      </x:c>
      <x:c r="K1308" s="33" t="str"/>
      <x:c r="L1308" s="33" t="str"/>
      <x:c r="M1308" s="44" t="str"/>
      <x:c r="N1308" s="50" t="n">
        <x:v>42</x:v>
      </x:c>
      <x:c r="O1308" s="53" t="str">
        <x:v>Benson and Stabler attempt to question a confused young woman about an attack on her parents that left her brother traumatized and Stabler puts his career on the line when he goes too far.</x:v>
      </x:c>
      <x:c r="P1308" s="53" t="str">
        <x:v>Core Law &amp; Order franchise</x:v>
      </x:c>
      <x:c r="Q1308" s="17" t="str">
        <x:v>225115</x:v>
      </x:c>
      <x:c r="R1308" s="17" t="str">
        <x:v>tt0963576</x:v>
      </x:c>
      <x:c r="S1308" s="17" t="str">
        <x:v>889</x:v>
      </x:c>
    </x:row>
    <x:row r="1309">
      <x:c r="A1309" s="43" t="n">
        <x:v>1305</x:v>
      </x:c>
      <x:c r="B1309" s="44" t="str">
        <x:v>Not Started</x:v>
      </x:c>
      <x:c r="C1309" s="45" t="n">
        <x:v>39129</x:v>
      </x:c>
      <x:c r="D1309" s="33" t="str">
        <x:v>Law &amp; Order</x:v>
      </x:c>
      <x:c r="E1309" s="33" t="str">
        <x:v>Law &amp; Order</x:v>
      </x:c>
      <x:c r="F1309" s="33" t="str">
        <x:v>core</x:v>
      </x:c>
      <x:c r="G1309" s="50" t="n">
        <x:v>17</x:v>
      </x:c>
      <x:c r="H1309" s="50" t="n">
        <x:v>15</x:v>
      </x:c>
      <x:c r="I1309" s="44" t="str">
        <x:v>17.15</x:v>
      </x:c>
      <x:c r="J1309" s="33" t="str">
        <x:v>Melting Pot</x:v>
      </x:c>
      <x:c r="K1309" s="33" t="str"/>
      <x:c r="L1309" s="33" t="str"/>
      <x:c r="M1309" s="44" t="str"/>
      <x:c r="N1309" s="50" t="n">
        <x:v>45</x:v>
      </x:c>
      <x:c r="O1309" s="53" t="str">
        <x:v>After an actress is found dead in her apartment, Green and Cassady attempt to prove that her death was not a suicide.</x:v>
      </x:c>
      <x:c r="P1309" s="53" t="str">
        <x:v>Core Law &amp; Order franchise</x:v>
      </x:c>
      <x:c r="Q1309" s="17" t="str">
        <x:v>34440</x:v>
      </x:c>
      <x:c r="R1309" s="17" t="str">
        <x:v>tt0966155</x:v>
      </x:c>
      <x:c r="S1309" s="17" t="str">
        <x:v>891</x:v>
      </x:c>
    </x:row>
    <x:row r="1310">
      <x:c r="A1310" s="43" t="n">
        <x:v>1306</x:v>
      </x:c>
      <x:c r="B1310" s="44" t="str">
        <x:v>Not Started</x:v>
      </x:c>
      <x:c r="C1310" s="45" t="n">
        <x:v>39133</x:v>
      </x:c>
      <x:c r="D1310" s="33" t="str">
        <x:v>Law &amp; Order: Criminal Intent</x:v>
      </x:c>
      <x:c r="E1310" s="33" t="str">
        <x:v>Law &amp; Order</x:v>
      </x:c>
      <x:c r="F1310" s="33" t="str">
        <x:v>core</x:v>
      </x:c>
      <x:c r="G1310" s="50" t="n">
        <x:v>6</x:v>
      </x:c>
      <x:c r="H1310" s="50" t="n">
        <x:v>15</x:v>
      </x:c>
      <x:c r="I1310" s="44" t="str">
        <x:v>06.15</x:v>
      </x:c>
      <x:c r="J1310" s="33" t="str">
        <x:v>Brother's Keeper</x:v>
      </x:c>
      <x:c r="K1310" s="33" t="str"/>
      <x:c r="L1310" s="33" t="str"/>
      <x:c r="M1310" s="44" t="str"/>
      <x:c r="N1310" s="50" t="n">
        <x:v>43</x:v>
      </x:c>
      <x:c r="O1310" s="53" t="str">
        <x:v>An investigation into the murder of the wife of a televangelist leads to the discovery of a seedy relationship he had with a hustler that may have contributed to the crime. Meanwhile, Goren runs into his brother while visiting his ailing mother.</x:v>
      </x:c>
      <x:c r="P1310" s="53" t="str">
        <x:v>Core Law &amp; Order franchise</x:v>
      </x:c>
      <x:c r="Q1310" s="17" t="str">
        <x:v>341337</x:v>
      </x:c>
      <x:c r="R1310" s="17" t="str">
        <x:v>tt0966156</x:v>
      </x:c>
      <x:c r="S1310" s="17" t="str">
        <x:v>893</x:v>
      </x:c>
    </x:row>
    <x:row r="1311">
      <x:c r="A1311" s="43" t="n">
        <x:v>1307</x:v>
      </x:c>
      <x:c r="B1311" s="44" t="str">
        <x:v>Not Started</x:v>
      </x:c>
      <x:c r="C1311" s="45" t="n">
        <x:v>39133</x:v>
      </x:c>
      <x:c r="D1311" s="33" t="str">
        <x:v>Law &amp; Order: Special Victims Unit</x:v>
      </x:c>
      <x:c r="E1311" s="33" t="str">
        <x:v>Law &amp; Order</x:v>
      </x:c>
      <x:c r="F1311" s="33" t="str">
        <x:v>core</x:v>
      </x:c>
      <x:c r="G1311" s="50" t="n">
        <x:v>8</x:v>
      </x:c>
      <x:c r="H1311" s="50" t="n">
        <x:v>15</x:v>
      </x:c>
      <x:c r="I1311" s="44" t="str">
        <x:v>08.15</x:v>
      </x:c>
      <x:c r="J1311" s="33" t="str">
        <x:v>Haystack</x:v>
      </x:c>
      <x:c r="K1311" s="33" t="str"/>
      <x:c r="L1311" s="33" t="str"/>
      <x:c r="M1311" s="44" t="str"/>
      <x:c r="N1311" s="50" t="n">
        <x:v>43</x:v>
      </x:c>
      <x:c r="O1311" s="53" t="str">
        <x:v>Stabler finds himself drawn into a case where a young mother has committed suicide after her baby goes missing. The case leads to questions for Benson about her own family history.</x:v>
      </x:c>
      <x:c r="P1311" s="53" t="str">
        <x:v>Core Law &amp; Order franchise</x:v>
      </x:c>
      <x:c r="Q1311" s="17" t="str">
        <x:v>225116</x:v>
      </x:c>
      <x:c r="R1311" s="17" t="str">
        <x:v>tt0946364</x:v>
      </x:c>
      <x:c r="S1311" s="17" t="str">
        <x:v>892</x:v>
      </x:c>
    </x:row>
    <x:row r="1312">
      <x:c r="A1312" s="43" t="n">
        <x:v>1308</x:v>
      </x:c>
      <x:c r="B1312" s="44" t="str">
        <x:v>Not Started</x:v>
      </x:c>
      <x:c r="C1312" s="45" t="n">
        <x:v>39136</x:v>
      </x:c>
      <x:c r="D1312" s="33" t="str">
        <x:v>Law &amp; Order</x:v>
      </x:c>
      <x:c r="E1312" s="33" t="str">
        <x:v>Law &amp; Order</x:v>
      </x:c>
      <x:c r="F1312" s="33" t="str">
        <x:v>core</x:v>
      </x:c>
      <x:c r="G1312" s="50" t="n">
        <x:v>17</x:v>
      </x:c>
      <x:c r="H1312" s="50" t="n">
        <x:v>16</x:v>
      </x:c>
      <x:c r="I1312" s="44" t="str">
        <x:v>17.16</x:v>
      </x:c>
      <x:c r="J1312" s="33" t="str">
        <x:v>Murder Book</x:v>
      </x:c>
      <x:c r="K1312" s="33" t="str"/>
      <x:c r="L1312" s="33" t="str"/>
      <x:c r="M1312" s="44" t="str"/>
      <x:c r="N1312" s="50" t="n">
        <x:v>45</x:v>
      </x:c>
      <x:c r="O1312" s="53" t="str">
        <x:v>After publisher Serena Darby is found murdered in her apartment, suspicion turns to J.P. Lange, a former professional baseball player acquitted of his wife's murder who had written a book hypothesising how he would have committed the murder. Green and Cassady follow the trail of evidence from Lange to Gerald Stockwell, a former ghostwriter on the book, but Stockwell tries to clear himself by offering McCoy and Rubirosa proof that one of the jurors in Lange's trial was paid off to force an acquittal.</x:v>
      </x:c>
      <x:c r="P1312" s="53" t="str">
        <x:v>Core Law &amp; Order franchise</x:v>
      </x:c>
      <x:c r="Q1312" s="17" t="str">
        <x:v>34441</x:v>
      </x:c>
      <x:c r="R1312" s="17" t="str">
        <x:v>tt0960485</x:v>
      </x:c>
      <x:c r="S1312" s="17" t="str">
        <x:v>894</x:v>
      </x:c>
    </x:row>
    <x:row r="1313">
      <x:c r="A1313" s="43" t="n">
        <x:v>1309</x:v>
      </x:c>
      <x:c r="B1313" s="44" t="str">
        <x:v>Not Started</x:v>
      </x:c>
      <x:c r="C1313" s="45" t="n">
        <x:v>39140</x:v>
      </x:c>
      <x:c r="D1313" s="33" t="str">
        <x:v>Law &amp; Order: Criminal Intent</x:v>
      </x:c>
      <x:c r="E1313" s="33" t="str">
        <x:v>Law &amp; Order</x:v>
      </x:c>
      <x:c r="F1313" s="33" t="str">
        <x:v>core</x:v>
      </x:c>
      <x:c r="G1313" s="50" t="n">
        <x:v>6</x:v>
      </x:c>
      <x:c r="H1313" s="50" t="n">
        <x:v>16</x:v>
      </x:c>
      <x:c r="I1313" s="44" t="str">
        <x:v>06.16</x:v>
      </x:c>
      <x:c r="J1313" s="33" t="str">
        <x:v>30</x:v>
      </x:c>
      <x:c r="K1313" s="33" t="str"/>
      <x:c r="L1313" s="33" t="str"/>
      <x:c r="M1313" s="44" t="str"/>
      <x:c r="N1313" s="50" t="n">
        <x:v>43</x:v>
      </x:c>
      <x:c r="O1313" s="53" t="str">
        <x:v>A journalist learns he has radiation poisoning and reports it to his old friend, Det. Logan, who vows to solve the case before the man dies.</x:v>
      </x:c>
      <x:c r="P1313" s="53" t="str">
        <x:v>Core Law &amp; Order franchise</x:v>
      </x:c>
      <x:c r="Q1313" s="17" t="str">
        <x:v>341338</x:v>
      </x:c>
      <x:c r="R1313" s="17" t="str">
        <x:v>tt0960486</x:v>
      </x:c>
      <x:c r="S1313" s="17" t="str">
        <x:v>896</x:v>
      </x:c>
    </x:row>
    <x:row r="1314">
      <x:c r="A1314" s="43" t="n">
        <x:v>1310</x:v>
      </x:c>
      <x:c r="B1314" s="44" t="str">
        <x:v>Not Started</x:v>
      </x:c>
      <x:c r="C1314" s="45" t="n">
        <x:v>39140</x:v>
      </x:c>
      <x:c r="D1314" s="33" t="str">
        <x:v>Law &amp; Order: Special Victims Unit</x:v>
      </x:c>
      <x:c r="E1314" s="33" t="str">
        <x:v>Law &amp; Order</x:v>
      </x:c>
      <x:c r="F1314" s="33" t="str">
        <x:v>core</x:v>
      </x:c>
      <x:c r="G1314" s="50" t="n">
        <x:v>8</x:v>
      </x:c>
      <x:c r="H1314" s="50" t="n">
        <x:v>16</x:v>
      </x:c>
      <x:c r="I1314" s="44" t="str">
        <x:v>08.16</x:v>
      </x:c>
      <x:c r="J1314" s="33" t="str">
        <x:v>Philadelphia</x:v>
      </x:c>
      <x:c r="K1314" s="33" t="str"/>
      <x:c r="L1314" s="33" t="str"/>
      <x:c r="M1314" s="44" t="str"/>
      <x:c r="N1314" s="50" t="n">
        <x:v>43</x:v>
      </x:c>
      <x:c r="O1314" s="53" t="str">
        <x:v>Benson finds herself in a bad situation when she has a closer link to a suspect than she ever could have expected.</x:v>
      </x:c>
      <x:c r="P1314" s="53" t="str">
        <x:v>Core Law &amp; Order franchise</x:v>
      </x:c>
      <x:c r="Q1314" s="17" t="str">
        <x:v>225117</x:v>
      </x:c>
      <x:c r="R1314" s="17" t="str">
        <x:v>tt0946366</x:v>
      </x:c>
      <x:c r="S1314" s="17" t="str">
        <x:v>895</x:v>
      </x:c>
    </x:row>
    <x:row r="1315">
      <x:c r="A1315" s="43" t="n">
        <x:v>1311</x:v>
      </x:c>
      <x:c r="B1315" s="44" t="str">
        <x:v>Not Started</x:v>
      </x:c>
      <x:c r="C1315" s="45" t="n">
        <x:v>39168</x:v>
      </x:c>
      <x:c r="D1315" s="33" t="str">
        <x:v>Law &amp; Order: Criminal Intent</x:v>
      </x:c>
      <x:c r="E1315" s="33" t="str">
        <x:v>Law &amp; Order</x:v>
      </x:c>
      <x:c r="F1315" s="33" t="str">
        <x:v>core</x:v>
      </x:c>
      <x:c r="G1315" s="50" t="n">
        <x:v>6</x:v>
      </x:c>
      <x:c r="H1315" s="50" t="n">
        <x:v>17</x:v>
      </x:c>
      <x:c r="I1315" s="44" t="str">
        <x:v>06.17</x:v>
      </x:c>
      <x:c r="J1315" s="33" t="str">
        <x:v>Players</x:v>
      </x:c>
      <x:c r="K1315" s="33" t="str"/>
      <x:c r="L1315" s="33" t="str"/>
      <x:c r="M1315" s="44" t="str"/>
      <x:c r="N1315" s="50" t="n">
        <x:v>52</x:v>
      </x:c>
      <x:c r="O1315" s="53" t="str">
        <x:v>A judge's son is found shot to death following a rapper's trial. Meanwhile, Wheeler investigates her estranged father's alleged illegal activities.</x:v>
      </x:c>
      <x:c r="P1315" s="53" t="str">
        <x:v>Core Law &amp; Order franchise</x:v>
      </x:c>
      <x:c r="Q1315" s="17" t="str">
        <x:v>341339</x:v>
      </x:c>
      <x:c r="R1315" s="17" t="str">
        <x:v>tt0975310</x:v>
      </x:c>
      <x:c r="S1315" s="17" t="str">
        <x:v>898</x:v>
      </x:c>
    </x:row>
    <x:row r="1316">
      <x:c r="A1316" s="43" t="n">
        <x:v>1312</x:v>
      </x:c>
      <x:c r="B1316" s="44" t="str">
        <x:v>Not Started</x:v>
      </x:c>
      <x:c r="C1316" s="45" t="n">
        <x:v>39168</x:v>
      </x:c>
      <x:c r="D1316" s="33" t="str">
        <x:v>Law &amp; Order: Special Victims Unit</x:v>
      </x:c>
      <x:c r="E1316" s="33" t="str">
        <x:v>Law &amp; Order</x:v>
      </x:c>
      <x:c r="F1316" s="33" t="str">
        <x:v>core</x:v>
      </x:c>
      <x:c r="G1316" s="50" t="n">
        <x:v>8</x:v>
      </x:c>
      <x:c r="H1316" s="50" t="n">
        <x:v>17</x:v>
      </x:c>
      <x:c r="I1316" s="44" t="str">
        <x:v>08.17</x:v>
      </x:c>
      <x:c r="J1316" s="33" t="str">
        <x:v>Sin</x:v>
      </x:c>
      <x:c r="K1316" s="33" t="str"/>
      <x:c r="L1316" s="33" t="str"/>
      <x:c r="M1316" s="44" t="str"/>
      <x:c r="N1316" s="50" t="n">
        <x:v>43</x:v>
      </x:c>
      <x:c r="O1316" s="53" t="str">
        <x:v>Stabler and Benson suspect a charismatic preacher in a case of murder until his wife provides them with another viable suspect.</x:v>
      </x:c>
      <x:c r="P1316" s="53" t="str">
        <x:v>Core Law &amp; Order franchise</x:v>
      </x:c>
      <x:c r="Q1316" s="17" t="str">
        <x:v>225118</x:v>
      </x:c>
      <x:c r="R1316" s="17" t="str">
        <x:v>tt0976643</x:v>
      </x:c>
      <x:c r="S1316" s="17" t="str">
        <x:v>897</x:v>
      </x:c>
    </x:row>
    <x:row r="1317">
      <x:c r="A1317" s="43" t="n">
        <x:v>1313</x:v>
      </x:c>
      <x:c r="B1317" s="44" t="str">
        <x:v>Not Started</x:v>
      </x:c>
      <x:c r="C1317" s="45" t="n">
        <x:v>39171</x:v>
      </x:c>
      <x:c r="D1317" s="33" t="str">
        <x:v>Law &amp; Order</x:v>
      </x:c>
      <x:c r="E1317" s="33" t="str">
        <x:v>Law &amp; Order</x:v>
      </x:c>
      <x:c r="F1317" s="33" t="str">
        <x:v>core</x:v>
      </x:c>
      <x:c r="G1317" s="50" t="n">
        <x:v>17</x:v>
      </x:c>
      <x:c r="H1317" s="50" t="n">
        <x:v>17</x:v>
      </x:c>
      <x:c r="I1317" s="44" t="str">
        <x:v>17.17</x:v>
      </x:c>
      <x:c r="J1317" s="33" t="str">
        <x:v>Good Faith</x:v>
      </x:c>
      <x:c r="K1317" s="33" t="str"/>
      <x:c r="L1317" s="33" t="str"/>
      <x:c r="M1317" s="44" t="str"/>
      <x:c r="N1317" s="50" t="n">
        <x:v>45</x:v>
      </x:c>
      <x:c r="O1317" s="53" t="str">
        <x:v>Green and Cassady investigate an arson turned homicide when a body found in a burned church turns out to have been murdered before the fire started.</x:v>
      </x:c>
      <x:c r="P1317" s="53" t="str">
        <x:v>Core Law &amp; Order franchise</x:v>
      </x:c>
      <x:c r="Q1317" s="17" t="str">
        <x:v>34442</x:v>
      </x:c>
      <x:c r="R1317" s="17" t="str">
        <x:v>tt0962963</x:v>
      </x:c>
      <x:c r="S1317" s="17" t="str">
        <x:v>899</x:v>
      </x:c>
    </x:row>
    <x:row r="1318">
      <x:c r="A1318" s="43" t="n">
        <x:v>1314</x:v>
      </x:c>
      <x:c r="B1318" s="44" t="str">
        <x:v>Not Started</x:v>
      </x:c>
      <x:c r="C1318" s="45" t="n">
        <x:v>39175</x:v>
      </x:c>
      <x:c r="D1318" s="33" t="str">
        <x:v>Law &amp; Order: Criminal Intent</x:v>
      </x:c>
      <x:c r="E1318" s="33" t="str">
        <x:v>Law &amp; Order</x:v>
      </x:c>
      <x:c r="F1318" s="33" t="str">
        <x:v>core</x:v>
      </x:c>
      <x:c r="G1318" s="50" t="n">
        <x:v>6</x:v>
      </x:c>
      <x:c r="H1318" s="50" t="n">
        <x:v>18</x:v>
      </x:c>
      <x:c r="I1318" s="44" t="str">
        <x:v>06.18</x:v>
      </x:c>
      <x:c r="J1318" s="33" t="str">
        <x:v>Silencer</x:v>
      </x:c>
      <x:c r="K1318" s="33" t="str"/>
      <x:c r="L1318" s="33" t="str"/>
      <x:c r="M1318" s="44" t="str"/>
      <x:c r="N1318" s="50" t="n">
        <x:v>43</x:v>
      </x:c>
      <x:c r="O1318" s="53" t="str">
        <x:v>An ear surgeon is murdered, and Goren and Eames learn the crime may have resulted from his testimony in a trial concerning the death of an infant who had just received a cochlear implant.</x:v>
      </x:c>
      <x:c r="P1318" s="53" t="str">
        <x:v>Core Law &amp; Order franchise</x:v>
      </x:c>
      <x:c r="Q1318" s="17" t="str">
        <x:v>341340</x:v>
      </x:c>
      <x:c r="R1318" s="17" t="str">
        <x:v>tt0971787</x:v>
      </x:c>
      <x:c r="S1318" s="17" t="str">
        <x:v>901</x:v>
      </x:c>
    </x:row>
    <x:row r="1319">
      <x:c r="A1319" s="43" t="n">
        <x:v>1315</x:v>
      </x:c>
      <x:c r="B1319" s="44" t="str">
        <x:v>Not Started</x:v>
      </x:c>
      <x:c r="C1319" s="45" t="n">
        <x:v>39175</x:v>
      </x:c>
      <x:c r="D1319" s="33" t="str">
        <x:v>Law &amp; Order: Special Victims Unit</x:v>
      </x:c>
      <x:c r="E1319" s="33" t="str">
        <x:v>Law &amp; Order</x:v>
      </x:c>
      <x:c r="F1319" s="33" t="str">
        <x:v>core</x:v>
      </x:c>
      <x:c r="G1319" s="50" t="n">
        <x:v>8</x:v>
      </x:c>
      <x:c r="H1319" s="50" t="n">
        <x:v>18</x:v>
      </x:c>
      <x:c r="I1319" s="44" t="str">
        <x:v>08.18</x:v>
      </x:c>
      <x:c r="J1319" s="33" t="str">
        <x:v>Responsible</x:v>
      </x:c>
      <x:c r="K1319" s="33" t="str"/>
      <x:c r="L1319" s="33" t="str"/>
      <x:c r="M1319" s="44" t="str"/>
      <x:c r="N1319" s="50" t="n">
        <x:v>43</x:v>
      </x:c>
      <x:c r="O1319" s="53" t="str">
        <x:v>Stabler seeks Kathleen's help when investigating a case involving teenage alcohol abuse.</x:v>
      </x:c>
      <x:c r="P1319" s="53" t="str">
        <x:v>Core Law &amp; Order franchise</x:v>
      </x:c>
      <x:c r="Q1319" s="17" t="str">
        <x:v>225119</x:v>
      </x:c>
      <x:c r="R1319" s="17" t="str">
        <x:v>tt0940158</x:v>
      </x:c>
      <x:c r="S1319" s="17" t="str">
        <x:v>900</x:v>
      </x:c>
    </x:row>
    <x:row r="1320">
      <x:c r="A1320" s="43" t="n">
        <x:v>1316</x:v>
      </x:c>
      <x:c r="B1320" s="44" t="str">
        <x:v>Not Started</x:v>
      </x:c>
      <x:c r="C1320" s="45" t="n">
        <x:v>39178</x:v>
      </x:c>
      <x:c r="D1320" s="33" t="str">
        <x:v>Law &amp; Order</x:v>
      </x:c>
      <x:c r="E1320" s="33" t="str">
        <x:v>Law &amp; Order</x:v>
      </x:c>
      <x:c r="F1320" s="33" t="str">
        <x:v>core</x:v>
      </x:c>
      <x:c r="G1320" s="50" t="n">
        <x:v>17</x:v>
      </x:c>
      <x:c r="H1320" s="50" t="n">
        <x:v>18</x:v>
      </x:c>
      <x:c r="I1320" s="44" t="str">
        <x:v>17.18</x:v>
      </x:c>
      <x:c r="J1320" s="33" t="str">
        <x:v>Bling</x:v>
      </x:c>
      <x:c r="K1320" s="33" t="str"/>
      <x:c r="L1320" s="33" t="str"/>
      <x:c r="M1320" s="44" t="str"/>
      <x:c r="N1320" s="50" t="n">
        <x:v>45</x:v>
      </x:c>
      <x:c r="O1320" s="53" t="str">
        <x:v>Green and Cassady investigate the murder of a female rapper.</x:v>
      </x:c>
      <x:c r="P1320" s="53" t="str">
        <x:v>Core Law &amp; Order franchise</x:v>
      </x:c>
      <x:c r="Q1320" s="17" t="str">
        <x:v>34443</x:v>
      </x:c>
      <x:c r="R1320" s="17" t="str">
        <x:v>tt0993354</x:v>
      </x:c>
      <x:c r="S1320" s="17" t="str">
        <x:v>902</x:v>
      </x:c>
    </x:row>
    <x:row r="1321">
      <x:c r="A1321" s="43" t="n">
        <x:v>1317</x:v>
      </x:c>
      <x:c r="B1321" s="44" t="str">
        <x:v>Not Started</x:v>
      </x:c>
      <x:c r="C1321" s="45" t="n">
        <x:v>39199</x:v>
      </x:c>
      <x:c r="D1321" s="33" t="str">
        <x:v>Law &amp; Order</x:v>
      </x:c>
      <x:c r="E1321" s="33" t="str">
        <x:v>Law &amp; Order</x:v>
      </x:c>
      <x:c r="F1321" s="33" t="str">
        <x:v>core</x:v>
      </x:c>
      <x:c r="G1321" s="50" t="n">
        <x:v>17</x:v>
      </x:c>
      <x:c r="H1321" s="50" t="n">
        <x:v>19</x:v>
      </x:c>
      <x:c r="I1321" s="44" t="str">
        <x:v>17.19</x:v>
      </x:c>
      <x:c r="J1321" s="33" t="str">
        <x:v>Fallout</x:v>
      </x:c>
      <x:c r="K1321" s="33" t="str"/>
      <x:c r="L1321" s="33" t="str"/>
      <x:c r="M1321" s="44" t="str"/>
      <x:c r="N1321" s="50" t="n">
        <x:v>45</x:v>
      </x:c>
      <x:c r="O1321" s="53" t="str">
        <x:v>Green and Cassady get mixed up with the Russian consulate after Peter Rostov dies of ricin poisoning. Their investigation leads them first to his work, where they learn he spent a great deal of time traveling back and forth between Russia, and secondly to his brother, Karl. It isn't long before they link the Rostov brothers to an illegal prostitution ring trafficking in young Russian woman, but McCoy is faced with trying to get the remaining Rostov brother to testify so he can prosecute Brezin, the father of one of the trafficked girls.</x:v>
      </x:c>
      <x:c r="P1321" s="53" t="str">
        <x:v>Core Law &amp; Order franchise</x:v>
      </x:c>
      <x:c r="Q1321" s="17" t="str">
        <x:v>34444</x:v>
      </x:c>
      <x:c r="R1321" s="17" t="str">
        <x:v>tt0996071</x:v>
      </x:c>
      <x:c r="S1321" s="17" t="str">
        <x:v>903</x:v>
      </x:c>
    </x:row>
    <x:row r="1322">
      <x:c r="A1322" s="43" t="n">
        <x:v>1318</x:v>
      </x:c>
      <x:c r="B1322" s="44" t="str">
        <x:v>Not Started</x:v>
      </x:c>
      <x:c r="C1322" s="45" t="n">
        <x:v>39203</x:v>
      </x:c>
      <x:c r="D1322" s="33" t="str">
        <x:v>Law &amp; Order: Criminal Intent</x:v>
      </x:c>
      <x:c r="E1322" s="33" t="str">
        <x:v>Law &amp; Order</x:v>
      </x:c>
      <x:c r="F1322" s="33" t="str">
        <x:v>core</x:v>
      </x:c>
      <x:c r="G1322" s="50" t="n">
        <x:v>6</x:v>
      </x:c>
      <x:c r="H1322" s="50" t="n">
        <x:v>19</x:v>
      </x:c>
      <x:c r="I1322" s="44" t="str">
        <x:v>06.19</x:v>
      </x:c>
      <x:c r="J1322" s="33" t="str">
        <x:v>Rocket Man</x:v>
      </x:c>
      <x:c r="K1322" s="33" t="str"/>
      <x:c r="L1322" s="33" t="str"/>
      <x:c r="M1322" s="44" t="str"/>
      <x:c r="N1322" s="50" t="n">
        <x:v>43</x:v>
      </x:c>
      <x:c r="O1322" s="53" t="str">
        <x:v>Suspicion turns to a married astronaut after his lover is found murdered.</x:v>
      </x:c>
      <x:c r="P1322" s="53" t="str">
        <x:v>Core Law &amp; Order franchise</x:v>
      </x:c>
      <x:c r="Q1322" s="17" t="str">
        <x:v>341341</x:v>
      </x:c>
      <x:c r="R1322" s="17" t="str">
        <x:v>tt1008354</x:v>
      </x:c>
      <x:c r="S1322" s="17" t="str">
        <x:v>905</x:v>
      </x:c>
    </x:row>
    <x:row r="1323">
      <x:c r="A1323" s="43" t="n">
        <x:v>1319</x:v>
      </x:c>
      <x:c r="B1323" s="44" t="str">
        <x:v>Not Started</x:v>
      </x:c>
      <x:c r="C1323" s="45" t="n">
        <x:v>39203</x:v>
      </x:c>
      <x:c r="D1323" s="33" t="str">
        <x:v>Law &amp; Order: Special Victims Unit</x:v>
      </x:c>
      <x:c r="E1323" s="33" t="str">
        <x:v>Law &amp; Order</x:v>
      </x:c>
      <x:c r="F1323" s="33" t="str">
        <x:v>core</x:v>
      </x:c>
      <x:c r="G1323" s="50" t="n">
        <x:v>8</x:v>
      </x:c>
      <x:c r="H1323" s="50" t="n">
        <x:v>19</x:v>
      </x:c>
      <x:c r="I1323" s="44" t="str">
        <x:v>08.19</x:v>
      </x:c>
      <x:c r="J1323" s="33" t="str">
        <x:v>Florida</x:v>
      </x:c>
      <x:c r="K1323" s="33" t="str"/>
      <x:c r="L1323" s="33" t="str"/>
      <x:c r="M1323" s="44" t="str"/>
      <x:c r="N1323" s="50" t="n">
        <x:v>43</x:v>
      </x:c>
      <x:c r="O1323" s="53" t="str">
        <x:v>When Detective Benson gets into the middle of an investigation of her brother Simon Marsden, the case begins to threaten her career. As Simon makes a run for it, Benson investigates further into his family life, and begins to question whether or not she was the product of a rape in the first place.</x:v>
      </x:c>
      <x:c r="P1323" s="53" t="str">
        <x:v>Core Law &amp; Order franchise</x:v>
      </x:c>
      <x:c r="Q1323" s="17" t="str">
        <x:v>225120</x:v>
      </x:c>
      <x:c r="R1323" s="17" t="str">
        <x:v>tt0946363</x:v>
      </x:c>
      <x:c r="S1323" s="17" t="str">
        <x:v>904</x:v>
      </x:c>
    </x:row>
    <x:row r="1324">
      <x:c r="A1324" s="43" t="n">
        <x:v>1320</x:v>
      </x:c>
      <x:c r="B1324" s="44" t="str">
        <x:v>Not Started</x:v>
      </x:c>
      <x:c r="C1324" s="45" t="n">
        <x:v>39204</x:v>
      </x:c>
      <x:c r="D1324" s="33" t="str">
        <x:v>Paris enquêtes criminelles</x:v>
      </x:c>
      <x:c r="E1324" s="33" t="str">
        <x:v>Law &amp; Order</x:v>
      </x:c>
      <x:c r="F1324" s="33" t="str">
        <x:v>complete</x:v>
      </x:c>
      <x:c r="G1324" s="50" t="n">
        <x:v>1</x:v>
      </x:c>
      <x:c r="H1324" s="50" t="n">
        <x:v>1</x:v>
      </x:c>
      <x:c r="I1324" s="44" t="str">
        <x:v>01.01</x:v>
      </x:c>
      <x:c r="J1324" s="33" t="str">
        <x:v>Episode 1</x:v>
      </x:c>
      <x:c r="K1324" s="33" t="str"/>
      <x:c r="L1324" s="33" t="str"/>
      <x:c r="M1324" s="44" t="str"/>
      <x:c r="N1324" s="50" t="n">
        <x:v>55</x:v>
      </x:c>
      <x:c r="O1324" s="53" t="str"/>
      <x:c r="P1324" s="53" t="str">
        <x:v>French Law &amp; Order: Criminal Intent adaptation</x:v>
      </x:c>
      <x:c r="Q1324" s="17" t="str">
        <x:v>1459603</x:v>
      </x:c>
      <x:c r="R1324" s="17" t="str">
        <x:v>tt1010197</x:v>
      </x:c>
      <x:c r="S1324" s="17" t="str"/>
    </x:row>
    <x:row r="1325">
      <x:c r="A1325" s="43" t="n">
        <x:v>1321</x:v>
      </x:c>
      <x:c r="B1325" s="44" t="str">
        <x:v>Not Started</x:v>
      </x:c>
      <x:c r="C1325" s="45" t="n">
        <x:v>39204</x:v>
      </x:c>
      <x:c r="D1325" s="33" t="str">
        <x:v>Paris enquêtes criminelles</x:v>
      </x:c>
      <x:c r="E1325" s="33" t="str">
        <x:v>Law &amp; Order</x:v>
      </x:c>
      <x:c r="F1325" s="33" t="str">
        <x:v>complete</x:v>
      </x:c>
      <x:c r="G1325" s="50" t="n">
        <x:v>1</x:v>
      </x:c>
      <x:c r="H1325" s="50" t="n">
        <x:v>2</x:v>
      </x:c>
      <x:c r="I1325" s="44" t="str">
        <x:v>01.02</x:v>
      </x:c>
      <x:c r="J1325" s="33" t="str">
        <x:v>Episode 2</x:v>
      </x:c>
      <x:c r="K1325" s="33" t="str"/>
      <x:c r="L1325" s="33" t="str"/>
      <x:c r="M1325" s="44" t="str"/>
      <x:c r="N1325" s="50" t="n">
        <x:v>55</x:v>
      </x:c>
      <x:c r="O1325" s="53" t="str"/>
      <x:c r="P1325" s="53" t="str">
        <x:v>French Law &amp; Order: Criminal Intent adaptation</x:v>
      </x:c>
      <x:c r="Q1325" s="17" t="str">
        <x:v>1459605</x:v>
      </x:c>
      <x:c r="R1325" s="17" t="str">
        <x:v>tt1011845</x:v>
      </x:c>
      <x:c r="S1325" s="17" t="str"/>
    </x:row>
    <x:row r="1326">
      <x:c r="A1326" s="43" t="n">
        <x:v>1322</x:v>
      </x:c>
      <x:c r="B1326" s="44" t="str">
        <x:v>Not Started</x:v>
      </x:c>
      <x:c r="C1326" s="45" t="n">
        <x:v>39206</x:v>
      </x:c>
      <x:c r="D1326" s="33" t="str">
        <x:v>Law &amp; Order</x:v>
      </x:c>
      <x:c r="E1326" s="33" t="str">
        <x:v>Law &amp; Order</x:v>
      </x:c>
      <x:c r="F1326" s="33" t="str">
        <x:v>core</x:v>
      </x:c>
      <x:c r="G1326" s="50" t="n">
        <x:v>17</x:v>
      </x:c>
      <x:c r="H1326" s="50" t="n">
        <x:v>20</x:v>
      </x:c>
      <x:c r="I1326" s="44" t="str">
        <x:v>17.20</x:v>
      </x:c>
      <x:c r="J1326" s="33" t="str">
        <x:v>Captive</x:v>
      </x:c>
      <x:c r="K1326" s="33" t="str"/>
      <x:c r="L1326" s="33" t="str"/>
      <x:c r="M1326" s="44" t="str"/>
      <x:c r="N1326" s="50" t="n">
        <x:v>45</x:v>
      </x:c>
      <x:c r="O1326" s="53" t="str">
        <x:v>Green and Cassady follow the leads when a young boy is found murdered to a suspected serial pedophile/murderer.</x:v>
      </x:c>
      <x:c r="P1326" s="53" t="str">
        <x:v>Core Law &amp; Order franchise</x:v>
      </x:c>
      <x:c r="Q1326" s="17" t="str">
        <x:v>34445</x:v>
      </x:c>
      <x:c r="R1326" s="17" t="str">
        <x:v>tt0996072</x:v>
      </x:c>
      <x:c r="S1326" s="17" t="str">
        <x:v>906</x:v>
      </x:c>
    </x:row>
    <x:row r="1327">
      <x:c r="A1327" s="43" t="n">
        <x:v>1323</x:v>
      </x:c>
      <x:c r="B1327" s="44" t="str">
        <x:v>Not Started</x:v>
      </x:c>
      <x:c r="C1327" s="45" t="n">
        <x:v>39210</x:v>
      </x:c>
      <x:c r="D1327" s="33" t="str">
        <x:v>Law &amp; Order: Criminal Intent</x:v>
      </x:c>
      <x:c r="E1327" s="33" t="str">
        <x:v>Law &amp; Order</x:v>
      </x:c>
      <x:c r="F1327" s="33" t="str">
        <x:v>core</x:v>
      </x:c>
      <x:c r="G1327" s="50" t="n">
        <x:v>6</x:v>
      </x:c>
      <x:c r="H1327" s="50" t="n">
        <x:v>20</x:v>
      </x:c>
      <x:c r="I1327" s="44" t="str">
        <x:v>06.20</x:v>
      </x:c>
      <x:c r="J1327" s="33" t="str">
        <x:v>Bombshell</x:v>
      </x:c>
      <x:c r="K1327" s="33" t="str"/>
      <x:c r="L1327" s="33" t="str"/>
      <x:c r="M1327" s="44" t="str"/>
      <x:c r="N1327" s="50" t="n">
        <x:v>42</x:v>
      </x:c>
      <x:c r="O1327" s="53" t="str">
        <x:v>A woman who married a billionaire winds up dead under mysterious circumstances shortly after her son dies.</x:v>
      </x:c>
      <x:c r="P1327" s="53" t="str">
        <x:v>Core Law &amp; Order franchise</x:v>
      </x:c>
      <x:c r="Q1327" s="17" t="str">
        <x:v>341342</x:v>
      </x:c>
      <x:c r="R1327" s="17" t="str">
        <x:v>tt1015025</x:v>
      </x:c>
      <x:c r="S1327" s="17" t="str">
        <x:v>908</x:v>
      </x:c>
    </x:row>
    <x:row r="1328">
      <x:c r="A1328" s="43" t="n">
        <x:v>1324</x:v>
      </x:c>
      <x:c r="B1328" s="44" t="str">
        <x:v>Not Started</x:v>
      </x:c>
      <x:c r="C1328" s="45" t="n">
        <x:v>39210</x:v>
      </x:c>
      <x:c r="D1328" s="33" t="str">
        <x:v>Law &amp; Order: Special Victims Unit</x:v>
      </x:c>
      <x:c r="E1328" s="33" t="str">
        <x:v>Law &amp; Order</x:v>
      </x:c>
      <x:c r="F1328" s="33" t="str">
        <x:v>core</x:v>
      </x:c>
      <x:c r="G1328" s="50" t="n">
        <x:v>8</x:v>
      </x:c>
      <x:c r="H1328" s="50" t="n">
        <x:v>20</x:v>
      </x:c>
      <x:c r="I1328" s="44" t="str">
        <x:v>08.20</x:v>
      </x:c>
      <x:c r="J1328" s="33" t="str">
        <x:v>Annihilated</x:v>
      </x:c>
      <x:c r="K1328" s="33" t="str"/>
      <x:c r="L1328" s="33" t="str"/>
      <x:c r="M1328" s="44" t="str"/>
      <x:c r="N1328" s="50" t="n">
        <x:v>43</x:v>
      </x:c>
      <x:c r="O1328" s="53" t="str">
        <x:v>A woman's murder appears to be the result of a professional hit, when her fiancé receives death threats, apparently resulting from his CIA career. Elliot, investigating this, finds that the man may not be all that he seems.</x:v>
      </x:c>
      <x:c r="P1328" s="53" t="str">
        <x:v>Core Law &amp; Order franchise</x:v>
      </x:c>
      <x:c r="Q1328" s="17" t="str">
        <x:v>225121</x:v>
      </x:c>
      <x:c r="R1328" s="17" t="str">
        <x:v>tt0950279</x:v>
      </x:c>
      <x:c r="S1328" s="17" t="str">
        <x:v>907</x:v>
      </x:c>
    </x:row>
    <x:row r="1329">
      <x:c r="A1329" s="43" t="n">
        <x:v>1325</x:v>
      </x:c>
      <x:c r="B1329" s="44" t="str">
        <x:v>Not Started</x:v>
      </x:c>
      <x:c r="C1329" s="45" t="n">
        <x:v>39211</x:v>
      </x:c>
      <x:c r="D1329" s="33" t="str">
        <x:v>Paris enquêtes criminelles</x:v>
      </x:c>
      <x:c r="E1329" s="33" t="str">
        <x:v>Law &amp; Order</x:v>
      </x:c>
      <x:c r="F1329" s="33" t="str">
        <x:v>complete</x:v>
      </x:c>
      <x:c r="G1329" s="50" t="n">
        <x:v>1</x:v>
      </x:c>
      <x:c r="H1329" s="50" t="n">
        <x:v>3</x:v>
      </x:c>
      <x:c r="I1329" s="44" t="str">
        <x:v>01.03</x:v>
      </x:c>
      <x:c r="J1329" s="33" t="str">
        <x:v>Episode 3</x:v>
      </x:c>
      <x:c r="K1329" s="33" t="str"/>
      <x:c r="L1329" s="33" t="str"/>
      <x:c r="M1329" s="44" t="str"/>
      <x:c r="N1329" s="50" t="n">
        <x:v>55</x:v>
      </x:c>
      <x:c r="O1329" s="53" t="str"/>
      <x:c r="P1329" s="53" t="str">
        <x:v>French Law &amp; Order: Criminal Intent adaptation</x:v>
      </x:c>
      <x:c r="Q1329" s="17" t="str">
        <x:v>1459607</x:v>
      </x:c>
      <x:c r="R1329" s="17" t="str">
        <x:v>tt1015845</x:v>
      </x:c>
      <x:c r="S1329" s="17" t="str"/>
    </x:row>
    <x:row r="1330">
      <x:c r="A1330" s="43" t="n">
        <x:v>1326</x:v>
      </x:c>
      <x:c r="B1330" s="44" t="str">
        <x:v>Not Started</x:v>
      </x:c>
      <x:c r="C1330" s="45" t="n">
        <x:v>39211</x:v>
      </x:c>
      <x:c r="D1330" s="33" t="str">
        <x:v>Paris enquêtes criminelles</x:v>
      </x:c>
      <x:c r="E1330" s="33" t="str">
        <x:v>Law &amp; Order</x:v>
      </x:c>
      <x:c r="F1330" s="33" t="str">
        <x:v>complete</x:v>
      </x:c>
      <x:c r="G1330" s="50" t="n">
        <x:v>1</x:v>
      </x:c>
      <x:c r="H1330" s="50" t="n">
        <x:v>4</x:v>
      </x:c>
      <x:c r="I1330" s="44" t="str">
        <x:v>01.04</x:v>
      </x:c>
      <x:c r="J1330" s="33" t="str">
        <x:v>Episode 4</x:v>
      </x:c>
      <x:c r="K1330" s="33" t="str"/>
      <x:c r="L1330" s="33" t="str"/>
      <x:c r="M1330" s="44" t="str"/>
      <x:c r="N1330" s="50" t="n">
        <x:v>55</x:v>
      </x:c>
      <x:c r="O1330" s="53" t="str"/>
      <x:c r="P1330" s="53" t="str">
        <x:v>French Law &amp; Order: Criminal Intent adaptation</x:v>
      </x:c>
      <x:c r="Q1330" s="17" t="str">
        <x:v>1459609</x:v>
      </x:c>
      <x:c r="R1330" s="17" t="str">
        <x:v>tt1024554</x:v>
      </x:c>
      <x:c r="S1330" s="17" t="str"/>
    </x:row>
    <x:row r="1331">
      <x:c r="A1331" s="43" t="n">
        <x:v>1327</x:v>
      </x:c>
      <x:c r="B1331" s="44" t="str">
        <x:v>Not Started</x:v>
      </x:c>
      <x:c r="C1331" s="45" t="n">
        <x:v>39213</x:v>
      </x:c>
      <x:c r="D1331" s="33" t="str">
        <x:v>Law &amp; Order</x:v>
      </x:c>
      <x:c r="E1331" s="33" t="str">
        <x:v>Law &amp; Order</x:v>
      </x:c>
      <x:c r="F1331" s="33" t="str">
        <x:v>core</x:v>
      </x:c>
      <x:c r="G1331" s="50" t="n">
        <x:v>17</x:v>
      </x:c>
      <x:c r="H1331" s="50" t="n">
        <x:v>21</x:v>
      </x:c>
      <x:c r="I1331" s="44" t="str">
        <x:v>17.21</x:v>
      </x:c>
      <x:c r="J1331" s="33" t="str">
        <x:v>Over Here</x:v>
      </x:c>
      <x:c r="K1331" s="33" t="str"/>
      <x:c r="L1331" s="33" t="str"/>
      <x:c r="M1331" s="44" t="str"/>
      <x:c r="N1331" s="50" t="n">
        <x:v>45</x:v>
      </x:c>
      <x:c r="O1331" s="53" t="str">
        <x:v>The detectives link the deaths of two homeless men to the war in Iraq.</x:v>
      </x:c>
      <x:c r="P1331" s="53" t="str">
        <x:v>Core Law &amp; Order franchise</x:v>
      </x:c>
      <x:c r="Q1331" s="17" t="str">
        <x:v>34446</x:v>
      </x:c>
      <x:c r="R1331" s="17" t="str">
        <x:v>tt1024519</x:v>
      </x:c>
      <x:c r="S1331" s="17" t="str">
        <x:v>909</x:v>
      </x:c>
    </x:row>
    <x:row r="1332">
      <x:c r="A1332" s="43" t="n">
        <x:v>1328</x:v>
      </x:c>
      <x:c r="B1332" s="44" t="str">
        <x:v>Not Started</x:v>
      </x:c>
      <x:c r="C1332" s="45" t="n">
        <x:v>39216</x:v>
      </x:c>
      <x:c r="D1332" s="33" t="str">
        <x:v>Law &amp; Order: Criminal Intent</x:v>
      </x:c>
      <x:c r="E1332" s="33" t="str">
        <x:v>Law &amp; Order</x:v>
      </x:c>
      <x:c r="F1332" s="33" t="str">
        <x:v>core</x:v>
      </x:c>
      <x:c r="G1332" s="50" t="n">
        <x:v>6</x:v>
      </x:c>
      <x:c r="H1332" s="50" t="n">
        <x:v>21</x:v>
      </x:c>
      <x:c r="I1332" s="44" t="str">
        <x:v>06.21</x:v>
      </x:c>
      <x:c r="J1332" s="33" t="str">
        <x:v>Endgame</x:v>
      </x:c>
      <x:c r="K1332" s="33" t="str"/>
      <x:c r="L1332" s="33" t="str"/>
      <x:c r="M1332" s="44" t="str"/>
      <x:c r="N1332" s="50" t="n">
        <x:v>43</x:v>
      </x:c>
      <x:c r="O1332" s="53" t="str">
        <x:v>Goren and Eames find a scrapbook belonging to a serial killer on death row. It suggests that he may have had more victims than previously known.</x:v>
      </x:c>
      <x:c r="P1332" s="53" t="str">
        <x:v>Core Law &amp; Order franchise</x:v>
      </x:c>
      <x:c r="Q1332" s="17" t="str">
        <x:v>341343</x:v>
      </x:c>
      <x:c r="R1332" s="17" t="str">
        <x:v>tt1031814</x:v>
      </x:c>
      <x:c r="S1332" s="17" t="str">
        <x:v>910</x:v>
      </x:c>
    </x:row>
    <x:row r="1333">
      <x:c r="A1333" s="43" t="n">
        <x:v>1329</x:v>
      </x:c>
      <x:c r="B1333" s="44" t="str">
        <x:v>Not Started</x:v>
      </x:c>
      <x:c r="C1333" s="45" t="n">
        <x:v>39217</x:v>
      </x:c>
      <x:c r="D1333" s="33" t="str">
        <x:v>Law &amp; Order: Special Victims Unit</x:v>
      </x:c>
      <x:c r="E1333" s="33" t="str">
        <x:v>Law &amp; Order</x:v>
      </x:c>
      <x:c r="F1333" s="33" t="str">
        <x:v>core</x:v>
      </x:c>
      <x:c r="G1333" s="50" t="n">
        <x:v>8</x:v>
      </x:c>
      <x:c r="H1333" s="50" t="n">
        <x:v>21</x:v>
      </x:c>
      <x:c r="I1333" s="44" t="str">
        <x:v>08.21</x:v>
      </x:c>
      <x:c r="J1333" s="33" t="str">
        <x:v>Pretend</x:v>
      </x:c>
      <x:c r="K1333" s="33" t="str"/>
      <x:c r="L1333" s="33" t="str"/>
      <x:c r="M1333" s="44" t="str"/>
      <x:c r="N1333" s="50" t="n">
        <x:v>42</x:v>
      </x:c>
      <x:c r="O1333" s="53" t="str">
        <x:v>The team investigates the death of a partially clothed teenage boy wearing a leather mask. The detectives discover that the victim's best friend is the killer and has a video, showing that the boy's death was the result of a backyard wrestling match gone wrong.</x:v>
      </x:c>
      <x:c r="P1333" s="53" t="str">
        <x:v>Core Law &amp; Order franchise</x:v>
      </x:c>
      <x:c r="Q1333" s="17" t="str">
        <x:v>225122</x:v>
      </x:c>
      <x:c r="R1333" s="17" t="str">
        <x:v>tt0966157</x:v>
      </x:c>
      <x:c r="S1333" s="17" t="str">
        <x:v>911</x:v>
      </x:c>
    </x:row>
    <x:row r="1334">
      <x:c r="A1334" s="43" t="n">
        <x:v>1330</x:v>
      </x:c>
      <x:c r="B1334" s="44" t="str">
        <x:v>Not Started</x:v>
      </x:c>
      <x:c r="C1334" s="45" t="n">
        <x:v>39218</x:v>
      </x:c>
      <x:c r="D1334" s="33" t="str">
        <x:v>Paris enquêtes criminelles</x:v>
      </x:c>
      <x:c r="E1334" s="33" t="str">
        <x:v>Law &amp; Order</x:v>
      </x:c>
      <x:c r="F1334" s="33" t="str">
        <x:v>complete</x:v>
      </x:c>
      <x:c r="G1334" s="50" t="n">
        <x:v>1</x:v>
      </x:c>
      <x:c r="H1334" s="50" t="n">
        <x:v>5</x:v>
      </x:c>
      <x:c r="I1334" s="44" t="str">
        <x:v>01.05</x:v>
      </x:c>
      <x:c r="J1334" s="33" t="str">
        <x:v>Episode 5</x:v>
      </x:c>
      <x:c r="K1334" s="33" t="str"/>
      <x:c r="L1334" s="33" t="str"/>
      <x:c r="M1334" s="44" t="str"/>
      <x:c r="N1334" s="50" t="n">
        <x:v>55</x:v>
      </x:c>
      <x:c r="O1334" s="53" t="str"/>
      <x:c r="P1334" s="53" t="str">
        <x:v>French Law &amp; Order: Criminal Intent adaptation</x:v>
      </x:c>
      <x:c r="Q1334" s="17" t="str">
        <x:v>1459611</x:v>
      </x:c>
      <x:c r="R1334" s="17" t="str">
        <x:v>tt1028398</x:v>
      </x:c>
      <x:c r="S1334" s="17" t="str"/>
    </x:row>
    <x:row r="1335">
      <x:c r="A1335" s="43" t="n">
        <x:v>1331</x:v>
      </x:c>
      <x:c r="B1335" s="44" t="str">
        <x:v>Not Started</x:v>
      </x:c>
      <x:c r="C1335" s="45" t="n">
        <x:v>39218</x:v>
      </x:c>
      <x:c r="D1335" s="33" t="str">
        <x:v>Paris enquêtes criminelles</x:v>
      </x:c>
      <x:c r="E1335" s="33" t="str">
        <x:v>Law &amp; Order</x:v>
      </x:c>
      <x:c r="F1335" s="33" t="str">
        <x:v>complete</x:v>
      </x:c>
      <x:c r="G1335" s="50" t="n">
        <x:v>1</x:v>
      </x:c>
      <x:c r="H1335" s="50" t="n">
        <x:v>6</x:v>
      </x:c>
      <x:c r="I1335" s="44" t="str">
        <x:v>01.06</x:v>
      </x:c>
      <x:c r="J1335" s="33" t="str">
        <x:v>Episode 6</x:v>
      </x:c>
      <x:c r="K1335" s="33" t="str"/>
      <x:c r="L1335" s="33" t="str"/>
      <x:c r="M1335" s="44" t="str"/>
      <x:c r="N1335" s="50" t="n">
        <x:v>55</x:v>
      </x:c>
      <x:c r="O1335" s="53" t="str"/>
      <x:c r="P1335" s="53" t="str">
        <x:v>French Law &amp; Order: Criminal Intent adaptation</x:v>
      </x:c>
      <x:c r="Q1335" s="17" t="str">
        <x:v>1459614</x:v>
      </x:c>
      <x:c r="R1335" s="17" t="str">
        <x:v>tt1030273</x:v>
      </x:c>
      <x:c r="S1335" s="17" t="str"/>
    </x:row>
    <x:row r="1336">
      <x:c r="A1336" s="43" t="n">
        <x:v>1332</x:v>
      </x:c>
      <x:c r="B1336" s="44" t="str">
        <x:v>Not Started</x:v>
      </x:c>
      <x:c r="C1336" s="45" t="n">
        <x:v>39220</x:v>
      </x:c>
      <x:c r="D1336" s="33" t="str">
        <x:v>Law &amp; Order</x:v>
      </x:c>
      <x:c r="E1336" s="33" t="str">
        <x:v>Law &amp; Order</x:v>
      </x:c>
      <x:c r="F1336" s="33" t="str">
        <x:v>core</x:v>
      </x:c>
      <x:c r="G1336" s="50" t="n">
        <x:v>17</x:v>
      </x:c>
      <x:c r="H1336" s="50" t="n">
        <x:v>22</x:v>
      </x:c>
      <x:c r="I1336" s="44" t="str">
        <x:v>17.22</x:v>
      </x:c>
      <x:c r="J1336" s="33" t="str">
        <x:v>The Family Hour</x:v>
      </x:c>
      <x:c r="K1336" s="33" t="str"/>
      <x:c r="L1336" s="33" t="str"/>
      <x:c r="M1336" s="44" t="str"/>
      <x:c r="N1336" s="50" t="n">
        <x:v>45</x:v>
      </x:c>
      <x:c r="O1336" s="53" t="str">
        <x:v>When Nicole Bailey, the ex-wife of a respected former senator, is found murdered and brutalised in her home, Green and Cassady look first at the senator, but follow the trail of clues to a dysfunctional family with a number of potentially embarrassing secrets. McCoy finds himself in the hot seat when he is forced to argue the case in front of a judge more interested in public relations than justice.</x:v>
      </x:c>
      <x:c r="P1336" s="53" t="str">
        <x:v>Core Law &amp; Order franchise</x:v>
      </x:c>
      <x:c r="Q1336" s="17" t="str">
        <x:v>34447</x:v>
      </x:c>
      <x:c r="R1336" s="17" t="str">
        <x:v>tt1023387</x:v>
      </x:c>
      <x:c r="S1336" s="17" t="str">
        <x:v>912</x:v>
      </x:c>
    </x:row>
    <x:row r="1337">
      <x:c r="A1337" s="43" t="n">
        <x:v>1333</x:v>
      </x:c>
      <x:c r="B1337" s="44" t="str">
        <x:v>Not Started</x:v>
      </x:c>
      <x:c r="C1337" s="45" t="n">
        <x:v>39223</x:v>
      </x:c>
      <x:c r="D1337" s="33" t="str">
        <x:v>Law &amp; Order: Criminal Intent</x:v>
      </x:c>
      <x:c r="E1337" s="33" t="str">
        <x:v>Law &amp; Order</x:v>
      </x:c>
      <x:c r="F1337" s="33" t="str">
        <x:v>core</x:v>
      </x:c>
      <x:c r="G1337" s="50" t="n">
        <x:v>6</x:v>
      </x:c>
      <x:c r="H1337" s="50" t="n">
        <x:v>22</x:v>
      </x:c>
      <x:c r="I1337" s="44" t="str">
        <x:v>06.22</x:v>
      </x:c>
      <x:c r="J1337" s="33" t="str">
        <x:v>Renewal</x:v>
      </x:c>
      <x:c r="K1337" s="33" t="str"/>
      <x:c r="L1337" s="33" t="str"/>
      <x:c r="M1337" s="44" t="str"/>
      <x:c r="N1337" s="50" t="n">
        <x:v>43</x:v>
      </x:c>
      <x:c r="O1337" s="53" t="str">
        <x:v>A hero police recruit is found murdered soon after he breaks up a robbery. While working the case, Logan starts a relationship with a woman from his building. Meanwhile, Wheeler is asked to oversee a past case, so Detective Eames steps in.</x:v>
      </x:c>
      <x:c r="P1337" s="53" t="str">
        <x:v>Core Law &amp; Order franchise</x:v>
      </x:c>
      <x:c r="Q1337" s="17" t="str">
        <x:v>341344</x:v>
      </x:c>
      <x:c r="R1337" s="17" t="str">
        <x:v>tt1036143</x:v>
      </x:c>
      <x:c r="S1337" s="17" t="str">
        <x:v>913</x:v>
      </x:c>
    </x:row>
    <x:row r="1338">
      <x:c r="A1338" s="43" t="n">
        <x:v>1334</x:v>
      </x:c>
      <x:c r="B1338" s="44" t="str">
        <x:v>Not Started</x:v>
      </x:c>
      <x:c r="C1338" s="45" t="n">
        <x:v>39224</x:v>
      </x:c>
      <x:c r="D1338" s="33" t="str">
        <x:v>Law &amp; Order: Special Victims Unit</x:v>
      </x:c>
      <x:c r="E1338" s="33" t="str">
        <x:v>Law &amp; Order</x:v>
      </x:c>
      <x:c r="F1338" s="33" t="str">
        <x:v>core</x:v>
      </x:c>
      <x:c r="G1338" s="50" t="n">
        <x:v>8</x:v>
      </x:c>
      <x:c r="H1338" s="50" t="n">
        <x:v>22</x:v>
      </x:c>
      <x:c r="I1338" s="44" t="str">
        <x:v>08.22</x:v>
      </x:c>
      <x:c r="J1338" s="33" t="str">
        <x:v>Screwed</x:v>
      </x:c>
      <x:c r="K1338" s="33" t="str"/>
      <x:c r="L1338" s="33" t="str"/>
      <x:c r="M1338" s="44" t="str"/>
      <x:c r="N1338" s="50" t="n">
        <x:v>43</x:v>
      </x:c>
      <x:c r="O1338" s="53" t="str">
        <x:v>Darius Parker, goes on trial for the rape and murder of a woman and her 14-month old child. The case brings Fin under fire from the media and even has Munch and Stabler at odds. Novak prosecutes the trial that brings Stabler and Tutuola, among others, to the stand. Many previous stories are brought into the trial.</x:v>
      </x:c>
      <x:c r="P1338" s="53" t="str">
        <x:v>Core Law &amp; Order franchise</x:v>
      </x:c>
      <x:c r="Q1338" s="17" t="str">
        <x:v>225123</x:v>
      </x:c>
      <x:c r="R1338" s="17" t="str">
        <x:v>tt1017770</x:v>
      </x:c>
      <x:c r="S1338" s="17" t="str">
        <x:v>914</x:v>
      </x:c>
    </x:row>
    <x:row r="1339">
      <x:c r="A1339" s="43" t="n">
        <x:v>1335</x:v>
      </x:c>
      <x:c r="B1339" s="44" t="str">
        <x:v>Not Started</x:v>
      </x:c>
      <x:c r="C1339" s="45" t="n">
        <x:v>39225</x:v>
      </x:c>
      <x:c r="D1339" s="33" t="str">
        <x:v>Paris enquêtes criminelles</x:v>
      </x:c>
      <x:c r="E1339" s="33" t="str">
        <x:v>Law &amp; Order</x:v>
      </x:c>
      <x:c r="F1339" s="33" t="str">
        <x:v>complete</x:v>
      </x:c>
      <x:c r="G1339" s="50" t="n">
        <x:v>1</x:v>
      </x:c>
      <x:c r="H1339" s="50" t="n">
        <x:v>7</x:v>
      </x:c>
      <x:c r="I1339" s="44" t="str">
        <x:v>01.07</x:v>
      </x:c>
      <x:c r="J1339" s="33" t="str">
        <x:v>Episode 7</x:v>
      </x:c>
      <x:c r="K1339" s="33" t="str"/>
      <x:c r="L1339" s="33" t="str"/>
      <x:c r="M1339" s="44" t="str"/>
      <x:c r="N1339" s="50" t="n">
        <x:v>55</x:v>
      </x:c>
      <x:c r="O1339" s="53" t="str"/>
      <x:c r="P1339" s="53" t="str">
        <x:v>French Law &amp; Order: Criminal Intent adaptation</x:v>
      </x:c>
      <x:c r="Q1339" s="17" t="str">
        <x:v>1459616</x:v>
      </x:c>
      <x:c r="R1339" s="17" t="str">
        <x:v>tt1026062</x:v>
      </x:c>
      <x:c r="S1339" s="17" t="str"/>
    </x:row>
    <x:row r="1340">
      <x:c r="A1340" s="43" t="n">
        <x:v>1336</x:v>
      </x:c>
      <x:c r="B1340" s="44" t="str">
        <x:v>Not Started</x:v>
      </x:c>
      <x:c r="C1340" s="45" t="n">
        <x:v>39225</x:v>
      </x:c>
      <x:c r="D1340" s="33" t="str">
        <x:v>Paris enquêtes criminelles</x:v>
      </x:c>
      <x:c r="E1340" s="33" t="str">
        <x:v>Law &amp; Order</x:v>
      </x:c>
      <x:c r="F1340" s="33" t="str">
        <x:v>complete</x:v>
      </x:c>
      <x:c r="G1340" s="50" t="n">
        <x:v>1</x:v>
      </x:c>
      <x:c r="H1340" s="50" t="n">
        <x:v>8</x:v>
      </x:c>
      <x:c r="I1340" s="44" t="str">
        <x:v>01.08</x:v>
      </x:c>
      <x:c r="J1340" s="33" t="str">
        <x:v>Episode 8</x:v>
      </x:c>
      <x:c r="K1340" s="33" t="str"/>
      <x:c r="L1340" s="33" t="str"/>
      <x:c r="M1340" s="44" t="str"/>
      <x:c r="N1340" s="50" t="n">
        <x:v>55</x:v>
      </x:c>
      <x:c r="O1340" s="53" t="str"/>
      <x:c r="P1340" s="53" t="str">
        <x:v>French Law &amp; Order: Criminal Intent adaptation</x:v>
      </x:c>
      <x:c r="Q1340" s="17" t="str">
        <x:v>1459618</x:v>
      </x:c>
      <x:c r="R1340" s="17" t="str">
        <x:v>tt1036290</x:v>
      </x:c>
      <x:c r="S1340" s="17" t="str"/>
    </x:row>
    <x:row r="1341">
      <x:c r="A1341" s="43" t="n">
        <x:v>1337</x:v>
      </x:c>
      <x:c r="B1341" s="44" t="str">
        <x:v>Not Started</x:v>
      </x:c>
      <x:c r="C1341" s="45" t="n">
        <x:v>39350</x:v>
      </x:c>
      <x:c r="D1341" s="33" t="str">
        <x:v>Law &amp; Order: Special Victims Unit</x:v>
      </x:c>
      <x:c r="E1341" s="33" t="str">
        <x:v>Law &amp; Order</x:v>
      </x:c>
      <x:c r="F1341" s="33" t="str">
        <x:v>core</x:v>
      </x:c>
      <x:c r="G1341" s="50" t="n">
        <x:v>9</x:v>
      </x:c>
      <x:c r="H1341" s="50" t="n">
        <x:v>1</x:v>
      </x:c>
      <x:c r="I1341" s="44" t="str">
        <x:v>09.01</x:v>
      </x:c>
      <x:c r="J1341" s="33" t="str">
        <x:v>Alternate</x:v>
      </x:c>
      <x:c r="K1341" s="33" t="str"/>
      <x:c r="L1341" s="33" t="str"/>
      <x:c r="M1341" s="44" t="str"/>
      <x:c r="N1341" s="50" t="n">
        <x:v>43</x:v>
      </x:c>
      <x:c r="O1341" s="53" t="str">
        <x:v>Benson and Stabler investigate a suspected child abuse case only to learn that the woman who reported it is the real case.</x:v>
      </x:c>
      <x:c r="P1341" s="53" t="str">
        <x:v>Core Law &amp; Order franchise</x:v>
      </x:c>
      <x:c r="Q1341" s="17" t="str">
        <x:v>225124</x:v>
      </x:c>
      <x:c r="R1341" s="17" t="str">
        <x:v>tt1015431</x:v>
      </x:c>
      <x:c r="S1341" s="17" t="str">
        <x:v>915</x:v>
      </x:c>
    </x:row>
    <x:row r="1342">
      <x:c r="A1342" s="43" t="n">
        <x:v>1338</x:v>
      </x:c>
      <x:c r="B1342" s="44" t="str">
        <x:v>Not Started</x:v>
      </x:c>
      <x:c r="C1342" s="45" t="n">
        <x:v>39357</x:v>
      </x:c>
      <x:c r="D1342" s="33" t="str">
        <x:v>Law &amp; Order: Special Victims Unit</x:v>
      </x:c>
      <x:c r="E1342" s="33" t="str">
        <x:v>Law &amp; Order</x:v>
      </x:c>
      <x:c r="F1342" s="33" t="str">
        <x:v>core</x:v>
      </x:c>
      <x:c r="G1342" s="50" t="n">
        <x:v>9</x:v>
      </x:c>
      <x:c r="H1342" s="50" t="n">
        <x:v>2</x:v>
      </x:c>
      <x:c r="I1342" s="44" t="str">
        <x:v>09.02</x:v>
      </x:c>
      <x:c r="J1342" s="33" t="str">
        <x:v>Avatar</x:v>
      </x:c>
      <x:c r="K1342" s="33" t="str"/>
      <x:c r="L1342" s="33" t="str"/>
      <x:c r="M1342" s="44" t="str"/>
      <x:c r="N1342" s="50" t="n">
        <x:v>42</x:v>
      </x:c>
      <x:c r="O1342" s="53" t="str">
        <x:v>Detectives are troubled to learn that someone has taken an online game too far when a girl goes missing.</x:v>
      </x:c>
      <x:c r="P1342" s="53" t="str">
        <x:v>Core Law &amp; Order franchise</x:v>
      </x:c>
      <x:c r="Q1342" s="17" t="str">
        <x:v>225125</x:v>
      </x:c>
      <x:c r="R1342" s="17" t="str">
        <x:v>tt1015442</x:v>
      </x:c>
      <x:c r="S1342" s="17" t="str">
        <x:v>916</x:v>
      </x:c>
    </x:row>
    <x:row r="1343">
      <x:c r="A1343" s="43" t="n">
        <x:v>1339</x:v>
      </x:c>
      <x:c r="B1343" s="44" t="str">
        <x:v>Not Started</x:v>
      </x:c>
      <x:c r="C1343" s="45" t="n">
        <x:v>39359</x:v>
      </x:c>
      <x:c r="D1343" s="33" t="str">
        <x:v>Law &amp; Order: Criminal Intent</x:v>
      </x:c>
      <x:c r="E1343" s="33" t="str">
        <x:v>Law &amp; Order</x:v>
      </x:c>
      <x:c r="F1343" s="33" t="str">
        <x:v>core</x:v>
      </x:c>
      <x:c r="G1343" s="50" t="n">
        <x:v>7</x:v>
      </x:c>
      <x:c r="H1343" s="50" t="n">
        <x:v>1</x:v>
      </x:c>
      <x:c r="I1343" s="44" t="str">
        <x:v>07.01</x:v>
      </x:c>
      <x:c r="J1343" s="33" t="str">
        <x:v>Amends</x:v>
      </x:c>
      <x:c r="K1343" s="33" t="str"/>
      <x:c r="L1343" s="33" t="str"/>
      <x:c r="M1343" s="44" t="str"/>
      <x:c r="N1343" s="50" t="n">
        <x:v>43</x:v>
      </x:c>
      <x:c r="O1343" s="53" t="str">
        <x:v>Eames re-opens the case into her husband's murder.</x:v>
      </x:c>
      <x:c r="P1343" s="53" t="str">
        <x:v>Core Law &amp; Order franchise</x:v>
      </x:c>
      <x:c r="Q1343" s="17" t="str">
        <x:v>341345</x:v>
      </x:c>
      <x:c r="R1343" s="17" t="str">
        <x:v>tt1031382</x:v>
      </x:c>
      <x:c r="S1343" s="17" t="str">
        <x:v>917</x:v>
      </x:c>
    </x:row>
    <x:row r="1344">
      <x:c r="A1344" s="43" t="n">
        <x:v>1340</x:v>
      </x:c>
      <x:c r="B1344" s="44" t="str">
        <x:v>Not Started</x:v>
      </x:c>
      <x:c r="C1344" s="45" t="n">
        <x:v>39364</x:v>
      </x:c>
      <x:c r="D1344" s="33" t="str">
        <x:v>Law &amp; Order: Special Victims Unit</x:v>
      </x:c>
      <x:c r="E1344" s="33" t="str">
        <x:v>Law &amp; Order</x:v>
      </x:c>
      <x:c r="F1344" s="33" t="str">
        <x:v>core</x:v>
      </x:c>
      <x:c r="G1344" s="50" t="n">
        <x:v>9</x:v>
      </x:c>
      <x:c r="H1344" s="50" t="n">
        <x:v>3</x:v>
      </x:c>
      <x:c r="I1344" s="44" t="str">
        <x:v>09.03</x:v>
      </x:c>
      <x:c r="J1344" s="33" t="str">
        <x:v>Impulsive</x:v>
      </x:c>
      <x:c r="K1344" s="33" t="str"/>
      <x:c r="L1344" s="33" t="str"/>
      <x:c r="M1344" s="44" t="str"/>
      <x:c r="N1344" s="50" t="n">
        <x:v>42</x:v>
      </x:c>
      <x:c r="O1344" s="53" t="str">
        <x:v>A teacher claims that a student pursued her after she's charged with raping him.</x:v>
      </x:c>
      <x:c r="P1344" s="53" t="str">
        <x:v>Core Law &amp; Order franchise</x:v>
      </x:c>
      <x:c r="Q1344" s="17" t="str">
        <x:v>225126</x:v>
      </x:c>
      <x:c r="R1344" s="17" t="str">
        <x:v>tt1015446</x:v>
      </x:c>
      <x:c r="S1344" s="17" t="str">
        <x:v>918</x:v>
      </x:c>
    </x:row>
    <x:row r="1345">
      <x:c r="A1345" s="43" t="n">
        <x:v>1341</x:v>
      </x:c>
      <x:c r="B1345" s="44" t="str">
        <x:v>Not Started</x:v>
      </x:c>
      <x:c r="C1345" s="45" t="n">
        <x:v>39366</x:v>
      </x:c>
      <x:c r="D1345" s="33" t="str">
        <x:v>Law &amp; Order: Criminal Intent</x:v>
      </x:c>
      <x:c r="E1345" s="33" t="str">
        <x:v>Law &amp; Order</x:v>
      </x:c>
      <x:c r="F1345" s="33" t="str">
        <x:v>core</x:v>
      </x:c>
      <x:c r="G1345" s="50" t="n">
        <x:v>7</x:v>
      </x:c>
      <x:c r="H1345" s="50" t="n">
        <x:v>2</x:v>
      </x:c>
      <x:c r="I1345" s="44" t="str">
        <x:v>07.02</x:v>
      </x:c>
      <x:c r="J1345" s="33" t="str">
        <x:v>Seeds</x:v>
      </x:c>
      <x:c r="K1345" s="33" t="str"/>
      <x:c r="L1345" s="33" t="str"/>
      <x:c r="M1345" s="44" t="str"/>
      <x:c r="N1345" s="50" t="n">
        <x:v>43</x:v>
      </x:c>
      <x:c r="O1345" s="53" t="str">
        <x:v>Genetics drive the murder of a doctor and the subsequent investigation.</x:v>
      </x:c>
      <x:c r="P1345" s="53" t="str">
        <x:v>Core Law &amp; Order franchise</x:v>
      </x:c>
      <x:c r="Q1345" s="17" t="str">
        <x:v>341346</x:v>
      </x:c>
      <x:c r="R1345" s="17" t="str">
        <x:v>tt1031393</x:v>
      </x:c>
      <x:c r="S1345" s="17" t="str">
        <x:v>919</x:v>
      </x:c>
    </x:row>
    <x:row r="1346">
      <x:c r="A1346" s="43" t="n">
        <x:v>1342</x:v>
      </x:c>
      <x:c r="B1346" s="44" t="str">
        <x:v>Not Started</x:v>
      </x:c>
      <x:c r="C1346" s="45" t="n">
        <x:v>39371</x:v>
      </x:c>
      <x:c r="D1346" s="33" t="str">
        <x:v>Law &amp; Order: Special Victims Unit</x:v>
      </x:c>
      <x:c r="E1346" s="33" t="str">
        <x:v>Law &amp; Order</x:v>
      </x:c>
      <x:c r="F1346" s="33" t="str">
        <x:v>core</x:v>
      </x:c>
      <x:c r="G1346" s="50" t="n">
        <x:v>9</x:v>
      </x:c>
      <x:c r="H1346" s="50" t="n">
        <x:v>4</x:v>
      </x:c>
      <x:c r="I1346" s="44" t="str">
        <x:v>09.04</x:v>
      </x:c>
      <x:c r="J1346" s="33" t="str">
        <x:v>Savant</x:v>
      </x:c>
      <x:c r="K1346" s="33" t="str"/>
      <x:c r="L1346" s="33" t="str"/>
      <x:c r="M1346" s="44" t="str"/>
      <x:c r="N1346" s="50" t="n">
        <x:v>43</x:v>
      </x:c>
      <x:c r="O1346" s="53" t="str">
        <x:v>The only witness to a young woman's horrific beating is her mentally challenged daughter.</x:v>
      </x:c>
      <x:c r="P1346" s="53" t="str">
        <x:v>Core Law &amp; Order franchise</x:v>
      </x:c>
      <x:c r="Q1346" s="17" t="str">
        <x:v>225127</x:v>
      </x:c>
      <x:c r="R1346" s="17" t="str">
        <x:v>tt1015447</x:v>
      </x:c>
      <x:c r="S1346" s="17" t="str">
        <x:v>920</x:v>
      </x:c>
    </x:row>
    <x:row r="1347">
      <x:c r="A1347" s="43" t="n">
        <x:v>1343</x:v>
      </x:c>
      <x:c r="B1347" s="44" t="str">
        <x:v>Not Started</x:v>
      </x:c>
      <x:c r="C1347" s="45" t="n">
        <x:v>39373</x:v>
      </x:c>
      <x:c r="D1347" s="33" t="str">
        <x:v>Law &amp; Order: Criminal Intent</x:v>
      </x:c>
      <x:c r="E1347" s="33" t="str">
        <x:v>Law &amp; Order</x:v>
      </x:c>
      <x:c r="F1347" s="33" t="str">
        <x:v>core</x:v>
      </x:c>
      <x:c r="G1347" s="50" t="n">
        <x:v>7</x:v>
      </x:c>
      <x:c r="H1347" s="50" t="n">
        <x:v>3</x:v>
      </x:c>
      <x:c r="I1347" s="44" t="str">
        <x:v>07.03</x:v>
      </x:c>
      <x:c r="J1347" s="33" t="str">
        <x:v>Smile</x:v>
      </x:c>
      <x:c r="K1347" s="33" t="str"/>
      <x:c r="L1347" s="33" t="str"/>
      <x:c r="M1347" s="44" t="str"/>
      <x:c r="N1347" s="50" t="n">
        <x:v>43</x:v>
      </x:c>
      <x:c r="O1347" s="53" t="str">
        <x:v>When a dentist is murdered by the mother of one of his patients, Goren and Eames follow the trail of evidence to a company that appears to have been the victim of a criminal conspiracy involving contaminated mouthwash.</x:v>
      </x:c>
      <x:c r="P1347" s="53" t="str">
        <x:v>Core Law &amp; Order franchise</x:v>
      </x:c>
      <x:c r="Q1347" s="17" t="str">
        <x:v>341347</x:v>
      </x:c>
      <x:c r="R1347" s="17" t="str">
        <x:v>tt1031397</x:v>
      </x:c>
      <x:c r="S1347" s="17" t="str">
        <x:v>921</x:v>
      </x:c>
    </x:row>
    <x:row r="1348">
      <x:c r="A1348" s="43" t="n">
        <x:v>1344</x:v>
      </x:c>
      <x:c r="B1348" s="44" t="str">
        <x:v>Not Started</x:v>
      </x:c>
      <x:c r="C1348" s="45" t="n">
        <x:v>39378</x:v>
      </x:c>
      <x:c r="D1348" s="33" t="str">
        <x:v>Law &amp; Order: Special Victims Unit</x:v>
      </x:c>
      <x:c r="E1348" s="33" t="str">
        <x:v>Law &amp; Order</x:v>
      </x:c>
      <x:c r="F1348" s="33" t="str">
        <x:v>core</x:v>
      </x:c>
      <x:c r="G1348" s="50" t="n">
        <x:v>9</x:v>
      </x:c>
      <x:c r="H1348" s="50" t="n">
        <x:v>5</x:v>
      </x:c>
      <x:c r="I1348" s="44" t="str">
        <x:v>09.05</x:v>
      </x:c>
      <x:c r="J1348" s="33" t="str">
        <x:v>Harm</x:v>
      </x:c>
      <x:c r="K1348" s="33" t="str"/>
      <x:c r="L1348" s="33" t="str"/>
      <x:c r="M1348" s="44" t="str"/>
      <x:c r="N1348" s="50" t="n">
        <x:v>42</x:v>
      </x:c>
      <x:c r="O1348" s="53" t="str">
        <x:v>Benson and Stabler investigate the connection between the New York murder of college counselor Kate Simes and her volunteer work at a refugee center working with soldiers tortured in Iraq.</x:v>
      </x:c>
      <x:c r="P1348" s="53" t="str">
        <x:v>Core Law &amp; Order franchise</x:v>
      </x:c>
      <x:c r="Q1348" s="17" t="str">
        <x:v>225128</x:v>
      </x:c>
      <x:c r="R1348" s="17" t="str">
        <x:v>tt1015448</x:v>
      </x:c>
      <x:c r="S1348" s="17" t="str">
        <x:v>922</x:v>
      </x:c>
    </x:row>
    <x:row r="1349">
      <x:c r="A1349" s="43" t="n">
        <x:v>1345</x:v>
      </x:c>
      <x:c r="B1349" s="44" t="str">
        <x:v>Not Started</x:v>
      </x:c>
      <x:c r="C1349" s="45" t="n">
        <x:v>39380</x:v>
      </x:c>
      <x:c r="D1349" s="33" t="str">
        <x:v>Law &amp; Order: Criminal Intent</x:v>
      </x:c>
      <x:c r="E1349" s="33" t="str">
        <x:v>Law &amp; Order</x:v>
      </x:c>
      <x:c r="F1349" s="33" t="str">
        <x:v>core</x:v>
      </x:c>
      <x:c r="G1349" s="50" t="n">
        <x:v>7</x:v>
      </x:c>
      <x:c r="H1349" s="50" t="n">
        <x:v>4</x:v>
      </x:c>
      <x:c r="I1349" s="44" t="str">
        <x:v>07.04</x:v>
      </x:c>
      <x:c r="J1349" s="33" t="str">
        <x:v>Lonelyville</x:v>
      </x:c>
      <x:c r="K1349" s="33" t="str"/>
      <x:c r="L1349" s="33" t="str"/>
      <x:c r="M1349" s="44" t="str"/>
      <x:c r="N1349" s="50" t="n">
        <x:v>43</x:v>
      </x:c>
      <x:c r="O1349" s="53" t="str">
        <x:v>When a dead woman is found tied up in a motel room, Logan and Falacci follow the leads to a lonely writer.</x:v>
      </x:c>
      <x:c r="P1349" s="53" t="str">
        <x:v>Core Law &amp; Order franchise</x:v>
      </x:c>
      <x:c r="Q1349" s="17" t="str">
        <x:v>341348</x:v>
      </x:c>
      <x:c r="R1349" s="17" t="str">
        <x:v>tt1133084</x:v>
      </x:c>
      <x:c r="S1349" s="17" t="str">
        <x:v>923</x:v>
      </x:c>
    </x:row>
    <x:row r="1350">
      <x:c r="A1350" s="43" t="n">
        <x:v>1346</x:v>
      </x:c>
      <x:c r="B1350" s="44" t="str">
        <x:v>Not Started</x:v>
      </x:c>
      <x:c r="C1350" s="45" t="n">
        <x:v>39387</x:v>
      </x:c>
      <x:c r="D1350" s="33" t="str">
        <x:v>Law &amp; Order: Criminal Intent</x:v>
      </x:c>
      <x:c r="E1350" s="33" t="str">
        <x:v>Law &amp; Order</x:v>
      </x:c>
      <x:c r="F1350" s="33" t="str">
        <x:v>core</x:v>
      </x:c>
      <x:c r="G1350" s="50" t="n">
        <x:v>7</x:v>
      </x:c>
      <x:c r="H1350" s="50" t="n">
        <x:v>5</x:v>
      </x:c>
      <x:c r="I1350" s="44" t="str">
        <x:v>07.05</x:v>
      </x:c>
      <x:c r="J1350" s="33" t="str">
        <x:v>Depths</x:v>
      </x:c>
      <x:c r="K1350" s="33" t="str"/>
      <x:c r="L1350" s="33" t="str"/>
      <x:c r="M1350" s="44" t="str"/>
      <x:c r="N1350" s="50" t="n">
        <x:v>43</x:v>
      </x:c>
      <x:c r="O1350" s="53" t="str">
        <x:v>Terrorism is initially suspected after the body of a young Arabic diver washes up on the shore, but Goren and Eames soon learn that the victim was part of a trio of con artists that were working as salvagers for a wealthy local man.</x:v>
      </x:c>
      <x:c r="P1350" s="53" t="str">
        <x:v>Core Law &amp; Order franchise</x:v>
      </x:c>
      <x:c r="Q1350" s="17" t="str">
        <x:v>341349</x:v>
      </x:c>
      <x:c r="R1350" s="17" t="str">
        <x:v>tt1133738</x:v>
      </x:c>
      <x:c r="S1350" s="17" t="str">
        <x:v>924</x:v>
      </x:c>
    </x:row>
    <x:row r="1351">
      <x:c r="A1351" s="43" t="n">
        <x:v>1347</x:v>
      </x:c>
      <x:c r="B1351" s="44" t="str">
        <x:v>Not Started</x:v>
      </x:c>
      <x:c r="C1351" s="45" t="n">
        <x:v>39392</x:v>
      </x:c>
      <x:c r="D1351" s="33" t="str">
        <x:v>Law &amp; Order: Special Victims Unit</x:v>
      </x:c>
      <x:c r="E1351" s="33" t="str">
        <x:v>Law &amp; Order</x:v>
      </x:c>
      <x:c r="F1351" s="33" t="str">
        <x:v>core</x:v>
      </x:c>
      <x:c r="G1351" s="50" t="n">
        <x:v>9</x:v>
      </x:c>
      <x:c r="H1351" s="50" t="n">
        <x:v>6</x:v>
      </x:c>
      <x:c r="I1351" s="44" t="str">
        <x:v>09.06</x:v>
      </x:c>
      <x:c r="J1351" s="33" t="str">
        <x:v>Svengali</x:v>
      </x:c>
      <x:c r="K1351" s="33" t="str"/>
      <x:c r="L1351" s="33" t="str"/>
      <x:c r="M1351" s="44" t="str"/>
      <x:c r="N1351" s="50" t="n">
        <x:v>43</x:v>
      </x:c>
      <x:c r="O1351" s="53" t="str">
        <x:v>Benson comes under fire from fans of a convicted serial killer after a body turns up that greatly resembles his work.</x:v>
      </x:c>
      <x:c r="P1351" s="53" t="str">
        <x:v>Core Law &amp; Order franchise</x:v>
      </x:c>
      <x:c r="Q1351" s="17" t="str">
        <x:v>225129</x:v>
      </x:c>
      <x:c r="R1351" s="17" t="str">
        <x:v>tt1015449</x:v>
      </x:c>
      <x:c r="S1351" s="17" t="str">
        <x:v>925</x:v>
      </x:c>
    </x:row>
    <x:row r="1352">
      <x:c r="A1352" s="43" t="n">
        <x:v>1348</x:v>
      </x:c>
      <x:c r="B1352" s="44" t="str">
        <x:v>Not Started</x:v>
      </x:c>
      <x:c r="C1352" s="45" t="n">
        <x:v>39394</x:v>
      </x:c>
      <x:c r="D1352" s="33" t="str">
        <x:v>Law &amp; Order: Criminal Intent</x:v>
      </x:c>
      <x:c r="E1352" s="33" t="str">
        <x:v>Law &amp; Order</x:v>
      </x:c>
      <x:c r="F1352" s="33" t="str">
        <x:v>core</x:v>
      </x:c>
      <x:c r="G1352" s="50" t="n">
        <x:v>7</x:v>
      </x:c>
      <x:c r="H1352" s="50" t="n">
        <x:v>6</x:v>
      </x:c>
      <x:c r="I1352" s="44" t="str">
        <x:v>07.06</x:v>
      </x:c>
      <x:c r="J1352" s="33" t="str">
        <x:v>Courtship</x:v>
      </x:c>
      <x:c r="K1352" s="33" t="str"/>
      <x:c r="L1352" s="33" t="str"/>
      <x:c r="M1352" s="44" t="str"/>
      <x:c r="N1352" s="50" t="n">
        <x:v>42</x:v>
      </x:c>
      <x:c r="O1352" s="53" t="str">
        <x:v>A private investigator is at the heart of the murder of a judge's wife.</x:v>
      </x:c>
      <x:c r="P1352" s="53" t="str">
        <x:v>Core Law &amp; Order franchise</x:v>
      </x:c>
      <x:c r="Q1352" s="17" t="str">
        <x:v>341350</x:v>
      </x:c>
      <x:c r="R1352" s="17" t="str">
        <x:v>tt1031400</x:v>
      </x:c>
      <x:c r="S1352" s="17" t="str">
        <x:v>926</x:v>
      </x:c>
    </x:row>
    <x:row r="1353">
      <x:c r="A1353" s="43" t="n">
        <x:v>1349</x:v>
      </x:c>
      <x:c r="B1353" s="44" t="str">
        <x:v>Not Started</x:v>
      </x:c>
      <x:c r="C1353" s="45" t="n">
        <x:v>39399</x:v>
      </x:c>
      <x:c r="D1353" s="33" t="str">
        <x:v>Law &amp; Order: Special Victims Unit</x:v>
      </x:c>
      <x:c r="E1353" s="33" t="str">
        <x:v>Law &amp; Order</x:v>
      </x:c>
      <x:c r="F1353" s="33" t="str">
        <x:v>core</x:v>
      </x:c>
      <x:c r="G1353" s="50" t="n">
        <x:v>9</x:v>
      </x:c>
      <x:c r="H1353" s="50" t="n">
        <x:v>7</x:v>
      </x:c>
      <x:c r="I1353" s="44" t="str">
        <x:v>09.07</x:v>
      </x:c>
      <x:c r="J1353" s="33" t="str">
        <x:v>Blinded</x:v>
      </x:c>
      <x:c r="K1353" s="33" t="str"/>
      <x:c r="L1353" s="33" t="str"/>
      <x:c r="M1353" s="44" t="str"/>
      <x:c r="N1353" s="50" t="n">
        <x:v>42</x:v>
      </x:c>
      <x:c r="O1353" s="53" t="str">
        <x:v>Novak confronts ghosts from her past while handling the trial of a schizophrenic serial rapist, who seriously injured Stabler.</x:v>
      </x:c>
      <x:c r="P1353" s="53" t="str">
        <x:v>Core Law &amp; Order franchise</x:v>
      </x:c>
      <x:c r="Q1353" s="17" t="str">
        <x:v>225130</x:v>
      </x:c>
      <x:c r="R1353" s="17" t="str">
        <x:v>tt1015450</x:v>
      </x:c>
      <x:c r="S1353" s="17" t="str">
        <x:v>927</x:v>
      </x:c>
    </x:row>
    <x:row r="1354">
      <x:c r="A1354" s="43" t="n">
        <x:v>1350</x:v>
      </x:c>
      <x:c r="B1354" s="44" t="str">
        <x:v>Not Started</x:v>
      </x:c>
      <x:c r="C1354" s="45" t="n">
        <x:v>39401</x:v>
      </x:c>
      <x:c r="D1354" s="33" t="str">
        <x:v>Law &amp; Order: Criminal Intent</x:v>
      </x:c>
      <x:c r="E1354" s="33" t="str">
        <x:v>Law &amp; Order</x:v>
      </x:c>
      <x:c r="F1354" s="33" t="str">
        <x:v>core</x:v>
      </x:c>
      <x:c r="G1354" s="50" t="n">
        <x:v>7</x:v>
      </x:c>
      <x:c r="H1354" s="50" t="n">
        <x:v>7</x:v>
      </x:c>
      <x:c r="I1354" s="44" t="str">
        <x:v>07.07</x:v>
      </x:c>
      <x:c r="J1354" s="33" t="str">
        <x:v>Self-made</x:v>
      </x:c>
      <x:c r="K1354" s="33" t="str"/>
      <x:c r="L1354" s="33" t="str"/>
      <x:c r="M1354" s="44" t="str"/>
      <x:c r="N1354" s="50" t="n">
        <x:v>43</x:v>
      </x:c>
      <x:c r="O1354" s="53" t="str">
        <x:v>Goren and Eames investigate the death of a writer, and whether her torture has ties to the 'hood she came from.</x:v>
      </x:c>
      <x:c r="P1354" s="53" t="str">
        <x:v>Core Law &amp; Order franchise</x:v>
      </x:c>
      <x:c r="Q1354" s="17" t="str">
        <x:v>341351</x:v>
      </x:c>
      <x:c r="R1354" s="17" t="str">
        <x:v>tt1031401</x:v>
      </x:c>
      <x:c r="S1354" s="17" t="str">
        <x:v>928</x:v>
      </x:c>
    </x:row>
    <x:row r="1355">
      <x:c r="A1355" s="43" t="n">
        <x:v>1351</x:v>
      </x:c>
      <x:c r="B1355" s="44" t="str">
        <x:v>Not Started</x:v>
      </x:c>
      <x:c r="C1355" s="45" t="n">
        <x:v>39406</x:v>
      </x:c>
      <x:c r="D1355" s="33" t="str">
        <x:v>Law &amp; Order: Special Victims Unit</x:v>
      </x:c>
      <x:c r="E1355" s="33" t="str">
        <x:v>Law &amp; Order</x:v>
      </x:c>
      <x:c r="F1355" s="33" t="str">
        <x:v>core</x:v>
      </x:c>
      <x:c r="G1355" s="50" t="n">
        <x:v>9</x:v>
      </x:c>
      <x:c r="H1355" s="50" t="n">
        <x:v>8</x:v>
      </x:c>
      <x:c r="I1355" s="44" t="str">
        <x:v>09.08</x:v>
      </x:c>
      <x:c r="J1355" s="33" t="str">
        <x:v>Fight</x:v>
      </x:c>
      <x:c r="K1355" s="33" t="str"/>
      <x:c r="L1355" s="33" t="str"/>
      <x:c r="M1355" s="44" t="str"/>
      <x:c r="N1355" s="50" t="n">
        <x:v>43</x:v>
      </x:c>
      <x:c r="O1355" s="53" t="str">
        <x:v>Detectives find themselves embroiled in the world of ultimate fighting after a young girl's death.</x:v>
      </x:c>
      <x:c r="P1355" s="53" t="str">
        <x:v>Core Law &amp; Order franchise</x:v>
      </x:c>
      <x:c r="Q1355" s="17" t="str">
        <x:v>225131</x:v>
      </x:c>
      <x:c r="R1355" s="17" t="str">
        <x:v>tt1015451</x:v>
      </x:c>
      <x:c r="S1355" s="17" t="str">
        <x:v>929</x:v>
      </x:c>
    </x:row>
    <x:row r="1356">
      <x:c r="A1356" s="43" t="n">
        <x:v>1352</x:v>
      </x:c>
      <x:c r="B1356" s="44" t="str">
        <x:v>Not Started</x:v>
      </x:c>
      <x:c r="C1356" s="45" t="n">
        <x:v>39413</x:v>
      </x:c>
      <x:c r="D1356" s="33" t="str">
        <x:v>Law &amp; Order: Special Victims Unit</x:v>
      </x:c>
      <x:c r="E1356" s="33" t="str">
        <x:v>Law &amp; Order</x:v>
      </x:c>
      <x:c r="F1356" s="33" t="str">
        <x:v>core</x:v>
      </x:c>
      <x:c r="G1356" s="50" t="n">
        <x:v>9</x:v>
      </x:c>
      <x:c r="H1356" s="50" t="n">
        <x:v>9</x:v>
      </x:c>
      <x:c r="I1356" s="44" t="str">
        <x:v>09.09</x:v>
      </x:c>
      <x:c r="J1356" s="33" t="str">
        <x:v>Paternity</x:v>
      </x:c>
      <x:c r="K1356" s="33" t="str"/>
      <x:c r="L1356" s="33" t="str"/>
      <x:c r="M1356" s="44" t="str"/>
      <x:c r="N1356" s="50" t="n">
        <x:v>43</x:v>
      </x:c>
      <x:c r="O1356" s="53" t="str">
        <x:v>When the paternity of a missing young boy is placed into question, Stabler wonders if he really is the father of Kathy's child. Later, Stabler faces the possibility of losing not only his partner but also Kathy and the baby when she and Benson are in an accident.</x:v>
      </x:c>
      <x:c r="P1356" s="53" t="str">
        <x:v>Core Law &amp; Order franchise</x:v>
      </x:c>
      <x:c r="Q1356" s="17" t="str">
        <x:v>225132</x:v>
      </x:c>
      <x:c r="R1356" s="17" t="str">
        <x:v>tt1015452</x:v>
      </x:c>
      <x:c r="S1356" s="17" t="str">
        <x:v>930</x:v>
      </x:c>
    </x:row>
    <x:row r="1357">
      <x:c r="A1357" s="43" t="n">
        <x:v>1353</x:v>
      </x:c>
      <x:c r="B1357" s="44" t="str">
        <x:v>Not Started</x:v>
      </x:c>
      <x:c r="C1357" s="45" t="n">
        <x:v>39415</x:v>
      </x:c>
      <x:c r="D1357" s="33" t="str">
        <x:v>Law &amp; Order: Criminal Intent</x:v>
      </x:c>
      <x:c r="E1357" s="33" t="str">
        <x:v>Law &amp; Order</x:v>
      </x:c>
      <x:c r="F1357" s="33" t="str">
        <x:v>core</x:v>
      </x:c>
      <x:c r="G1357" s="50" t="n">
        <x:v>7</x:v>
      </x:c>
      <x:c r="H1357" s="50" t="n">
        <x:v>8</x:v>
      </x:c>
      <x:c r="I1357" s="44" t="str">
        <x:v>07.08</x:v>
      </x:c>
      <x:c r="J1357" s="33" t="str">
        <x:v>Offense</x:v>
      </x:c>
      <x:c r="K1357" s="33" t="str"/>
      <x:c r="L1357" s="33" t="str"/>
      <x:c r="M1357" s="44" t="str"/>
      <x:c r="N1357" s="50" t="n">
        <x:v>43</x:v>
      </x:c>
      <x:c r="O1357" s="53" t="str">
        <x:v>A rape trial goes wrong when a witness is killed, but the likely suspects – the football team members accused of the rape – turn out not so likely, and attention turns towards an attorney.</x:v>
      </x:c>
      <x:c r="P1357" s="53" t="str">
        <x:v>Core Law &amp; Order franchise</x:v>
      </x:c>
      <x:c r="Q1357" s="17" t="str">
        <x:v>341352</x:v>
      </x:c>
      <x:c r="R1357" s="17" t="str">
        <x:v>tt1031402</x:v>
      </x:c>
      <x:c r="S1357" s="17" t="str">
        <x:v>931</x:v>
      </x:c>
    </x:row>
    <x:row r="1358">
      <x:c r="A1358" s="43" t="n">
        <x:v>1354</x:v>
      </x:c>
      <x:c r="B1358" s="44" t="str">
        <x:v>Not Started</x:v>
      </x:c>
      <x:c r="C1358" s="45" t="n">
        <x:v>39420</x:v>
      </x:c>
      <x:c r="D1358" s="33" t="str">
        <x:v>Law &amp; Order: Special Victims Unit</x:v>
      </x:c>
      <x:c r="E1358" s="33" t="str">
        <x:v>Law &amp; Order</x:v>
      </x:c>
      <x:c r="F1358" s="33" t="str">
        <x:v>core</x:v>
      </x:c>
      <x:c r="G1358" s="50" t="n">
        <x:v>9</x:v>
      </x:c>
      <x:c r="H1358" s="50" t="n">
        <x:v>10</x:v>
      </x:c>
      <x:c r="I1358" s="44" t="str">
        <x:v>09.10</x:v>
      </x:c>
      <x:c r="J1358" s="33" t="str">
        <x:v>Snitch</x:v>
      </x:c>
      <x:c r="K1358" s="33" t="str"/>
      <x:c r="L1358" s="33" t="str"/>
      <x:c r="M1358" s="44" t="str"/>
      <x:c r="N1358" s="50" t="n">
        <x:v>41</x:v>
      </x:c>
      <x:c r="O1358" s="53" t="str">
        <x:v>When a polygamist's wife is murdered, he believes it's related to a recent criminal case he was testifying in, but detectives believe it may be connected to his culture.</x:v>
      </x:c>
      <x:c r="P1358" s="53" t="str">
        <x:v>Core Law &amp; Order franchise</x:v>
      </x:c>
      <x:c r="Q1358" s="17" t="str">
        <x:v>225133</x:v>
      </x:c>
      <x:c r="R1358" s="17" t="str">
        <x:v>tt1015432</x:v>
      </x:c>
      <x:c r="S1358" s="17" t="str">
        <x:v>932</x:v>
      </x:c>
    </x:row>
    <x:row r="1359">
      <x:c r="A1359" s="43" t="n">
        <x:v>1355</x:v>
      </x:c>
      <x:c r="B1359" s="44" t="str">
        <x:v>Not Started</x:v>
      </x:c>
      <x:c r="C1359" s="45" t="n">
        <x:v>39422</x:v>
      </x:c>
      <x:c r="D1359" s="33" t="str">
        <x:v>Law &amp; Order: Criminal Intent</x:v>
      </x:c>
      <x:c r="E1359" s="33" t="str">
        <x:v>Law &amp; Order</x:v>
      </x:c>
      <x:c r="F1359" s="33" t="str">
        <x:v>core</x:v>
      </x:c>
      <x:c r="G1359" s="50" t="n">
        <x:v>7</x:v>
      </x:c>
      <x:c r="H1359" s="50" t="n">
        <x:v>9</x:v>
      </x:c>
      <x:c r="I1359" s="44" t="str">
        <x:v>07.09</x:v>
      </x:c>
      <x:c r="J1359" s="33" t="str">
        <x:v>Untethered</x:v>
      </x:c>
      <x:c r="K1359" s="33" t="str"/>
      <x:c r="L1359" s="33" t="str"/>
      <x:c r="M1359" s="44" t="str"/>
      <x:c r="N1359" s="50" t="n">
        <x:v>43</x:v>
      </x:c>
      <x:c r="O1359" s="53" t="str">
        <x:v>Goren investigates when his nephew, a prisoner who's bipolar, claims that inmates are being abused to the point of murder.</x:v>
      </x:c>
      <x:c r="P1359" s="53" t="str">
        <x:v>Core Law &amp; Order franchise</x:v>
      </x:c>
      <x:c r="Q1359" s="17" t="str">
        <x:v>341353</x:v>
      </x:c>
      <x:c r="R1359" s="17" t="str">
        <x:v>tt1031403</x:v>
      </x:c>
      <x:c r="S1359" s="17" t="str">
        <x:v>933</x:v>
      </x:c>
    </x:row>
    <x:row r="1360">
      <x:c r="A1360" s="43" t="n">
        <x:v>1356</x:v>
      </x:c>
      <x:c r="B1360" s="44" t="str">
        <x:v>Not Started</x:v>
      </x:c>
      <x:c r="C1360" s="45" t="n">
        <x:v>39429</x:v>
      </x:c>
      <x:c r="D1360" s="33" t="str">
        <x:v>Law &amp; Order: Criminal Intent</x:v>
      </x:c>
      <x:c r="E1360" s="33" t="str">
        <x:v>Law &amp; Order</x:v>
      </x:c>
      <x:c r="F1360" s="33" t="str">
        <x:v>core</x:v>
      </x:c>
      <x:c r="G1360" s="50" t="n">
        <x:v>7</x:v>
      </x:c>
      <x:c r="H1360" s="50" t="n">
        <x:v>10</x:v>
      </x:c>
      <x:c r="I1360" s="44" t="str">
        <x:v>07.10</x:v>
      </x:c>
      <x:c r="J1360" s="33" t="str">
        <x:v>Senseless</x:v>
      </x:c>
      <x:c r="K1360" s="33" t="str"/>
      <x:c r="L1360" s="33" t="str"/>
      <x:c r="M1360" s="44" t="str"/>
      <x:c r="N1360" s="50" t="n">
        <x:v>43</x:v>
      </x:c>
      <x:c r="O1360" s="53" t="str">
        <x:v>Logan and Falacci investigate the execution-style murder of three young college freshmen.</x:v>
      </x:c>
      <x:c r="P1360" s="53" t="str">
        <x:v>Core Law &amp; Order franchise</x:v>
      </x:c>
      <x:c r="Q1360" s="17" t="str">
        <x:v>341354</x:v>
      </x:c>
      <x:c r="R1360" s="17" t="str">
        <x:v>tt1031383</x:v>
      </x:c>
      <x:c r="S1360" s="17" t="str">
        <x:v>934</x:v>
      </x:c>
    </x:row>
    <x:row r="1361">
      <x:c r="A1361" s="43" t="n">
        <x:v>1357</x:v>
      </x:c>
      <x:c r="B1361" s="44" t="str">
        <x:v>Not Started</x:v>
      </x:c>
      <x:c r="C1361" s="45" t="n">
        <x:v>39448</x:v>
      </x:c>
      <x:c r="D1361" s="33" t="str">
        <x:v>Law &amp; Order: Special Victims Unit</x:v>
      </x:c>
      <x:c r="E1361" s="33" t="str">
        <x:v>Law &amp; Order</x:v>
      </x:c>
      <x:c r="F1361" s="33" t="str">
        <x:v>core</x:v>
      </x:c>
      <x:c r="G1361" s="50" t="n">
        <x:v>9</x:v>
      </x:c>
      <x:c r="H1361" s="50" t="n">
        <x:v>11</x:v>
      </x:c>
      <x:c r="I1361" s="44" t="str">
        <x:v>09.11</x:v>
      </x:c>
      <x:c r="J1361" s="33" t="str">
        <x:v>Streetwise</x:v>
      </x:c>
      <x:c r="K1361" s="33" t="str"/>
      <x:c r="L1361" s="33" t="str"/>
      <x:c r="M1361" s="44" t="str"/>
      <x:c r="N1361" s="50" t="n">
        <x:v>43</x:v>
      </x:c>
      <x:c r="O1361" s="53" t="str">
        <x:v>A Park Avenue socialite's body is found in NYC'S Central Park, and Detectives Benson and Stabler initially suspect her wealthy boyfriend.</x:v>
      </x:c>
      <x:c r="P1361" s="53" t="str">
        <x:v>Core Law &amp; Order franchise</x:v>
      </x:c>
      <x:c r="Q1361" s="17" t="str">
        <x:v>225134</x:v>
      </x:c>
      <x:c r="R1361" s="17" t="str">
        <x:v>tt1015433</x:v>
      </x:c>
      <x:c r="S1361" s="17" t="str">
        <x:v>935</x:v>
      </x:c>
    </x:row>
    <x:row r="1362">
      <x:c r="A1362" s="43" t="n">
        <x:v>1358</x:v>
      </x:c>
      <x:c r="B1362" s="44" t="str">
        <x:v>Not Started</x:v>
      </x:c>
      <x:c r="C1362" s="45" t="n">
        <x:v>39449</x:v>
      </x:c>
      <x:c r="D1362" s="33" t="str">
        <x:v>Law &amp; Order</x:v>
      </x:c>
      <x:c r="E1362" s="33" t="str">
        <x:v>Law &amp; Order</x:v>
      </x:c>
      <x:c r="F1362" s="33" t="str">
        <x:v>core</x:v>
      </x:c>
      <x:c r="G1362" s="50" t="n">
        <x:v>18</x:v>
      </x:c>
      <x:c r="H1362" s="50" t="n">
        <x:v>1</x:v>
      </x:c>
      <x:c r="I1362" s="44" t="str">
        <x:v>18.01</x:v>
      </x:c>
      <x:c r="J1362" s="33" t="str">
        <x:v>Called Home</x:v>
      </x:c>
      <x:c r="K1362" s="33" t="str"/>
      <x:c r="L1362" s="33" t="str"/>
      <x:c r="M1362" s="44" t="str"/>
      <x:c r="N1362" s="50" t="n">
        <x:v>45</x:v>
      </x:c>
      <x:c r="O1362" s="53" t="str">
        <x:v>Cyrus Lupo returns to New York after four years abroad to deal with his own terror. Lupo and Green investigate two suicides committed the same way. The detectives are suspicious of a parolee known as "Dr. Death".</x:v>
      </x:c>
      <x:c r="P1362" s="53" t="str">
        <x:v>Core Law &amp; Order franchise</x:v>
      </x:c>
      <x:c r="Q1362" s="17" t="str">
        <x:v>34448</x:v>
      </x:c>
      <x:c r="R1362" s="17" t="str">
        <x:v>tt1031360</x:v>
      </x:c>
      <x:c r="S1362" s="17" t="str">
        <x:v>936</x:v>
      </x:c>
    </x:row>
    <x:row r="1363">
      <x:c r="A1363" s="43" t="n">
        <x:v>1359</x:v>
      </x:c>
      <x:c r="B1363" s="44" t="str">
        <x:v>Not Started</x:v>
      </x:c>
      <x:c r="C1363" s="45" t="n">
        <x:v>39449</x:v>
      </x:c>
      <x:c r="D1363" s="33" t="str">
        <x:v>Law &amp; Order</x:v>
      </x:c>
      <x:c r="E1363" s="33" t="str">
        <x:v>Law &amp; Order</x:v>
      </x:c>
      <x:c r="F1363" s="33" t="str">
        <x:v>core</x:v>
      </x:c>
      <x:c r="G1363" s="50" t="n">
        <x:v>18</x:v>
      </x:c>
      <x:c r="H1363" s="50" t="n">
        <x:v>2</x:v>
      </x:c>
      <x:c r="I1363" s="44" t="str">
        <x:v>18.02</x:v>
      </x:c>
      <x:c r="J1363" s="33" t="str">
        <x:v>Darkness</x:v>
      </x:c>
      <x:c r="K1363" s="33" t="str"/>
      <x:c r="L1363" s="33" t="str"/>
      <x:c r="M1363" s="44" t="str"/>
      <x:c r="N1363" s="50" t="n">
        <x:v>45</x:v>
      </x:c>
      <x:c r="O1363" s="53" t="str">
        <x:v>Lupo and Green's first offical case together is a kidnapping that happened during a citywide blackout; a housekeeper is slain and a mother and daughter are kidnapped. The evidence that links all the kidnappers is the father and husband of the kidnap victims. When they search the kidnappers' hideout, they find preparations which implies that the kidnappers knew that the blackout was coming. Cutter must convince the man to testify after he has lied about a search warrant to save the man's daughter, or else the kidnappers will all go free. Issues of a warrantless search arise. Courtroom scenes revolve around questions of Enron-like manipulation of energy.</x:v>
      </x:c>
      <x:c r="P1363" s="53" t="str">
        <x:v>Core Law &amp; Order franchise</x:v>
      </x:c>
      <x:c r="Q1363" s="17" t="str">
        <x:v>34449</x:v>
      </x:c>
      <x:c r="R1363" s="17" t="str">
        <x:v>tt1031371</x:v>
      </x:c>
      <x:c r="S1363" s="17" t="str">
        <x:v>937</x:v>
      </x:c>
    </x:row>
    <x:row r="1364">
      <x:c r="A1364" s="43" t="n">
        <x:v>1360</x:v>
      </x:c>
      <x:c r="B1364" s="44" t="str">
        <x:v>Not Started</x:v>
      </x:c>
      <x:c r="C1364" s="45" t="n">
        <x:v>39455</x:v>
      </x:c>
      <x:c r="D1364" s="33" t="str">
        <x:v>Law &amp; Order: Special Victims Unit</x:v>
      </x:c>
      <x:c r="E1364" s="33" t="str">
        <x:v>Law &amp; Order</x:v>
      </x:c>
      <x:c r="F1364" s="33" t="str">
        <x:v>core</x:v>
      </x:c>
      <x:c r="G1364" s="50" t="n">
        <x:v>9</x:v>
      </x:c>
      <x:c r="H1364" s="50" t="n">
        <x:v>12</x:v>
      </x:c>
      <x:c r="I1364" s="44" t="str">
        <x:v>09.12</x:v>
      </x:c>
      <x:c r="J1364" s="33" t="str">
        <x:v>Signature</x:v>
      </x:c>
      <x:c r="K1364" s="33" t="str"/>
      <x:c r="L1364" s="33" t="str"/>
      <x:c r="M1364" s="44" t="str"/>
      <x:c r="N1364" s="50" t="n">
        <x:v>43</x:v>
      </x:c>
      <x:c r="O1364" s="53" t="str">
        <x:v>A woman's body is found murdered in a park alongside a man with a bullet in his head - Benson and Special Agent Cooper join forces and suspect "The Woodsman", a serial killer Cooper has tried to catch for years. Lake and Benson begin to question Cooper's true motives when the male victim is later identified as "The Woodsman".</x:v>
      </x:c>
      <x:c r="P1364" s="53" t="str">
        <x:v>Core Law &amp; Order franchise</x:v>
      </x:c>
      <x:c r="Q1364" s="17" t="str">
        <x:v>225135</x:v>
      </x:c>
      <x:c r="R1364" s="17" t="str">
        <x:v>tt1015434</x:v>
      </x:c>
      <x:c r="S1364" s="17" t="str">
        <x:v>938</x:v>
      </x:c>
    </x:row>
    <x:row r="1365">
      <x:c r="A1365" s="43" t="n">
        <x:v>1361</x:v>
      </x:c>
      <x:c r="B1365" s="44" t="str">
        <x:v>Not Started</x:v>
      </x:c>
      <x:c r="C1365" s="45" t="n">
        <x:v>39456</x:v>
      </x:c>
      <x:c r="D1365" s="33" t="str">
        <x:v>Law &amp; Order</x:v>
      </x:c>
      <x:c r="E1365" s="33" t="str">
        <x:v>Law &amp; Order</x:v>
      </x:c>
      <x:c r="F1365" s="33" t="str">
        <x:v>core</x:v>
      </x:c>
      <x:c r="G1365" s="50" t="n">
        <x:v>18</x:v>
      </x:c>
      <x:c r="H1365" s="50" t="n">
        <x:v>3</x:v>
      </x:c>
      <x:c r="I1365" s="44" t="str">
        <x:v>18.03</x:v>
      </x:c>
      <x:c r="J1365" s="33" t="str">
        <x:v>Misbegotten</x:v>
      </x:c>
      <x:c r="K1365" s="33" t="str"/>
      <x:c r="L1365" s="33" t="str"/>
      <x:c r="M1365" s="44" t="str"/>
      <x:c r="N1365" s="50" t="n">
        <x:v>45</x:v>
      </x:c>
      <x:c r="O1365" s="53" t="str">
        <x:v>The explosion of a package including scientific research injures a pregnant security guard, leading to the investigation of the scientist's experiments.</x:v>
      </x:c>
      <x:c r="P1365" s="53" t="str">
        <x:v>Core Law &amp; Order franchise</x:v>
      </x:c>
      <x:c r="Q1365" s="17" t="str">
        <x:v>34450</x:v>
      </x:c>
      <x:c r="R1365" s="17" t="str">
        <x:v>tt1031375</x:v>
      </x:c>
      <x:c r="S1365" s="17" t="str">
        <x:v>939</x:v>
      </x:c>
    </x:row>
    <x:row r="1366">
      <x:c r="A1366" s="43" t="n">
        <x:v>1362</x:v>
      </x:c>
      <x:c r="B1366" s="44" t="str">
        <x:v>Not Started</x:v>
      </x:c>
      <x:c r="C1366" s="45" t="n">
        <x:v>39462</x:v>
      </x:c>
      <x:c r="D1366" s="33" t="str">
        <x:v>Law &amp; Order: Special Victims Unit</x:v>
      </x:c>
      <x:c r="E1366" s="33" t="str">
        <x:v>Law &amp; Order</x:v>
      </x:c>
      <x:c r="F1366" s="33" t="str">
        <x:v>core</x:v>
      </x:c>
      <x:c r="G1366" s="50" t="n">
        <x:v>9</x:v>
      </x:c>
      <x:c r="H1366" s="50" t="n">
        <x:v>13</x:v>
      </x:c>
      <x:c r="I1366" s="44" t="str">
        <x:v>09.13</x:v>
      </x:c>
      <x:c r="J1366" s="33" t="str">
        <x:v>Unorthodox</x:v>
      </x:c>
      <x:c r="K1366" s="33" t="str"/>
      <x:c r="L1366" s="33" t="str"/>
      <x:c r="M1366" s="44" t="str"/>
      <x:c r="N1366" s="50" t="n">
        <x:v>41</x:v>
      </x:c>
      <x:c r="O1366" s="53" t="str">
        <x:v>Benson and Stabler investigate a tutor after a student is beaten and sexually assaulted, but their investigation soon leads them to another student.</x:v>
      </x:c>
      <x:c r="P1366" s="53" t="str">
        <x:v>Core Law &amp; Order franchise</x:v>
      </x:c>
      <x:c r="Q1366" s="17" t="str">
        <x:v>225136</x:v>
      </x:c>
      <x:c r="R1366" s="17" t="str">
        <x:v>tt1015435</x:v>
      </x:c>
      <x:c r="S1366" s="17" t="str">
        <x:v>940</x:v>
      </x:c>
    </x:row>
    <x:row r="1367">
      <x:c r="A1367" s="43" t="n">
        <x:v>1363</x:v>
      </x:c>
      <x:c r="B1367" s="44" t="str">
        <x:v>Not Started</x:v>
      </x:c>
      <x:c r="C1367" s="45" t="n">
        <x:v>39463</x:v>
      </x:c>
      <x:c r="D1367" s="33" t="str">
        <x:v>Law &amp; Order</x:v>
      </x:c>
      <x:c r="E1367" s="33" t="str">
        <x:v>Law &amp; Order</x:v>
      </x:c>
      <x:c r="F1367" s="33" t="str">
        <x:v>core</x:v>
      </x:c>
      <x:c r="G1367" s="50" t="n">
        <x:v>18</x:v>
      </x:c>
      <x:c r="H1367" s="50" t="n">
        <x:v>4</x:v>
      </x:c>
      <x:c r="I1367" s="44" t="str">
        <x:v>18.04</x:v>
      </x:c>
      <x:c r="J1367" s="33" t="str">
        <x:v>Bottomless</x:v>
      </x:c>
      <x:c r="K1367" s="33" t="str"/>
      <x:c r="L1367" s="33" t="str"/>
      <x:c r="M1367" s="44" t="str"/>
      <x:c r="N1367" s="50" t="n">
        <x:v>45</x:v>
      </x:c>
      <x:c r="O1367" s="53" t="str">
        <x:v>The investigation into a pair of missing pants leads to the murder of a young lawyer. Lupo and Green soon turn their suspicions to a businessman who works for a shady multinational corporation called SavingsMart.</x:v>
      </x:c>
      <x:c r="P1367" s="53" t="str">
        <x:v>Core Law &amp; Order franchise</x:v>
      </x:c>
      <x:c r="Q1367" s="17" t="str">
        <x:v>34451</x:v>
      </x:c>
      <x:c r="R1367" s="17" t="str">
        <x:v>tt1031376</x:v>
      </x:c>
      <x:c r="S1367" s="17" t="str">
        <x:v>941</x:v>
      </x:c>
    </x:row>
    <x:row r="1368">
      <x:c r="A1368" s="43" t="n">
        <x:v>1364</x:v>
      </x:c>
      <x:c r="B1368" s="44" t="str">
        <x:v>Not Started</x:v>
      </x:c>
      <x:c r="C1368" s="45" t="n">
        <x:v>39469</x:v>
      </x:c>
      <x:c r="D1368" s="33" t="str">
        <x:v>Law &amp; Order: Special Victims Unit</x:v>
      </x:c>
      <x:c r="E1368" s="33" t="str">
        <x:v>Law &amp; Order</x:v>
      </x:c>
      <x:c r="F1368" s="33" t="str">
        <x:v>core</x:v>
      </x:c>
      <x:c r="G1368" s="50" t="n">
        <x:v>9</x:v>
      </x:c>
      <x:c r="H1368" s="50" t="n">
        <x:v>14</x:v>
      </x:c>
      <x:c r="I1368" s="44" t="str">
        <x:v>09.14</x:v>
      </x:c>
      <x:c r="J1368" s="33" t="str">
        <x:v>Inconceivable</x:v>
      </x:c>
      <x:c r="K1368" s="33" t="str"/>
      <x:c r="L1368" s="33" t="str"/>
      <x:c r="M1368" s="44" t="str"/>
      <x:c r="N1368" s="50" t="n">
        <x:v>41</x:v>
      </x:c>
      <x:c r="O1368" s="53" t="str">
        <x:v>The robbery of fertilized embryos from a sperm bank call for Benson and Stabler to track down the thief. Clues from the clinic's security tape lead them to a long list of suspects including two publicity-hungry extremists. The detectives race against the clock to find the missing embryos, but that isn't the only clock that's ticking - Olivia considers her own fertility and the possibility of motherhood.</x:v>
      </x:c>
      <x:c r="P1368" s="53" t="str">
        <x:v>Core Law &amp; Order franchise</x:v>
      </x:c>
      <x:c r="Q1368" s="17" t="str">
        <x:v>225137</x:v>
      </x:c>
      <x:c r="R1368" s="17" t="str">
        <x:v>tt1015436</x:v>
      </x:c>
      <x:c r="S1368" s="17" t="str">
        <x:v>942</x:v>
      </x:c>
    </x:row>
    <x:row r="1369">
      <x:c r="A1369" s="43" t="n">
        <x:v>1365</x:v>
      </x:c>
      <x:c r="B1369" s="44" t="str">
        <x:v>Not Started</x:v>
      </x:c>
      <x:c r="C1369" s="45" t="n">
        <x:v>39470</x:v>
      </x:c>
      <x:c r="D1369" s="33" t="str">
        <x:v>Law &amp; Order</x:v>
      </x:c>
      <x:c r="E1369" s="33" t="str">
        <x:v>Law &amp; Order</x:v>
      </x:c>
      <x:c r="F1369" s="33" t="str">
        <x:v>core</x:v>
      </x:c>
      <x:c r="G1369" s="50" t="n">
        <x:v>18</x:v>
      </x:c>
      <x:c r="H1369" s="50" t="n">
        <x:v>5</x:v>
      </x:c>
      <x:c r="I1369" s="44" t="str">
        <x:v>18.05</x:v>
      </x:c>
      <x:c r="J1369" s="33" t="str">
        <x:v>Driven</x:v>
      </x:c>
      <x:c r="K1369" s="33" t="str"/>
      <x:c r="L1369" s="33" t="str"/>
      <x:c r="M1369" s="44" t="str"/>
      <x:c r="N1369" s="50" t="n">
        <x:v>45</x:v>
      </x:c>
      <x:c r="O1369" s="53" t="str">
        <x:v>Lupo and Green investigate the shooting death of young white teenager and a 9 year old black girl. The investigation hits a brick wall when both white and black communities refuse to talk - an unfortunate result of formerly black neighbourhoods being bought out by rich whites. The detectives discover that the teenage victim and two of his friends had a basketball taken from them by a black teenager which eventually led to an altercation with deadly consequences and subsequently to surprising culprits.</x:v>
      </x:c>
      <x:c r="P1369" s="53" t="str">
        <x:v>Core Law &amp; Order franchise</x:v>
      </x:c>
      <x:c r="Q1369" s="17" t="str">
        <x:v>34452</x:v>
      </x:c>
      <x:c r="R1369" s="17" t="str">
        <x:v>tt1031377</x:v>
      </x:c>
      <x:c r="S1369" s="17" t="str">
        <x:v>943</x:v>
      </x:c>
    </x:row>
    <x:row r="1370">
      <x:c r="A1370" s="43" t="n">
        <x:v>1366</x:v>
      </x:c>
      <x:c r="B1370" s="44" t="str">
        <x:v>Not Started</x:v>
      </x:c>
      <x:c r="C1370" s="45" t="n">
        <x:v>39477</x:v>
      </x:c>
      <x:c r="D1370" s="33" t="str">
        <x:v>Law &amp; Order</x:v>
      </x:c>
      <x:c r="E1370" s="33" t="str">
        <x:v>Law &amp; Order</x:v>
      </x:c>
      <x:c r="F1370" s="33" t="str">
        <x:v>core</x:v>
      </x:c>
      <x:c r="G1370" s="50" t="n">
        <x:v>18</x:v>
      </x:c>
      <x:c r="H1370" s="50" t="n">
        <x:v>6</x:v>
      </x:c>
      <x:c r="I1370" s="44" t="str">
        <x:v>18.06</x:v>
      </x:c>
      <x:c r="J1370" s="33" t="str">
        <x:v>Political Animal</x:v>
      </x:c>
      <x:c r="K1370" s="33" t="str"/>
      <x:c r="L1370" s="33" t="str"/>
      <x:c r="M1370" s="44" t="str"/>
      <x:c r="N1370" s="50" t="n">
        <x:v>45</x:v>
      </x:c>
      <x:c r="O1370" s="53" t="str">
        <x:v>A triple homicide has ties to a politician, but he may be just the first step toward the truth and a killer who will take desperate measures to keep his freedom.</x:v>
      </x:c>
      <x:c r="P1370" s="53" t="str">
        <x:v>Core Law &amp; Order franchise</x:v>
      </x:c>
      <x:c r="Q1370" s="17" t="str">
        <x:v>34453</x:v>
      </x:c>
      <x:c r="R1370" s="17" t="str">
        <x:v>tt1031362</x:v>
      </x:c>
      <x:c r="S1370" s="17" t="str">
        <x:v>944</x:v>
      </x:c>
    </x:row>
    <x:row r="1371">
      <x:c r="A1371" s="43" t="n">
        <x:v>1367</x:v>
      </x:c>
      <x:c r="B1371" s="44" t="str">
        <x:v>Not Started</x:v>
      </x:c>
      <x:c r="C1371" s="45" t="n">
        <x:v>39484</x:v>
      </x:c>
      <x:c r="D1371" s="33" t="str">
        <x:v>Law &amp; Order</x:v>
      </x:c>
      <x:c r="E1371" s="33" t="str">
        <x:v>Law &amp; Order</x:v>
      </x:c>
      <x:c r="F1371" s="33" t="str">
        <x:v>core</x:v>
      </x:c>
      <x:c r="G1371" s="50" t="n">
        <x:v>18</x:v>
      </x:c>
      <x:c r="H1371" s="50" t="n">
        <x:v>7</x:v>
      </x:c>
      <x:c r="I1371" s="44" t="str">
        <x:v>18.07</x:v>
      </x:c>
      <x:c r="J1371" s="33" t="str">
        <x:v>Quit Claim</x:v>
      </x:c>
      <x:c r="K1371" s="33" t="str"/>
      <x:c r="L1371" s="33" t="str"/>
      <x:c r="M1371" s="44" t="str"/>
      <x:c r="N1371" s="50" t="n">
        <x:v>45</x:v>
      </x:c>
      <x:c r="O1371" s="53" t="str">
        <x:v>A hit-and-run investigation leads back to a title company, and Green and Lupo must go undercover to crack the case.</x:v>
      </x:c>
      <x:c r="P1371" s="53" t="str">
        <x:v>Core Law &amp; Order franchise</x:v>
      </x:c>
      <x:c r="Q1371" s="17" t="str">
        <x:v>34454</x:v>
      </x:c>
      <x:c r="R1371" s="17" t="str">
        <x:v>tt1031361</x:v>
      </x:c>
      <x:c r="S1371" s="17" t="str">
        <x:v>945</x:v>
      </x:c>
    </x:row>
    <x:row r="1372">
      <x:c r="A1372" s="43" t="n">
        <x:v>1368</x:v>
      </x:c>
      <x:c r="B1372" s="44" t="str">
        <x:v>Not Started</x:v>
      </x:c>
      <x:c r="C1372" s="45" t="n">
        <x:v>39491</x:v>
      </x:c>
      <x:c r="D1372" s="33" t="str">
        <x:v>Law &amp; Order</x:v>
      </x:c>
      <x:c r="E1372" s="33" t="str">
        <x:v>Law &amp; Order</x:v>
      </x:c>
      <x:c r="F1372" s="33" t="str">
        <x:v>core</x:v>
      </x:c>
      <x:c r="G1372" s="50" t="n">
        <x:v>18</x:v>
      </x:c>
      <x:c r="H1372" s="50" t="n">
        <x:v>8</x:v>
      </x:c>
      <x:c r="I1372" s="44" t="str">
        <x:v>18.08</x:v>
      </x:c>
      <x:c r="J1372" s="33" t="str">
        <x:v>Illegal</x:v>
      </x:c>
      <x:c r="K1372" s="33" t="str"/>
      <x:c r="L1372" s="33" t="str"/>
      <x:c r="M1372" s="44" t="str"/>
      <x:c r="N1372" s="50" t="n">
        <x:v>45</x:v>
      </x:c>
      <x:c r="O1372" s="53" t="str">
        <x:v>A riot at an immigration rally ends in murder, and the political climate causes McCoy to assign a special prosecutor increasing tensions at the office.</x:v>
      </x:c>
      <x:c r="P1372" s="53" t="str">
        <x:v>Core Law &amp; Order franchise</x:v>
      </x:c>
      <x:c r="Q1372" s="17" t="str">
        <x:v>34455</x:v>
      </x:c>
      <x:c r="R1372" s="17" t="str">
        <x:v>tt1031380</x:v>
      </x:c>
      <x:c r="S1372" s="17" t="str">
        <x:v>946</x:v>
      </x:c>
    </x:row>
    <x:row r="1373">
      <x:c r="A1373" s="43" t="n">
        <x:v>1369</x:v>
      </x:c>
      <x:c r="B1373" s="44" t="str">
        <x:v>Not Started</x:v>
      </x:c>
      <x:c r="C1373" s="45" t="n">
        <x:v>39498</x:v>
      </x:c>
      <x:c r="D1373" s="33" t="str">
        <x:v>Law &amp; Order</x:v>
      </x:c>
      <x:c r="E1373" s="33" t="str">
        <x:v>Law &amp; Order</x:v>
      </x:c>
      <x:c r="F1373" s="33" t="str">
        <x:v>core</x:v>
      </x:c>
      <x:c r="G1373" s="50" t="n">
        <x:v>18</x:v>
      </x:c>
      <x:c r="H1373" s="50" t="n">
        <x:v>9</x:v>
      </x:c>
      <x:c r="I1373" s="44" t="str">
        <x:v>18.09</x:v>
      </x:c>
      <x:c r="J1373" s="33" t="str">
        <x:v>Executioner</x:v>
      </x:c>
      <x:c r="K1373" s="33" t="str"/>
      <x:c r="L1373" s="33" t="str"/>
      <x:c r="M1373" s="44" t="str"/>
      <x:c r="N1373" s="50" t="n">
        <x:v>45</x:v>
      </x:c>
      <x:c r="O1373" s="53" t="str">
        <x:v>A case of mistaken identity leads Green and Lupo to suspect that a murdered doctor may have been in the wrong place at the wrong time.</x:v>
      </x:c>
      <x:c r="P1373" s="53" t="str">
        <x:v>Core Law &amp; Order franchise</x:v>
      </x:c>
      <x:c r="Q1373" s="17" t="str">
        <x:v>34456</x:v>
      </x:c>
      <x:c r="R1373" s="17" t="str">
        <x:v>tt1031363</x:v>
      </x:c>
      <x:c r="S1373" s="17" t="str">
        <x:v>947</x:v>
      </x:c>
    </x:row>
    <x:row r="1374">
      <x:c r="A1374" s="43" t="n">
        <x:v>1370</x:v>
      </x:c>
      <x:c r="B1374" s="44" t="str">
        <x:v>Not Started</x:v>
      </x:c>
      <x:c r="C1374" s="45" t="n">
        <x:v>39505</x:v>
      </x:c>
      <x:c r="D1374" s="33" t="str">
        <x:v>Law &amp; Order</x:v>
      </x:c>
      <x:c r="E1374" s="33" t="str">
        <x:v>Law &amp; Order</x:v>
      </x:c>
      <x:c r="F1374" s="33" t="str">
        <x:v>core</x:v>
      </x:c>
      <x:c r="G1374" s="50" t="n">
        <x:v>18</x:v>
      </x:c>
      <x:c r="H1374" s="50" t="n">
        <x:v>10</x:v>
      </x:c>
      <x:c r="I1374" s="44" t="str">
        <x:v>18.10</x:v>
      </x:c>
      <x:c r="J1374" s="33" t="str">
        <x:v>Tango</x:v>
      </x:c>
      <x:c r="K1374" s="33" t="str"/>
      <x:c r="L1374" s="33" t="str"/>
      <x:c r="M1374" s="44" t="str"/>
      <x:c r="N1374" s="50" t="n">
        <x:v>45</x:v>
      </x:c>
      <x:c r="O1374" s="53" t="str">
        <x:v>A high school party turns tragic when a teenager is found dead, and the detectives end up playing games with the two leading suspects to find out the real story. Unfortunately, unwanted attention from a juror for A.D.A. Rubirosa may disrupt the trial.</x:v>
      </x:c>
      <x:c r="P1374" s="53" t="str">
        <x:v>Core Law &amp; Order franchise</x:v>
      </x:c>
      <x:c r="Q1374" s="17" t="str">
        <x:v>34457</x:v>
      </x:c>
      <x:c r="R1374" s="17" t="str">
        <x:v>tt1031364</x:v>
      </x:c>
      <x:c r="S1374" s="17" t="str">
        <x:v>948</x:v>
      </x:c>
    </x:row>
    <x:row r="1375">
      <x:c r="A1375" s="43" t="n">
        <x:v>1371</x:v>
      </x:c>
      <x:c r="B1375" s="44" t="str">
        <x:v>Not Started</x:v>
      </x:c>
      <x:c r="C1375" s="45" t="n">
        <x:v>39512</x:v>
      </x:c>
      <x:c r="D1375" s="33" t="str">
        <x:v>Law &amp; Order</x:v>
      </x:c>
      <x:c r="E1375" s="33" t="str">
        <x:v>Law &amp; Order</x:v>
      </x:c>
      <x:c r="F1375" s="33" t="str">
        <x:v>core</x:v>
      </x:c>
      <x:c r="G1375" s="50" t="n">
        <x:v>18</x:v>
      </x:c>
      <x:c r="H1375" s="50" t="n">
        <x:v>11</x:v>
      </x:c>
      <x:c r="I1375" s="44" t="str">
        <x:v>18.11</x:v>
      </x:c>
      <x:c r="J1375" s="33" t="str">
        <x:v>Betrayal</x:v>
      </x:c>
      <x:c r="K1375" s="33" t="str"/>
      <x:c r="L1375" s="33" t="str"/>
      <x:c r="M1375" s="44" t="str"/>
      <x:c r="N1375" s="50" t="n">
        <x:v>45</x:v>
      </x:c>
      <x:c r="O1375" s="53" t="str">
        <x:v>The murder of a psychiatrist focuses the suspect list to his clients and wife, and the defense of the murderer will challenge the D.A.'s office to somehow show the jury that a bad childhood is not a justification for crime.</x:v>
      </x:c>
      <x:c r="P1375" s="53" t="str">
        <x:v>Core Law &amp; Order franchise</x:v>
      </x:c>
      <x:c r="Q1375" s="17" t="str">
        <x:v>34458</x:v>
      </x:c>
      <x:c r="R1375" s="17" t="str">
        <x:v>tt1031378</x:v>
      </x:c>
      <x:c r="S1375" s="17" t="str">
        <x:v>949</x:v>
      </x:c>
    </x:row>
    <x:row r="1376">
      <x:c r="A1376" s="43" t="n">
        <x:v>1372</x:v>
      </x:c>
      <x:c r="B1376" s="44" t="str">
        <x:v>Not Started</x:v>
      </x:c>
      <x:c r="C1376" s="45" t="n">
        <x:v>39519</x:v>
      </x:c>
      <x:c r="D1376" s="33" t="str">
        <x:v>Law &amp; Order</x:v>
      </x:c>
      <x:c r="E1376" s="33" t="str">
        <x:v>Law &amp; Order</x:v>
      </x:c>
      <x:c r="F1376" s="33" t="str">
        <x:v>core</x:v>
      </x:c>
      <x:c r="G1376" s="50" t="n">
        <x:v>18</x:v>
      </x:c>
      <x:c r="H1376" s="50" t="n">
        <x:v>12</x:v>
      </x:c>
      <x:c r="I1376" s="44" t="str">
        <x:v>18.12</x:v>
      </x:c>
      <x:c r="J1376" s="33" t="str">
        <x:v>Submission</x:v>
      </x:c>
      <x:c r="K1376" s="33" t="str"/>
      <x:c r="L1376" s="33" t="str"/>
      <x:c r="M1376" s="44" t="str"/>
      <x:c r="N1376" s="50" t="n">
        <x:v>45</x:v>
      </x:c>
      <x:c r="O1376" s="53" t="str">
        <x:v>When the police shut down a dog-fighting ring, the investigation becomes a murder case after a woman's finger is found inside one of the dogs; things get more complicated as the case deepens, and the interest of a pushy reporter is sparked.</x:v>
      </x:c>
      <x:c r="P1376" s="53" t="str">
        <x:v>Core Law &amp; Order franchise</x:v>
      </x:c>
      <x:c r="Q1376" s="17" t="str">
        <x:v>34459</x:v>
      </x:c>
      <x:c r="R1376" s="17" t="str">
        <x:v>tt1031379</x:v>
      </x:c>
      <x:c r="S1376" s="17" t="str">
        <x:v>950</x:v>
      </x:c>
    </x:row>
    <x:row r="1377">
      <x:c r="A1377" s="43" t="n">
        <x:v>1373</x:v>
      </x:c>
      <x:c r="B1377" s="44" t="str">
        <x:v>Not Started</x:v>
      </x:c>
      <x:c r="C1377" s="45" t="n">
        <x:v>39526</x:v>
      </x:c>
      <x:c r="D1377" s="33" t="str">
        <x:v>Paris enquêtes criminelles</x:v>
      </x:c>
      <x:c r="E1377" s="33" t="str">
        <x:v>Law &amp; Order</x:v>
      </x:c>
      <x:c r="F1377" s="33" t="str">
        <x:v>complete</x:v>
      </x:c>
      <x:c r="G1377" s="50" t="n">
        <x:v>2</x:v>
      </x:c>
      <x:c r="H1377" s="50" t="n">
        <x:v>1</x:v>
      </x:c>
      <x:c r="I1377" s="44" t="str">
        <x:v>02.01</x:v>
      </x:c>
      <x:c r="J1377" s="33" t="str">
        <x:v>Episode 1</x:v>
      </x:c>
      <x:c r="K1377" s="33" t="str"/>
      <x:c r="L1377" s="33" t="str"/>
      <x:c r="M1377" s="44" t="str"/>
      <x:c r="N1377" s="50" t="n">
        <x:v>55</x:v>
      </x:c>
      <x:c r="O1377" s="53" t="str"/>
      <x:c r="P1377" s="53" t="str">
        <x:v>French Law &amp; Order: Criminal Intent adaptation</x:v>
      </x:c>
      <x:c r="Q1377" s="17" t="str">
        <x:v>1459620</x:v>
      </x:c>
      <x:c r="R1377" s="17" t="str"/>
      <x:c r="S1377" s="17" t="str"/>
    </x:row>
    <x:row r="1378">
      <x:c r="A1378" s="43" t="n">
        <x:v>1374</x:v>
      </x:c>
      <x:c r="B1378" s="44" t="str">
        <x:v>Not Started</x:v>
      </x:c>
      <x:c r="C1378" s="45" t="n">
        <x:v>39526</x:v>
      </x:c>
      <x:c r="D1378" s="33" t="str">
        <x:v>Paris enquêtes criminelles</x:v>
      </x:c>
      <x:c r="E1378" s="33" t="str">
        <x:v>Law &amp; Order</x:v>
      </x:c>
      <x:c r="F1378" s="33" t="str">
        <x:v>complete</x:v>
      </x:c>
      <x:c r="G1378" s="50" t="n">
        <x:v>2</x:v>
      </x:c>
      <x:c r="H1378" s="50" t="n">
        <x:v>2</x:v>
      </x:c>
      <x:c r="I1378" s="44" t="str">
        <x:v>02.02</x:v>
      </x:c>
      <x:c r="J1378" s="33" t="str">
        <x:v>Episode 2</x:v>
      </x:c>
      <x:c r="K1378" s="33" t="str"/>
      <x:c r="L1378" s="33" t="str"/>
      <x:c r="M1378" s="44" t="str"/>
      <x:c r="N1378" s="50" t="n">
        <x:v>55</x:v>
      </x:c>
      <x:c r="O1378" s="53" t="str"/>
      <x:c r="P1378" s="53" t="str">
        <x:v>French Law &amp; Order: Criminal Intent adaptation</x:v>
      </x:c>
      <x:c r="Q1378" s="17" t="str">
        <x:v>1459622</x:v>
      </x:c>
      <x:c r="R1378" s="17" t="str">
        <x:v>tt1111688</x:v>
      </x:c>
      <x:c r="S1378" s="17" t="str"/>
    </x:row>
    <x:row r="1379">
      <x:c r="A1379" s="43" t="n">
        <x:v>1375</x:v>
      </x:c>
      <x:c r="B1379" s="44" t="str">
        <x:v>Not Started</x:v>
      </x:c>
      <x:c r="C1379" s="45" t="n">
        <x:v>39526</x:v>
      </x:c>
      <x:c r="D1379" s="33" t="str">
        <x:v>Law &amp; Order</x:v>
      </x:c>
      <x:c r="E1379" s="33" t="str">
        <x:v>Law &amp; Order</x:v>
      </x:c>
      <x:c r="F1379" s="33" t="str">
        <x:v>core</x:v>
      </x:c>
      <x:c r="G1379" s="50" t="n">
        <x:v>18</x:v>
      </x:c>
      <x:c r="H1379" s="50" t="n">
        <x:v>13</x:v>
      </x:c>
      <x:c r="I1379" s="44" t="str">
        <x:v>18.13</x:v>
      </x:c>
      <x:c r="J1379" s="33" t="str">
        <x:v>Angelgrove</x:v>
      </x:c>
      <x:c r="K1379" s="33" t="str"/>
      <x:c r="L1379" s="33" t="str"/>
      <x:c r="M1379" s="44" t="str"/>
      <x:c r="N1379" s="50" t="n">
        <x:v>45</x:v>
      </x:c>
      <x:c r="O1379" s="53" t="str">
        <x:v>A terrorist organization seems to be tied in with the violent death of an art dealer, until the victim's troubled son with ties to a fanatic religious group is investigated.</x:v>
      </x:c>
      <x:c r="P1379" s="53" t="str">
        <x:v>Core Law &amp; Order franchise</x:v>
      </x:c>
      <x:c r="Q1379" s="17" t="str">
        <x:v>34460</x:v>
      </x:c>
      <x:c r="R1379" s="17" t="str">
        <x:v>tt1186499</x:v>
      </x:c>
      <x:c r="S1379" s="17" t="str">
        <x:v>951</x:v>
      </x:c>
    </x:row>
    <x:row r="1380">
      <x:c r="A1380" s="43" t="n">
        <x:v>1376</x:v>
      </x:c>
      <x:c r="B1380" s="44" t="str">
        <x:v>Not Started</x:v>
      </x:c>
      <x:c r="C1380" s="45" t="n">
        <x:v>39533</x:v>
      </x:c>
      <x:c r="D1380" s="33" t="str">
        <x:v>Paris enquêtes criminelles</x:v>
      </x:c>
      <x:c r="E1380" s="33" t="str">
        <x:v>Law &amp; Order</x:v>
      </x:c>
      <x:c r="F1380" s="33" t="str">
        <x:v>complete</x:v>
      </x:c>
      <x:c r="G1380" s="50" t="n">
        <x:v>2</x:v>
      </x:c>
      <x:c r="H1380" s="50" t="n">
        <x:v>3</x:v>
      </x:c>
      <x:c r="I1380" s="44" t="str">
        <x:v>02.03</x:v>
      </x:c>
      <x:c r="J1380" s="33" t="str">
        <x:v>Episode 3</x:v>
      </x:c>
      <x:c r="K1380" s="33" t="str"/>
      <x:c r="L1380" s="33" t="str"/>
      <x:c r="M1380" s="44" t="str"/>
      <x:c r="N1380" s="50" t="n">
        <x:v>55</x:v>
      </x:c>
      <x:c r="O1380" s="53" t="str"/>
      <x:c r="P1380" s="53" t="str">
        <x:v>French Law &amp; Order: Criminal Intent adaptation</x:v>
      </x:c>
      <x:c r="Q1380" s="17" t="str">
        <x:v>1459624</x:v>
      </x:c>
      <x:c r="R1380" s="17" t="str"/>
      <x:c r="S1380" s="17" t="str"/>
    </x:row>
    <x:row r="1381">
      <x:c r="A1381" s="43" t="n">
        <x:v>1377</x:v>
      </x:c>
      <x:c r="B1381" s="44" t="str">
        <x:v>Not Started</x:v>
      </x:c>
      <x:c r="C1381" s="45" t="n">
        <x:v>39533</x:v>
      </x:c>
      <x:c r="D1381" s="33" t="str">
        <x:v>Paris enquêtes criminelles</x:v>
      </x:c>
      <x:c r="E1381" s="33" t="str">
        <x:v>Law &amp; Order</x:v>
      </x:c>
      <x:c r="F1381" s="33" t="str">
        <x:v>complete</x:v>
      </x:c>
      <x:c r="G1381" s="50" t="n">
        <x:v>2</x:v>
      </x:c>
      <x:c r="H1381" s="50" t="n">
        <x:v>4</x:v>
      </x:c>
      <x:c r="I1381" s="44" t="str">
        <x:v>02.04</x:v>
      </x:c>
      <x:c r="J1381" s="33" t="str">
        <x:v>Episode 4</x:v>
      </x:c>
      <x:c r="K1381" s="33" t="str"/>
      <x:c r="L1381" s="33" t="str"/>
      <x:c r="M1381" s="44" t="str"/>
      <x:c r="N1381" s="50" t="n">
        <x:v>55</x:v>
      </x:c>
      <x:c r="O1381" s="53" t="str"/>
      <x:c r="P1381" s="53" t="str">
        <x:v>French Law &amp; Order: Criminal Intent adaptation</x:v>
      </x:c>
      <x:c r="Q1381" s="17" t="str">
        <x:v>1459626</x:v>
      </x:c>
      <x:c r="R1381" s="17" t="str"/>
      <x:c r="S1381" s="17" t="str"/>
    </x:row>
    <x:row r="1382">
      <x:c r="A1382" s="43" t="n">
        <x:v>1378</x:v>
      </x:c>
      <x:c r="B1382" s="44" t="str">
        <x:v>Not Started</x:v>
      </x:c>
      <x:c r="C1382" s="45" t="n">
        <x:v>39540</x:v>
      </x:c>
      <x:c r="D1382" s="33" t="str">
        <x:v>Paris enquêtes criminelles</x:v>
      </x:c>
      <x:c r="E1382" s="33" t="str">
        <x:v>Law &amp; Order</x:v>
      </x:c>
      <x:c r="F1382" s="33" t="str">
        <x:v>complete</x:v>
      </x:c>
      <x:c r="G1382" s="50" t="n">
        <x:v>2</x:v>
      </x:c>
      <x:c r="H1382" s="50" t="n">
        <x:v>5</x:v>
      </x:c>
      <x:c r="I1382" s="44" t="str">
        <x:v>02.05</x:v>
      </x:c>
      <x:c r="J1382" s="33" t="str">
        <x:v>Episode 5</x:v>
      </x:c>
      <x:c r="K1382" s="33" t="str"/>
      <x:c r="L1382" s="33" t="str"/>
      <x:c r="M1382" s="44" t="str"/>
      <x:c r="N1382" s="50" t="n">
        <x:v>55</x:v>
      </x:c>
      <x:c r="O1382" s="53" t="str"/>
      <x:c r="P1382" s="53" t="str">
        <x:v>French Law &amp; Order: Criminal Intent adaptation</x:v>
      </x:c>
      <x:c r="Q1382" s="17" t="str">
        <x:v>1459629</x:v>
      </x:c>
      <x:c r="R1382" s="17" t="str"/>
      <x:c r="S1382" s="17" t="str"/>
    </x:row>
    <x:row r="1383">
      <x:c r="A1383" s="43" t="n">
        <x:v>1379</x:v>
      </x:c>
      <x:c r="B1383" s="44" t="str">
        <x:v>Not Started</x:v>
      </x:c>
      <x:c r="C1383" s="45" t="n">
        <x:v>39540</x:v>
      </x:c>
      <x:c r="D1383" s="33" t="str">
        <x:v>Paris enquêtes criminelles</x:v>
      </x:c>
      <x:c r="E1383" s="33" t="str">
        <x:v>Law &amp; Order</x:v>
      </x:c>
      <x:c r="F1383" s="33" t="str">
        <x:v>complete</x:v>
      </x:c>
      <x:c r="G1383" s="50" t="n">
        <x:v>2</x:v>
      </x:c>
      <x:c r="H1383" s="50" t="n">
        <x:v>6</x:v>
      </x:c>
      <x:c r="I1383" s="44" t="str">
        <x:v>02.06</x:v>
      </x:c>
      <x:c r="J1383" s="33" t="str">
        <x:v>Episode 6</x:v>
      </x:c>
      <x:c r="K1383" s="33" t="str"/>
      <x:c r="L1383" s="33" t="str"/>
      <x:c r="M1383" s="44" t="str"/>
      <x:c r="N1383" s="50" t="n">
        <x:v>55</x:v>
      </x:c>
      <x:c r="O1383" s="53" t="str"/>
      <x:c r="P1383" s="53" t="str">
        <x:v>French Law &amp; Order: Criminal Intent adaptation</x:v>
      </x:c>
      <x:c r="Q1383" s="17" t="str">
        <x:v>1459632</x:v>
      </x:c>
      <x:c r="R1383" s="17" t="str"/>
      <x:c r="S1383" s="17" t="str"/>
    </x:row>
    <x:row r="1384">
      <x:c r="A1384" s="43" t="n">
        <x:v>1380</x:v>
      </x:c>
      <x:c r="B1384" s="44" t="str">
        <x:v>Not Started</x:v>
      </x:c>
      <x:c r="C1384" s="45" t="n">
        <x:v>39553</x:v>
      </x:c>
      <x:c r="D1384" s="33" t="str">
        <x:v>Law &amp; Order: Special Victims Unit</x:v>
      </x:c>
      <x:c r="E1384" s="33" t="str">
        <x:v>Law &amp; Order</x:v>
      </x:c>
      <x:c r="F1384" s="33" t="str">
        <x:v>core</x:v>
      </x:c>
      <x:c r="G1384" s="50" t="n">
        <x:v>9</x:v>
      </x:c>
      <x:c r="H1384" s="50" t="n">
        <x:v>15</x:v>
      </x:c>
      <x:c r="I1384" s="44" t="str">
        <x:v>09.15</x:v>
      </x:c>
      <x:c r="J1384" s="33" t="str">
        <x:v>Undercover</x:v>
      </x:c>
      <x:c r="K1384" s="33" t="str"/>
      <x:c r="L1384" s="33" t="str"/>
      <x:c r="M1384" s="44" t="str"/>
      <x:c r="N1384" s="50" t="n">
        <x:v>43</x:v>
      </x:c>
      <x:c r="O1384" s="53" t="str">
        <x:v>After a woman was found raped in a garden, Benson and Stabler realize that the case goes much deeper because of the victim's mother, drugs, and the realization that a corrections officer is involved. Benson decides to go undercover at the same prison where the mother is, putting herself on the other side of the fence.</x:v>
      </x:c>
      <x:c r="P1384" s="53" t="str">
        <x:v>Core Law &amp; Order franchise</x:v>
      </x:c>
      <x:c r="Q1384" s="17" t="str">
        <x:v>225138</x:v>
      </x:c>
      <x:c r="R1384" s="17" t="str">
        <x:v>tt1015437</x:v>
      </x:c>
      <x:c r="S1384" s="17" t="str">
        <x:v>952</x:v>
      </x:c>
    </x:row>
    <x:row r="1385">
      <x:c r="A1385" s="43" t="n">
        <x:v>1381</x:v>
      </x:c>
      <x:c r="B1385" s="44" t="str">
        <x:v>Not Started</x:v>
      </x:c>
      <x:c r="C1385" s="45" t="n">
        <x:v>39560</x:v>
      </x:c>
      <x:c r="D1385" s="33" t="str">
        <x:v>Law &amp; Order: Special Victims Unit</x:v>
      </x:c>
      <x:c r="E1385" s="33" t="str">
        <x:v>Law &amp; Order</x:v>
      </x:c>
      <x:c r="F1385" s="33" t="str">
        <x:v>core</x:v>
      </x:c>
      <x:c r="G1385" s="50" t="n">
        <x:v>9</x:v>
      </x:c>
      <x:c r="H1385" s="50" t="n">
        <x:v>16</x:v>
      </x:c>
      <x:c r="I1385" s="44" t="str">
        <x:v>09.16</x:v>
      </x:c>
      <x:c r="J1385" s="33" t="str">
        <x:v>Closet</x:v>
      </x:c>
      <x:c r="K1385" s="33" t="str"/>
      <x:c r="L1385" s="33" t="str"/>
      <x:c r="M1385" s="44" t="str"/>
      <x:c r="N1385" s="50" t="n">
        <x:v>43</x:v>
      </x:c>
      <x:c r="O1385" s="53" t="str">
        <x:v>After investment banker Jeremy Haynes is found dead, suspicions turns to his boyfriend Lincoln Haver, a professional football player who could lose everything if the truth of his sexuality became public. When news of Haver's sexual orientation comes out, Benson comes under fire for her relationship with a reporter.</x:v>
      </x:c>
      <x:c r="P1385" s="53" t="str">
        <x:v>Core Law &amp; Order franchise</x:v>
      </x:c>
      <x:c r="Q1385" s="17" t="str">
        <x:v>225139</x:v>
      </x:c>
      <x:c r="R1385" s="17" t="str">
        <x:v>tt1015438</x:v>
      </x:c>
      <x:c r="S1385" s="17" t="str">
        <x:v>953</x:v>
      </x:c>
    </x:row>
    <x:row r="1386">
      <x:c r="A1386" s="43" t="n">
        <x:v>1382</x:v>
      </x:c>
      <x:c r="B1386" s="44" t="str">
        <x:v>Not Started</x:v>
      </x:c>
      <x:c r="C1386" s="45" t="n">
        <x:v>39561</x:v>
      </x:c>
      <x:c r="D1386" s="33" t="str">
        <x:v>Law &amp; Order</x:v>
      </x:c>
      <x:c r="E1386" s="33" t="str">
        <x:v>Law &amp; Order</x:v>
      </x:c>
      <x:c r="F1386" s="33" t="str">
        <x:v>core</x:v>
      </x:c>
      <x:c r="G1386" s="50" t="n">
        <x:v>18</x:v>
      </x:c>
      <x:c r="H1386" s="50" t="n">
        <x:v>14</x:v>
      </x:c>
      <x:c r="I1386" s="44" t="str">
        <x:v>18.14</x:v>
      </x:c>
      <x:c r="J1386" s="33" t="str">
        <x:v>Burn Card</x:v>
      </x:c>
      <x:c r="K1386" s="33" t="str"/>
      <x:c r="L1386" s="33" t="str"/>
      <x:c r="M1386" s="44" t="str"/>
      <x:c r="N1386" s="50" t="n">
        <x:v>45</x:v>
      </x:c>
      <x:c r="O1386" s="53" t="str">
        <x:v>Internal affairs takes a special interest in Detective Green after a gambler is found dead by his bullet, and the investigation turns up a part of his past he's taken pains to conceal.</x:v>
      </x:c>
      <x:c r="P1386" s="53" t="str">
        <x:v>Core Law &amp; Order franchise</x:v>
      </x:c>
      <x:c r="Q1386" s="17" t="str">
        <x:v>34461</x:v>
      </x:c>
      <x:c r="R1386" s="17" t="str">
        <x:v>tt1031365</x:v>
      </x:c>
      <x:c r="S1386" s="17" t="str">
        <x:v>954</x:v>
      </x:c>
    </x:row>
    <x:row r="1387">
      <x:c r="A1387" s="43" t="n">
        <x:v>1383</x:v>
      </x:c>
      <x:c r="B1387" s="44" t="str">
        <x:v>Not Started</x:v>
      </x:c>
      <x:c r="C1387" s="45" t="n">
        <x:v>39567</x:v>
      </x:c>
      <x:c r="D1387" s="33" t="str">
        <x:v>Law &amp; Order: Special Victims Unit</x:v>
      </x:c>
      <x:c r="E1387" s="33" t="str">
        <x:v>Law &amp; Order</x:v>
      </x:c>
      <x:c r="F1387" s="33" t="str">
        <x:v>core</x:v>
      </x:c>
      <x:c r="G1387" s="50" t="n">
        <x:v>9</x:v>
      </x:c>
      <x:c r="H1387" s="50" t="n">
        <x:v>17</x:v>
      </x:c>
      <x:c r="I1387" s="44" t="str">
        <x:v>09.17</x:v>
      </x:c>
      <x:c r="J1387" s="33" t="str">
        <x:v>Authority</x:v>
      </x:c>
      <x:c r="K1387" s="33" t="str"/>
      <x:c r="L1387" s="33" t="str"/>
      <x:c r="M1387" s="44" t="str"/>
      <x:c r="N1387" s="50" t="n">
        <x:v>43</x:v>
      </x:c>
      <x:c r="O1387" s="53" t="str">
        <x:v>An engineer plays a series of mind games with Benson and Stabler.</x:v>
      </x:c>
      <x:c r="P1387" s="53" t="str">
        <x:v>Core Law &amp; Order franchise</x:v>
      </x:c>
      <x:c r="Q1387" s="17" t="str">
        <x:v>225140</x:v>
      </x:c>
      <x:c r="R1387" s="17" t="str">
        <x:v>tt1015439</x:v>
      </x:c>
      <x:c r="S1387" s="17" t="str">
        <x:v>955</x:v>
      </x:c>
    </x:row>
    <x:row r="1388">
      <x:c r="A1388" s="43" t="n">
        <x:v>1384</x:v>
      </x:c>
      <x:c r="B1388" s="44" t="str">
        <x:v>Not Started</x:v>
      </x:c>
      <x:c r="C1388" s="45" t="n">
        <x:v>39568</x:v>
      </x:c>
      <x:c r="D1388" s="33" t="str">
        <x:v>Law &amp; Order</x:v>
      </x:c>
      <x:c r="E1388" s="33" t="str">
        <x:v>Law &amp; Order</x:v>
      </x:c>
      <x:c r="F1388" s="33" t="str">
        <x:v>core</x:v>
      </x:c>
      <x:c r="G1388" s="50" t="n">
        <x:v>18</x:v>
      </x:c>
      <x:c r="H1388" s="50" t="n">
        <x:v>15</x:v>
      </x:c>
      <x:c r="I1388" s="44" t="str">
        <x:v>18.15</x:v>
      </x:c>
      <x:c r="J1388" s="33" t="str">
        <x:v>Bogeyman</x:v>
      </x:c>
      <x:c r="K1388" s="33" t="str"/>
      <x:c r="L1388" s="33" t="str"/>
      <x:c r="M1388" s="44" t="str"/>
      <x:c r="N1388" s="50" t="n">
        <x:v>45</x:v>
      </x:c>
      <x:c r="O1388" s="53" t="str">
        <x:v>A novelist's apparent suicide soon changes to a murder investigation with suspects that include a cult and her husband, but Cutter's case may not be closed when jury tampering puts lives at risk.</x:v>
      </x:c>
      <x:c r="P1388" s="53" t="str">
        <x:v>Core Law &amp; Order franchise</x:v>
      </x:c>
      <x:c r="Q1388" s="17" t="str">
        <x:v>34462</x:v>
      </x:c>
      <x:c r="R1388" s="17" t="str">
        <x:v>tt1031366</x:v>
      </x:c>
      <x:c r="S1388" s="17" t="str">
        <x:v>956</x:v>
      </x:c>
    </x:row>
    <x:row r="1389">
      <x:c r="A1389" s="43" t="n">
        <x:v>1385</x:v>
      </x:c>
      <x:c r="B1389" s="44" t="str">
        <x:v>Not Started</x:v>
      </x:c>
      <x:c r="C1389" s="45" t="n">
        <x:v>39574</x:v>
      </x:c>
      <x:c r="D1389" s="33" t="str">
        <x:v>Law &amp; Order: Special Victims Unit</x:v>
      </x:c>
      <x:c r="E1389" s="33" t="str">
        <x:v>Law &amp; Order</x:v>
      </x:c>
      <x:c r="F1389" s="33" t="str">
        <x:v>core</x:v>
      </x:c>
      <x:c r="G1389" s="50" t="n">
        <x:v>9</x:v>
      </x:c>
      <x:c r="H1389" s="50" t="n">
        <x:v>18</x:v>
      </x:c>
      <x:c r="I1389" s="44" t="str">
        <x:v>09.18</x:v>
      </x:c>
      <x:c r="J1389" s="33" t="str">
        <x:v>Trade</x:v>
      </x:c>
      <x:c r="K1389" s="33" t="str"/>
      <x:c r="L1389" s="33" t="str"/>
      <x:c r="M1389" s="44" t="str"/>
      <x:c r="N1389" s="50" t="n">
        <x:v>41</x:v>
      </x:c>
      <x:c r="O1389" s="53" t="str">
        <x:v>When a pregnant woman's body is discovered in a burned-out brownstone, the investigation turns to a family of coffee importers.</x:v>
      </x:c>
      <x:c r="P1389" s="53" t="str">
        <x:v>Core Law &amp; Order franchise</x:v>
      </x:c>
      <x:c r="Q1389" s="17" t="str">
        <x:v>225141</x:v>
      </x:c>
      <x:c r="R1389" s="17" t="str">
        <x:v>tt1015440</x:v>
      </x:c>
      <x:c r="S1389" s="17" t="str">
        <x:v>957</x:v>
      </x:c>
    </x:row>
    <x:row r="1390">
      <x:c r="A1390" s="43" t="n">
        <x:v>1386</x:v>
      </x:c>
      <x:c r="B1390" s="44" t="str">
        <x:v>Not Started</x:v>
      </x:c>
      <x:c r="C1390" s="45" t="n">
        <x:v>39575</x:v>
      </x:c>
      <x:c r="D1390" s="33" t="str">
        <x:v>Law &amp; Order</x:v>
      </x:c>
      <x:c r="E1390" s="33" t="str">
        <x:v>Law &amp; Order</x:v>
      </x:c>
      <x:c r="F1390" s="33" t="str">
        <x:v>core</x:v>
      </x:c>
      <x:c r="G1390" s="50" t="n">
        <x:v>18</x:v>
      </x:c>
      <x:c r="H1390" s="50" t="n">
        <x:v>16</x:v>
      </x:c>
      <x:c r="I1390" s="44" t="str">
        <x:v>18.16</x:v>
      </x:c>
      <x:c r="J1390" s="33" t="str">
        <x:v>Strike</x:v>
      </x:c>
      <x:c r="K1390" s="33" t="str"/>
      <x:c r="L1390" s="33" t="str"/>
      <x:c r="M1390" s="44" t="str"/>
      <x:c r="N1390" s="50" t="n">
        <x:v>45</x:v>
      </x:c>
      <x:c r="O1390" s="53" t="str">
        <x:v>A legal aid strike ends in the death of a lawyer, and the investigation leads to a golf greenskeeper who proclaims his innocence, again. Then the case takes an even stranger twist when Rubirosa is pitted against Cutter because of the strike that started it all.</x:v>
      </x:c>
      <x:c r="P1390" s="53" t="str">
        <x:v>Core Law &amp; Order franchise</x:v>
      </x:c>
      <x:c r="Q1390" s="17" t="str">
        <x:v>34463</x:v>
      </x:c>
      <x:c r="R1390" s="17" t="str">
        <x:v>tt1031367</x:v>
      </x:c>
      <x:c r="S1390" s="17" t="str">
        <x:v>958</x:v>
      </x:c>
    </x:row>
    <x:row r="1391">
      <x:c r="A1391" s="43" t="n">
        <x:v>1387</x:v>
      </x:c>
      <x:c r="B1391" s="44" t="str">
        <x:v>Not Started</x:v>
      </x:c>
      <x:c r="C1391" s="45" t="n">
        <x:v>39581</x:v>
      </x:c>
      <x:c r="D1391" s="33" t="str">
        <x:v>Law &amp; Order: Special Victims Unit</x:v>
      </x:c>
      <x:c r="E1391" s="33" t="str">
        <x:v>Law &amp; Order</x:v>
      </x:c>
      <x:c r="F1391" s="33" t="str">
        <x:v>core</x:v>
      </x:c>
      <x:c r="G1391" s="50" t="n">
        <x:v>9</x:v>
      </x:c>
      <x:c r="H1391" s="50" t="n">
        <x:v>19</x:v>
      </x:c>
      <x:c r="I1391" s="44" t="str">
        <x:v>09.19</x:v>
      </x:c>
      <x:c r="J1391" s="33" t="str">
        <x:v>Cold</x:v>
      </x:c>
      <x:c r="K1391" s="33" t="str"/>
      <x:c r="L1391" s="33" t="str"/>
      <x:c r="M1391" s="44" t="str"/>
      <x:c r="N1391" s="50" t="n">
        <x:v>43</x:v>
      </x:c>
      <x:c r="O1391" s="53" t="str">
        <x:v>The squad is left at ends when Lake is caught in a gunfight and later takes a witness hostage.</x:v>
      </x:c>
      <x:c r="P1391" s="53" t="str">
        <x:v>Core Law &amp; Order franchise</x:v>
      </x:c>
      <x:c r="Q1391" s="17" t="str">
        <x:v>225142</x:v>
      </x:c>
      <x:c r="R1391" s="17" t="str">
        <x:v>tt1015441</x:v>
      </x:c>
      <x:c r="S1391" s="17" t="str">
        <x:v>959</x:v>
      </x:c>
    </x:row>
    <x:row r="1392">
      <x:c r="A1392" s="43" t="n">
        <x:v>1388</x:v>
      </x:c>
      <x:c r="B1392" s="44" t="str">
        <x:v>Not Started</x:v>
      </x:c>
      <x:c r="C1392" s="45" t="n">
        <x:v>39582</x:v>
      </x:c>
      <x:c r="D1392" s="33" t="str">
        <x:v>Law &amp; Order</x:v>
      </x:c>
      <x:c r="E1392" s="33" t="str">
        <x:v>Law &amp; Order</x:v>
      </x:c>
      <x:c r="F1392" s="33" t="str">
        <x:v>core</x:v>
      </x:c>
      <x:c r="G1392" s="50" t="n">
        <x:v>18</x:v>
      </x:c>
      <x:c r="H1392" s="50" t="n">
        <x:v>17</x:v>
      </x:c>
      <x:c r="I1392" s="44" t="str">
        <x:v>18.17</x:v>
      </x:c>
      <x:c r="J1392" s="33" t="str">
        <x:v>Personae Non Gratae</x:v>
      </x:c>
      <x:c r="K1392" s="33" t="str"/>
      <x:c r="L1392" s="33" t="str"/>
      <x:c r="M1392" s="44" t="str"/>
      <x:c r="N1392" s="50" t="n">
        <x:v>45</x:v>
      </x:c>
      <x:c r="O1392" s="53" t="str">
        <x:v>An online romance may be at the heart of a mechanic's murder, but Detectives Lupo and Bernard must unravel some truly bizarre developments before the full story is known.</x:v>
      </x:c>
      <x:c r="P1392" s="53" t="str">
        <x:v>Core Law &amp; Order franchise</x:v>
      </x:c>
      <x:c r="Q1392" s="17" t="str">
        <x:v>34464</x:v>
      </x:c>
      <x:c r="R1392" s="17" t="str">
        <x:v>tt1031368</x:v>
      </x:c>
      <x:c r="S1392" s="17" t="str">
        <x:v>960</x:v>
      </x:c>
    </x:row>
    <x:row r="1393">
      <x:c r="A1393" s="43" t="n">
        <x:v>1389</x:v>
      </x:c>
      <x:c r="B1393" s="44" t="str">
        <x:v>Not Started</x:v>
      </x:c>
      <x:c r="C1393" s="45" t="n">
        <x:v>39589</x:v>
      </x:c>
      <x:c r="D1393" s="33" t="str">
        <x:v>Law &amp; Order</x:v>
      </x:c>
      <x:c r="E1393" s="33" t="str">
        <x:v>Law &amp; Order</x:v>
      </x:c>
      <x:c r="F1393" s="33" t="str">
        <x:v>core</x:v>
      </x:c>
      <x:c r="G1393" s="50" t="n">
        <x:v>18</x:v>
      </x:c>
      <x:c r="H1393" s="50" t="n">
        <x:v>18</x:v>
      </x:c>
      <x:c r="I1393" s="44" t="str">
        <x:v>18.18</x:v>
      </x:c>
      <x:c r="J1393" s="33" t="str">
        <x:v>Excalibur</x:v>
      </x:c>
      <x:c r="K1393" s="33" t="str"/>
      <x:c r="L1393" s="33" t="str"/>
      <x:c r="M1393" s="44" t="str"/>
      <x:c r="N1393" s="50" t="n">
        <x:v>45</x:v>
      </x:c>
      <x:c r="O1393" s="53" t="str">
        <x:v>A jeweler's murder may have ties to a prostitution ring, and once the case goes to trial, D.A. McCoy's job is on the line as favors are called in.</x:v>
      </x:c>
      <x:c r="P1393" s="53" t="str">
        <x:v>Core Law &amp; Order franchise</x:v>
      </x:c>
      <x:c r="Q1393" s="17" t="str">
        <x:v>34465</x:v>
      </x:c>
      <x:c r="R1393" s="17" t="str">
        <x:v>tt1031369</x:v>
      </x:c>
      <x:c r="S1393" s="17" t="str">
        <x:v>961</x:v>
      </x:c>
    </x:row>
    <x:row r="1394">
      <x:c r="A1394" s="43" t="n">
        <x:v>1390</x:v>
      </x:c>
      <x:c r="B1394" s="44" t="str">
        <x:v>Not Started</x:v>
      </x:c>
      <x:c r="C1394" s="45" t="n">
        <x:v>39600</x:v>
      </x:c>
      <x:c r="D1394" s="33" t="str">
        <x:v>In Plain Sight</x:v>
      </x:c>
      <x:c r="E1394" s="33" t="str">
        <x:v>Crossover Adjacent</x:v>
      </x:c>
      <x:c r="F1394" s="33" t="str">
        <x:v>connected</x:v>
      </x:c>
      <x:c r="G1394" s="50" t="n">
        <x:v>1</x:v>
      </x:c>
      <x:c r="H1394" s="50" t="n">
        <x:v>1</x:v>
      </x:c>
      <x:c r="I1394" s="44" t="str">
        <x:v>01.01</x:v>
      </x:c>
      <x:c r="J1394" s="33" t="str">
        <x:v>Pilot</x:v>
      </x:c>
      <x:c r="K1394" s="33" t="str"/>
      <x:c r="L1394" s="33" t="str"/>
      <x:c r="M1394" s="44" t="str"/>
      <x:c r="N1394" s="50" t="n">
        <x:v>66</x:v>
      </x:c>
      <x:c r="O1394" s="53" t="str">
        <x:v>In the first episode we meet Mary Shannon a US Marshall for the Witness Protection Program. In this episode Mary tries to figure out what went wrong when a mobster's son who was under her protection is killed.</x:v>
      </x:c>
      <x:c r="P1394" s="53" t="str">
        <x:v>SVU character crossover / shared Dick Wolf connection</x:v>
      </x:c>
      <x:c r="Q1394" s="17" t="str">
        <x:v>393563</x:v>
      </x:c>
      <x:c r="R1394" s="17" t="str">
        <x:v>tt0759583</x:v>
      </x:c>
      <x:c r="S1394" s="17" t="str">
        <x:v>962</x:v>
      </x:c>
    </x:row>
    <x:row r="1395">
      <x:c r="A1395" s="43" t="n">
        <x:v>1391</x:v>
      </x:c>
      <x:c r="B1395" s="44" t="str">
        <x:v>Not Started</x:v>
      </x:c>
      <x:c r="C1395" s="45" t="n">
        <x:v>39607</x:v>
      </x:c>
      <x:c r="D1395" s="33" t="str">
        <x:v>In Plain Sight</x:v>
      </x:c>
      <x:c r="E1395" s="33" t="str">
        <x:v>Crossover Adjacent</x:v>
      </x:c>
      <x:c r="F1395" s="33" t="str">
        <x:v>connected</x:v>
      </x:c>
      <x:c r="G1395" s="50" t="n">
        <x:v>1</x:v>
      </x:c>
      <x:c r="H1395" s="50" t="n">
        <x:v>2</x:v>
      </x:c>
      <x:c r="I1395" s="44" t="str">
        <x:v>01.02</x:v>
      </x:c>
      <x:c r="J1395" s="33" t="str">
        <x:v>Hoosier Daddy</x:v>
      </x:c>
      <x:c r="K1395" s="33" t="str"/>
      <x:c r="L1395" s="33" t="str"/>
      <x:c r="M1395" s="44" t="str"/>
      <x:c r="N1395" s="50" t="n">
        <x:v>42</x:v>
      </x:c>
      <x:c r="O1395" s="53" t="str">
        <x:v>Things get complicated when Mary takes on the case of Leo Billups. Leo saw his mother murdered and is going to testify against the people who killed her including his father.</x:v>
      </x:c>
      <x:c r="P1395" s="53" t="str">
        <x:v>SVU character crossover / shared Dick Wolf connection</x:v>
      </x:c>
      <x:c r="Q1395" s="17" t="str">
        <x:v>393564</x:v>
      </x:c>
      <x:c r="R1395" s="17" t="str">
        <x:v>tt1103560</x:v>
      </x:c>
      <x:c r="S1395" s="17" t="str">
        <x:v>964</x:v>
      </x:c>
    </x:row>
    <x:row r="1396">
      <x:c r="A1396" s="43" t="n">
        <x:v>1392</x:v>
      </x:c>
      <x:c r="B1396" s="44" t="str">
        <x:v>Not Started</x:v>
      </x:c>
      <x:c r="C1396" s="45" t="n">
        <x:v>39607</x:v>
      </x:c>
      <x:c r="D1396" s="33" t="str">
        <x:v>Law &amp; Order: Criminal Intent</x:v>
      </x:c>
      <x:c r="E1396" s="33" t="str">
        <x:v>Law &amp; Order</x:v>
      </x:c>
      <x:c r="F1396" s="33" t="str">
        <x:v>core</x:v>
      </x:c>
      <x:c r="G1396" s="50" t="n">
        <x:v>7</x:v>
      </x:c>
      <x:c r="H1396" s="50" t="n">
        <x:v>11</x:v>
      </x:c>
      <x:c r="I1396" s="44" t="str">
        <x:v>07.11</x:v>
      </x:c>
      <x:c r="J1396" s="33" t="str">
        <x:v>Purgatory</x:v>
      </x:c>
      <x:c r="K1396" s="33" t="str"/>
      <x:c r="L1396" s="33" t="str"/>
      <x:c r="M1396" s="44" t="str"/>
      <x:c r="N1396" s="50" t="n">
        <x:v>45</x:v>
      </x:c>
      <x:c r="O1396" s="53" t="str">
        <x:v>Still on leave from the force, approached in a bar after a confrontation, and pondering his future, Goren meets another officer on suspension (Winters) who makes him an interesting job offer. Goren decides to tip the balance in his favor with an undercover operation.</x:v>
      </x:c>
      <x:c r="P1396" s="53" t="str">
        <x:v>Core Law &amp; Order franchise</x:v>
      </x:c>
      <x:c r="Q1396" s="17" t="str">
        <x:v>341355</x:v>
      </x:c>
      <x:c r="R1396" s="17" t="str">
        <x:v>tt1031384</x:v>
      </x:c>
      <x:c r="S1396" s="17" t="str">
        <x:v>963</x:v>
      </x:c>
    </x:row>
    <x:row r="1397">
      <x:c r="A1397" s="43" t="n">
        <x:v>1393</x:v>
      </x:c>
      <x:c r="B1397" s="44" t="str">
        <x:v>Not Started</x:v>
      </x:c>
      <x:c r="C1397" s="45" t="n">
        <x:v>39614</x:v>
      </x:c>
      <x:c r="D1397" s="33" t="str">
        <x:v>In Plain Sight</x:v>
      </x:c>
      <x:c r="E1397" s="33" t="str">
        <x:v>Crossover Adjacent</x:v>
      </x:c>
      <x:c r="F1397" s="33" t="str">
        <x:v>connected</x:v>
      </x:c>
      <x:c r="G1397" s="50" t="n">
        <x:v>1</x:v>
      </x:c>
      <x:c r="H1397" s="50" t="n">
        <x:v>3</x:v>
      </x:c>
      <x:c r="I1397" s="44" t="str">
        <x:v>01.03</x:v>
      </x:c>
      <x:c r="J1397" s="33" t="str">
        <x:v>Never the Bride</x:v>
      </x:c>
      <x:c r="K1397" s="33" t="str"/>
      <x:c r="L1397" s="33" t="str"/>
      <x:c r="M1397" s="44" t="str"/>
      <x:c r="N1397" s="50" t="n">
        <x:v>41</x:v>
      </x:c>
      <x:c r="O1397" s="53" t="str">
        <x:v>Mary's assignment this week is Treena Morris a con-artist who is married to a diamond smuggler. After she is arrested by the feds, she decides to tell all on her husband and his friends. While Mary is trying to keep her safe, Treena gets engaged and her photo is all over the papers.</x:v>
      </x:c>
      <x:c r="P1397" s="53" t="str">
        <x:v>SVU character crossover / shared Dick Wolf connection</x:v>
      </x:c>
      <x:c r="Q1397" s="17" t="str">
        <x:v>393565</x:v>
      </x:c>
      <x:c r="R1397" s="17" t="str">
        <x:v>tt1104390</x:v>
      </x:c>
      <x:c r="S1397" s="17" t="str">
        <x:v>966</x:v>
      </x:c>
    </x:row>
    <x:row r="1398">
      <x:c r="A1398" s="43" t="n">
        <x:v>1394</x:v>
      </x:c>
      <x:c r="B1398" s="44" t="str">
        <x:v>Not Started</x:v>
      </x:c>
      <x:c r="C1398" s="45" t="n">
        <x:v>39614</x:v>
      </x:c>
      <x:c r="D1398" s="33" t="str">
        <x:v>Law &amp; Order: Criminal Intent</x:v>
      </x:c>
      <x:c r="E1398" s="33" t="str">
        <x:v>Law &amp; Order</x:v>
      </x:c>
      <x:c r="F1398" s="33" t="str">
        <x:v>core</x:v>
      </x:c>
      <x:c r="G1398" s="50" t="n">
        <x:v>7</x:v>
      </x:c>
      <x:c r="H1398" s="50" t="n">
        <x:v>12</x:v>
      </x:c>
      <x:c r="I1398" s="44" t="str">
        <x:v>07.12</x:v>
      </x:c>
      <x:c r="J1398" s="33" t="str">
        <x:v>Contract</x:v>
      </x:c>
      <x:c r="K1398" s="33" t="str"/>
      <x:c r="L1398" s="33" t="str"/>
      <x:c r="M1398" s="44" t="str"/>
      <x:c r="N1398" s="50" t="n">
        <x:v>45</x:v>
      </x:c>
      <x:c r="O1398" s="53" t="str">
        <x:v>A gossip columnist who used his insider knowledge to feed his habit is murdered, which leaves Wheeler and Logan to work through a list of suspects that grows longer the more they probe his life.</x:v>
      </x:c>
      <x:c r="P1398" s="53" t="str">
        <x:v>Core Law &amp; Order franchise</x:v>
      </x:c>
      <x:c r="Q1398" s="17" t="str">
        <x:v>341356</x:v>
      </x:c>
      <x:c r="R1398" s="17" t="str">
        <x:v>tt1031385</x:v>
      </x:c>
      <x:c r="S1398" s="17" t="str">
        <x:v>965</x:v>
      </x:c>
    </x:row>
    <x:row r="1399">
      <x:c r="A1399" s="43" t="n">
        <x:v>1395</x:v>
      </x:c>
      <x:c r="B1399" s="44" t="str">
        <x:v>Not Started</x:v>
      </x:c>
      <x:c r="C1399" s="45" t="n">
        <x:v>39621</x:v>
      </x:c>
      <x:c r="D1399" s="33" t="str">
        <x:v>In Plain Sight</x:v>
      </x:c>
      <x:c r="E1399" s="33" t="str">
        <x:v>Crossover Adjacent</x:v>
      </x:c>
      <x:c r="F1399" s="33" t="str">
        <x:v>connected</x:v>
      </x:c>
      <x:c r="G1399" s="50" t="n">
        <x:v>1</x:v>
      </x:c>
      <x:c r="H1399" s="50" t="n">
        <x:v>4</x:v>
      </x:c>
      <x:c r="I1399" s="44" t="str">
        <x:v>01.04</x:v>
      </x:c>
      <x:c r="J1399" s="33" t="str">
        <x:v>Trojan Horst</x:v>
      </x:c>
      <x:c r="K1399" s="33" t="str"/>
      <x:c r="L1399" s="33" t="str"/>
      <x:c r="M1399" s="44" t="str"/>
      <x:c r="N1399" s="50" t="n">
        <x:v>42</x:v>
      </x:c>
      <x:c r="O1399" s="53" t="str">
        <x:v>Mary and Marshall take on a case involving Horst Vanderhoff, an agent for Lola, who's an assassin for hire. While trying to line up her next job, Horst is busted and agrees to testify against her to become a part of the Witness Protection Program.</x:v>
      </x:c>
      <x:c r="P1399" s="53" t="str">
        <x:v>SVU character crossover / shared Dick Wolf connection</x:v>
      </x:c>
      <x:c r="Q1399" s="17" t="str">
        <x:v>393566</x:v>
      </x:c>
      <x:c r="R1399" s="17" t="str">
        <x:v>tt1104392</x:v>
      </x:c>
      <x:c r="S1399" s="17" t="str">
        <x:v>968</x:v>
      </x:c>
    </x:row>
    <x:row r="1400">
      <x:c r="A1400" s="43" t="n">
        <x:v>1396</x:v>
      </x:c>
      <x:c r="B1400" s="44" t="str">
        <x:v>Not Started</x:v>
      </x:c>
      <x:c r="C1400" s="45" t="n">
        <x:v>39621</x:v>
      </x:c>
      <x:c r="D1400" s="33" t="str">
        <x:v>Law &amp; Order: Criminal Intent</x:v>
      </x:c>
      <x:c r="E1400" s="33" t="str">
        <x:v>Law &amp; Order</x:v>
      </x:c>
      <x:c r="F1400" s="33" t="str">
        <x:v>core</x:v>
      </x:c>
      <x:c r="G1400" s="50" t="n">
        <x:v>7</x:v>
      </x:c>
      <x:c r="H1400" s="50" t="n">
        <x:v>13</x:v>
      </x:c>
      <x:c r="I1400" s="44" t="str">
        <x:v>07.13</x:v>
      </x:c>
      <x:c r="J1400" s="33" t="str">
        <x:v>Betrayed</x:v>
      </x:c>
      <x:c r="K1400" s="33" t="str"/>
      <x:c r="L1400" s="33" t="str"/>
      <x:c r="M1400" s="44" t="str"/>
      <x:c r="N1400" s="50" t="n">
        <x:v>43</x:v>
      </x:c>
      <x:c r="O1400" s="53" t="str">
        <x:v>Captain Ross loses his objectivity, and jeopardizes the case, when an old flame becomes a suspect in the disappearance of her husband and his lover.</x:v>
      </x:c>
      <x:c r="P1400" s="53" t="str">
        <x:v>Core Law &amp; Order franchise</x:v>
      </x:c>
      <x:c r="Q1400" s="17" t="str">
        <x:v>341357</x:v>
      </x:c>
      <x:c r="R1400" s="17" t="str">
        <x:v>tt1031386</x:v>
      </x:c>
      <x:c r="S1400" s="17" t="str">
        <x:v>967</x:v>
      </x:c>
    </x:row>
    <x:row r="1401">
      <x:c r="A1401" s="43" t="n">
        <x:v>1397</x:v>
      </x:c>
      <x:c r="B1401" s="44" t="str">
        <x:v>Not Started</x:v>
      </x:c>
      <x:c r="C1401" s="45" t="n">
        <x:v>39628</x:v>
      </x:c>
      <x:c r="D1401" s="33" t="str">
        <x:v>In Plain Sight</x:v>
      </x:c>
      <x:c r="E1401" s="33" t="str">
        <x:v>Crossover Adjacent</x:v>
      </x:c>
      <x:c r="F1401" s="33" t="str">
        <x:v>connected</x:v>
      </x:c>
      <x:c r="G1401" s="50" t="n">
        <x:v>1</x:v>
      </x:c>
      <x:c r="H1401" s="50" t="n">
        <x:v>5</x:v>
      </x:c>
      <x:c r="I1401" s="44" t="str">
        <x:v>01.05</x:v>
      </x:c>
      <x:c r="J1401" s="33" t="str">
        <x:v>Who Shot Jay Arnstein?</x:v>
      </x:c>
      <x:c r="K1401" s="33" t="str"/>
      <x:c r="L1401" s="33" t="str"/>
      <x:c r="M1401" s="44" t="str"/>
      <x:c r="N1401" s="50" t="n">
        <x:v>43</x:v>
      </x:c>
      <x:c r="O1401" s="53" t="str">
        <x:v>Mary works to solve the mystery of who tried to kill her witness, an art dealer. To complicate matters, both his mistress and his wife are in the program...and key suspects.</x:v>
      </x:c>
      <x:c r="P1401" s="53" t="str">
        <x:v>SVU character crossover / shared Dick Wolf connection</x:v>
      </x:c>
      <x:c r="Q1401" s="17" t="str">
        <x:v>393567</x:v>
      </x:c>
      <x:c r="R1401" s="17" t="str">
        <x:v>tt1197844</x:v>
      </x:c>
      <x:c r="S1401" s="17" t="str">
        <x:v>970</x:v>
      </x:c>
    </x:row>
    <x:row r="1402">
      <x:c r="A1402" s="43" t="n">
        <x:v>1398</x:v>
      </x:c>
      <x:c r="B1402" s="44" t="str">
        <x:v>Not Started</x:v>
      </x:c>
      <x:c r="C1402" s="45" t="n">
        <x:v>39628</x:v>
      </x:c>
      <x:c r="D1402" s="33" t="str">
        <x:v>Law &amp; Order: Criminal Intent</x:v>
      </x:c>
      <x:c r="E1402" s="33" t="str">
        <x:v>Law &amp; Order</x:v>
      </x:c>
      <x:c r="F1402" s="33" t="str">
        <x:v>core</x:v>
      </x:c>
      <x:c r="G1402" s="50" t="n">
        <x:v>7</x:v>
      </x:c>
      <x:c r="H1402" s="50" t="n">
        <x:v>14</x:v>
      </x:c>
      <x:c r="I1402" s="44" t="str">
        <x:v>07.14</x:v>
      </x:c>
      <x:c r="J1402" s="33" t="str">
        <x:v>Assassin</x:v>
      </x:c>
      <x:c r="K1402" s="33" t="str"/>
      <x:c r="L1402" s="33" t="str"/>
      <x:c r="M1402" s="44" t="str"/>
      <x:c r="N1402" s="50" t="n">
        <x:v>43</x:v>
      </x:c>
      <x:c r="O1402" s="53" t="str">
        <x:v>A Sri Lankan Tamil activist survives an assassination attempt at JFK when she returns from her house arrest in Sri Lanka. When members of her close circle are also targeted, the investigation puts Logan and Wheeler on the trail of a Canadian gun-for-hire in a race to catch the killer before it's too late.</x:v>
      </x:c>
      <x:c r="P1402" s="53" t="str">
        <x:v>Core Law &amp; Order franchise</x:v>
      </x:c>
      <x:c r="Q1402" s="17" t="str">
        <x:v>341358</x:v>
      </x:c>
      <x:c r="R1402" s="17" t="str">
        <x:v>tt1031387</x:v>
      </x:c>
      <x:c r="S1402" s="17" t="str">
        <x:v>969</x:v>
      </x:c>
    </x:row>
    <x:row r="1403">
      <x:c r="A1403" s="43" t="n">
        <x:v>1399</x:v>
      </x:c>
      <x:c r="B1403" s="44" t="str">
        <x:v>Not Started</x:v>
      </x:c>
      <x:c r="C1403" s="45" t="n">
        <x:v>39635</x:v>
      </x:c>
      <x:c r="D1403" s="33" t="str">
        <x:v>In Plain Sight</x:v>
      </x:c>
      <x:c r="E1403" s="33" t="str">
        <x:v>Crossover Adjacent</x:v>
      </x:c>
      <x:c r="F1403" s="33" t="str">
        <x:v>connected</x:v>
      </x:c>
      <x:c r="G1403" s="50" t="n">
        <x:v>1</x:v>
      </x:c>
      <x:c r="H1403" s="50" t="n">
        <x:v>6</x:v>
      </x:c>
      <x:c r="I1403" s="44" t="str">
        <x:v>01.06</x:v>
      </x:c>
      <x:c r="J1403" s="33" t="str">
        <x:v>High Priced Spread</x:v>
      </x:c>
      <x:c r="K1403" s="33" t="str"/>
      <x:c r="L1403" s="33" t="str"/>
      <x:c r="M1403" s="44" t="str"/>
      <x:c r="N1403" s="50" t="n">
        <x:v>42</x:v>
      </x:c>
      <x:c r="O1403" s="53" t="str">
        <x:v>Mary learns that her witness, a NCAA basketball star, has a gambling problem</x:v>
      </x:c>
      <x:c r="P1403" s="53" t="str">
        <x:v>SVU character crossover / shared Dick Wolf connection</x:v>
      </x:c>
      <x:c r="Q1403" s="17" t="str">
        <x:v>393568</x:v>
      </x:c>
      <x:c r="R1403" s="17" t="str">
        <x:v>tt1127536</x:v>
      </x:c>
      <x:c r="S1403" s="17" t="str">
        <x:v>972</x:v>
      </x:c>
    </x:row>
    <x:row r="1404">
      <x:c r="A1404" s="43" t="n">
        <x:v>1400</x:v>
      </x:c>
      <x:c r="B1404" s="44" t="str">
        <x:v>Not Started</x:v>
      </x:c>
      <x:c r="C1404" s="45" t="n">
        <x:v>39635</x:v>
      </x:c>
      <x:c r="D1404" s="33" t="str">
        <x:v>Law &amp; Order: Criminal Intent</x:v>
      </x:c>
      <x:c r="E1404" s="33" t="str">
        <x:v>Law &amp; Order</x:v>
      </x:c>
      <x:c r="F1404" s="33" t="str">
        <x:v>core</x:v>
      </x:c>
      <x:c r="G1404" s="50" t="n">
        <x:v>7</x:v>
      </x:c>
      <x:c r="H1404" s="50" t="n">
        <x:v>15</x:v>
      </x:c>
      <x:c r="I1404" s="44" t="str">
        <x:v>07.15</x:v>
      </x:c>
      <x:c r="J1404" s="33" t="str">
        <x:v>Please Note We Are No Longer Accepting Letters of Recommendation from Henry Kissinger</x:v>
      </x:c>
      <x:c r="K1404" s="33" t="str"/>
      <x:c r="L1404" s="33" t="str"/>
      <x:c r="M1404" s="44" t="str"/>
      <x:c r="N1404" s="50" t="n">
        <x:v>43</x:v>
      </x:c>
      <x:c r="O1404" s="53" t="str">
        <x:v>Three murders lead to a preschool with an exclusive and long waiting list.</x:v>
      </x:c>
      <x:c r="P1404" s="53" t="str">
        <x:v>Core Law &amp; Order franchise</x:v>
      </x:c>
      <x:c r="Q1404" s="17" t="str">
        <x:v>341359</x:v>
      </x:c>
      <x:c r="R1404" s="17" t="str">
        <x:v>tt1031388</x:v>
      </x:c>
      <x:c r="S1404" s="17" t="str">
        <x:v>971</x:v>
      </x:c>
    </x:row>
    <x:row r="1405">
      <x:c r="A1405" s="43" t="n">
        <x:v>1401</x:v>
      </x:c>
      <x:c r="B1405" s="44" t="str">
        <x:v>Not Started</x:v>
      </x:c>
      <x:c r="C1405" s="45" t="n">
        <x:v>39642</x:v>
      </x:c>
      <x:c r="D1405" s="33" t="str">
        <x:v>In Plain Sight</x:v>
      </x:c>
      <x:c r="E1405" s="33" t="str">
        <x:v>Crossover Adjacent</x:v>
      </x:c>
      <x:c r="F1405" s="33" t="str">
        <x:v>connected</x:v>
      </x:c>
      <x:c r="G1405" s="50" t="n">
        <x:v>1</x:v>
      </x:c>
      <x:c r="H1405" s="50" t="n">
        <x:v>7</x:v>
      </x:c>
      <x:c r="I1405" s="44" t="str">
        <x:v>01.07</x:v>
      </x:c>
      <x:c r="J1405" s="33" t="str">
        <x:v>Iris Doesn't Live Here Anymore</x:v>
      </x:c>
      <x:c r="K1405" s="33" t="str"/>
      <x:c r="L1405" s="33" t="str"/>
      <x:c r="M1405" s="44" t="str"/>
      <x:c r="N1405" s="50" t="n">
        <x:v>41</x:v>
      </x:c>
      <x:c r="O1405" s="53" t="str">
        <x:v>The closeness of a family is tested when they enter the program after the daughter witnesses a shooting.</x:v>
      </x:c>
      <x:c r="P1405" s="53" t="str">
        <x:v>SVU character crossover / shared Dick Wolf connection</x:v>
      </x:c>
      <x:c r="Q1405" s="17" t="str">
        <x:v>393569</x:v>
      </x:c>
      <x:c r="R1405" s="17" t="str">
        <x:v>tt1197845</x:v>
      </x:c>
      <x:c r="S1405" s="17" t="str">
        <x:v>974</x:v>
      </x:c>
    </x:row>
    <x:row r="1406">
      <x:c r="A1406" s="43" t="n">
        <x:v>1402</x:v>
      </x:c>
      <x:c r="B1406" s="44" t="str">
        <x:v>Not Started</x:v>
      </x:c>
      <x:c r="C1406" s="45" t="n">
        <x:v>39642</x:v>
      </x:c>
      <x:c r="D1406" s="33" t="str">
        <x:v>Law &amp; Order: Criminal Intent</x:v>
      </x:c>
      <x:c r="E1406" s="33" t="str">
        <x:v>Law &amp; Order</x:v>
      </x:c>
      <x:c r="F1406" s="33" t="str">
        <x:v>core</x:v>
      </x:c>
      <x:c r="G1406" s="50" t="n">
        <x:v>7</x:v>
      </x:c>
      <x:c r="H1406" s="50" t="n">
        <x:v>16</x:v>
      </x:c>
      <x:c r="I1406" s="44" t="str">
        <x:v>07.16</x:v>
      </x:c>
      <x:c r="J1406" s="33" t="str">
        <x:v>Reunion</x:v>
      </x:c>
      <x:c r="K1406" s="33" t="str"/>
      <x:c r="L1406" s="33" t="str"/>
      <x:c r="M1406" s="44" t="str"/>
      <x:c r="N1406" s="50" t="n">
        <x:v>43</x:v>
      </x:c>
      <x:c r="O1406" s="53" t="str">
        <x:v>The murder of a television show host may be linked to her former avocation as a groupie to a famous musician, putting him and his family right at the top of the suspect list, along with her son and assistant.</x:v>
      </x:c>
      <x:c r="P1406" s="53" t="str">
        <x:v>Core Law &amp; Order franchise</x:v>
      </x:c>
      <x:c r="Q1406" s="17" t="str">
        <x:v>341360</x:v>
      </x:c>
      <x:c r="R1406" s="17" t="str">
        <x:v>tt1031389</x:v>
      </x:c>
      <x:c r="S1406" s="17" t="str">
        <x:v>973</x:v>
      </x:c>
    </x:row>
    <x:row r="1407">
      <x:c r="A1407" s="43" t="n">
        <x:v>1403</x:v>
      </x:c>
      <x:c r="B1407" s="44" t="str">
        <x:v>Not Started</x:v>
      </x:c>
      <x:c r="C1407" s="45" t="n">
        <x:v>39649</x:v>
      </x:c>
      <x:c r="D1407" s="33" t="str">
        <x:v>In Plain Sight</x:v>
      </x:c>
      <x:c r="E1407" s="33" t="str">
        <x:v>Crossover Adjacent</x:v>
      </x:c>
      <x:c r="F1407" s="33" t="str">
        <x:v>connected</x:v>
      </x:c>
      <x:c r="G1407" s="50" t="n">
        <x:v>1</x:v>
      </x:c>
      <x:c r="H1407" s="50" t="n">
        <x:v>8</x:v>
      </x:c>
      <x:c r="I1407" s="44" t="str">
        <x:v>01.08</x:v>
      </x:c>
      <x:c r="J1407" s="33" t="str">
        <x:v>Don of the Dead</x:v>
      </x:c>
      <x:c r="K1407" s="33" t="str"/>
      <x:c r="L1407" s="33" t="str"/>
      <x:c r="M1407" s="44" t="str"/>
      <x:c r="N1407" s="50" t="n">
        <x:v>42</x:v>
      </x:c>
      <x:c r="O1407" s="53" t="str">
        <x:v>A member of the Program under Mary's watch is in a car accident and Mary has to find out if it was an accident or related to his former life.</x:v>
      </x:c>
      <x:c r="P1407" s="53" t="str">
        <x:v>SVU character crossover / shared Dick Wolf connection</x:v>
      </x:c>
      <x:c r="Q1407" s="17" t="str">
        <x:v>393570</x:v>
      </x:c>
      <x:c r="R1407" s="17" t="str">
        <x:v>tt1197846</x:v>
      </x:c>
      <x:c r="S1407" s="17" t="str">
        <x:v>976</x:v>
      </x:c>
    </x:row>
    <x:row r="1408">
      <x:c r="A1408" s="43" t="n">
        <x:v>1404</x:v>
      </x:c>
      <x:c r="B1408" s="44" t="str">
        <x:v>Not Started</x:v>
      </x:c>
      <x:c r="C1408" s="45" t="n">
        <x:v>39649</x:v>
      </x:c>
      <x:c r="D1408" s="33" t="str">
        <x:v>Law &amp; Order: Criminal Intent</x:v>
      </x:c>
      <x:c r="E1408" s="33" t="str">
        <x:v>Law &amp; Order</x:v>
      </x:c>
      <x:c r="F1408" s="33" t="str">
        <x:v>core</x:v>
      </x:c>
      <x:c r="G1408" s="50" t="n">
        <x:v>7</x:v>
      </x:c>
      <x:c r="H1408" s="50" t="n">
        <x:v>17</x:v>
      </x:c>
      <x:c r="I1408" s="44" t="str">
        <x:v>07.17</x:v>
      </x:c>
      <x:c r="J1408" s="33" t="str">
        <x:v>Vanishing Act</x:v>
      </x:c>
      <x:c r="K1408" s="33" t="str"/>
      <x:c r="L1408" s="33" t="str"/>
      <x:c r="M1408" s="44" t="str"/>
      <x:c r="N1408" s="50" t="n">
        <x:v>43</x:v>
      </x:c>
      <x:c r="O1408" s="53" t="str">
        <x:v>A well-known magician disappears during a live-burial stunt, only to appear miles away and dead in the middle of his mentor's gag. Goren and Eames' investigation takes them deep into the secretive world of magic as they unravel the magician's final act to find a murderer.</x:v>
      </x:c>
      <x:c r="P1408" s="53" t="str">
        <x:v>Core Law &amp; Order franchise</x:v>
      </x:c>
      <x:c r="Q1408" s="17" t="str">
        <x:v>341361</x:v>
      </x:c>
      <x:c r="R1408" s="17" t="str">
        <x:v>tt1031390</x:v>
      </x:c>
      <x:c r="S1408" s="17" t="str">
        <x:v>975</x:v>
      </x:c>
    </x:row>
    <x:row r="1409">
      <x:c r="A1409" s="43" t="n">
        <x:v>1405</x:v>
      </x:c>
      <x:c r="B1409" s="44" t="str">
        <x:v>Not Started</x:v>
      </x:c>
      <x:c r="C1409" s="45" t="n">
        <x:v>39656</x:v>
      </x:c>
      <x:c r="D1409" s="33" t="str">
        <x:v>In Plain Sight</x:v>
      </x:c>
      <x:c r="E1409" s="33" t="str">
        <x:v>Crossover Adjacent</x:v>
      </x:c>
      <x:c r="F1409" s="33" t="str">
        <x:v>connected</x:v>
      </x:c>
      <x:c r="G1409" s="50" t="n">
        <x:v>1</x:v>
      </x:c>
      <x:c r="H1409" s="50" t="n">
        <x:v>9</x:v>
      </x:c>
      <x:c r="I1409" s="44" t="str">
        <x:v>01.09</x:v>
      </x:c>
      <x:c r="J1409" s="33" t="str">
        <x:v>Good Cop, Dead Cop</x:v>
      </x:c>
      <x:c r="K1409" s="33" t="str"/>
      <x:c r="L1409" s="33" t="str"/>
      <x:c r="M1409" s="44" t="str"/>
      <x:c r="N1409" s="50" t="n">
        <x:v>42</x:v>
      </x:c>
      <x:c r="O1409" s="53" t="str">
        <x:v>Mary suffers the consequences when an attractive witness, who she slept with, is accused of murder.</x:v>
      </x:c>
      <x:c r="P1409" s="53" t="str">
        <x:v>SVU character crossover / shared Dick Wolf connection</x:v>
      </x:c>
      <x:c r="Q1409" s="17" t="str">
        <x:v>393571</x:v>
      </x:c>
      <x:c r="R1409" s="17" t="str">
        <x:v>tt1131232</x:v>
      </x:c>
      <x:c r="S1409" s="17" t="str">
        <x:v>978</x:v>
      </x:c>
    </x:row>
    <x:row r="1410">
      <x:c r="A1410" s="43" t="n">
        <x:v>1406</x:v>
      </x:c>
      <x:c r="B1410" s="44" t="str">
        <x:v>Not Started</x:v>
      </x:c>
      <x:c r="C1410" s="45" t="n">
        <x:v>39656</x:v>
      </x:c>
      <x:c r="D1410" s="33" t="str">
        <x:v>Law &amp; Order: Criminal Intent</x:v>
      </x:c>
      <x:c r="E1410" s="33" t="str">
        <x:v>Law &amp; Order</x:v>
      </x:c>
      <x:c r="F1410" s="33" t="str">
        <x:v>core</x:v>
      </x:c>
      <x:c r="G1410" s="50" t="n">
        <x:v>7</x:v>
      </x:c>
      <x:c r="H1410" s="50" t="n">
        <x:v>18</x:v>
      </x:c>
      <x:c r="I1410" s="44" t="str">
        <x:v>07.18</x:v>
      </x:c>
      <x:c r="J1410" s="33" t="str">
        <x:v>Ten Count</x:v>
      </x:c>
      <x:c r="K1410" s="33" t="str"/>
      <x:c r="L1410" s="33" t="str"/>
      <x:c r="M1410" s="44" t="str"/>
      <x:c r="N1410" s="50" t="n">
        <x:v>43</x:v>
      </x:c>
      <x:c r="O1410" s="53" t="str">
        <x:v>A boxer celebrating his victory is shot to death, and when it turns out the victim is the brother of a young man Logan mentored he commits himself and Wheeler to solving the crime. Unfortunately, as he and Wheeler explore the world of amateur boxing, secrets and betrayals complicate the case.</x:v>
      </x:c>
      <x:c r="P1410" s="53" t="str">
        <x:v>Core Law &amp; Order franchise</x:v>
      </x:c>
      <x:c r="Q1410" s="17" t="str">
        <x:v>341362</x:v>
      </x:c>
      <x:c r="R1410" s="17" t="str">
        <x:v>tt1031391</x:v>
      </x:c>
      <x:c r="S1410" s="17" t="str">
        <x:v>977</x:v>
      </x:c>
    </x:row>
    <x:row r="1411">
      <x:c r="A1411" s="43" t="n">
        <x:v>1407</x:v>
      </x:c>
      <x:c r="B1411" s="44" t="str">
        <x:v>Not Started</x:v>
      </x:c>
      <x:c r="C1411" s="45" t="n">
        <x:v>39663</x:v>
      </x:c>
      <x:c r="D1411" s="33" t="str">
        <x:v>In Plain Sight</x:v>
      </x:c>
      <x:c r="E1411" s="33" t="str">
        <x:v>Crossover Adjacent</x:v>
      </x:c>
      <x:c r="F1411" s="33" t="str">
        <x:v>connected</x:v>
      </x:c>
      <x:c r="G1411" s="50" t="n">
        <x:v>1</x:v>
      </x:c>
      <x:c r="H1411" s="50" t="n">
        <x:v>10</x:v>
      </x:c>
      <x:c r="I1411" s="44" t="str">
        <x:v>01.10</x:v>
      </x:c>
      <x:c r="J1411" s="33" t="str">
        <x:v>To Serge with Love</x:v>
      </x:c>
      <x:c r="K1411" s="33" t="str"/>
      <x:c r="L1411" s="33" t="str"/>
      <x:c r="M1411" s="44" t="str"/>
      <x:c r="N1411" s="50" t="n">
        <x:v>42</x:v>
      </x:c>
      <x:c r="O1411" s="53" t="str">
        <x:v>Natasha, the mild mannered Ukrainian accountant, has gotten her new breasts, but her life becomes more complicated when she discovers that her new boyfriend is also in WITSEC.</x:v>
      </x:c>
      <x:c r="P1411" s="53" t="str">
        <x:v>SVU character crossover / shared Dick Wolf connection</x:v>
      </x:c>
      <x:c r="Q1411" s="17" t="str">
        <x:v>393572</x:v>
      </x:c>
      <x:c r="R1411" s="17" t="str">
        <x:v>tt1242223</x:v>
      </x:c>
      <x:c r="S1411" s="17" t="str">
        <x:v>980</x:v>
      </x:c>
    </x:row>
    <x:row r="1412">
      <x:c r="A1412" s="43" t="n">
        <x:v>1408</x:v>
      </x:c>
      <x:c r="B1412" s="44" t="str">
        <x:v>Not Started</x:v>
      </x:c>
      <x:c r="C1412" s="45" t="n">
        <x:v>39663</x:v>
      </x:c>
      <x:c r="D1412" s="33" t="str">
        <x:v>Law &amp; Order: Criminal Intent</x:v>
      </x:c>
      <x:c r="E1412" s="33" t="str">
        <x:v>Law &amp; Order</x:v>
      </x:c>
      <x:c r="F1412" s="33" t="str">
        <x:v>core</x:v>
      </x:c>
      <x:c r="G1412" s="50" t="n">
        <x:v>7</x:v>
      </x:c>
      <x:c r="H1412" s="50" t="n">
        <x:v>19</x:v>
      </x:c>
      <x:c r="I1412" s="44" t="str">
        <x:v>07.19</x:v>
      </x:c>
      <x:c r="J1412" s="33" t="str">
        <x:v>Legacy</x:v>
      </x:c>
      <x:c r="K1412" s="33" t="str"/>
      <x:c r="L1412" s="33" t="str"/>
      <x:c r="M1412" s="44" t="str"/>
      <x:c r="N1412" s="50" t="n">
        <x:v>43</x:v>
      </x:c>
      <x:c r="O1412" s="53" t="str">
        <x:v>When a student dies at an exclusive private school, the investigation uncovers an online community that may have overtaken the school with its fixation on grades and secrets.</x:v>
      </x:c>
      <x:c r="P1412" s="53" t="str">
        <x:v>Core Law &amp; Order franchise</x:v>
      </x:c>
      <x:c r="Q1412" s="17" t="str">
        <x:v>341363</x:v>
      </x:c>
      <x:c r="R1412" s="17" t="str">
        <x:v>tt1031392</x:v>
      </x:c>
      <x:c r="S1412" s="17" t="str">
        <x:v>979</x:v>
      </x:c>
    </x:row>
    <x:row r="1413">
      <x:c r="A1413" s="43" t="n">
        <x:v>1409</x:v>
      </x:c>
      <x:c r="B1413" s="44" t="str">
        <x:v>Not Started</x:v>
      </x:c>
      <x:c r="C1413" s="45" t="n">
        <x:v>39670</x:v>
      </x:c>
      <x:c r="D1413" s="33" t="str">
        <x:v>In Plain Sight</x:v>
      </x:c>
      <x:c r="E1413" s="33" t="str">
        <x:v>Crossover Adjacent</x:v>
      </x:c>
      <x:c r="F1413" s="33" t="str">
        <x:v>connected</x:v>
      </x:c>
      <x:c r="G1413" s="50" t="n">
        <x:v>1</x:v>
      </x:c>
      <x:c r="H1413" s="50" t="n">
        <x:v>11</x:v>
      </x:c>
      <x:c r="I1413" s="44" t="str">
        <x:v>01.11</x:v>
      </x:c>
      <x:c r="J1413" s="33" t="str">
        <x:v>Stan by Me</x:v>
      </x:c>
      <x:c r="K1413" s="33" t="str"/>
      <x:c r="L1413" s="33" t="str"/>
      <x:c r="M1413" s="44" t="str"/>
      <x:c r="N1413" s="50" t="n">
        <x:v>42</x:v>
      </x:c>
      <x:c r="O1413" s="53" t="str">
        <x:v>After watching her mother audition for "Sweet Charity" Mary is kidnapped; in New Jersey, Brandi's boyfriend Chuck is abducted and two FBI agents are killed; when federal agents suspect a connection, a nationwide manhunt ensues.</x:v>
      </x:c>
      <x:c r="P1413" s="53" t="str">
        <x:v>SVU character crossover / shared Dick Wolf connection</x:v>
      </x:c>
      <x:c r="Q1413" s="17" t="str">
        <x:v>393573</x:v>
      </x:c>
      <x:c r="R1413" s="17" t="str">
        <x:v>tt1241889</x:v>
      </x:c>
      <x:c r="S1413" s="17" t="str">
        <x:v>982</x:v>
      </x:c>
    </x:row>
    <x:row r="1414">
      <x:c r="A1414" s="43" t="n">
        <x:v>1410</x:v>
      </x:c>
      <x:c r="B1414" s="44" t="str">
        <x:v>Not Started</x:v>
      </x:c>
      <x:c r="C1414" s="45" t="n">
        <x:v>39670</x:v>
      </x:c>
      <x:c r="D1414" s="33" t="str">
        <x:v>Law &amp; Order: Criminal Intent</x:v>
      </x:c>
      <x:c r="E1414" s="33" t="str">
        <x:v>Law &amp; Order</x:v>
      </x:c>
      <x:c r="F1414" s="33" t="str">
        <x:v>core</x:v>
      </x:c>
      <x:c r="G1414" s="50" t="n">
        <x:v>7</x:v>
      </x:c>
      <x:c r="H1414" s="50" t="n">
        <x:v>20</x:v>
      </x:c>
      <x:c r="I1414" s="44" t="str">
        <x:v>07.20</x:v>
      </x:c>
      <x:c r="J1414" s="33" t="str">
        <x:v>Neighborhood Watch</x:v>
      </x:c>
      <x:c r="K1414" s="33" t="str"/>
      <x:c r="L1414" s="33" t="str"/>
      <x:c r="M1414" s="44" t="str"/>
      <x:c r="N1414" s="50" t="n">
        <x:v>43</x:v>
      </x:c>
      <x:c r="O1414" s="53" t="str">
        <x:v>Wheeler and Logan investigate the murder of a man found decapitated, mutilated and stabbed in Maspeth Creek, a neighborhood that did not welcome him.</x:v>
      </x:c>
      <x:c r="P1414" s="53" t="str">
        <x:v>Core Law &amp; Order franchise</x:v>
      </x:c>
      <x:c r="Q1414" s="17" t="str">
        <x:v>341364</x:v>
      </x:c>
      <x:c r="R1414" s="17" t="str">
        <x:v>tt1031394</x:v>
      </x:c>
      <x:c r="S1414" s="17" t="str">
        <x:v>981</x:v>
      </x:c>
    </x:row>
    <x:row r="1415">
      <x:c r="A1415" s="43" t="n">
        <x:v>1411</x:v>
      </x:c>
      <x:c r="B1415" s="44" t="str">
        <x:v>Not Started</x:v>
      </x:c>
      <x:c r="C1415" s="45" t="n">
        <x:v>39677</x:v>
      </x:c>
      <x:c r="D1415" s="33" t="str">
        <x:v>In Plain Sight</x:v>
      </x:c>
      <x:c r="E1415" s="33" t="str">
        <x:v>Crossover Adjacent</x:v>
      </x:c>
      <x:c r="F1415" s="33" t="str">
        <x:v>connected</x:v>
      </x:c>
      <x:c r="G1415" s="50" t="n">
        <x:v>1</x:v>
      </x:c>
      <x:c r="H1415" s="50" t="n">
        <x:v>12</x:v>
      </x:c>
      <x:c r="I1415" s="44" t="str">
        <x:v>01.12</x:v>
      </x:c>
      <x:c r="J1415" s="33" t="str">
        <x:v>A Fine Meth</x:v>
      </x:c>
      <x:c r="K1415" s="33" t="str"/>
      <x:c r="L1415" s="33" t="str"/>
      <x:c r="M1415" s="44" t="str"/>
      <x:c r="N1415" s="50" t="n">
        <x:v>42</x:v>
      </x:c>
      <x:c r="O1415" s="53" t="str">
        <x:v>The family regroups after Mary's ordeal; Stan and Marshall search for a way to force Spanky to tell the truth about Chuck's drug trafficking; the FBI corners Mary in her driveway with Brandi's suitcase full of meth in the back of her car.</x:v>
      </x:c>
      <x:c r="P1415" s="53" t="str">
        <x:v>SVU character crossover / shared Dick Wolf connection</x:v>
      </x:c>
      <x:c r="Q1415" s="17" t="str">
        <x:v>393574</x:v>
      </x:c>
      <x:c r="R1415" s="17" t="str">
        <x:v>tt1274622</x:v>
      </x:c>
      <x:c r="S1415" s="17" t="str">
        <x:v>984</x:v>
      </x:c>
    </x:row>
    <x:row r="1416">
      <x:c r="A1416" s="43" t="n">
        <x:v>1412</x:v>
      </x:c>
      <x:c r="B1416" s="44" t="str">
        <x:v>Not Started</x:v>
      </x:c>
      <x:c r="C1416" s="45" t="n">
        <x:v>39677</x:v>
      </x:c>
      <x:c r="D1416" s="33" t="str">
        <x:v>Law &amp; Order: Criminal Intent</x:v>
      </x:c>
      <x:c r="E1416" s="33" t="str">
        <x:v>Law &amp; Order</x:v>
      </x:c>
      <x:c r="F1416" s="33" t="str">
        <x:v>core</x:v>
      </x:c>
      <x:c r="G1416" s="50" t="n">
        <x:v>7</x:v>
      </x:c>
      <x:c r="H1416" s="50" t="n">
        <x:v>21</x:v>
      </x:c>
      <x:c r="I1416" s="44" t="str">
        <x:v>07.21</x:v>
      </x:c>
      <x:c r="J1416" s="33" t="str">
        <x:v>Last Rites</x:v>
      </x:c>
      <x:c r="K1416" s="33" t="str"/>
      <x:c r="L1416" s="33" t="str"/>
      <x:c r="M1416" s="44" t="str"/>
      <x:c r="N1416" s="50" t="n">
        <x:v>43</x:v>
      </x:c>
      <x:c r="O1416" s="53" t="str">
        <x:v>Logan jeopardizes his and Wheeler's careers when a priest convinces him to re-open a murder case that's over a decade old which involves a politically-aspiring ADA who will stop at nothing to keep the truth buried.</x:v>
      </x:c>
      <x:c r="P1416" s="53" t="str">
        <x:v>Core Law &amp; Order franchise</x:v>
      </x:c>
      <x:c r="Q1416" s="17" t="str">
        <x:v>341365</x:v>
      </x:c>
      <x:c r="R1416" s="17" t="str">
        <x:v>tt1031395</x:v>
      </x:c>
      <x:c r="S1416" s="17" t="str">
        <x:v>983</x:v>
      </x:c>
    </x:row>
    <x:row r="1417">
      <x:c r="A1417" s="43" t="n">
        <x:v>1413</x:v>
      </x:c>
      <x:c r="B1417" s="44" t="str">
        <x:v>Not Started</x:v>
      </x:c>
      <x:c r="C1417" s="45" t="n">
        <x:v>39684</x:v>
      </x:c>
      <x:c r="D1417" s="33" t="str">
        <x:v>Law &amp; Order: Criminal Intent</x:v>
      </x:c>
      <x:c r="E1417" s="33" t="str">
        <x:v>Law &amp; Order</x:v>
      </x:c>
      <x:c r="F1417" s="33" t="str">
        <x:v>core</x:v>
      </x:c>
      <x:c r="G1417" s="50" t="n">
        <x:v>7</x:v>
      </x:c>
      <x:c r="H1417" s="50" t="n">
        <x:v>22</x:v>
      </x:c>
      <x:c r="I1417" s="44" t="str">
        <x:v>07.22</x:v>
      </x:c>
      <x:c r="J1417" s="33" t="str">
        <x:v>Frame</x:v>
      </x:c>
      <x:c r="K1417" s="33" t="str"/>
      <x:c r="L1417" s="33" t="str"/>
      <x:c r="M1417" s="44" t="str"/>
      <x:c r="N1417" s="50" t="n">
        <x:v>43</x:v>
      </x:c>
      <x:c r="O1417" s="53" t="str">
        <x:v>Bobby is visited by the past when he finds a picture at his mother's grave indicating an old nemesis has returned, and the case only gets more complex when his brother and a mentor reappear.</x:v>
      </x:c>
      <x:c r="P1417" s="53" t="str">
        <x:v>Core Law &amp; Order franchise</x:v>
      </x:c>
      <x:c r="Q1417" s="17" t="str">
        <x:v>341366</x:v>
      </x:c>
      <x:c r="R1417" s="17" t="str">
        <x:v>tt1031396</x:v>
      </x:c>
      <x:c r="S1417" s="17" t="str">
        <x:v>985</x:v>
      </x:c>
    </x:row>
    <x:row r="1418">
      <x:c r="A1418" s="43" t="n">
        <x:v>1414</x:v>
      </x:c>
      <x:c r="B1418" s="44" t="str">
        <x:v>Not Started</x:v>
      </x:c>
      <x:c r="C1418" s="45" t="n">
        <x:v>39714</x:v>
      </x:c>
      <x:c r="D1418" s="33" t="str">
        <x:v>Law &amp; Order: Special Victims Unit</x:v>
      </x:c>
      <x:c r="E1418" s="33" t="str">
        <x:v>Law &amp; Order</x:v>
      </x:c>
      <x:c r="F1418" s="33" t="str">
        <x:v>core</x:v>
      </x:c>
      <x:c r="G1418" s="50" t="n">
        <x:v>10</x:v>
      </x:c>
      <x:c r="H1418" s="50" t="n">
        <x:v>1</x:v>
      </x:c>
      <x:c r="I1418" s="44" t="str">
        <x:v>10.01</x:v>
      </x:c>
      <x:c r="J1418" s="33" t="str">
        <x:v>Trials</x:v>
      </x:c>
      <x:c r="K1418" s="33" t="str"/>
      <x:c r="L1418" s="33" t="str"/>
      <x:c r="M1418" s="44" t="str"/>
      <x:c r="N1418" s="50" t="n">
        <x:v>43</x:v>
      </x:c>
      <x:c r="O1418" s="53" t="str">
        <x:v>After a young boy, Christopher Ryan, is caught driving a runaway van, Detective Elliot Stabler and Detective Benson take the seven year-old into questioning. When Christopher claims his foster parents, Gwen and Noah Sibert, bribe him in exchange for abusive medical testing, the detectives investigate his allegations.</x:v>
      </x:c>
      <x:c r="P1418" s="53" t="str">
        <x:v>Core Law &amp; Order franchise</x:v>
      </x:c>
      <x:c r="Q1418" s="17" t="str">
        <x:v>225143</x:v>
      </x:c>
      <x:c r="R1418" s="17" t="str">
        <x:v>tt1236460</x:v>
      </x:c>
      <x:c r="S1418" s="17" t="str">
        <x:v>986</x:v>
      </x:c>
    </x:row>
    <x:row r="1419">
      <x:c r="A1419" s="43" t="n">
        <x:v>1415</x:v>
      </x:c>
      <x:c r="B1419" s="44" t="str">
        <x:v>Not Started</x:v>
      </x:c>
      <x:c r="C1419" s="45" t="n">
        <x:v>39721</x:v>
      </x:c>
      <x:c r="D1419" s="33" t="str">
        <x:v>Law &amp; Order: Special Victims Unit</x:v>
      </x:c>
      <x:c r="E1419" s="33" t="str">
        <x:v>Law &amp; Order</x:v>
      </x:c>
      <x:c r="F1419" s="33" t="str">
        <x:v>core</x:v>
      </x:c>
      <x:c r="G1419" s="50" t="n">
        <x:v>10</x:v>
      </x:c>
      <x:c r="H1419" s="50" t="n">
        <x:v>2</x:v>
      </x:c>
      <x:c r="I1419" s="44" t="str">
        <x:v>10.02</x:v>
      </x:c>
      <x:c r="J1419" s="33" t="str">
        <x:v>Confession</x:v>
      </x:c>
      <x:c r="K1419" s="33" t="str"/>
      <x:c r="L1419" s="33" t="str"/>
      <x:c r="M1419" s="44" t="str"/>
      <x:c r="N1419" s="50" t="n">
        <x:v>44</x:v>
      </x:c>
      <x:c r="O1419" s="53" t="str">
        <x:v>Teenage boy Eric Byers admits himself into the squad room, and warns the team about an unnatural desire towards his younger stepbrother, Cory Kelly. Detective Elliot Stabler and Olivia Benson's suspicions arise, and Eric admits to also looking at a website to try to curb his pedophilic urge. With no crime committed, the detectives decide to investigate this "self-help" website for pedophiles leading them to it's creator, Jake Berlin. Eric's rage induced stepfather is also questioned, and shortly after Eric is found missing. The detectives must race to place the clues together to find and stop Eric before any crime is committed.</x:v>
      </x:c>
      <x:c r="P1419" s="53" t="str">
        <x:v>Core Law &amp; Order franchise</x:v>
      </x:c>
      <x:c r="Q1419" s="17" t="str">
        <x:v>225144</x:v>
      </x:c>
      <x:c r="R1419" s="17" t="str">
        <x:v>tt1248632</x:v>
      </x:c>
      <x:c r="S1419" s="17" t="str">
        <x:v>987</x:v>
      </x:c>
    </x:row>
    <x:row r="1420">
      <x:c r="A1420" s="43" t="n">
        <x:v>1416</x:v>
      </x:c>
      <x:c r="B1420" s="44" t="str">
        <x:v>Not Started</x:v>
      </x:c>
      <x:c r="C1420" s="45" t="n">
        <x:v>39735</x:v>
      </x:c>
      <x:c r="D1420" s="33" t="str">
        <x:v>Law &amp; Order: Special Victims Unit</x:v>
      </x:c>
      <x:c r="E1420" s="33" t="str">
        <x:v>Law &amp; Order</x:v>
      </x:c>
      <x:c r="F1420" s="33" t="str">
        <x:v>core</x:v>
      </x:c>
      <x:c r="G1420" s="50" t="n">
        <x:v>10</x:v>
      </x:c>
      <x:c r="H1420" s="50" t="n">
        <x:v>3</x:v>
      </x:c>
      <x:c r="I1420" s="44" t="str">
        <x:v>10.03</x:v>
      </x:c>
      <x:c r="J1420" s="33" t="str">
        <x:v>Swing</x:v>
      </x:c>
      <x:c r="K1420" s="33" t="str"/>
      <x:c r="L1420" s="33" t="str"/>
      <x:c r="M1420" s="44" t="str"/>
      <x:c r="N1420" s="50" t="n">
        <x:v>43</x:v>
      </x:c>
      <x:c r="O1420" s="53" t="str">
        <x:v>Stabler is shocked when his daughter, Kathleen, becomes the suspect in an investigation to catch a trespasser. He seeks his estranged mother's help in dealing with his daughter's case.</x:v>
      </x:c>
      <x:c r="P1420" s="53" t="str">
        <x:v>Core Law &amp; Order franchise</x:v>
      </x:c>
      <x:c r="Q1420" s="17" t="str">
        <x:v>225145</x:v>
      </x:c>
      <x:c r="R1420" s="17" t="str">
        <x:v>tt1248636</x:v>
      </x:c>
      <x:c r="S1420" s="17" t="str">
        <x:v>988</x:v>
      </x:c>
    </x:row>
    <x:row r="1421">
      <x:c r="A1421" s="43" t="n">
        <x:v>1417</x:v>
      </x:c>
      <x:c r="B1421" s="44" t="str">
        <x:v>Not Started</x:v>
      </x:c>
      <x:c r="C1421" s="45" t="n">
        <x:v>39742</x:v>
      </x:c>
      <x:c r="D1421" s="33" t="str">
        <x:v>Law &amp; Order: Special Victims Unit</x:v>
      </x:c>
      <x:c r="E1421" s="33" t="str">
        <x:v>Law &amp; Order</x:v>
      </x:c>
      <x:c r="F1421" s="33" t="str">
        <x:v>core</x:v>
      </x:c>
      <x:c r="G1421" s="50" t="n">
        <x:v>10</x:v>
      </x:c>
      <x:c r="H1421" s="50" t="n">
        <x:v>4</x:v>
      </x:c>
      <x:c r="I1421" s="44" t="str">
        <x:v>10.04</x:v>
      </x:c>
      <x:c r="J1421" s="33" t="str">
        <x:v>Lunacy</x:v>
      </x:c>
      <x:c r="K1421" s="33" t="str"/>
      <x:c r="L1421" s="33" t="str"/>
      <x:c r="M1421" s="44" t="str"/>
      <x:c r="N1421" s="50" t="n">
        <x:v>43</x:v>
      </x:c>
      <x:c r="O1421" s="53" t="str">
        <x:v>The investigation of a famous dead astronaut found in Battery Park has hit a dead end, causing Stabler to ask for assistance from his old mentor, Dick Finley, a former colleague of the victim and an astronaut himself.</x:v>
      </x:c>
      <x:c r="P1421" s="53" t="str">
        <x:v>Core Law &amp; Order franchise</x:v>
      </x:c>
      <x:c r="Q1421" s="17" t="str">
        <x:v>225146</x:v>
      </x:c>
      <x:c r="R1421" s="17" t="str">
        <x:v>tt1248637</x:v>
      </x:c>
      <x:c r="S1421" s="17" t="str">
        <x:v>989</x:v>
      </x:c>
    </x:row>
    <x:row r="1422">
      <x:c r="A1422" s="43" t="n">
        <x:v>1418</x:v>
      </x:c>
      <x:c r="B1422" s="44" t="str">
        <x:v>Not Started</x:v>
      </x:c>
      <x:c r="C1422" s="45" t="n">
        <x:v>39743</x:v>
      </x:c>
      <x:c r="D1422" s="33" t="str">
        <x:v>Paris enquêtes criminelles</x:v>
      </x:c>
      <x:c r="E1422" s="33" t="str">
        <x:v>Law &amp; Order</x:v>
      </x:c>
      <x:c r="F1422" s="33" t="str">
        <x:v>complete</x:v>
      </x:c>
      <x:c r="G1422" s="50" t="n">
        <x:v>3</x:v>
      </x:c>
      <x:c r="H1422" s="50" t="n">
        <x:v>1</x:v>
      </x:c>
      <x:c r="I1422" s="44" t="str">
        <x:v>03.01</x:v>
      </x:c>
      <x:c r="J1422" s="33" t="str">
        <x:v>Episode 1</x:v>
      </x:c>
      <x:c r="K1422" s="33" t="str"/>
      <x:c r="L1422" s="33" t="str"/>
      <x:c r="M1422" s="44" t="str"/>
      <x:c r="N1422" s="50" t="n">
        <x:v>55</x:v>
      </x:c>
      <x:c r="O1422" s="53" t="str"/>
      <x:c r="P1422" s="53" t="str">
        <x:v>French Law &amp; Order: Criminal Intent adaptation</x:v>
      </x:c>
      <x:c r="Q1422" s="17" t="str">
        <x:v>4479493</x:v>
      </x:c>
      <x:c r="R1422" s="17" t="str">
        <x:v>tt1203217</x:v>
      </x:c>
      <x:c r="S1422" s="17" t="str"/>
    </x:row>
    <x:row r="1423">
      <x:c r="A1423" s="43" t="n">
        <x:v>1419</x:v>
      </x:c>
      <x:c r="B1423" s="44" t="str">
        <x:v>Not Started</x:v>
      </x:c>
      <x:c r="C1423" s="45" t="n">
        <x:v>39743</x:v>
      </x:c>
      <x:c r="D1423" s="33" t="str">
        <x:v>Paris enquêtes criminelles</x:v>
      </x:c>
      <x:c r="E1423" s="33" t="str">
        <x:v>Law &amp; Order</x:v>
      </x:c>
      <x:c r="F1423" s="33" t="str">
        <x:v>complete</x:v>
      </x:c>
      <x:c r="G1423" s="50" t="n">
        <x:v>3</x:v>
      </x:c>
      <x:c r="H1423" s="50" t="n">
        <x:v>2</x:v>
      </x:c>
      <x:c r="I1423" s="44" t="str">
        <x:v>03.02</x:v>
      </x:c>
      <x:c r="J1423" s="33" t="str">
        <x:v>Episode 2</x:v>
      </x:c>
      <x:c r="K1423" s="33" t="str"/>
      <x:c r="L1423" s="33" t="str"/>
      <x:c r="M1423" s="44" t="str"/>
      <x:c r="N1423" s="50" t="n">
        <x:v>55</x:v>
      </x:c>
      <x:c r="O1423" s="53" t="str"/>
      <x:c r="P1423" s="53" t="str">
        <x:v>French Law &amp; Order: Criminal Intent adaptation</x:v>
      </x:c>
      <x:c r="Q1423" s="17" t="str">
        <x:v>4479495</x:v>
      </x:c>
      <x:c r="R1423" s="17" t="str">
        <x:v>tt1313216</x:v>
      </x:c>
      <x:c r="S1423" s="17" t="str"/>
    </x:row>
    <x:row r="1424">
      <x:c r="A1424" s="43" t="n">
        <x:v>1420</x:v>
      </x:c>
      <x:c r="B1424" s="44" t="str">
        <x:v>Not Started</x:v>
      </x:c>
      <x:c r="C1424" s="45" t="n">
        <x:v>39749</x:v>
      </x:c>
      <x:c r="D1424" s="33" t="str">
        <x:v>Law &amp; Order: Special Victims Unit</x:v>
      </x:c>
      <x:c r="E1424" s="33" t="str">
        <x:v>Law &amp; Order</x:v>
      </x:c>
      <x:c r="F1424" s="33" t="str">
        <x:v>core</x:v>
      </x:c>
      <x:c r="G1424" s="50" t="n">
        <x:v>10</x:v>
      </x:c>
      <x:c r="H1424" s="50" t="n">
        <x:v>5</x:v>
      </x:c>
      <x:c r="I1424" s="44" t="str">
        <x:v>10.05</x:v>
      </x:c>
      <x:c r="J1424" s="33" t="str">
        <x:v>Retro</x:v>
      </x:c>
      <x:c r="K1424" s="33" t="str"/>
      <x:c r="L1424" s="33" t="str"/>
      <x:c r="M1424" s="44" t="str"/>
      <x:c r="N1424" s="50" t="n">
        <x:v>42</x:v>
      </x:c>
      <x:c r="O1424" s="53" t="str">
        <x:v>A baby with AIDS has Benson and Stabler asking for assistance from Warner as they investigate the case. They are pointed in the direction of a homeopathic doctor who has an questionable ethical past and who had prescribed the baby ineffective vitamins.</x:v>
      </x:c>
      <x:c r="P1424" s="53" t="str">
        <x:v>Core Law &amp; Order franchise</x:v>
      </x:c>
      <x:c r="Q1424" s="17" t="str">
        <x:v>225147</x:v>
      </x:c>
      <x:c r="R1424" s="17" t="str">
        <x:v>tt1248638</x:v>
      </x:c>
      <x:c r="S1424" s="17" t="str">
        <x:v>990</x:v>
      </x:c>
    </x:row>
    <x:row r="1425">
      <x:c r="A1425" s="43" t="n">
        <x:v>1421</x:v>
      </x:c>
      <x:c r="B1425" s="44" t="str">
        <x:v>Not Started</x:v>
      </x:c>
      <x:c r="C1425" s="45" t="n">
        <x:v>39750</x:v>
      </x:c>
      <x:c r="D1425" s="33" t="str">
        <x:v>Paris enquêtes criminelles</x:v>
      </x:c>
      <x:c r="E1425" s="33" t="str">
        <x:v>Law &amp; Order</x:v>
      </x:c>
      <x:c r="F1425" s="33" t="str">
        <x:v>complete</x:v>
      </x:c>
      <x:c r="G1425" s="50" t="n">
        <x:v>3</x:v>
      </x:c>
      <x:c r="H1425" s="50" t="n">
        <x:v>3</x:v>
      </x:c>
      <x:c r="I1425" s="44" t="str">
        <x:v>03.03</x:v>
      </x:c>
      <x:c r="J1425" s="33" t="str">
        <x:v>Episode 3</x:v>
      </x:c>
      <x:c r="K1425" s="33" t="str"/>
      <x:c r="L1425" s="33" t="str"/>
      <x:c r="M1425" s="44" t="str"/>
      <x:c r="N1425" s="50" t="n">
        <x:v>55</x:v>
      </x:c>
      <x:c r="O1425" s="53" t="str"/>
      <x:c r="P1425" s="53" t="str">
        <x:v>French Law &amp; Order: Criminal Intent adaptation</x:v>
      </x:c>
      <x:c r="Q1425" s="17" t="str">
        <x:v>1459649</x:v>
      </x:c>
      <x:c r="R1425" s="17" t="str">
        <x:v>tt1316331</x:v>
      </x:c>
      <x:c r="S1425" s="17" t="str"/>
    </x:row>
    <x:row r="1426">
      <x:c r="A1426" s="43" t="n">
        <x:v>1422</x:v>
      </x:c>
      <x:c r="B1426" s="44" t="str">
        <x:v>Not Started</x:v>
      </x:c>
      <x:c r="C1426" s="45" t="n">
        <x:v>39750</x:v>
      </x:c>
      <x:c r="D1426" s="33" t="str">
        <x:v>Paris enquêtes criminelles</x:v>
      </x:c>
      <x:c r="E1426" s="33" t="str">
        <x:v>Law &amp; Order</x:v>
      </x:c>
      <x:c r="F1426" s="33" t="str">
        <x:v>complete</x:v>
      </x:c>
      <x:c r="G1426" s="50" t="n">
        <x:v>3</x:v>
      </x:c>
      <x:c r="H1426" s="50" t="n">
        <x:v>4</x:v>
      </x:c>
      <x:c r="I1426" s="44" t="str">
        <x:v>03.04</x:v>
      </x:c>
      <x:c r="J1426" s="33" t="str">
        <x:v>Episode 4</x:v>
      </x:c>
      <x:c r="K1426" s="33" t="str"/>
      <x:c r="L1426" s="33" t="str"/>
      <x:c r="M1426" s="44" t="str"/>
      <x:c r="N1426" s="50" t="n">
        <x:v>55</x:v>
      </x:c>
      <x:c r="O1426" s="53" t="str"/>
      <x:c r="P1426" s="53" t="str">
        <x:v>French Law &amp; Order: Criminal Intent adaptation</x:v>
      </x:c>
      <x:c r="Q1426" s="17" t="str">
        <x:v>1459653</x:v>
      </x:c>
      <x:c r="R1426" s="17" t="str">
        <x:v>tt1313711</x:v>
      </x:c>
      <x:c r="S1426" s="17" t="str"/>
    </x:row>
    <x:row r="1427">
      <x:c r="A1427" s="43" t="n">
        <x:v>1423</x:v>
      </x:c>
      <x:c r="B1427" s="44" t="str">
        <x:v>Not Started</x:v>
      </x:c>
      <x:c r="C1427" s="45" t="n">
        <x:v>39757</x:v>
      </x:c>
      <x:c r="D1427" s="33" t="str">
        <x:v>Paris enquêtes criminelles</x:v>
      </x:c>
      <x:c r="E1427" s="33" t="str">
        <x:v>Law &amp; Order</x:v>
      </x:c>
      <x:c r="F1427" s="33" t="str">
        <x:v>complete</x:v>
      </x:c>
      <x:c r="G1427" s="50" t="n">
        <x:v>3</x:v>
      </x:c>
      <x:c r="H1427" s="50" t="n">
        <x:v>5</x:v>
      </x:c>
      <x:c r="I1427" s="44" t="str">
        <x:v>03.05</x:v>
      </x:c>
      <x:c r="J1427" s="33" t="str">
        <x:v>Episode 5</x:v>
      </x:c>
      <x:c r="K1427" s="33" t="str"/>
      <x:c r="L1427" s="33" t="str"/>
      <x:c r="M1427" s="44" t="str"/>
      <x:c r="N1427" s="50" t="n">
        <x:v>55</x:v>
      </x:c>
      <x:c r="O1427" s="53" t="str"/>
      <x:c r="P1427" s="53" t="str">
        <x:v>French Law &amp; Order: Criminal Intent adaptation</x:v>
      </x:c>
      <x:c r="Q1427" s="17" t="str">
        <x:v>11020442</x:v>
      </x:c>
      <x:c r="R1427" s="17" t="str">
        <x:v>tt1111689</x:v>
      </x:c>
      <x:c r="S1427" s="17" t="str"/>
    </x:row>
    <x:row r="1428">
      <x:c r="A1428" s="43" t="n">
        <x:v>1424</x:v>
      </x:c>
      <x:c r="B1428" s="44" t="str">
        <x:v>Not Started</x:v>
      </x:c>
      <x:c r="C1428" s="45" t="n">
        <x:v>39757</x:v>
      </x:c>
      <x:c r="D1428" s="33" t="str">
        <x:v>Paris enquêtes criminelles</x:v>
      </x:c>
      <x:c r="E1428" s="33" t="str">
        <x:v>Law &amp; Order</x:v>
      </x:c>
      <x:c r="F1428" s="33" t="str">
        <x:v>complete</x:v>
      </x:c>
      <x:c r="G1428" s="50" t="n">
        <x:v>3</x:v>
      </x:c>
      <x:c r="H1428" s="50" t="n">
        <x:v>6</x:v>
      </x:c>
      <x:c r="I1428" s="44" t="str">
        <x:v>03.06</x:v>
      </x:c>
      <x:c r="J1428" s="33" t="str">
        <x:v>Episode 6</x:v>
      </x:c>
      <x:c r="K1428" s="33" t="str"/>
      <x:c r="L1428" s="33" t="str"/>
      <x:c r="M1428" s="44" t="str"/>
      <x:c r="N1428" s="50" t="n">
        <x:v>55</x:v>
      </x:c>
      <x:c r="O1428" s="53" t="str"/>
      <x:c r="P1428" s="53" t="str">
        <x:v>French Law &amp; Order: Criminal Intent adaptation</x:v>
      </x:c>
      <x:c r="Q1428" s="17" t="str">
        <x:v>11020586</x:v>
      </x:c>
      <x:c r="R1428" s="17" t="str">
        <x:v>tt1252071</x:v>
      </x:c>
      <x:c r="S1428" s="17" t="str"/>
    </x:row>
    <x:row r="1429">
      <x:c r="A1429" s="43" t="n">
        <x:v>1425</x:v>
      </x:c>
      <x:c r="B1429" s="44" t="str">
        <x:v>Not Started</x:v>
      </x:c>
      <x:c r="C1429" s="45" t="n">
        <x:v>39757</x:v>
      </x:c>
      <x:c r="D1429" s="33" t="str">
        <x:v>Law &amp; Order</x:v>
      </x:c>
      <x:c r="E1429" s="33" t="str">
        <x:v>Law &amp; Order</x:v>
      </x:c>
      <x:c r="F1429" s="33" t="str">
        <x:v>core</x:v>
      </x:c>
      <x:c r="G1429" s="50" t="n">
        <x:v>19</x:v>
      </x:c>
      <x:c r="H1429" s="50" t="n">
        <x:v>1</x:v>
      </x:c>
      <x:c r="I1429" s="44" t="str">
        <x:v>19.01</x:v>
      </x:c>
      <x:c r="J1429" s="33" t="str">
        <x:v>Rumble</x:v>
      </x:c>
      <x:c r="K1429" s="33" t="str"/>
      <x:c r="L1429" s="33" t="str"/>
      <x:c r="M1429" s="44" t="str"/>
      <x:c r="N1429" s="50" t="n">
        <x:v>45</x:v>
      </x:c>
      <x:c r="O1429" s="53" t="str">
        <x:v>The beating death of a stockbroker causes a battle of epic proportions between the victim's family and the faction responsible for his death.</x:v>
      </x:c>
      <x:c r="P1429" s="53" t="str">
        <x:v>Core Law &amp; Order franchise</x:v>
      </x:c>
      <x:c r="Q1429" s="17" t="str">
        <x:v>34466</x:v>
      </x:c>
      <x:c r="R1429" s="17" t="str">
        <x:v>tt1315734</x:v>
      </x:c>
      <x:c r="S1429" s="17" t="str">
        <x:v>991</x:v>
      </x:c>
    </x:row>
    <x:row r="1430">
      <x:c r="A1430" s="43" t="n">
        <x:v>1426</x:v>
      </x:c>
      <x:c r="B1430" s="44" t="str">
        <x:v>Not Started</x:v>
      </x:c>
      <x:c r="C1430" s="45" t="n">
        <x:v>39763</x:v>
      </x:c>
      <x:c r="D1430" s="33" t="str">
        <x:v>Law &amp; Order: Special Victims Unit</x:v>
      </x:c>
      <x:c r="E1430" s="33" t="str">
        <x:v>Law &amp; Order</x:v>
      </x:c>
      <x:c r="F1430" s="33" t="str">
        <x:v>core</x:v>
      </x:c>
      <x:c r="G1430" s="50" t="n">
        <x:v>10</x:v>
      </x:c>
      <x:c r="H1430" s="50" t="n">
        <x:v>6</x:v>
      </x:c>
      <x:c r="I1430" s="44" t="str">
        <x:v>10.06</x:v>
      </x:c>
      <x:c r="J1430" s="33" t="str">
        <x:v>Babes</x:v>
      </x:c>
      <x:c r="K1430" s="33" t="str"/>
      <x:c r="L1430" s="33" t="str"/>
      <x:c r="M1430" s="44" t="str"/>
      <x:c r="N1430" s="50" t="n">
        <x:v>43</x:v>
      </x:c>
      <x:c r="O1430" s="53" t="str">
        <x:v>Stabler and Munch uncover a chastity club and a group of girls with a pregnancy pact at a high school where they came to investigate the death of a student.</x:v>
      </x:c>
      <x:c r="P1430" s="53" t="str">
        <x:v>Core Law &amp; Order franchise</x:v>
      </x:c>
      <x:c r="Q1430" s="17" t="str">
        <x:v>225148</x:v>
      </x:c>
      <x:c r="R1430" s="17" t="str">
        <x:v>tt1248639</x:v>
      </x:c>
      <x:c r="S1430" s="17" t="str">
        <x:v>992</x:v>
      </x:c>
    </x:row>
    <x:row r="1431">
      <x:c r="A1431" s="43" t="n">
        <x:v>1427</x:v>
      </x:c>
      <x:c r="B1431" s="44" t="str">
        <x:v>Not Started</x:v>
      </x:c>
      <x:c r="C1431" s="45" t="n">
        <x:v>39764</x:v>
      </x:c>
      <x:c r="D1431" s="33" t="str">
        <x:v>Law &amp; Order</x:v>
      </x:c>
      <x:c r="E1431" s="33" t="str">
        <x:v>Law &amp; Order</x:v>
      </x:c>
      <x:c r="F1431" s="33" t="str">
        <x:v>core</x:v>
      </x:c>
      <x:c r="G1431" s="50" t="n">
        <x:v>19</x:v>
      </x:c>
      <x:c r="H1431" s="50" t="n">
        <x:v>2</x:v>
      </x:c>
      <x:c r="I1431" s="44" t="str">
        <x:v>19.02</x:v>
      </x:c>
      <x:c r="J1431" s="33" t="str">
        <x:v>Challenged</x:v>
      </x:c>
      <x:c r="K1431" s="33" t="str"/>
      <x:c r="L1431" s="33" t="str"/>
      <x:c r="M1431" s="44" t="str"/>
      <x:c r="N1431" s="50" t="n">
        <x:v>45</x:v>
      </x:c>
      <x:c r="O1431" s="53" t="str">
        <x:v>A mentally challenged man is reunited with the mother who gave him away after his brother is killed.</x:v>
      </x:c>
      <x:c r="P1431" s="53" t="str">
        <x:v>Core Law &amp; Order franchise</x:v>
      </x:c>
      <x:c r="Q1431" s="17" t="str">
        <x:v>34467</x:v>
      </x:c>
      <x:c r="R1431" s="17" t="str">
        <x:v>tt1315733</x:v>
      </x:c>
      <x:c r="S1431" s="17" t="str">
        <x:v>993</x:v>
      </x:c>
    </x:row>
    <x:row r="1432">
      <x:c r="A1432" s="43" t="n">
        <x:v>1428</x:v>
      </x:c>
      <x:c r="B1432" s="44" t="str">
        <x:v>Not Started</x:v>
      </x:c>
      <x:c r="C1432" s="45" t="n">
        <x:v>39770</x:v>
      </x:c>
      <x:c r="D1432" s="33" t="str">
        <x:v>Law &amp; Order: Special Victims Unit</x:v>
      </x:c>
      <x:c r="E1432" s="33" t="str">
        <x:v>Law &amp; Order</x:v>
      </x:c>
      <x:c r="F1432" s="33" t="str">
        <x:v>core</x:v>
      </x:c>
      <x:c r="G1432" s="50" t="n">
        <x:v>10</x:v>
      </x:c>
      <x:c r="H1432" s="50" t="n">
        <x:v>7</x:v>
      </x:c>
      <x:c r="I1432" s="44" t="str">
        <x:v>10.07</x:v>
      </x:c>
      <x:c r="J1432" s="33" t="str">
        <x:v>Wildlife</x:v>
      </x:c>
      <x:c r="K1432" s="33" t="str"/>
      <x:c r="L1432" s="33" t="str"/>
      <x:c r="M1432" s="44" t="str"/>
      <x:c r="N1432" s="50" t="n">
        <x:v>41</x:v>
      </x:c>
      <x:c r="O1432" s="53" t="str">
        <x:v>Stabler goes undercover to infiltrate a rare animal smuggling operation.</x:v>
      </x:c>
      <x:c r="P1432" s="53" t="str">
        <x:v>Core Law &amp; Order franchise</x:v>
      </x:c>
      <x:c r="Q1432" s="17" t="str">
        <x:v>225149</x:v>
      </x:c>
      <x:c r="R1432" s="17" t="str">
        <x:v>tt1248640</x:v>
      </x:c>
      <x:c r="S1432" s="17" t="str">
        <x:v>994</x:v>
      </x:c>
    </x:row>
    <x:row r="1433">
      <x:c r="A1433" s="43" t="n">
        <x:v>1429</x:v>
      </x:c>
      <x:c r="B1433" s="44" t="str">
        <x:v>Not Started</x:v>
      </x:c>
      <x:c r="C1433" s="45" t="n">
        <x:v>39771</x:v>
      </x:c>
      <x:c r="D1433" s="33" t="str">
        <x:v>Law &amp; Order</x:v>
      </x:c>
      <x:c r="E1433" s="33" t="str">
        <x:v>Law &amp; Order</x:v>
      </x:c>
      <x:c r="F1433" s="33" t="str">
        <x:v>core</x:v>
      </x:c>
      <x:c r="G1433" s="50" t="n">
        <x:v>19</x:v>
      </x:c>
      <x:c r="H1433" s="50" t="n">
        <x:v>3</x:v>
      </x:c>
      <x:c r="I1433" s="44" t="str">
        <x:v>19.03</x:v>
      </x:c>
      <x:c r="J1433" s="33" t="str">
        <x:v>Lost Boys</x:v>
      </x:c>
      <x:c r="K1433" s="33" t="str"/>
      <x:c r="L1433" s="33" t="str"/>
      <x:c r="M1433" s="44" t="str"/>
      <x:c r="N1433" s="50" t="n">
        <x:v>45</x:v>
      </x:c>
      <x:c r="O1433" s="53" t="str">
        <x:v>A young woman escapes from a polygamous cult.</x:v>
      </x:c>
      <x:c r="P1433" s="53" t="str">
        <x:v>Core Law &amp; Order franchise</x:v>
      </x:c>
      <x:c r="Q1433" s="17" t="str">
        <x:v>34468</x:v>
      </x:c>
      <x:c r="R1433" s="17" t="str">
        <x:v>tt1309113</x:v>
      </x:c>
      <x:c r="S1433" s="17" t="str">
        <x:v>995</x:v>
      </x:c>
    </x:row>
    <x:row r="1434">
      <x:c r="A1434" s="43" t="n">
        <x:v>1430</x:v>
      </x:c>
      <x:c r="B1434" s="44" t="str">
        <x:v>Not Started</x:v>
      </x:c>
      <x:c r="C1434" s="45" t="n">
        <x:v>39777</x:v>
      </x:c>
      <x:c r="D1434" s="33" t="str">
        <x:v>Law &amp; Order: Special Victims Unit</x:v>
      </x:c>
      <x:c r="E1434" s="33" t="str">
        <x:v>Law &amp; Order</x:v>
      </x:c>
      <x:c r="F1434" s="33" t="str">
        <x:v>core</x:v>
      </x:c>
      <x:c r="G1434" s="50" t="n">
        <x:v>10</x:v>
      </x:c>
      <x:c r="H1434" s="50" t="n">
        <x:v>8</x:v>
      </x:c>
      <x:c r="I1434" s="44" t="str">
        <x:v>10.08</x:v>
      </x:c>
      <x:c r="J1434" s="33" t="str">
        <x:v>Persona</x:v>
      </x:c>
      <x:c r="K1434" s="33" t="str"/>
      <x:c r="L1434" s="33" t="str"/>
      <x:c r="M1434" s="44" t="str"/>
      <x:c r="N1434" s="50" t="n">
        <x:v>42</x:v>
      </x:c>
      <x:c r="O1434" s="53" t="str">
        <x:v>Benson finds herself going the extra mile to protect a woman abused by her spouse. The investigation turns up information regarding a long-forgotten case of 2nd degree murder and escape.</x:v>
      </x:c>
      <x:c r="P1434" s="53" t="str">
        <x:v>Core Law &amp; Order franchise</x:v>
      </x:c>
      <x:c r="Q1434" s="17" t="str">
        <x:v>225150</x:v>
      </x:c>
      <x:c r="R1434" s="17" t="str">
        <x:v>tt1248641</x:v>
      </x:c>
      <x:c r="S1434" s="17" t="str">
        <x:v>996</x:v>
      </x:c>
    </x:row>
    <x:row r="1435">
      <x:c r="A1435" s="43" t="n">
        <x:v>1431</x:v>
      </x:c>
      <x:c r="B1435" s="44" t="str">
        <x:v>Not Started</x:v>
      </x:c>
      <x:c r="C1435" s="45" t="n">
        <x:v>39778</x:v>
      </x:c>
      <x:c r="D1435" s="33" t="str">
        <x:v>Law &amp; Order</x:v>
      </x:c>
      <x:c r="E1435" s="33" t="str">
        <x:v>Law &amp; Order</x:v>
      </x:c>
      <x:c r="F1435" s="33" t="str">
        <x:v>core</x:v>
      </x:c>
      <x:c r="G1435" s="50" t="n">
        <x:v>19</x:v>
      </x:c>
      <x:c r="H1435" s="50" t="n">
        <x:v>4</x:v>
      </x:c>
      <x:c r="I1435" s="44" t="str">
        <x:v>19.04</x:v>
      </x:c>
      <x:c r="J1435" s="33" t="str">
        <x:v>Falling</x:v>
      </x:c>
      <x:c r="K1435" s="33" t="str"/>
      <x:c r="L1435" s="33" t="str"/>
      <x:c r="M1435" s="44" t="str"/>
      <x:c r="N1435" s="50" t="n">
        <x:v>45</x:v>
      </x:c>
      <x:c r="O1435" s="53" t="str">
        <x:v>The detectives investigate the mystery of a falling construction crane in the city and that leads them to something much more sinister.</x:v>
      </x:c>
      <x:c r="P1435" s="53" t="str">
        <x:v>Core Law &amp; Order franchise</x:v>
      </x:c>
      <x:c r="Q1435" s="17" t="str">
        <x:v>34469</x:v>
      </x:c>
      <x:c r="R1435" s="17" t="str">
        <x:v>tt1317920</x:v>
      </x:c>
      <x:c r="S1435" s="17" t="str">
        <x:v>997</x:v>
      </x:c>
    </x:row>
    <x:row r="1436">
      <x:c r="A1436" s="43" t="n">
        <x:v>1432</x:v>
      </x:c>
      <x:c r="B1436" s="44" t="str">
        <x:v>Not Started</x:v>
      </x:c>
      <x:c r="C1436" s="45" t="n">
        <x:v>39784</x:v>
      </x:c>
      <x:c r="D1436" s="33" t="str">
        <x:v>Law &amp; Order: Special Victims Unit</x:v>
      </x:c>
      <x:c r="E1436" s="33" t="str">
        <x:v>Law &amp; Order</x:v>
      </x:c>
      <x:c r="F1436" s="33" t="str">
        <x:v>core</x:v>
      </x:c>
      <x:c r="G1436" s="50" t="n">
        <x:v>10</x:v>
      </x:c>
      <x:c r="H1436" s="50" t="n">
        <x:v>9</x:v>
      </x:c>
      <x:c r="I1436" s="44" t="str">
        <x:v>10.09</x:v>
      </x:c>
      <x:c r="J1436" s="33" t="str">
        <x:v>PTSD</x:v>
      </x:c>
      <x:c r="K1436" s="33" t="str"/>
      <x:c r="L1436" s="33" t="str"/>
      <x:c r="M1436" s="44" t="str"/>
      <x:c r="N1436" s="50" t="n">
        <x:v>42</x:v>
      </x:c>
      <x:c r="O1436" s="53" t="str">
        <x:v>The death of a marine who was pregnant by a rapist puts the unit at odds with the Pentagon when they fight to keep the case, and Benson's flashbacks of her own assault may further impede the investigation.</x:v>
      </x:c>
      <x:c r="P1436" s="53" t="str">
        <x:v>Core Law &amp; Order franchise</x:v>
      </x:c>
      <x:c r="Q1436" s="17" t="str">
        <x:v>225151</x:v>
      </x:c>
      <x:c r="R1436" s="17" t="str">
        <x:v>tt1248642</x:v>
      </x:c>
      <x:c r="S1436" s="17" t="str">
        <x:v>998</x:v>
      </x:c>
    </x:row>
    <x:row r="1437">
      <x:c r="A1437" s="43" t="n">
        <x:v>1433</x:v>
      </x:c>
      <x:c r="B1437" s="44" t="str">
        <x:v>Not Started</x:v>
      </x:c>
      <x:c r="C1437" s="45" t="n">
        <x:v>39785</x:v>
      </x:c>
      <x:c r="D1437" s="33" t="str">
        <x:v>Law &amp; Order</x:v>
      </x:c>
      <x:c r="E1437" s="33" t="str">
        <x:v>Law &amp; Order</x:v>
      </x:c>
      <x:c r="F1437" s="33" t="str">
        <x:v>core</x:v>
      </x:c>
      <x:c r="G1437" s="50" t="n">
        <x:v>19</x:v>
      </x:c>
      <x:c r="H1437" s="50" t="n">
        <x:v>5</x:v>
      </x:c>
      <x:c r="I1437" s="44" t="str">
        <x:v>19.05</x:v>
      </x:c>
      <x:c r="J1437" s="33" t="str">
        <x:v>Knock Off</x:v>
      </x:c>
      <x:c r="K1437" s="33" t="str"/>
      <x:c r="L1437" s="33" t="str"/>
      <x:c r="M1437" s="44" t="str"/>
      <x:c r="N1437" s="50" t="n">
        <x:v>45</x:v>
      </x:c>
      <x:c r="O1437" s="53" t="str">
        <x:v>A revered sheriff becomes a possible conspirator in a case involving a murdered tourist.</x:v>
      </x:c>
      <x:c r="P1437" s="53" t="str">
        <x:v>Core Law &amp; Order franchise</x:v>
      </x:c>
      <x:c r="Q1437" s="17" t="str">
        <x:v>34470</x:v>
      </x:c>
      <x:c r="R1437" s="17" t="str">
        <x:v>tt1330434</x:v>
      </x:c>
      <x:c r="S1437" s="17" t="str">
        <x:v>999</x:v>
      </x:c>
    </x:row>
    <x:row r="1438">
      <x:c r="A1438" s="43" t="n">
        <x:v>1434</x:v>
      </x:c>
      <x:c r="B1438" s="44" t="str">
        <x:v>Not Started</x:v>
      </x:c>
      <x:c r="C1438" s="45" t="n">
        <x:v>39791</x:v>
      </x:c>
      <x:c r="D1438" s="33" t="str">
        <x:v>Law &amp; Order: Special Victims Unit</x:v>
      </x:c>
      <x:c r="E1438" s="33" t="str">
        <x:v>Law &amp; Order</x:v>
      </x:c>
      <x:c r="F1438" s="33" t="str">
        <x:v>core</x:v>
      </x:c>
      <x:c r="G1438" s="50" t="n">
        <x:v>10</x:v>
      </x:c>
      <x:c r="H1438" s="50" t="n">
        <x:v>10</x:v>
      </x:c>
      <x:c r="I1438" s="44" t="str">
        <x:v>10.10</x:v>
      </x:c>
      <x:c r="J1438" s="33" t="str">
        <x:v>Smut</x:v>
      </x:c>
      <x:c r="K1438" s="33" t="str"/>
      <x:c r="L1438" s="33" t="str"/>
      <x:c r="M1438" s="44" t="str"/>
      <x:c r="N1438" s="50" t="n">
        <x:v>42</x:v>
      </x:c>
      <x:c r="O1438" s="53" t="str">
        <x:v>A beaten and raped woman who has no memory of what happened to her puts Benson and Stabler on the trail of a serial rapist, but when women refuse to testify Olivia will have to face how her assault has affected her job performance.</x:v>
      </x:c>
      <x:c r="P1438" s="53" t="str">
        <x:v>Core Law &amp; Order franchise</x:v>
      </x:c>
      <x:c r="Q1438" s="17" t="str">
        <x:v>225152</x:v>
      </x:c>
      <x:c r="R1438" s="17" t="str">
        <x:v>tt1248622</x:v>
      </x:c>
      <x:c r="S1438" s="17" t="str">
        <x:v>1000</x:v>
      </x:c>
    </x:row>
    <x:row r="1439">
      <x:c r="A1439" s="43" t="n">
        <x:v>1435</x:v>
      </x:c>
      <x:c r="B1439" s="44" t="str">
        <x:v>Not Started</x:v>
      </x:c>
      <x:c r="C1439" s="45" t="n">
        <x:v>39792</x:v>
      </x:c>
      <x:c r="D1439" s="33" t="str">
        <x:v>Law &amp; Order</x:v>
      </x:c>
      <x:c r="E1439" s="33" t="str">
        <x:v>Law &amp; Order</x:v>
      </x:c>
      <x:c r="F1439" s="33" t="str">
        <x:v>core</x:v>
      </x:c>
      <x:c r="G1439" s="50" t="n">
        <x:v>19</x:v>
      </x:c>
      <x:c r="H1439" s="50" t="n">
        <x:v>6</x:v>
      </x:c>
      <x:c r="I1439" s="44" t="str">
        <x:v>19.06</x:v>
      </x:c>
      <x:c r="J1439" s="33" t="str">
        <x:v>Sweetie</x:v>
      </x:c>
      <x:c r="K1439" s="33" t="str"/>
      <x:c r="L1439" s="33" t="str"/>
      <x:c r="M1439" s="44" t="str"/>
      <x:c r="N1439" s="50" t="n">
        <x:v>45</x:v>
      </x:c>
      <x:c r="O1439" s="53" t="str">
        <x:v>Detectives Lupo and Bernard investigate when the writer of a bestselling memoir is found dead in a community of male prostitutes.</x:v>
      </x:c>
      <x:c r="P1439" s="53" t="str">
        <x:v>Core Law &amp; Order franchise</x:v>
      </x:c>
      <x:c r="Q1439" s="17" t="str">
        <x:v>34471</x:v>
      </x:c>
      <x:c r="R1439" s="17" t="str">
        <x:v>tt1330435</x:v>
      </x:c>
      <x:c r="S1439" s="17" t="str">
        <x:v>1001</x:v>
      </x:c>
    </x:row>
    <x:row r="1440">
      <x:c r="A1440" s="43" t="n">
        <x:v>1436</x:v>
      </x:c>
      <x:c r="B1440" s="44" t="str">
        <x:v>Not Started</x:v>
      </x:c>
      <x:c r="C1440" s="45" t="n">
        <x:v>39799</x:v>
      </x:c>
      <x:c r="D1440" s="33" t="str">
        <x:v>Law &amp; Order</x:v>
      </x:c>
      <x:c r="E1440" s="33" t="str">
        <x:v>Law &amp; Order</x:v>
      </x:c>
      <x:c r="F1440" s="33" t="str">
        <x:v>core</x:v>
      </x:c>
      <x:c r="G1440" s="50" t="n">
        <x:v>19</x:v>
      </x:c>
      <x:c r="H1440" s="50" t="n">
        <x:v>7</x:v>
      </x:c>
      <x:c r="I1440" s="44" t="str">
        <x:v>19.07</x:v>
      </x:c>
      <x:c r="J1440" s="33" t="str">
        <x:v>Zero</x:v>
      </x:c>
      <x:c r="K1440" s="33" t="str"/>
      <x:c r="L1440" s="33" t="str"/>
      <x:c r="M1440" s="44" t="str"/>
      <x:c r="N1440" s="50" t="n">
        <x:v>45</x:v>
      </x:c>
      <x:c r="O1440" s="53" t="str">
        <x:v>Cutter is determined to expose misconduct when he realizes an old friend working in the system is obstructing justice in the murder of an environmentalist.</x:v>
      </x:c>
      <x:c r="P1440" s="53" t="str">
        <x:v>Core Law &amp; Order franchise</x:v>
      </x:c>
      <x:c r="Q1440" s="17" t="str">
        <x:v>34472</x:v>
      </x:c>
      <x:c r="R1440" s="17" t="str">
        <x:v>tt1315735</x:v>
      </x:c>
      <x:c r="S1440" s="17" t="str">
        <x:v>1002</x:v>
      </x:c>
    </x:row>
    <x:row r="1441">
      <x:c r="A1441" s="43" t="n">
        <x:v>1437</x:v>
      </x:c>
      <x:c r="B1441" s="44" t="str">
        <x:v>Not Started</x:v>
      </x:c>
      <x:c r="C1441" s="45" t="n">
        <x:v>39819</x:v>
      </x:c>
      <x:c r="D1441" s="33" t="str">
        <x:v>Law &amp; Order: Special Victims Unit</x:v>
      </x:c>
      <x:c r="E1441" s="33" t="str">
        <x:v>Law &amp; Order</x:v>
      </x:c>
      <x:c r="F1441" s="33" t="str">
        <x:v>core</x:v>
      </x:c>
      <x:c r="G1441" s="50" t="n">
        <x:v>10</x:v>
      </x:c>
      <x:c r="H1441" s="50" t="n">
        <x:v>11</x:v>
      </x:c>
      <x:c r="I1441" s="44" t="str">
        <x:v>10.11</x:v>
      </x:c>
      <x:c r="J1441" s="33" t="str">
        <x:v>Stranger</x:v>
      </x:c>
      <x:c r="K1441" s="33" t="str"/>
      <x:c r="L1441" s="33" t="str"/>
      <x:c r="M1441" s="44" t="str"/>
      <x:c r="N1441" s="50" t="n">
        <x:v>42</x:v>
      </x:c>
      <x:c r="O1441" s="53" t="str">
        <x:v>When a girl who vanished four years ago reappears, she claims to have been imprisoned and sexually abused. Benson and Stabler look into the case and find themselves having to sort through what was fact and what the girl made up.</x:v>
      </x:c>
      <x:c r="P1441" s="53" t="str">
        <x:v>Core Law &amp; Order franchise</x:v>
      </x:c>
      <x:c r="Q1441" s="17" t="str">
        <x:v>225153</x:v>
      </x:c>
      <x:c r="R1441" s="17" t="str">
        <x:v>tt1248623</x:v>
      </x:c>
      <x:c r="S1441" s="17" t="str">
        <x:v>1003</x:v>
      </x:c>
    </x:row>
    <x:row r="1442">
      <x:c r="A1442" s="43" t="n">
        <x:v>1438</x:v>
      </x:c>
      <x:c r="B1442" s="44" t="str">
        <x:v>Not Started</x:v>
      </x:c>
      <x:c r="C1442" s="45" t="n">
        <x:v>39820</x:v>
      </x:c>
      <x:c r="D1442" s="33" t="str">
        <x:v>Law &amp; Order</x:v>
      </x:c>
      <x:c r="E1442" s="33" t="str">
        <x:v>Law &amp; Order</x:v>
      </x:c>
      <x:c r="F1442" s="33" t="str">
        <x:v>core</x:v>
      </x:c>
      <x:c r="G1442" s="50" t="n">
        <x:v>19</x:v>
      </x:c>
      <x:c r="H1442" s="50" t="n">
        <x:v>8</x:v>
      </x:c>
      <x:c r="I1442" s="44" t="str">
        <x:v>19.08</x:v>
      </x:c>
      <x:c r="J1442" s="33" t="str">
        <x:v>Chattel</x:v>
      </x:c>
      <x:c r="K1442" s="33" t="str"/>
      <x:c r="L1442" s="33" t="str"/>
      <x:c r="M1442" s="44" t="str"/>
      <x:c r="N1442" s="50" t="n">
        <x:v>45</x:v>
      </x:c>
      <x:c r="O1442" s="53" t="str">
        <x:v>While investigating the murder of two divorce lawyers, detectives Lupo and Bernard uncover a child slave trade ring.</x:v>
      </x:c>
      <x:c r="P1442" s="53" t="str">
        <x:v>Core Law &amp; Order franchise</x:v>
      </x:c>
      <x:c r="Q1442" s="17" t="str">
        <x:v>34473</x:v>
      </x:c>
      <x:c r="R1442" s="17" t="str">
        <x:v>tt1346782</x:v>
      </x:c>
      <x:c r="S1442" s="17" t="str">
        <x:v>1004</x:v>
      </x:c>
    </x:row>
    <x:row r="1443">
      <x:c r="A1443" s="43" t="n">
        <x:v>1439</x:v>
      </x:c>
      <x:c r="B1443" s="44" t="str">
        <x:v>Not Started</x:v>
      </x:c>
      <x:c r="C1443" s="45" t="n">
        <x:v>39826</x:v>
      </x:c>
      <x:c r="D1443" s="33" t="str">
        <x:v>Law &amp; Order: Special Victims Unit</x:v>
      </x:c>
      <x:c r="E1443" s="33" t="str">
        <x:v>Law &amp; Order</x:v>
      </x:c>
      <x:c r="F1443" s="33" t="str">
        <x:v>core</x:v>
      </x:c>
      <x:c r="G1443" s="50" t="n">
        <x:v>10</x:v>
      </x:c>
      <x:c r="H1443" s="50" t="n">
        <x:v>12</x:v>
      </x:c>
      <x:c r="I1443" s="44" t="str">
        <x:v>10.12</x:v>
      </x:c>
      <x:c r="J1443" s="33" t="str">
        <x:v>Hothouse</x:v>
      </x:c>
      <x:c r="K1443" s="33" t="str"/>
      <x:c r="L1443" s="33" t="str"/>
      <x:c r="M1443" s="44" t="str"/>
      <x:c r="N1443" s="50" t="n">
        <x:v>43</x:v>
      </x:c>
      <x:c r="O1443" s="53" t="str">
        <x:v>When a teenager's body is uncovered in the Hudson River, the detectives search for the victim's identity which leads Benson to go undercover as a madam.</x:v>
      </x:c>
      <x:c r="P1443" s="53" t="str">
        <x:v>Core Law &amp; Order franchise</x:v>
      </x:c>
      <x:c r="Q1443" s="17" t="str">
        <x:v>225154</x:v>
      </x:c>
      <x:c r="R1443" s="17" t="str">
        <x:v>tt1248624</x:v>
      </x:c>
      <x:c r="S1443" s="17" t="str">
        <x:v>1005</x:v>
      </x:c>
    </x:row>
    <x:row r="1444">
      <x:c r="A1444" s="43" t="n">
        <x:v>1440</x:v>
      </x:c>
      <x:c r="B1444" s="44" t="str">
        <x:v>Not Started</x:v>
      </x:c>
      <x:c r="C1444" s="45" t="n">
        <x:v>39827</x:v>
      </x:c>
      <x:c r="D1444" s="33" t="str">
        <x:v>Law &amp; Order</x:v>
      </x:c>
      <x:c r="E1444" s="33" t="str">
        <x:v>Law &amp; Order</x:v>
      </x:c>
      <x:c r="F1444" s="33" t="str">
        <x:v>core</x:v>
      </x:c>
      <x:c r="G1444" s="50" t="n">
        <x:v>19</x:v>
      </x:c>
      <x:c r="H1444" s="50" t="n">
        <x:v>9</x:v>
      </x:c>
      <x:c r="I1444" s="44" t="str">
        <x:v>19.09</x:v>
      </x:c>
      <x:c r="J1444" s="33" t="str">
        <x:v>By Perjury</x:v>
      </x:c>
      <x:c r="K1444" s="33" t="str"/>
      <x:c r="L1444" s="33" t="str"/>
      <x:c r="M1444" s="44" t="str"/>
      <x:c r="N1444" s="50" t="n">
        <x:v>45</x:v>
      </x:c>
      <x:c r="O1444" s="53" t="str">
        <x:v>The murder of the plaintiff in a high-profile lawsuit against a major airline leads detectives to a defense attorney (Dallas Roberts) who is willing to do whatever it takes to ensure his big payday.</x:v>
      </x:c>
      <x:c r="P1444" s="53" t="str">
        <x:v>Core Law &amp; Order franchise</x:v>
      </x:c>
      <x:c r="Q1444" s="17" t="str">
        <x:v>34474</x:v>
      </x:c>
      <x:c r="R1444" s="17" t="str">
        <x:v>tt1356058</x:v>
      </x:c>
      <x:c r="S1444" s="17" t="str">
        <x:v>1006</x:v>
      </x:c>
    </x:row>
    <x:row r="1445">
      <x:c r="A1445" s="43" t="n">
        <x:v>1441</x:v>
      </x:c>
      <x:c r="B1445" s="44" t="str">
        <x:v>Not Started</x:v>
      </x:c>
      <x:c r="C1445" s="45" t="n">
        <x:v>39834</x:v>
      </x:c>
      <x:c r="D1445" s="33" t="str">
        <x:v>Law &amp; Order</x:v>
      </x:c>
      <x:c r="E1445" s="33" t="str">
        <x:v>Law &amp; Order</x:v>
      </x:c>
      <x:c r="F1445" s="33" t="str">
        <x:v>core</x:v>
      </x:c>
      <x:c r="G1445" s="50" t="n">
        <x:v>19</x:v>
      </x:c>
      <x:c r="H1445" s="50" t="n">
        <x:v>10</x:v>
      </x:c>
      <x:c r="I1445" s="44" t="str">
        <x:v>19.10</x:v>
      </x:c>
      <x:c r="J1445" s="33" t="str">
        <x:v>Pledge</x:v>
      </x:c>
      <x:c r="K1445" s="33" t="str"/>
      <x:c r="L1445" s="33" t="str"/>
      <x:c r="M1445" s="44" t="str"/>
      <x:c r="N1445" s="50" t="n">
        <x:v>45</x:v>
      </x:c>
      <x:c r="O1445" s="53" t="str">
        <x:v>When the son and housekeeper of a pair of prominent biologists are murdered, detectives suspect the couple's work on a controversial pharmaceutical study may have made them targets for the killer.</x:v>
      </x:c>
      <x:c r="P1445" s="53" t="str">
        <x:v>Core Law &amp; Order franchise</x:v>
      </x:c>
      <x:c r="Q1445" s="17" t="str">
        <x:v>34475</x:v>
      </x:c>
      <x:c r="R1445" s="17" t="str">
        <x:v>tt1335347</x:v>
      </x:c>
      <x:c r="S1445" s="17" t="str">
        <x:v>1007</x:v>
      </x:c>
    </x:row>
    <x:row r="1446">
      <x:c r="A1446" s="43" t="n">
        <x:v>1442</x:v>
      </x:c>
      <x:c r="B1446" s="44" t="str">
        <x:v>Not Started</x:v>
      </x:c>
      <x:c r="C1446" s="45" t="n">
        <x:v>39841</x:v>
      </x:c>
      <x:c r="D1446" s="33" t="str">
        <x:v>Law &amp; Order</x:v>
      </x:c>
      <x:c r="E1446" s="33" t="str">
        <x:v>Law &amp; Order</x:v>
      </x:c>
      <x:c r="F1446" s="33" t="str">
        <x:v>core</x:v>
      </x:c>
      <x:c r="G1446" s="50" t="n">
        <x:v>19</x:v>
      </x:c>
      <x:c r="H1446" s="50" t="n">
        <x:v>11</x:v>
      </x:c>
      <x:c r="I1446" s="44" t="str">
        <x:v>19.11</x:v>
      </x:c>
      <x:c r="J1446" s="33" t="str">
        <x:v>Lucky Stiff</x:v>
      </x:c>
      <x:c r="K1446" s="33" t="str"/>
      <x:c r="L1446" s="33" t="str"/>
      <x:c r="M1446" s="44" t="str"/>
      <x:c r="N1446" s="50" t="n">
        <x:v>45</x:v>
      </x:c>
      <x:c r="O1446" s="53" t="str">
        <x:v>The owner of a trucking company, Vic Russell, is found dead after a business meeting; detectives uncover information that leads them to believe that Russell had ties to the Russian mob.</x:v>
      </x:c>
      <x:c r="P1446" s="53" t="str">
        <x:v>Core Law &amp; Order franchise</x:v>
      </x:c>
      <x:c r="Q1446" s="17" t="str">
        <x:v>34476</x:v>
      </x:c>
      <x:c r="R1446" s="17" t="str">
        <x:v>tt1343616</x:v>
      </x:c>
      <x:c r="S1446" s="17" t="str">
        <x:v>1008</x:v>
      </x:c>
    </x:row>
    <x:row r="1447">
      <x:c r="A1447" s="43" t="n">
        <x:v>1443</x:v>
      </x:c>
      <x:c r="B1447" s="44" t="str">
        <x:v>Not Started</x:v>
      </x:c>
      <x:c r="C1447" s="45" t="n">
        <x:v>39847</x:v>
      </x:c>
      <x:c r="D1447" s="33" t="str">
        <x:v>Law &amp; Order: Special Victims Unit</x:v>
      </x:c>
      <x:c r="E1447" s="33" t="str">
        <x:v>Law &amp; Order</x:v>
      </x:c>
      <x:c r="F1447" s="33" t="str">
        <x:v>core</x:v>
      </x:c>
      <x:c r="G1447" s="50" t="n">
        <x:v>10</x:v>
      </x:c>
      <x:c r="H1447" s="50" t="n">
        <x:v>13</x:v>
      </x:c>
      <x:c r="I1447" s="44" t="str">
        <x:v>10.13</x:v>
      </x:c>
      <x:c r="J1447" s="33" t="str">
        <x:v>Snatched</x:v>
      </x:c>
      <x:c r="K1447" s="33" t="str"/>
      <x:c r="L1447" s="33" t="str"/>
      <x:c r="M1447" s="44" t="str"/>
      <x:c r="N1447" s="50" t="n">
        <x:v>42</x:v>
      </x:c>
      <x:c r="O1447" s="53" t="str">
        <x:v>The mother of a kidnapped young girl points the detectives towards her father, an ex-con, but it is soon discovered that the grandfather is a master thief and has many enemies. However, because of Alzheimer's, the grandfather can't remember much of his past.</x:v>
      </x:c>
      <x:c r="P1447" s="53" t="str">
        <x:v>Core Law &amp; Order franchise</x:v>
      </x:c>
      <x:c r="Q1447" s="17" t="str">
        <x:v>225155</x:v>
      </x:c>
      <x:c r="R1447" s="17" t="str">
        <x:v>tt1248625</x:v>
      </x:c>
      <x:c r="S1447" s="17" t="str">
        <x:v>1009</x:v>
      </x:c>
    </x:row>
    <x:row r="1448">
      <x:c r="A1448" s="43" t="n">
        <x:v>1444</x:v>
      </x:c>
      <x:c r="B1448" s="44" t="str">
        <x:v>Not Started</x:v>
      </x:c>
      <x:c r="C1448" s="45" t="n">
        <x:v>39848</x:v>
      </x:c>
      <x:c r="D1448" s="33" t="str">
        <x:v>Law &amp; Order</x:v>
      </x:c>
      <x:c r="E1448" s="33" t="str">
        <x:v>Law &amp; Order</x:v>
      </x:c>
      <x:c r="F1448" s="33" t="str">
        <x:v>core</x:v>
      </x:c>
      <x:c r="G1448" s="50" t="n">
        <x:v>19</x:v>
      </x:c>
      <x:c r="H1448" s="50" t="n">
        <x:v>12</x:v>
      </x:c>
      <x:c r="I1448" s="44" t="str">
        <x:v>19.12</x:v>
      </x:c>
      <x:c r="J1448" s="33" t="str">
        <x:v>Illegitimate</x:v>
      </x:c>
      <x:c r="K1448" s="33" t="str"/>
      <x:c r="L1448" s="33" t="str"/>
      <x:c r="M1448" s="44" t="str"/>
      <x:c r="N1448" s="50" t="n">
        <x:v>45</x:v>
      </x:c>
      <x:c r="O1448" s="53" t="str">
        <x:v>An NYPD officer kills a troubled fellow officer who took hostages at gunpoint; detectives Lupo and Bernard find valuable stolen documents and a dead body at the man's apartment.</x:v>
      </x:c>
      <x:c r="P1448" s="53" t="str">
        <x:v>Core Law &amp; Order franchise</x:v>
      </x:c>
      <x:c r="Q1448" s="17" t="str">
        <x:v>34477</x:v>
      </x:c>
      <x:c r="R1448" s="17" t="str">
        <x:v>tt1343617</x:v>
      </x:c>
      <x:c r="S1448" s="17" t="str">
        <x:v>1010</x:v>
      </x:c>
    </x:row>
    <x:row r="1449">
      <x:c r="A1449" s="43" t="n">
        <x:v>1445</x:v>
      </x:c>
      <x:c r="B1449" s="44" t="str">
        <x:v>Not Started</x:v>
      </x:c>
      <x:c r="C1449" s="45" t="n">
        <x:v>39855</x:v>
      </x:c>
      <x:c r="D1449" s="33" t="str">
        <x:v>Law &amp; Order</x:v>
      </x:c>
      <x:c r="E1449" s="33" t="str">
        <x:v>Law &amp; Order</x:v>
      </x:c>
      <x:c r="F1449" s="33" t="str">
        <x:v>core</x:v>
      </x:c>
      <x:c r="G1449" s="50" t="n">
        <x:v>19</x:v>
      </x:c>
      <x:c r="H1449" s="50" t="n">
        <x:v>13</x:v>
      </x:c>
      <x:c r="I1449" s="44" t="str">
        <x:v>19.13</x:v>
      </x:c>
      <x:c r="J1449" s="33" t="str">
        <x:v>Crimebusters</x:v>
      </x:c>
      <x:c r="K1449" s="33" t="str"/>
      <x:c r="L1449" s="33" t="str"/>
      <x:c r="M1449" s="44" t="str"/>
      <x:c r="N1449" s="50" t="n">
        <x:v>45</x:v>
      </x:c>
      <x:c r="O1449" s="53" t="str">
        <x:v>An unconscious war widow and her lifeless infant are found in the rubble of a bombed army recruitment center; Jack McCoy is forced to make one of the most unpopular decisions of his career.</x:v>
      </x:c>
      <x:c r="P1449" s="53" t="str">
        <x:v>Core Law &amp; Order franchise</x:v>
      </x:c>
      <x:c r="Q1449" s="17" t="str">
        <x:v>34478</x:v>
      </x:c>
      <x:c r="R1449" s="17" t="str">
        <x:v>tt1343618</x:v>
      </x:c>
      <x:c r="S1449" s="17" t="str">
        <x:v>1011</x:v>
      </x:c>
    </x:row>
    <x:row r="1450">
      <x:c r="A1450" s="43" t="n">
        <x:v>1446</x:v>
      </x:c>
      <x:c r="B1450" s="44" t="str">
        <x:v>Not Started</x:v>
      </x:c>
      <x:c r="C1450" s="45" t="n">
        <x:v>39861</x:v>
      </x:c>
      <x:c r="D1450" s="33" t="str">
        <x:v>Law &amp; Order: Special Victims Unit</x:v>
      </x:c>
      <x:c r="E1450" s="33" t="str">
        <x:v>Law &amp; Order</x:v>
      </x:c>
      <x:c r="F1450" s="33" t="str">
        <x:v>core</x:v>
      </x:c>
      <x:c r="G1450" s="50" t="n">
        <x:v>10</x:v>
      </x:c>
      <x:c r="H1450" s="50" t="n">
        <x:v>14</x:v>
      </x:c>
      <x:c r="I1450" s="44" t="str">
        <x:v>10.14</x:v>
      </x:c>
      <x:c r="J1450" s="33" t="str">
        <x:v>Transitions</x:v>
      </x:c>
      <x:c r="K1450" s="33" t="str"/>
      <x:c r="L1450" s="33" t="str"/>
      <x:c r="M1450" s="44" t="str"/>
      <x:c r="N1450" s="50" t="n">
        <x:v>43</x:v>
      </x:c>
      <x:c r="O1450" s="53" t="str">
        <x:v>The detectives have very little to work with after a man is found badly-beaten in a strip club's parking lot. Their questioning begins with the dancers until the victim's ex-wife and 13-year old transgender daughter become suspects.</x:v>
      </x:c>
      <x:c r="P1450" s="53" t="str">
        <x:v>Core Law &amp; Order franchise</x:v>
      </x:c>
      <x:c r="Q1450" s="17" t="str">
        <x:v>225156</x:v>
      </x:c>
      <x:c r="R1450" s="17" t="str">
        <x:v>tt1248626</x:v>
      </x:c>
      <x:c r="S1450" s="17" t="str">
        <x:v>1012</x:v>
      </x:c>
    </x:row>
    <x:row r="1451">
      <x:c r="A1451" s="43" t="n">
        <x:v>1447</x:v>
      </x:c>
      <x:c r="B1451" s="44" t="str">
        <x:v>Not Started</x:v>
      </x:c>
      <x:c r="C1451" s="45" t="n">
        <x:v>39862</x:v>
      </x:c>
      <x:c r="D1451" s="33" t="str">
        <x:v>Law &amp; Order</x:v>
      </x:c>
      <x:c r="E1451" s="33" t="str">
        <x:v>Law &amp; Order</x:v>
      </x:c>
      <x:c r="F1451" s="33" t="str">
        <x:v>core</x:v>
      </x:c>
      <x:c r="G1451" s="50" t="n">
        <x:v>19</x:v>
      </x:c>
      <x:c r="H1451" s="50" t="n">
        <x:v>14</x:v>
      </x:c>
      <x:c r="I1451" s="44" t="str">
        <x:v>19.14</x:v>
      </x:c>
      <x:c r="J1451" s="33" t="str">
        <x:v>Rapture</x:v>
      </x:c>
      <x:c r="K1451" s="33" t="str"/>
      <x:c r="L1451" s="33" t="str"/>
      <x:c r="M1451" s="44" t="str"/>
      <x:c r="N1451" s="50" t="n">
        <x:v>45</x:v>
      </x:c>
      <x:c r="O1451" s="53" t="str">
        <x:v>The creator of a religious website is murdered and the trail leads to a corrupt charitable organization.</x:v>
      </x:c>
      <x:c r="P1451" s="53" t="str">
        <x:v>Core Law &amp; Order franchise</x:v>
      </x:c>
      <x:c r="Q1451" s="17" t="str">
        <x:v>34479</x:v>
      </x:c>
      <x:c r="R1451" s="17" t="str">
        <x:v>tt1343619</x:v>
      </x:c>
      <x:c r="S1451" s="17" t="str">
        <x:v>1013</x:v>
      </x:c>
    </x:row>
    <x:row r="1452">
      <x:c r="A1452" s="43" t="n">
        <x:v>1448</x:v>
      </x:c>
      <x:c r="B1452" s="44" t="str">
        <x:v>Not Started</x:v>
      </x:c>
      <x:c r="C1452" s="45" t="n">
        <x:v>39867</x:v>
      </x:c>
      <x:c r="D1452" s="33" t="str">
        <x:v>Law &amp; Order: UK</x:v>
      </x:c>
      <x:c r="E1452" s="33" t="str">
        <x:v>Law &amp; Order</x:v>
      </x:c>
      <x:c r="F1452" s="33" t="str">
        <x:v>core</x:v>
      </x:c>
      <x:c r="G1452" s="50" t="n">
        <x:v>1</x:v>
      </x:c>
      <x:c r="H1452" s="50" t="n">
        <x:v>1</x:v>
      </x:c>
      <x:c r="I1452" s="44" t="str">
        <x:v>01.01</x:v>
      </x:c>
      <x:c r="J1452" s="33" t="str">
        <x:v>Care</x:v>
      </x:c>
      <x:c r="K1452" s="33" t="str"/>
      <x:c r="L1452" s="33" t="str"/>
      <x:c r="M1452" s="44" t="str"/>
      <x:c r="N1452" s="50" t="n">
        <x:v>48</x:v>
      </x:c>
      <x:c r="O1452" s="53" t="str">
        <x:v>A body is found at a London hospital, but can the police and the Crown Prosecutors bring the person responsible to justice?</x:v>
      </x:c>
      <x:c r="P1452" s="53" t="str">
        <x:v>Law &amp; Order format/franchise</x:v>
      </x:c>
      <x:c r="Q1452" s="17" t="str">
        <x:v>392387</x:v>
      </x:c>
      <x:c r="R1452" s="17" t="str">
        <x:v>tt1372548</x:v>
      </x:c>
      <x:c r="S1452" s="17" t="str">
        <x:v>1014</x:v>
      </x:c>
    </x:row>
    <x:row r="1453">
      <x:c r="A1453" s="43" t="n">
        <x:v>1449</x:v>
      </x:c>
      <x:c r="B1453" s="44" t="str">
        <x:v>Not Started</x:v>
      </x:c>
      <x:c r="C1453" s="45" t="n">
        <x:v>39874</x:v>
      </x:c>
      <x:c r="D1453" s="33" t="str">
        <x:v>Law &amp; Order: UK</x:v>
      </x:c>
      <x:c r="E1453" s="33" t="str">
        <x:v>Law &amp; Order</x:v>
      </x:c>
      <x:c r="F1453" s="33" t="str">
        <x:v>core</x:v>
      </x:c>
      <x:c r="G1453" s="50" t="n">
        <x:v>1</x:v>
      </x:c>
      <x:c r="H1453" s="50" t="n">
        <x:v>2</x:v>
      </x:c>
      <x:c r="I1453" s="44" t="str">
        <x:v>01.02</x:v>
      </x:c>
      <x:c r="J1453" s="33" t="str">
        <x:v>Unloved</x:v>
      </x:c>
      <x:c r="K1453" s="33" t="str"/>
      <x:c r="L1453" s="33" t="str"/>
      <x:c r="M1453" s="44" t="str"/>
      <x:c r="N1453" s="50" t="n">
        <x:v>48</x:v>
      </x:c>
      <x:c r="O1453" s="53" t="str">
        <x:v>When a teenager is murdered, the alleged killer's defence barrister has an audacious plan up her sleeve.</x:v>
      </x:c>
      <x:c r="P1453" s="53" t="str">
        <x:v>Law &amp; Order format/franchise</x:v>
      </x:c>
      <x:c r="Q1453" s="17" t="str">
        <x:v>392388</x:v>
      </x:c>
      <x:c r="R1453" s="17" t="str">
        <x:v>tt1376282</x:v>
      </x:c>
      <x:c r="S1453" s="17" t="str">
        <x:v>1015</x:v>
      </x:c>
    </x:row>
    <x:row r="1454">
      <x:c r="A1454" s="43" t="n">
        <x:v>1450</x:v>
      </x:c>
      <x:c r="B1454" s="44" t="str">
        <x:v>Not Started</x:v>
      </x:c>
      <x:c r="C1454" s="45" t="n">
        <x:v>39881</x:v>
      </x:c>
      <x:c r="D1454" s="33" t="str">
        <x:v>Law &amp; Order: UK</x:v>
      </x:c>
      <x:c r="E1454" s="33" t="str">
        <x:v>Law &amp; Order</x:v>
      </x:c>
      <x:c r="F1454" s="33" t="str">
        <x:v>core</x:v>
      </x:c>
      <x:c r="G1454" s="50" t="n">
        <x:v>1</x:v>
      </x:c>
      <x:c r="H1454" s="50" t="n">
        <x:v>3</x:v>
      </x:c>
      <x:c r="I1454" s="44" t="str">
        <x:v>01.03</x:v>
      </x:c>
      <x:c r="J1454" s="33" t="str">
        <x:v>Vice</x:v>
      </x:c>
      <x:c r="K1454" s="33" t="str"/>
      <x:c r="L1454" s="33" t="str"/>
      <x:c r="M1454" s="44" t="str"/>
      <x:c r="N1454" s="50" t="n">
        <x:v>48</x:v>
      </x:c>
      <x:c r="O1454" s="53" t="str">
        <x:v>When a former vice cop is discovered beaten to death in an underpass, DS Ronnie Brooks and DS Matt Devlin find their investigation going in unexpected directions.</x:v>
      </x:c>
      <x:c r="P1454" s="53" t="str">
        <x:v>Law &amp; Order format/franchise</x:v>
      </x:c>
      <x:c r="Q1454" s="17" t="str">
        <x:v>392389</x:v>
      </x:c>
      <x:c r="R1454" s="17" t="str">
        <x:v>tt1376284</x:v>
      </x:c>
      <x:c r="S1454" s="17" t="str">
        <x:v>1016</x:v>
      </x:c>
    </x:row>
    <x:row r="1455">
      <x:c r="A1455" s="43" t="n">
        <x:v>1451</x:v>
      </x:c>
      <x:c r="B1455" s="44" t="str">
        <x:v>Not Started</x:v>
      </x:c>
      <x:c r="C1455" s="45" t="n">
        <x:v>39882</x:v>
      </x:c>
      <x:c r="D1455" s="33" t="str">
        <x:v>Law &amp; Order: Special Victims Unit</x:v>
      </x:c>
      <x:c r="E1455" s="33" t="str">
        <x:v>Law &amp; Order</x:v>
      </x:c>
      <x:c r="F1455" s="33" t="str">
        <x:v>core</x:v>
      </x:c>
      <x:c r="G1455" s="50" t="n">
        <x:v>10</x:v>
      </x:c>
      <x:c r="H1455" s="50" t="n">
        <x:v>15</x:v>
      </x:c>
      <x:c r="I1455" s="44" t="str">
        <x:v>10.15</x:v>
      </x:c>
      <x:c r="J1455" s="33" t="str">
        <x:v>Lead</x:v>
      </x:c>
      <x:c r="K1455" s="33" t="str"/>
      <x:c r="L1455" s="33" t="str"/>
      <x:c r="M1455" s="44" t="str"/>
      <x:c r="N1455" s="50" t="n">
        <x:v>42</x:v>
      </x:c>
      <x:c r="O1455" s="53" t="str">
        <x:v>When a pediatrician convicted of abusing patients is found dead, Stabler and Benson investigate and soon find ADA Cabot has a reason for becoming involved in the case.</x:v>
      </x:c>
      <x:c r="P1455" s="53" t="str">
        <x:v>Core Law &amp; Order franchise</x:v>
      </x:c>
      <x:c r="Q1455" s="17" t="str">
        <x:v>225157</x:v>
      </x:c>
      <x:c r="R1455" s="17" t="str">
        <x:v>tt1248627</x:v>
      </x:c>
      <x:c r="S1455" s="17" t="str">
        <x:v>1017</x:v>
      </x:c>
    </x:row>
    <x:row r="1456">
      <x:c r="A1456" s="43" t="n">
        <x:v>1452</x:v>
      </x:c>
      <x:c r="B1456" s="44" t="str">
        <x:v>Not Started</x:v>
      </x:c>
      <x:c r="C1456" s="45" t="n">
        <x:v>39883</x:v>
      </x:c>
      <x:c r="D1456" s="33" t="str">
        <x:v>Law &amp; Order</x:v>
      </x:c>
      <x:c r="E1456" s="33" t="str">
        <x:v>Law &amp; Order</x:v>
      </x:c>
      <x:c r="F1456" s="33" t="str">
        <x:v>core</x:v>
      </x:c>
      <x:c r="G1456" s="50" t="n">
        <x:v>19</x:v>
      </x:c>
      <x:c r="H1456" s="50" t="n">
        <x:v>15</x:v>
      </x:c>
      <x:c r="I1456" s="44" t="str">
        <x:v>19.15</x:v>
      </x:c>
      <x:c r="J1456" s="33" t="str">
        <x:v>Bailout</x:v>
      </x:c>
      <x:c r="K1456" s="33" t="str"/>
      <x:c r="L1456" s="33" t="str"/>
      <x:c r="M1456" s="44" t="str"/>
      <x:c r="N1456" s="50" t="n">
        <x:v>45</x:v>
      </x:c>
      <x:c r="O1456" s="53" t="str">
        <x:v>As detectives investigate the death of a bank executive's mistress, they uncover a kidnapping and extortion plot.</x:v>
      </x:c>
      <x:c r="P1456" s="53" t="str">
        <x:v>Core Law &amp; Order franchise</x:v>
      </x:c>
      <x:c r="Q1456" s="17" t="str">
        <x:v>34480</x:v>
      </x:c>
      <x:c r="R1456" s="17" t="str">
        <x:v>tt1343620</x:v>
      </x:c>
      <x:c r="S1456" s="17" t="str">
        <x:v>1018</x:v>
      </x:c>
    </x:row>
    <x:row r="1457">
      <x:c r="A1457" s="43" t="n">
        <x:v>1453</x:v>
      </x:c>
      <x:c r="B1457" s="44" t="str">
        <x:v>Not Started</x:v>
      </x:c>
      <x:c r="C1457" s="45" t="n">
        <x:v>39888</x:v>
      </x:c>
      <x:c r="D1457" s="33" t="str">
        <x:v>Law &amp; Order: UK</x:v>
      </x:c>
      <x:c r="E1457" s="33" t="str">
        <x:v>Law &amp; Order</x:v>
      </x:c>
      <x:c r="F1457" s="33" t="str">
        <x:v>core</x:v>
      </x:c>
      <x:c r="G1457" s="50" t="n">
        <x:v>1</x:v>
      </x:c>
      <x:c r="H1457" s="50" t="n">
        <x:v>4</x:v>
      </x:c>
      <x:c r="I1457" s="44" t="str">
        <x:v>01.04</x:v>
      </x:c>
      <x:c r="J1457" s="33" t="str">
        <x:v>Unsafe</x:v>
      </x:c>
      <x:c r="K1457" s="33" t="str"/>
      <x:c r="L1457" s="33" t="str"/>
      <x:c r="M1457" s="44" t="str"/>
      <x:c r="N1457" s="50" t="n">
        <x:v>48</x:v>
      </x:c>
      <x:c r="O1457" s="53" t="str">
        <x:v>A convicted murderer who has been studying law inside is given the chance to appeal and chooses to represent himself in court against James Steel - his former prosecutor.</x:v>
      </x:c>
      <x:c r="P1457" s="53" t="str">
        <x:v>Law &amp; Order format/franchise</x:v>
      </x:c>
      <x:c r="Q1457" s="17" t="str">
        <x:v>392390</x:v>
      </x:c>
      <x:c r="R1457" s="17" t="str">
        <x:v>tt1376283</x:v>
      </x:c>
      <x:c r="S1457" s="17" t="str">
        <x:v>1019</x:v>
      </x:c>
    </x:row>
    <x:row r="1458">
      <x:c r="A1458" s="43" t="n">
        <x:v>1454</x:v>
      </x:c>
      <x:c r="B1458" s="44" t="str">
        <x:v>Not Started</x:v>
      </x:c>
      <x:c r="C1458" s="45" t="n">
        <x:v>39889</x:v>
      </x:c>
      <x:c r="D1458" s="33" t="str">
        <x:v>Law &amp; Order: Special Victims Unit</x:v>
      </x:c>
      <x:c r="E1458" s="33" t="str">
        <x:v>Law &amp; Order</x:v>
      </x:c>
      <x:c r="F1458" s="33" t="str">
        <x:v>core</x:v>
      </x:c>
      <x:c r="G1458" s="50" t="n">
        <x:v>10</x:v>
      </x:c>
      <x:c r="H1458" s="50" t="n">
        <x:v>16</x:v>
      </x:c>
      <x:c r="I1458" s="44" t="str">
        <x:v>10.16</x:v>
      </x:c>
      <x:c r="J1458" s="33" t="str">
        <x:v>Ballerina</x:v>
      </x:c>
      <x:c r="K1458" s="33" t="str"/>
      <x:c r="L1458" s="33" t="str"/>
      <x:c r="M1458" s="44" t="str"/>
      <x:c r="N1458" s="50" t="n">
        <x:v>42</x:v>
      </x:c>
      <x:c r="O1458" s="53" t="str">
        <x:v>A single murder suddenly turns into a scene with three bodies, leaving Benson and Stabler to work with a strip club owner to find a murderer whose motive may be more about righteousness than perversity.</x:v>
      </x:c>
      <x:c r="P1458" s="53" t="str">
        <x:v>Core Law &amp; Order franchise</x:v>
      </x:c>
      <x:c r="Q1458" s="17" t="str">
        <x:v>225158</x:v>
      </x:c>
      <x:c r="R1458" s="17" t="str">
        <x:v>tt1248628</x:v>
      </x:c>
      <x:c r="S1458" s="17" t="str">
        <x:v>1020</x:v>
      </x:c>
    </x:row>
    <x:row r="1459">
      <x:c r="A1459" s="43" t="n">
        <x:v>1455</x:v>
      </x:c>
      <x:c r="B1459" s="44" t="str">
        <x:v>Not Started</x:v>
      </x:c>
      <x:c r="C1459" s="45" t="n">
        <x:v>39890</x:v>
      </x:c>
      <x:c r="D1459" s="33" t="str">
        <x:v>Law &amp; Order</x:v>
      </x:c>
      <x:c r="E1459" s="33" t="str">
        <x:v>Law &amp; Order</x:v>
      </x:c>
      <x:c r="F1459" s="33" t="str">
        <x:v>core</x:v>
      </x:c>
      <x:c r="G1459" s="50" t="n">
        <x:v>19</x:v>
      </x:c>
      <x:c r="H1459" s="50" t="n">
        <x:v>16</x:v>
      </x:c>
      <x:c r="I1459" s="44" t="str">
        <x:v>19.16</x:v>
      </x:c>
      <x:c r="J1459" s="33" t="str">
        <x:v>Take-Out</x:v>
      </x:c>
      <x:c r="K1459" s="33" t="str"/>
      <x:c r="L1459" s="33" t="str"/>
      <x:c r="M1459" s="44" t="str"/>
      <x:c r="N1459" s="50" t="n">
        <x:v>45</x:v>
      </x:c>
      <x:c r="O1459" s="53" t="str">
        <x:v>The search for a writer's killer leads detectives to a closed espionage case.</x:v>
      </x:c>
      <x:c r="P1459" s="53" t="str">
        <x:v>Core Law &amp; Order franchise</x:v>
      </x:c>
      <x:c r="Q1459" s="17" t="str">
        <x:v>34481</x:v>
      </x:c>
      <x:c r="R1459" s="17" t="str">
        <x:v>tt1343621</x:v>
      </x:c>
      <x:c r="S1459" s="17" t="str">
        <x:v>1021</x:v>
      </x:c>
    </x:row>
    <x:row r="1460">
      <x:c r="A1460" s="43" t="n">
        <x:v>1456</x:v>
      </x:c>
      <x:c r="B1460" s="44" t="str">
        <x:v>Not Started</x:v>
      </x:c>
      <x:c r="C1460" s="45" t="n">
        <x:v>39895</x:v>
      </x:c>
      <x:c r="D1460" s="33" t="str">
        <x:v>Law &amp; Order: UK</x:v>
      </x:c>
      <x:c r="E1460" s="33" t="str">
        <x:v>Law &amp; Order</x:v>
      </x:c>
      <x:c r="F1460" s="33" t="str">
        <x:v>core</x:v>
      </x:c>
      <x:c r="G1460" s="50" t="n">
        <x:v>1</x:v>
      </x:c>
      <x:c r="H1460" s="50" t="n">
        <x:v>5</x:v>
      </x:c>
      <x:c r="I1460" s="44" t="str">
        <x:v>01.05</x:v>
      </x:c>
      <x:c r="J1460" s="33" t="str">
        <x:v>Buried</x:v>
      </x:c>
      <x:c r="K1460" s="33" t="str"/>
      <x:c r="L1460" s="33" t="str"/>
      <x:c r="M1460" s="44" t="str"/>
      <x:c r="N1460" s="50" t="n">
        <x:v>48</x:v>
      </x:c>
      <x:c r="O1460" s="53" t="str">
        <x:v>The 20-year-old unsolved death of a young boy leads to the discovery of repressed memories, and a risky case for James and Alesha.</x:v>
      </x:c>
      <x:c r="P1460" s="53" t="str">
        <x:v>Law &amp; Order format/franchise</x:v>
      </x:c>
      <x:c r="Q1460" s="17" t="str">
        <x:v>392391</x:v>
      </x:c>
      <x:c r="R1460" s="17" t="str">
        <x:v>tt1377081</x:v>
      </x:c>
      <x:c r="S1460" s="17" t="str">
        <x:v>1022</x:v>
      </x:c>
    </x:row>
    <x:row r="1461">
      <x:c r="A1461" s="43" t="n">
        <x:v>1457</x:v>
      </x:c>
      <x:c r="B1461" s="44" t="str">
        <x:v>Not Started</x:v>
      </x:c>
      <x:c r="C1461" s="45" t="n">
        <x:v>39897</x:v>
      </x:c>
      <x:c r="D1461" s="33" t="str">
        <x:v>Law &amp; Order</x:v>
      </x:c>
      <x:c r="E1461" s="33" t="str">
        <x:v>Law &amp; Order</x:v>
      </x:c>
      <x:c r="F1461" s="33" t="str">
        <x:v>core</x:v>
      </x:c>
      <x:c r="G1461" s="50" t="n">
        <x:v>19</x:v>
      </x:c>
      <x:c r="H1461" s="50" t="n">
        <x:v>17</x:v>
      </x:c>
      <x:c r="I1461" s="44" t="str">
        <x:v>19.17</x:v>
      </x:c>
      <x:c r="J1461" s="33" t="str">
        <x:v>Anchors Away</x:v>
      </x:c>
      <x:c r="K1461" s="33" t="str"/>
      <x:c r="L1461" s="33" t="str"/>
      <x:c r="M1461" s="44" t="str"/>
      <x:c r="N1461" s="50" t="n">
        <x:v>45</x:v>
      </x:c>
      <x:c r="O1461" s="53" t="str">
        <x:v>A murdered television news reporter was investigating allegations that a billionaire Wall Street investment adviser was a fraud, but figuring out who killed her proves to be difficult</x:v>
      </x:c>
      <x:c r="P1461" s="53" t="str">
        <x:v>Core Law &amp; Order franchise</x:v>
      </x:c>
      <x:c r="Q1461" s="17" t="str">
        <x:v>34482</x:v>
      </x:c>
      <x:c r="R1461" s="17" t="str">
        <x:v>tt1343622</x:v>
      </x:c>
      <x:c r="S1461" s="17" t="str">
        <x:v>1023</x:v>
      </x:c>
    </x:row>
    <x:row r="1462">
      <x:c r="A1462" s="43" t="n">
        <x:v>1458</x:v>
      </x:c>
      <x:c r="B1462" s="44" t="str">
        <x:v>Not Started</x:v>
      </x:c>
      <x:c r="C1462" s="45" t="n">
        <x:v>39902</x:v>
      </x:c>
      <x:c r="D1462" s="33" t="str">
        <x:v>Law &amp; Order: UK</x:v>
      </x:c>
      <x:c r="E1462" s="33" t="str">
        <x:v>Law &amp; Order</x:v>
      </x:c>
      <x:c r="F1462" s="33" t="str">
        <x:v>core</x:v>
      </x:c>
      <x:c r="G1462" s="50" t="n">
        <x:v>1</x:v>
      </x:c>
      <x:c r="H1462" s="50" t="n">
        <x:v>6</x:v>
      </x:c>
      <x:c r="I1462" s="44" t="str">
        <x:v>01.06</x:v>
      </x:c>
      <x:c r="J1462" s="33" t="str">
        <x:v>Paradise</x:v>
      </x:c>
      <x:c r="K1462" s="33" t="str"/>
      <x:c r="L1462" s="33" t="str"/>
      <x:c r="M1462" s="44" t="str"/>
      <x:c r="N1462" s="50" t="n">
        <x:v>48</x:v>
      </x:c>
      <x:c r="O1462" s="53" t="str">
        <x:v>Was the arson attack on a Turkish club claiming 17 lives racially motivated - or something even more sinister? James Steel and Alesha Phllips struggle to build the case.</x:v>
      </x:c>
      <x:c r="P1462" s="53" t="str">
        <x:v>Law &amp; Order format/franchise</x:v>
      </x:c>
      <x:c r="Q1462" s="17" t="str">
        <x:v>392392</x:v>
      </x:c>
      <x:c r="R1462" s="17" t="str">
        <x:v>tt1377082</x:v>
      </x:c>
      <x:c r="S1462" s="17" t="str">
        <x:v>1024</x:v>
      </x:c>
    </x:row>
    <x:row r="1463">
      <x:c r="A1463" s="43" t="n">
        <x:v>1459</x:v>
      </x:c>
      <x:c r="B1463" s="44" t="str">
        <x:v>Not Started</x:v>
      </x:c>
      <x:c r="C1463" s="45" t="n">
        <x:v>39903</x:v>
      </x:c>
      <x:c r="D1463" s="33" t="str">
        <x:v>Law &amp; Order: Special Victims Unit</x:v>
      </x:c>
      <x:c r="E1463" s="33" t="str">
        <x:v>Law &amp; Order</x:v>
      </x:c>
      <x:c r="F1463" s="33" t="str">
        <x:v>core</x:v>
      </x:c>
      <x:c r="G1463" s="50" t="n">
        <x:v>10</x:v>
      </x:c>
      <x:c r="H1463" s="50" t="n">
        <x:v>17</x:v>
      </x:c>
      <x:c r="I1463" s="44" t="str">
        <x:v>10.17</x:v>
      </x:c>
      <x:c r="J1463" s="33" t="str">
        <x:v>Hell</x:v>
      </x:c>
      <x:c r="K1463" s="33" t="str"/>
      <x:c r="L1463" s="33" t="str"/>
      <x:c r="M1463" s="44" t="str"/>
      <x:c r="N1463" s="50" t="n">
        <x:v>42</x:v>
      </x:c>
      <x:c r="O1463" s="53" t="str">
        <x:v>Detective Munch investigates the brutal rape and beating of a young mute girl, but things become tricky when her drawing of the devil who attacked her resembles a local priest who may not be practicing his beliefs according to Canon.</x:v>
      </x:c>
      <x:c r="P1463" s="53" t="str">
        <x:v>Core Law &amp; Order franchise</x:v>
      </x:c>
      <x:c r="Q1463" s="17" t="str">
        <x:v>225159</x:v>
      </x:c>
      <x:c r="R1463" s="17" t="str">
        <x:v>tt1248629</x:v>
      </x:c>
      <x:c r="S1463" s="17" t="str">
        <x:v>1025</x:v>
      </x:c>
    </x:row>
    <x:row r="1464">
      <x:c r="A1464" s="43" t="n">
        <x:v>1460</x:v>
      </x:c>
      <x:c r="B1464" s="44" t="str">
        <x:v>Not Started</x:v>
      </x:c>
      <x:c r="C1464" s="45" t="n">
        <x:v>39909</x:v>
      </x:c>
      <x:c r="D1464" s="33" t="str">
        <x:v>Law &amp; Order: UK</x:v>
      </x:c>
      <x:c r="E1464" s="33" t="str">
        <x:v>Law &amp; Order</x:v>
      </x:c>
      <x:c r="F1464" s="33" t="str">
        <x:v>core</x:v>
      </x:c>
      <x:c r="G1464" s="50" t="n">
        <x:v>1</x:v>
      </x:c>
      <x:c r="H1464" s="50" t="n">
        <x:v>7</x:v>
      </x:c>
      <x:c r="I1464" s="44" t="str">
        <x:v>01.07</x:v>
      </x:c>
      <x:c r="J1464" s="33" t="str">
        <x:v>Alesha</x:v>
      </x:c>
      <x:c r="K1464" s="33" t="str"/>
      <x:c r="L1464" s="33" t="str"/>
      <x:c r="M1464" s="44" t="str"/>
      <x:c r="N1464" s="50" t="n">
        <x:v>48</x:v>
      </x:c>
      <x:c r="O1464" s="53" t="str">
        <x:v>With scant evidence James Steel and Alesha Phillips find themselves up against a tenacious barrister defending an eminent doctor accused of sexually assaulting a patient.</x:v>
      </x:c>
      <x:c r="P1464" s="53" t="str">
        <x:v>Law &amp; Order format/franchise</x:v>
      </x:c>
      <x:c r="Q1464" s="17" t="str">
        <x:v>392393</x:v>
      </x:c>
      <x:c r="R1464" s="17" t="str">
        <x:v>tt1377083</x:v>
      </x:c>
      <x:c r="S1464" s="17" t="str">
        <x:v>1026</x:v>
      </x:c>
    </x:row>
    <x:row r="1465">
      <x:c r="A1465" s="43" t="n">
        <x:v>1461</x:v>
      </x:c>
      <x:c r="B1465" s="44" t="str">
        <x:v>Not Started</x:v>
      </x:c>
      <x:c r="C1465" s="45" t="n">
        <x:v>39910</x:v>
      </x:c>
      <x:c r="D1465" s="33" t="str">
        <x:v>Law &amp; Order: Special Victims Unit</x:v>
      </x:c>
      <x:c r="E1465" s="33" t="str">
        <x:v>Law &amp; Order</x:v>
      </x:c>
      <x:c r="F1465" s="33" t="str">
        <x:v>core</x:v>
      </x:c>
      <x:c r="G1465" s="50" t="n">
        <x:v>10</x:v>
      </x:c>
      <x:c r="H1465" s="50" t="n">
        <x:v>18</x:v>
      </x:c>
      <x:c r="I1465" s="44" t="str">
        <x:v>10.18</x:v>
      </x:c>
      <x:c r="J1465" s="33" t="str">
        <x:v>Baggage</x:v>
      </x:c>
      <x:c r="K1465" s="33" t="str"/>
      <x:c r="L1465" s="33" t="str"/>
      <x:c r="M1465" s="44" t="str"/>
      <x:c r="N1465" s="50" t="n">
        <x:v>42</x:v>
      </x:c>
      <x:c r="O1465" s="53" t="str">
        <x:v>A turf war ensues when Stabler and Tutuola link an artist's murder to a serial killer, and the detective assigned to that case focuses more on their involvement in an investigation he believes belongs solely to him than on identifying the killer.</x:v>
      </x:c>
      <x:c r="P1465" s="53" t="str">
        <x:v>Core Law &amp; Order franchise</x:v>
      </x:c>
      <x:c r="Q1465" s="17" t="str">
        <x:v>225160</x:v>
      </x:c>
      <x:c r="R1465" s="17" t="str">
        <x:v>tt1248630</x:v>
      </x:c>
      <x:c r="S1465" s="17" t="str">
        <x:v>1027</x:v>
      </x:c>
    </x:row>
    <x:row r="1466">
      <x:c r="A1466" s="43" t="n">
        <x:v>1462</x:v>
      </x:c>
      <x:c r="B1466" s="44" t="str">
        <x:v>Not Started</x:v>
      </x:c>
      <x:c r="C1466" s="45" t="n">
        <x:v>39922</x:v>
      </x:c>
      <x:c r="D1466" s="33" t="str">
        <x:v>In Plain Sight</x:v>
      </x:c>
      <x:c r="E1466" s="33" t="str">
        <x:v>Crossover Adjacent</x:v>
      </x:c>
      <x:c r="F1466" s="33" t="str">
        <x:v>connected</x:v>
      </x:c>
      <x:c r="G1466" s="50" t="n">
        <x:v>2</x:v>
      </x:c>
      <x:c r="H1466" s="50" t="n">
        <x:v>1</x:v>
      </x:c>
      <x:c r="I1466" s="44" t="str">
        <x:v>02.01</x:v>
      </x:c>
      <x:c r="J1466" s="33" t="str">
        <x:v>Gilted Lily</x:v>
      </x:c>
      <x:c r="K1466" s="33" t="str"/>
      <x:c r="L1466" s="33" t="str"/>
      <x:c r="M1466" s="44" t="str"/>
      <x:c r="N1466" s="50" t="n">
        <x:v>43</x:v>
      </x:c>
      <x:c r="O1466" s="53" t="str">
        <x:v>A dead witness causes Mary to take leave of her administrative duties to solve a "Ten Little Indians" story, until her plan gets changed by her own brand of Post-Traumatic Stress disorder.</x:v>
      </x:c>
      <x:c r="P1466" s="53" t="str">
        <x:v>SVU character crossover / shared Dick Wolf connection</x:v>
      </x:c>
      <x:c r="Q1466" s="17" t="str">
        <x:v>393575</x:v>
      </x:c>
      <x:c r="R1466" s="17" t="str">
        <x:v>tt1402299</x:v>
      </x:c>
      <x:c r="S1466" s="17" t="str">
        <x:v>1029</x:v>
      </x:c>
    </x:row>
    <x:row r="1467">
      <x:c r="A1467" s="43" t="n">
        <x:v>1463</x:v>
      </x:c>
      <x:c r="B1467" s="44" t="str">
        <x:v>Not Started</x:v>
      </x:c>
      <x:c r="C1467" s="45" t="n">
        <x:v>39922</x:v>
      </x:c>
      <x:c r="D1467" s="33" t="str">
        <x:v>Law &amp; Order: Criminal Intent</x:v>
      </x:c>
      <x:c r="E1467" s="33" t="str">
        <x:v>Law &amp; Order</x:v>
      </x:c>
      <x:c r="F1467" s="33" t="str">
        <x:v>core</x:v>
      </x:c>
      <x:c r="G1467" s="50" t="n">
        <x:v>8</x:v>
      </x:c>
      <x:c r="H1467" s="50" t="n">
        <x:v>1</x:v>
      </x:c>
      <x:c r="I1467" s="44" t="str">
        <x:v>08.01</x:v>
      </x:c>
      <x:c r="J1467" s="33" t="str">
        <x:v>Playing Dead</x:v>
      </x:c>
      <x:c r="K1467" s="33" t="str"/>
      <x:c r="L1467" s="33" t="str"/>
      <x:c r="M1467" s="44" t="str"/>
      <x:c r="N1467" s="50" t="n">
        <x:v>44</x:v>
      </x:c>
      <x:c r="O1467" s="53" t="str">
        <x:v>Goren and Eames investigate a case involving a councilman's step-daughter and her boyfriend being shot. The pair of drug-addicted kids were caught up in blackmail schemes which had targeted the politically powerful family of the woman.</x:v>
      </x:c>
      <x:c r="P1467" s="53" t="str">
        <x:v>Core Law &amp; Order franchise</x:v>
      </x:c>
      <x:c r="Q1467" s="17" t="str">
        <x:v>341367</x:v>
      </x:c>
      <x:c r="R1467" s="17" t="str">
        <x:v>tt1241298</x:v>
      </x:c>
      <x:c r="S1467" s="17" t="str">
        <x:v>1028</x:v>
      </x:c>
    </x:row>
    <x:row r="1468">
      <x:c r="A1468" s="43" t="n">
        <x:v>1464</x:v>
      </x:c>
      <x:c r="B1468" s="44" t="str">
        <x:v>Not Started</x:v>
      </x:c>
      <x:c r="C1468" s="45" t="n">
        <x:v>39929</x:v>
      </x:c>
      <x:c r="D1468" s="33" t="str">
        <x:v>In Plain Sight</x:v>
      </x:c>
      <x:c r="E1468" s="33" t="str">
        <x:v>Crossover Adjacent</x:v>
      </x:c>
      <x:c r="F1468" s="33" t="str">
        <x:v>connected</x:v>
      </x:c>
      <x:c r="G1468" s="50" t="n">
        <x:v>2</x:v>
      </x:c>
      <x:c r="H1468" s="50" t="n">
        <x:v>2</x:v>
      </x:c>
      <x:c r="I1468" s="44" t="str">
        <x:v>02.02</x:v>
      </x:c>
      <x:c r="J1468" s="33" t="str">
        <x:v>In My Humboldt Opinion</x:v>
      </x:c>
      <x:c r="K1468" s="33" t="str"/>
      <x:c r="L1468" s="33" t="str"/>
      <x:c r="M1468" s="44" t="str"/>
      <x:c r="N1468" s="50" t="n">
        <x:v>43</x:v>
      </x:c>
      <x:c r="O1468" s="53" t="str">
        <x:v>A northern California marijuana mastermind cannot testify without using the drug to neutralize his anxiety disorder.</x:v>
      </x:c>
      <x:c r="P1468" s="53" t="str">
        <x:v>SVU character crossover / shared Dick Wolf connection</x:v>
      </x:c>
      <x:c r="Q1468" s="17" t="str">
        <x:v>393576</x:v>
      </x:c>
      <x:c r="R1468" s="17" t="str">
        <x:v>tt1370550</x:v>
      </x:c>
      <x:c r="S1468" s="17" t="str">
        <x:v>1031</x:v>
      </x:c>
    </x:row>
    <x:row r="1469">
      <x:c r="A1469" s="43" t="n">
        <x:v>1465</x:v>
      </x:c>
      <x:c r="B1469" s="44" t="str">
        <x:v>Not Started</x:v>
      </x:c>
      <x:c r="C1469" s="45" t="n">
        <x:v>39929</x:v>
      </x:c>
      <x:c r="D1469" s="33" t="str">
        <x:v>Law &amp; Order: Criminal Intent</x:v>
      </x:c>
      <x:c r="E1469" s="33" t="str">
        <x:v>Law &amp; Order</x:v>
      </x:c>
      <x:c r="F1469" s="33" t="str">
        <x:v>core</x:v>
      </x:c>
      <x:c r="G1469" s="50" t="n">
        <x:v>8</x:v>
      </x:c>
      <x:c r="H1469" s="50" t="n">
        <x:v>2</x:v>
      </x:c>
      <x:c r="I1469" s="44" t="str">
        <x:v>08.02</x:v>
      </x:c>
      <x:c r="J1469" s="33" t="str">
        <x:v>Rock Star</x:v>
      </x:c>
      <x:c r="K1469" s="33" t="str"/>
      <x:c r="L1469" s="33" t="str"/>
      <x:c r="M1469" s="44" t="str"/>
      <x:c r="N1469" s="50" t="n">
        <x:v>43</x:v>
      </x:c>
      <x:c r="O1469" s="53" t="str">
        <x:v>Det. Zach Nichols' first case involves the murder of an artist, but it's unclear whether the neighborhood he lived in was a factor in his death, or something more personal.</x:v>
      </x:c>
      <x:c r="P1469" s="53" t="str">
        <x:v>Core Law &amp; Order franchise</x:v>
      </x:c>
      <x:c r="Q1469" s="17" t="str">
        <x:v>341368</x:v>
      </x:c>
      <x:c r="R1469" s="17" t="str">
        <x:v>tt1241306</x:v>
      </x:c>
      <x:c r="S1469" s="17" t="str">
        <x:v>1030</x:v>
      </x:c>
    </x:row>
    <x:row r="1470">
      <x:c r="A1470" s="43" t="n">
        <x:v>1466</x:v>
      </x:c>
      <x:c r="B1470" s="44" t="str">
        <x:v>Not Started</x:v>
      </x:c>
      <x:c r="C1470" s="45" t="n">
        <x:v>39931</x:v>
      </x:c>
      <x:c r="D1470" s="33" t="str">
        <x:v>Law &amp; Order: Special Victims Unit</x:v>
      </x:c>
      <x:c r="E1470" s="33" t="str">
        <x:v>Law &amp; Order</x:v>
      </x:c>
      <x:c r="F1470" s="33" t="str">
        <x:v>core</x:v>
      </x:c>
      <x:c r="G1470" s="50" t="n">
        <x:v>10</x:v>
      </x:c>
      <x:c r="H1470" s="50" t="n">
        <x:v>19</x:v>
      </x:c>
      <x:c r="I1470" s="44" t="str">
        <x:v>10.19</x:v>
      </x:c>
      <x:c r="J1470" s="33" t="str">
        <x:v>Selfish</x:v>
      </x:c>
      <x:c r="K1470" s="33" t="str"/>
      <x:c r="L1470" s="33" t="str"/>
      <x:c r="M1470" s="44" t="str"/>
      <x:c r="N1470" s="50" t="n">
        <x:v>42</x:v>
      </x:c>
      <x:c r="O1470" s="53" t="str">
        <x:v>A grandmother reports that her 2 year old granddaughter has disappeared, but the Amber Alert fails to yield progress. The detectives then move their attention over to her young irresponsible mother as their prime suspect.</x:v>
      </x:c>
      <x:c r="P1470" s="53" t="str">
        <x:v>Core Law &amp; Order franchise</x:v>
      </x:c>
      <x:c r="Q1470" s="17" t="str">
        <x:v>225161</x:v>
      </x:c>
      <x:c r="R1470" s="17" t="str">
        <x:v>tt1248631</x:v>
      </x:c>
      <x:c r="S1470" s="17" t="str">
        <x:v>1032</x:v>
      </x:c>
    </x:row>
    <x:row r="1471">
      <x:c r="A1471" s="43" t="n">
        <x:v>1467</x:v>
      </x:c>
      <x:c r="B1471" s="44" t="str">
        <x:v>Not Started</x:v>
      </x:c>
      <x:c r="C1471" s="45" t="n">
        <x:v>39932</x:v>
      </x:c>
      <x:c r="D1471" s="33" t="str">
        <x:v>Law &amp; Order</x:v>
      </x:c>
      <x:c r="E1471" s="33" t="str">
        <x:v>Law &amp; Order</x:v>
      </x:c>
      <x:c r="F1471" s="33" t="str">
        <x:v>core</x:v>
      </x:c>
      <x:c r="G1471" s="50" t="n">
        <x:v>19</x:v>
      </x:c>
      <x:c r="H1471" s="50" t="n">
        <x:v>18</x:v>
      </x:c>
      <x:c r="I1471" s="44" t="str">
        <x:v>19.18</x:v>
      </x:c>
      <x:c r="J1471" s="33" t="str">
        <x:v>Promote This!</x:v>
      </x:c>
      <x:c r="K1471" s="33" t="str"/>
      <x:c r="L1471" s="33" t="str"/>
      <x:c r="M1471" s="44" t="str"/>
      <x:c r="N1471" s="50" t="n">
        <x:v>45</x:v>
      </x:c>
      <x:c r="O1471" s="53" t="str">
        <x:v>Detectives Kevin Bernard (Anthony Anderson) and Cyrus Lupo (Jeremy Sisto) investigate the case of Oswaldo Morales (guest star Hector Javier Munoz), an illegal immigrant found unconscious but still alive on a service road. When the detectives find a possible link to Oswaldo's attack and nine recent bias-related incidents, they uncover a deep-seeded, dangerous bias against Hispanic men within the community.</x:v>
      </x:c>
      <x:c r="P1471" s="53" t="str">
        <x:v>Core Law &amp; Order franchise</x:v>
      </x:c>
      <x:c r="Q1471" s="17" t="str">
        <x:v>34483</x:v>
      </x:c>
      <x:c r="R1471" s="17" t="str">
        <x:v>tt1343623</x:v>
      </x:c>
      <x:c r="S1471" s="17" t="str">
        <x:v>1033</x:v>
      </x:c>
    </x:row>
    <x:row r="1472">
      <x:c r="A1472" s="43" t="n">
        <x:v>1468</x:v>
      </x:c>
      <x:c r="B1472" s="44" t="str">
        <x:v>Not Started</x:v>
      </x:c>
      <x:c r="C1472" s="45" t="n">
        <x:v>39936</x:v>
      </x:c>
      <x:c r="D1472" s="33" t="str">
        <x:v>In Plain Sight</x:v>
      </x:c>
      <x:c r="E1472" s="33" t="str">
        <x:v>Crossover Adjacent</x:v>
      </x:c>
      <x:c r="F1472" s="33" t="str">
        <x:v>connected</x:v>
      </x:c>
      <x:c r="G1472" s="50" t="n">
        <x:v>2</x:v>
      </x:c>
      <x:c r="H1472" s="50" t="n">
        <x:v>3</x:v>
      </x:c>
      <x:c r="I1472" s="44" t="str">
        <x:v>02.03</x:v>
      </x:c>
      <x:c r="J1472" s="33" t="str">
        <x:v>A Stand-Up Triple</x:v>
      </x:c>
      <x:c r="K1472" s="33" t="str"/>
      <x:c r="L1472" s="33" t="str"/>
      <x:c r="M1472" s="44" t="str"/>
      <x:c r="N1472" s="50" t="n">
        <x:v>42</x:v>
      </x:c>
      <x:c r="O1472" s="53" t="str">
        <x:v>A witness finds herself having difficulty in managing her own brood of children, so Mary offers to babysit the trio of problem kids.</x:v>
      </x:c>
      <x:c r="P1472" s="53" t="str">
        <x:v>SVU character crossover / shared Dick Wolf connection</x:v>
      </x:c>
      <x:c r="Q1472" s="17" t="str">
        <x:v>393577</x:v>
      </x:c>
      <x:c r="R1472" s="17" t="str">
        <x:v>tt1392605</x:v>
      </x:c>
      <x:c r="S1472" s="17" t="str">
        <x:v>1035</x:v>
      </x:c>
    </x:row>
    <x:row r="1473">
      <x:c r="A1473" s="43" t="n">
        <x:v>1469</x:v>
      </x:c>
      <x:c r="B1473" s="44" t="str">
        <x:v>Not Started</x:v>
      </x:c>
      <x:c r="C1473" s="45" t="n">
        <x:v>39936</x:v>
      </x:c>
      <x:c r="D1473" s="33" t="str">
        <x:v>Law &amp; Order: Criminal Intent</x:v>
      </x:c>
      <x:c r="E1473" s="33" t="str">
        <x:v>Law &amp; Order</x:v>
      </x:c>
      <x:c r="F1473" s="33" t="str">
        <x:v>core</x:v>
      </x:c>
      <x:c r="G1473" s="50" t="n">
        <x:v>8</x:v>
      </x:c>
      <x:c r="H1473" s="50" t="n">
        <x:v>3</x:v>
      </x:c>
      <x:c r="I1473" s="44" t="str">
        <x:v>08.03</x:v>
      </x:c>
      <x:c r="J1473" s="33" t="str">
        <x:v>Identity Crisis</x:v>
      </x:c>
      <x:c r="K1473" s="33" t="str"/>
      <x:c r="L1473" s="33" t="str"/>
      <x:c r="M1473" s="44" t="str"/>
      <x:c r="N1473" s="50" t="n">
        <x:v>43</x:v>
      </x:c>
      <x:c r="O1473" s="53" t="str">
        <x:v>A man's murder puts Goren and Eames on the trail of an upper echelon businessman whose secrets have taken over his life and put him on the run.</x:v>
      </x:c>
      <x:c r="P1473" s="53" t="str">
        <x:v>Core Law &amp; Order franchise</x:v>
      </x:c>
      <x:c r="Q1473" s="17" t="str">
        <x:v>341369</x:v>
      </x:c>
      <x:c r="R1473" s="17" t="str">
        <x:v>tt1241307</x:v>
      </x:c>
      <x:c r="S1473" s="17" t="str">
        <x:v>1034</x:v>
      </x:c>
    </x:row>
    <x:row r="1474">
      <x:c r="A1474" s="43" t="n">
        <x:v>1470</x:v>
      </x:c>
      <x:c r="B1474" s="44" t="str">
        <x:v>Not Started</x:v>
      </x:c>
      <x:c r="C1474" s="45" t="n">
        <x:v>39938</x:v>
      </x:c>
      <x:c r="D1474" s="33" t="str">
        <x:v>Law &amp; Order: Special Victims Unit</x:v>
      </x:c>
      <x:c r="E1474" s="33" t="str">
        <x:v>Law &amp; Order</x:v>
      </x:c>
      <x:c r="F1474" s="33" t="str">
        <x:v>core</x:v>
      </x:c>
      <x:c r="G1474" s="50" t="n">
        <x:v>10</x:v>
      </x:c>
      <x:c r="H1474" s="50" t="n">
        <x:v>20</x:v>
      </x:c>
      <x:c r="I1474" s="44" t="str">
        <x:v>10.20</x:v>
      </x:c>
      <x:c r="J1474" s="33" t="str">
        <x:v>Crush</x:v>
      </x:c>
      <x:c r="K1474" s="33" t="str"/>
      <x:c r="L1474" s="33" t="str"/>
      <x:c r="M1474" s="44" t="str"/>
      <x:c r="N1474" s="50" t="n">
        <x:v>42</x:v>
      </x:c>
      <x:c r="O1474" s="53" t="str">
        <x:v>A teenage girl who sent text messages containing nude pictures of herself is found beaten up. She next faces a harsh sentence from a judge after being arrested for producing and distributing child pornography.</x:v>
      </x:c>
      <x:c r="P1474" s="53" t="str">
        <x:v>Core Law &amp; Order franchise</x:v>
      </x:c>
      <x:c r="Q1474" s="17" t="str">
        <x:v>225162</x:v>
      </x:c>
      <x:c r="R1474" s="17" t="str">
        <x:v>tt1248633</x:v>
      </x:c>
      <x:c r="S1474" s="17" t="str">
        <x:v>1036</x:v>
      </x:c>
    </x:row>
    <x:row r="1475">
      <x:c r="A1475" s="43" t="n">
        <x:v>1471</x:v>
      </x:c>
      <x:c r="B1475" s="44" t="str">
        <x:v>Not Started</x:v>
      </x:c>
      <x:c r="C1475" s="45" t="n">
        <x:v>39939</x:v>
      </x:c>
      <x:c r="D1475" s="33" t="str">
        <x:v>Law &amp; Order</x:v>
      </x:c>
      <x:c r="E1475" s="33" t="str">
        <x:v>Law &amp; Order</x:v>
      </x:c>
      <x:c r="F1475" s="33" t="str">
        <x:v>core</x:v>
      </x:c>
      <x:c r="G1475" s="50" t="n">
        <x:v>19</x:v>
      </x:c>
      <x:c r="H1475" s="50" t="n">
        <x:v>19</x:v>
      </x:c>
      <x:c r="I1475" s="44" t="str">
        <x:v>19.19</x:v>
      </x:c>
      <x:c r="J1475" s="33" t="str">
        <x:v>All New</x:v>
      </x:c>
      <x:c r="K1475" s="33" t="str"/>
      <x:c r="L1475" s="33" t="str"/>
      <x:c r="M1475" s="44" t="str"/>
      <x:c r="N1475" s="50" t="n">
        <x:v>45</x:v>
      </x:c>
      <x:c r="O1475" s="53" t="str">
        <x:v>Firefighter Thomas Cooper and his wife Linda are tortured and murdered in their new townhouse. The murders are thought to be linked to an old unsolved drug case, but then the detectives learn about a firefighter named Nick Spence, who had just joined Cooper's company and was being severely hazed. The investigation suffers a setback when Spence dies in a fire under suspicious circumstances.</x:v>
      </x:c>
      <x:c r="P1475" s="53" t="str">
        <x:v>Core Law &amp; Order franchise</x:v>
      </x:c>
      <x:c r="Q1475" s="17" t="str">
        <x:v>34484</x:v>
      </x:c>
      <x:c r="R1475" s="17" t="str">
        <x:v>tt1343624</x:v>
      </x:c>
      <x:c r="S1475" s="17" t="str">
        <x:v>1037</x:v>
      </x:c>
    </x:row>
    <x:row r="1476">
      <x:c r="A1476" s="43" t="n">
        <x:v>1472</x:v>
      </x:c>
      <x:c r="B1476" s="44" t="str">
        <x:v>Not Started</x:v>
      </x:c>
      <x:c r="C1476" s="45" t="n">
        <x:v>39943</x:v>
      </x:c>
      <x:c r="D1476" s="33" t="str">
        <x:v>In Plain Sight</x:v>
      </x:c>
      <x:c r="E1476" s="33" t="str">
        <x:v>Crossover Adjacent</x:v>
      </x:c>
      <x:c r="F1476" s="33" t="str">
        <x:v>connected</x:v>
      </x:c>
      <x:c r="G1476" s="50" t="n">
        <x:v>2</x:v>
      </x:c>
      <x:c r="H1476" s="50" t="n">
        <x:v>4</x:v>
      </x:c>
      <x:c r="I1476" s="44" t="str">
        <x:v>02.04</x:v>
      </x:c>
      <x:c r="J1476" s="33" t="str">
        <x:v>Rubble with a Cause</x:v>
      </x:c>
      <x:c r="K1476" s="33" t="str"/>
      <x:c r="L1476" s="33" t="str"/>
      <x:c r="M1476" s="44" t="str"/>
      <x:c r="N1476" s="50" t="n">
        <x:v>41</x:v>
      </x:c>
      <x:c r="O1476" s="53" t="str">
        <x:v>A building collapses on one of Mary's witnesses, leaving him exposed to outside threats, so Mary has to risk her life in order to keep her witness safe.</x:v>
      </x:c>
      <x:c r="P1476" s="53" t="str">
        <x:v>SVU character crossover / shared Dick Wolf connection</x:v>
      </x:c>
      <x:c r="Q1476" s="17" t="str">
        <x:v>393578</x:v>
      </x:c>
      <x:c r="R1476" s="17" t="str">
        <x:v>tt1392606</x:v>
      </x:c>
      <x:c r="S1476" s="17" t="str">
        <x:v>1039</x:v>
      </x:c>
    </x:row>
    <x:row r="1477">
      <x:c r="A1477" s="43" t="n">
        <x:v>1473</x:v>
      </x:c>
      <x:c r="B1477" s="44" t="str">
        <x:v>Not Started</x:v>
      </x:c>
      <x:c r="C1477" s="45" t="n">
        <x:v>39943</x:v>
      </x:c>
      <x:c r="D1477" s="33" t="str">
        <x:v>Law &amp; Order: Criminal Intent</x:v>
      </x:c>
      <x:c r="E1477" s="33" t="str">
        <x:v>Law &amp; Order</x:v>
      </x:c>
      <x:c r="F1477" s="33" t="str">
        <x:v>core</x:v>
      </x:c>
      <x:c r="G1477" s="50" t="n">
        <x:v>8</x:v>
      </x:c>
      <x:c r="H1477" s="50" t="n">
        <x:v>4</x:v>
      </x:c>
      <x:c r="I1477" s="44" t="str">
        <x:v>08.04</x:v>
      </x:c>
      <x:c r="J1477" s="33" t="str">
        <x:v>In Treatment</x:v>
      </x:c>
      <x:c r="K1477" s="33" t="str"/>
      <x:c r="L1477" s="33" t="str"/>
      <x:c r="M1477" s="44" t="str"/>
      <x:c r="N1477" s="50" t="n">
        <x:v>43</x:v>
      </x:c>
      <x:c r="O1477" s="53" t="str">
        <x:v>News of a company's falling stock that plunged more over a fraud investigation may have led to the murder of one of its executives.</x:v>
      </x:c>
      <x:c r="P1477" s="53" t="str">
        <x:v>Core Law &amp; Order franchise</x:v>
      </x:c>
      <x:c r="Q1477" s="17" t="str">
        <x:v>341370</x:v>
      </x:c>
      <x:c r="R1477" s="17" t="str">
        <x:v>tt1241308</x:v>
      </x:c>
      <x:c r="S1477" s="17" t="str">
        <x:v>1038</x:v>
      </x:c>
    </x:row>
    <x:row r="1478">
      <x:c r="A1478" s="43" t="n">
        <x:v>1474</x:v>
      </x:c>
      <x:c r="B1478" s="44" t="str">
        <x:v>Not Started</x:v>
      </x:c>
      <x:c r="C1478" s="45" t="n">
        <x:v>39946</x:v>
      </x:c>
      <x:c r="D1478" s="33" t="str">
        <x:v>Law &amp; Order</x:v>
      </x:c>
      <x:c r="E1478" s="33" t="str">
        <x:v>Law &amp; Order</x:v>
      </x:c>
      <x:c r="F1478" s="33" t="str">
        <x:v>core</x:v>
      </x:c>
      <x:c r="G1478" s="50" t="n">
        <x:v>19</x:v>
      </x:c>
      <x:c r="H1478" s="50" t="n">
        <x:v>20</x:v>
      </x:c>
      <x:c r="I1478" s="44" t="str">
        <x:v>19.20</x:v>
      </x:c>
      <x:c r="J1478" s="33" t="str">
        <x:v>Exchange</x:v>
      </x:c>
      <x:c r="K1478" s="33" t="str"/>
      <x:c r="L1478" s="33" t="str"/>
      <x:c r="M1478" s="44" t="str"/>
      <x:c r="N1478" s="50" t="n">
        <x:v>45</x:v>
      </x:c>
      <x:c r="O1478" s="53" t="str">
        <x:v>Two engaged scientists die in a fire and their mentally challenged neighbor is injured while trying to help them. The detectives discover that the couple was stabbed before the fire and this leads them to a disturbed and extremely jealous woman.</x:v>
      </x:c>
      <x:c r="P1478" s="53" t="str">
        <x:v>Core Law &amp; Order franchise</x:v>
      </x:c>
      <x:c r="Q1478" s="17" t="str">
        <x:v>34485</x:v>
      </x:c>
      <x:c r="R1478" s="17" t="str">
        <x:v>tt1343625</x:v>
      </x:c>
      <x:c r="S1478" s="17" t="str">
        <x:v>1040</x:v>
      </x:c>
    </x:row>
    <x:row r="1479">
      <x:c r="A1479" s="43" t="n">
        <x:v>1475</x:v>
      </x:c>
      <x:c r="B1479" s="44" t="str">
        <x:v>Not Started</x:v>
      </x:c>
      <x:c r="C1479" s="45" t="n">
        <x:v>39950</x:v>
      </x:c>
      <x:c r="D1479" s="33" t="str">
        <x:v>In Plain Sight</x:v>
      </x:c>
      <x:c r="E1479" s="33" t="str">
        <x:v>Crossover Adjacent</x:v>
      </x:c>
      <x:c r="F1479" s="33" t="str">
        <x:v>connected</x:v>
      </x:c>
      <x:c r="G1479" s="50" t="n">
        <x:v>2</x:v>
      </x:c>
      <x:c r="H1479" s="50" t="n">
        <x:v>5</x:v>
      </x:c>
      <x:c r="I1479" s="44" t="str">
        <x:v>02.05</x:v>
      </x:c>
      <x:c r="J1479" s="33" t="str">
        <x:v>Aguna Matatala</x:v>
      </x:c>
      <x:c r="K1479" s="33" t="str"/>
      <x:c r="L1479" s="33" t="str"/>
      <x:c r="M1479" s="44" t="str"/>
      <x:c r="N1479" s="50" t="n">
        <x:v>42</x:v>
      </x:c>
      <x:c r="O1479" s="53" t="str">
        <x:v>An Orthodox Jew enters Witness Protection, but his wife refuses to join him. The situation is made more complicated by the fact he is being pursued by a man motivated by a higher authority.</x:v>
      </x:c>
      <x:c r="P1479" s="53" t="str">
        <x:v>SVU character crossover / shared Dick Wolf connection</x:v>
      </x:c>
      <x:c r="Q1479" s="17" t="str">
        <x:v>393579</x:v>
      </x:c>
      <x:c r="R1479" s="17" t="str">
        <x:v>tt1409289</x:v>
      </x:c>
      <x:c r="S1479" s="17" t="str">
        <x:v>1042</x:v>
      </x:c>
    </x:row>
    <x:row r="1480">
      <x:c r="A1480" s="43" t="n">
        <x:v>1476</x:v>
      </x:c>
      <x:c r="B1480" s="44" t="str">
        <x:v>Not Started</x:v>
      </x:c>
      <x:c r="C1480" s="45" t="n">
        <x:v>39950</x:v>
      </x:c>
      <x:c r="D1480" s="33" t="str">
        <x:v>Law &amp; Order: Criminal Intent</x:v>
      </x:c>
      <x:c r="E1480" s="33" t="str">
        <x:v>Law &amp; Order</x:v>
      </x:c>
      <x:c r="F1480" s="33" t="str">
        <x:v>core</x:v>
      </x:c>
      <x:c r="G1480" s="50" t="n">
        <x:v>8</x:v>
      </x:c>
      <x:c r="H1480" s="50" t="n">
        <x:v>5</x:v>
      </x:c>
      <x:c r="I1480" s="44" t="str">
        <x:v>08.05</x:v>
      </x:c>
      <x:c r="J1480" s="33" t="str">
        <x:v>Faithfully</x:v>
      </x:c>
      <x:c r="K1480" s="33" t="str"/>
      <x:c r="L1480" s="33" t="str"/>
      <x:c r="M1480" s="44" t="str"/>
      <x:c r="N1480" s="50" t="n">
        <x:v>43</x:v>
      </x:c>
      <x:c r="O1480" s="53" t="str">
        <x:v>After a doctor is murdered in his home while his wife lies bound and helpless upstairs in their bedroom, it is revealed that the couple's reverend may know more about the crime than he is telling the detectives.</x:v>
      </x:c>
      <x:c r="P1480" s="53" t="str">
        <x:v>Core Law &amp; Order franchise</x:v>
      </x:c>
      <x:c r="Q1480" s="17" t="str">
        <x:v>341371</x:v>
      </x:c>
      <x:c r="R1480" s="17" t="str">
        <x:v>tt1440529</x:v>
      </x:c>
      <x:c r="S1480" s="17" t="str">
        <x:v>1041</x:v>
      </x:c>
    </x:row>
    <x:row r="1481">
      <x:c r="A1481" s="43" t="n">
        <x:v>1477</x:v>
      </x:c>
      <x:c r="B1481" s="44" t="str">
        <x:v>Not Started</x:v>
      </x:c>
      <x:c r="C1481" s="45" t="n">
        <x:v>39952</x:v>
      </x:c>
      <x:c r="D1481" s="33" t="str">
        <x:v>Law &amp; Order: Special Victims Unit</x:v>
      </x:c>
      <x:c r="E1481" s="33" t="str">
        <x:v>Law &amp; Order</x:v>
      </x:c>
      <x:c r="F1481" s="33" t="str">
        <x:v>core</x:v>
      </x:c>
      <x:c r="G1481" s="50" t="n">
        <x:v>10</x:v>
      </x:c>
      <x:c r="H1481" s="50" t="n">
        <x:v>21</x:v>
      </x:c>
      <x:c r="I1481" s="44" t="str">
        <x:v>10.21</x:v>
      </x:c>
      <x:c r="J1481" s="33" t="str">
        <x:v>Liberties</x:v>
      </x:c>
      <x:c r="K1481" s="33" t="str"/>
      <x:c r="L1481" s="33" t="str"/>
      <x:c r="M1481" s="44" t="str"/>
      <x:c r="N1481" s="50" t="n">
        <x:v>43</x:v>
      </x:c>
      <x:c r="O1481" s="53" t="str">
        <x:v>A favor for a judge who is hearing a harassment case sends Stabler and Benson to interview a death-row serial killer in order to determine the fate of his son.</x:v>
      </x:c>
      <x:c r="P1481" s="53" t="str">
        <x:v>Core Law &amp; Order franchise</x:v>
      </x:c>
      <x:c r="Q1481" s="17" t="str">
        <x:v>225163</x:v>
      </x:c>
      <x:c r="R1481" s="17" t="str">
        <x:v>tt1248634</x:v>
      </x:c>
      <x:c r="S1481" s="17" t="str">
        <x:v>1043</x:v>
      </x:c>
    </x:row>
    <x:row r="1482">
      <x:c r="A1482" s="43" t="n">
        <x:v>1478</x:v>
      </x:c>
      <x:c r="B1482" s="44" t="str">
        <x:v>Not Started</x:v>
      </x:c>
      <x:c r="C1482" s="45" t="n">
        <x:v>39953</x:v>
      </x:c>
      <x:c r="D1482" s="33" t="str">
        <x:v>Law &amp; Order</x:v>
      </x:c>
      <x:c r="E1482" s="33" t="str">
        <x:v>Law &amp; Order</x:v>
      </x:c>
      <x:c r="F1482" s="33" t="str">
        <x:v>core</x:v>
      </x:c>
      <x:c r="G1482" s="50" t="n">
        <x:v>19</x:v>
      </x:c>
      <x:c r="H1482" s="50" t="n">
        <x:v>21</x:v>
      </x:c>
      <x:c r="I1482" s="44" t="str">
        <x:v>19.21</x:v>
      </x:c>
      <x:c r="J1482" s="33" t="str">
        <x:v>Skate or Die</x:v>
      </x:c>
      <x:c r="K1482" s="33" t="str"/>
      <x:c r="L1482" s="33" t="str"/>
      <x:c r="M1482" s="44" t="str"/>
      <x:c r="N1482" s="50" t="n">
        <x:v>45</x:v>
      </x:c>
      <x:c r="O1482" s="53" t="str">
        <x:v>Detectives Lupo and Bernard investigate a serial killer who targets homeless men and discover that a copycat may be at work.</x:v>
      </x:c>
      <x:c r="P1482" s="53" t="str">
        <x:v>Core Law &amp; Order franchise</x:v>
      </x:c>
      <x:c r="Q1482" s="17" t="str">
        <x:v>34486</x:v>
      </x:c>
      <x:c r="R1482" s="17" t="str">
        <x:v>tt1343626</x:v>
      </x:c>
      <x:c r="S1482" s="17" t="str">
        <x:v>1044</x:v>
      </x:c>
    </x:row>
    <x:row r="1483">
      <x:c r="A1483" s="43" t="n">
        <x:v>1479</x:v>
      </x:c>
      <x:c r="B1483" s="44" t="str">
        <x:v>Not Started</x:v>
      </x:c>
      <x:c r="C1483" s="45" t="n">
        <x:v>39964</x:v>
      </x:c>
      <x:c r="D1483" s="33" t="str">
        <x:v>In Plain Sight</x:v>
      </x:c>
      <x:c r="E1483" s="33" t="str">
        <x:v>Crossover Adjacent</x:v>
      </x:c>
      <x:c r="F1483" s="33" t="str">
        <x:v>connected</x:v>
      </x:c>
      <x:c r="G1483" s="50" t="n">
        <x:v>2</x:v>
      </x:c>
      <x:c r="H1483" s="50" t="n">
        <x:v>6</x:v>
      </x:c>
      <x:c r="I1483" s="44" t="str">
        <x:v>02.06</x:v>
      </x:c>
      <x:c r="J1483" s="33" t="str">
        <x:v>One Night Stan</x:v>
      </x:c>
      <x:c r="K1483" s="33" t="str"/>
      <x:c r="L1483" s="33" t="str"/>
      <x:c r="M1483" s="44" t="str"/>
      <x:c r="N1483" s="50" t="n">
        <x:v>43</x:v>
      </x:c>
      <x:c r="O1483" s="53" t="str">
        <x:v>Mary and Marshall find themselves in a difficult position when Stan's very first witness turns up dead and he is implicated in her murder.</x:v>
      </x:c>
      <x:c r="P1483" s="53" t="str">
        <x:v>SVU character crossover / shared Dick Wolf connection</x:v>
      </x:c>
      <x:c r="Q1483" s="17" t="str">
        <x:v>393580</x:v>
      </x:c>
      <x:c r="R1483" s="17" t="str">
        <x:v>tt1392848</x:v>
      </x:c>
      <x:c r="S1483" s="17" t="str">
        <x:v>1046</x:v>
      </x:c>
    </x:row>
    <x:row r="1484">
      <x:c r="A1484" s="43" t="n">
        <x:v>1480</x:v>
      </x:c>
      <x:c r="B1484" s="44" t="str">
        <x:v>Not Started</x:v>
      </x:c>
      <x:c r="C1484" s="45" t="n">
        <x:v>39964</x:v>
      </x:c>
      <x:c r="D1484" s="33" t="str">
        <x:v>Law &amp; Order: Criminal Intent</x:v>
      </x:c>
      <x:c r="E1484" s="33" t="str">
        <x:v>Law &amp; Order</x:v>
      </x:c>
      <x:c r="F1484" s="33" t="str">
        <x:v>core</x:v>
      </x:c>
      <x:c r="G1484" s="50" t="n">
        <x:v>8</x:v>
      </x:c>
      <x:c r="H1484" s="50" t="n">
        <x:v>6</x:v>
      </x:c>
      <x:c r="I1484" s="44" t="str">
        <x:v>08.06</x:v>
      </x:c>
      <x:c r="J1484" s="33" t="str">
        <x:v>Astoria Helen</x:v>
      </x:c>
      <x:c r="K1484" s="33" t="str"/>
      <x:c r="L1484" s="33" t="str"/>
      <x:c r="M1484" s="44" t="str"/>
      <x:c r="N1484" s="50" t="n">
        <x:v>41</x:v>
      </x:c>
      <x:c r="O1484" s="53" t="str">
        <x:v>Nicholas and Wheeler investigate when the partner of a con man who used his charm to scheme a lonely single mother, is found dead.</x:v>
      </x:c>
      <x:c r="P1484" s="53" t="str">
        <x:v>Core Law &amp; Order franchise</x:v>
      </x:c>
      <x:c r="Q1484" s="17" t="str">
        <x:v>341372</x:v>
      </x:c>
      <x:c r="R1484" s="17" t="str">
        <x:v>tt1241310</x:v>
      </x:c>
      <x:c r="S1484" s="17" t="str">
        <x:v>1045</x:v>
      </x:c>
    </x:row>
    <x:row r="1485">
      <x:c r="A1485" s="43" t="n">
        <x:v>1481</x:v>
      </x:c>
      <x:c r="B1485" s="44" t="str">
        <x:v>Not Started</x:v>
      </x:c>
      <x:c r="C1485" s="45" t="n">
        <x:v>39966</x:v>
      </x:c>
      <x:c r="D1485" s="33" t="str">
        <x:v>Law &amp; Order: Special Victims Unit</x:v>
      </x:c>
      <x:c r="E1485" s="33" t="str">
        <x:v>Law &amp; Order</x:v>
      </x:c>
      <x:c r="F1485" s="33" t="str">
        <x:v>core</x:v>
      </x:c>
      <x:c r="G1485" s="50" t="n">
        <x:v>10</x:v>
      </x:c>
      <x:c r="H1485" s="50" t="n">
        <x:v>22</x:v>
      </x:c>
      <x:c r="I1485" s="44" t="str">
        <x:v>10.22</x:v>
      </x:c>
      <x:c r="J1485" s="33" t="str">
        <x:v>Zebras</x:v>
      </x:c>
      <x:c r="K1485" s="33" t="str"/>
      <x:c r="L1485" s="33" t="str"/>
      <x:c r="M1485" s="44" t="str"/>
      <x:c r="N1485" s="50" t="n">
        <x:v>42</x:v>
      </x:c>
      <x:c r="O1485" s="53" t="str">
        <x:v>A murder in Central Park that involves a tourist puts the SVU on high alert, but when the suspect they've brought in for questioning escapes, Munch has to reach out to an ex-wife in an effort to prevent another killing that's closer to home.</x:v>
      </x:c>
      <x:c r="P1485" s="53" t="str">
        <x:v>Core Law &amp; Order franchise</x:v>
      </x:c>
      <x:c r="Q1485" s="17" t="str">
        <x:v>225164</x:v>
      </x:c>
      <x:c r="R1485" s="17" t="str">
        <x:v>tt1248635</x:v>
      </x:c>
      <x:c r="S1485" s="17" t="str">
        <x:v>1047</x:v>
      </x:c>
    </x:row>
    <x:row r="1486">
      <x:c r="A1486" s="43" t="n">
        <x:v>1482</x:v>
      </x:c>
      <x:c r="B1486" s="44" t="str">
        <x:v>Not Started</x:v>
      </x:c>
      <x:c r="C1486" s="45" t="n">
        <x:v>39967</x:v>
      </x:c>
      <x:c r="D1486" s="33" t="str">
        <x:v>Law &amp; Order</x:v>
      </x:c>
      <x:c r="E1486" s="33" t="str">
        <x:v>Law &amp; Order</x:v>
      </x:c>
      <x:c r="F1486" s="33" t="str">
        <x:v>core</x:v>
      </x:c>
      <x:c r="G1486" s="50" t="n">
        <x:v>19</x:v>
      </x:c>
      <x:c r="H1486" s="50" t="n">
        <x:v>22</x:v>
      </x:c>
      <x:c r="I1486" s="44" t="str">
        <x:v>19.22</x:v>
      </x:c>
      <x:c r="J1486" s="33" t="str">
        <x:v>The Drowned and the Saved</x:v>
      </x:c>
      <x:c r="K1486" s="33" t="str"/>
      <x:c r="L1486" s="33" t="str"/>
      <x:c r="M1486" s="44" t="str"/>
      <x:c r="N1486" s="50" t="n">
        <x:v>45</x:v>
      </x:c>
      <x:c r="O1486" s="53" t="str">
        <x:v>A prominent charity executive is murdered and claims of stalking and blackmail surface during the investigation.</x:v>
      </x:c>
      <x:c r="P1486" s="53" t="str">
        <x:v>Core Law &amp; Order franchise</x:v>
      </x:c>
      <x:c r="Q1486" s="17" t="str">
        <x:v>34487</x:v>
      </x:c>
      <x:c r="R1486" s="17" t="str">
        <x:v>tt1343627</x:v>
      </x:c>
      <x:c r="S1486" s="17" t="str">
        <x:v>1048</x:v>
      </x:c>
    </x:row>
    <x:row r="1487">
      <x:c r="A1487" s="43" t="n">
        <x:v>1483</x:v>
      </x:c>
      <x:c r="B1487" s="44" t="str">
        <x:v>Not Started</x:v>
      </x:c>
      <x:c r="C1487" s="45" t="n">
        <x:v>39971</x:v>
      </x:c>
      <x:c r="D1487" s="33" t="str">
        <x:v>In Plain Sight</x:v>
      </x:c>
      <x:c r="E1487" s="33" t="str">
        <x:v>Crossover Adjacent</x:v>
      </x:c>
      <x:c r="F1487" s="33" t="str">
        <x:v>connected</x:v>
      </x:c>
      <x:c r="G1487" s="50" t="n">
        <x:v>2</x:v>
      </x:c>
      <x:c r="H1487" s="50" t="n">
        <x:v>7</x:v>
      </x:c>
      <x:c r="I1487" s="44" t="str">
        <x:v>02.07</x:v>
      </x:c>
      <x:c r="J1487" s="33" t="str">
        <x:v>Duplicate Bridge</x:v>
      </x:c>
      <x:c r="K1487" s="33" t="str"/>
      <x:c r="L1487" s="33" t="str"/>
      <x:c r="M1487" s="44" t="str"/>
      <x:c r="N1487" s="50" t="n">
        <x:v>42</x:v>
      </x:c>
      <x:c r="O1487" s="53" t="str">
        <x:v>An engineer blamed for a bridge collapse enters the program after being targeted by angry family members of the victims who died in the tragedy.</x:v>
      </x:c>
      <x:c r="P1487" s="53" t="str">
        <x:v>SVU character crossover / shared Dick Wolf connection</x:v>
      </x:c>
      <x:c r="Q1487" s="17" t="str">
        <x:v>393581</x:v>
      </x:c>
      <x:c r="R1487" s="17" t="str">
        <x:v>tt1430230</x:v>
      </x:c>
      <x:c r="S1487" s="17" t="str">
        <x:v>1050</x:v>
      </x:c>
    </x:row>
    <x:row r="1488">
      <x:c r="A1488" s="43" t="n">
        <x:v>1484</x:v>
      </x:c>
      <x:c r="B1488" s="44" t="str">
        <x:v>Not Started</x:v>
      </x:c>
      <x:c r="C1488" s="45" t="n">
        <x:v>39971</x:v>
      </x:c>
      <x:c r="D1488" s="33" t="str">
        <x:v>Law &amp; Order: Criminal Intent</x:v>
      </x:c>
      <x:c r="E1488" s="33" t="str">
        <x:v>Law &amp; Order</x:v>
      </x:c>
      <x:c r="F1488" s="33" t="str">
        <x:v>core</x:v>
      </x:c>
      <x:c r="G1488" s="50" t="n">
        <x:v>8</x:v>
      </x:c>
      <x:c r="H1488" s="50" t="n">
        <x:v>7</x:v>
      </x:c>
      <x:c r="I1488" s="44" t="str">
        <x:v>08.07</x:v>
      </x:c>
      <x:c r="J1488" s="33" t="str">
        <x:v>Folie a Deux</x:v>
      </x:c>
      <x:c r="K1488" s="33" t="str"/>
      <x:c r="L1488" s="33" t="str"/>
      <x:c r="M1488" s="44" t="str"/>
      <x:c r="N1488" s="50" t="n">
        <x:v>42</x:v>
      </x:c>
      <x:c r="O1488" s="53" t="str">
        <x:v>Goren and Eames search for a young boy who vanished during a robbery at a hotel.</x:v>
      </x:c>
      <x:c r="P1488" s="53" t="str">
        <x:v>Core Law &amp; Order franchise</x:v>
      </x:c>
      <x:c r="Q1488" s="17" t="str">
        <x:v>341373</x:v>
      </x:c>
      <x:c r="R1488" s="17" t="str">
        <x:v>tt1241311</x:v>
      </x:c>
      <x:c r="S1488" s="17" t="str">
        <x:v>1049</x:v>
      </x:c>
    </x:row>
    <x:row r="1489">
      <x:c r="A1489" s="43" t="n">
        <x:v>1485</x:v>
      </x:c>
      <x:c r="B1489" s="44" t="str">
        <x:v>Not Started</x:v>
      </x:c>
      <x:c r="C1489" s="45" t="n">
        <x:v>39978</x:v>
      </x:c>
      <x:c r="D1489" s="33" t="str">
        <x:v>In Plain Sight</x:v>
      </x:c>
      <x:c r="E1489" s="33" t="str">
        <x:v>Crossover Adjacent</x:v>
      </x:c>
      <x:c r="F1489" s="33" t="str">
        <x:v>connected</x:v>
      </x:c>
      <x:c r="G1489" s="50" t="n">
        <x:v>2</x:v>
      </x:c>
      <x:c r="H1489" s="50" t="n">
        <x:v>8</x:v>
      </x:c>
      <x:c r="I1489" s="44" t="str">
        <x:v>02.08</x:v>
      </x:c>
      <x:c r="J1489" s="33" t="str">
        <x:v>A Frond in Need</x:v>
      </x:c>
      <x:c r="K1489" s="33" t="str"/>
      <x:c r="L1489" s="33" t="str"/>
      <x:c r="M1489" s="44" t="str"/>
      <x:c r="N1489" s="50" t="n">
        <x:v>43</x:v>
      </x:c>
      <x:c r="O1489" s="53" t="str">
        <x:v>When a series of murders seem to follow a new ex-con witness, including stabbing Mary's friend, she and Marshall have to figure out if he's the killer in time to save his next victim.</x:v>
      </x:c>
      <x:c r="P1489" s="53" t="str">
        <x:v>SVU character crossover / shared Dick Wolf connection</x:v>
      </x:c>
      <x:c r="Q1489" s="17" t="str">
        <x:v>393582</x:v>
      </x:c>
      <x:c r="R1489" s="17" t="str">
        <x:v>tt1434759</x:v>
      </x:c>
      <x:c r="S1489" s="17" t="str">
        <x:v>1052</x:v>
      </x:c>
    </x:row>
    <x:row r="1490">
      <x:c r="A1490" s="43" t="n">
        <x:v>1486</x:v>
      </x:c>
      <x:c r="B1490" s="44" t="str">
        <x:v>Not Started</x:v>
      </x:c>
      <x:c r="C1490" s="45" t="n">
        <x:v>39978</x:v>
      </x:c>
      <x:c r="D1490" s="33" t="str">
        <x:v>Law &amp; Order: Criminal Intent</x:v>
      </x:c>
      <x:c r="E1490" s="33" t="str">
        <x:v>Law &amp; Order</x:v>
      </x:c>
      <x:c r="F1490" s="33" t="str">
        <x:v>core</x:v>
      </x:c>
      <x:c r="G1490" s="50" t="n">
        <x:v>8</x:v>
      </x:c>
      <x:c r="H1490" s="50" t="n">
        <x:v>8</x:v>
      </x:c>
      <x:c r="I1490" s="44" t="str">
        <x:v>08.08</x:v>
      </x:c>
      <x:c r="J1490" s="33" t="str">
        <x:v>The Glory That Was...</x:v>
      </x:c>
      <x:c r="K1490" s="33" t="str"/>
      <x:c r="L1490" s="33" t="str"/>
      <x:c r="M1490" s="44" t="str"/>
      <x:c r="N1490" s="50" t="n">
        <x:v>45</x:v>
      </x:c>
      <x:c r="O1490" s="53" t="str">
        <x:v>A former Olympian now working in the Belgian consulate is killed. Her death is soon linked to an aspiring Olympian, a blackmail DVD, and the owner of a private security firm.</x:v>
      </x:c>
      <x:c r="P1490" s="53" t="str">
        <x:v>Core Law &amp; Order franchise</x:v>
      </x:c>
      <x:c r="Q1490" s="17" t="str">
        <x:v>341374</x:v>
      </x:c>
      <x:c r="R1490" s="17" t="str">
        <x:v>tt1241312</x:v>
      </x:c>
      <x:c r="S1490" s="17" t="str">
        <x:v>1051</x:v>
      </x:c>
    </x:row>
    <x:row r="1491">
      <x:c r="A1491" s="43" t="n">
        <x:v>1487</x:v>
      </x:c>
      <x:c r="B1491" s="44" t="str">
        <x:v>Not Started</x:v>
      </x:c>
      <x:c r="C1491" s="45" t="n">
        <x:v>39985</x:v>
      </x:c>
      <x:c r="D1491" s="33" t="str">
        <x:v>In Plain Sight</x:v>
      </x:c>
      <x:c r="E1491" s="33" t="str">
        <x:v>Crossover Adjacent</x:v>
      </x:c>
      <x:c r="F1491" s="33" t="str">
        <x:v>connected</x:v>
      </x:c>
      <x:c r="G1491" s="50" t="n">
        <x:v>2</x:v>
      </x:c>
      <x:c r="H1491" s="50" t="n">
        <x:v>9</x:v>
      </x:c>
      <x:c r="I1491" s="44" t="str">
        <x:v>02.09</x:v>
      </x:c>
      <x:c r="J1491" s="33" t="str">
        <x:v>Who's Bugging Mary?</x:v>
      </x:c>
      <x:c r="K1491" s="33" t="str"/>
      <x:c r="L1491" s="33" t="str"/>
      <x:c r="M1491" s="44" t="str"/>
      <x:c r="N1491" s="50" t="n">
        <x:v>42</x:v>
      </x:c>
      <x:c r="O1491" s="53" t="str">
        <x:v>FBI agent O'Connor arrests Brandi on charges of drug trafficking and murder. Insisting her sister is innocent, Mary works to help Brandi while ultimately trying to discover O'Connor's real motive for his actions.</x:v>
      </x:c>
      <x:c r="P1491" s="53" t="str">
        <x:v>SVU character crossover / shared Dick Wolf connection</x:v>
      </x:c>
      <x:c r="Q1491" s="17" t="str">
        <x:v>393583</x:v>
      </x:c>
      <x:c r="R1491" s="17" t="str">
        <x:v>tt1434760</x:v>
      </x:c>
      <x:c r="S1491" s="17" t="str">
        <x:v>1054</x:v>
      </x:c>
    </x:row>
    <x:row r="1492">
      <x:c r="A1492" s="43" t="n">
        <x:v>1488</x:v>
      </x:c>
      <x:c r="B1492" s="44" t="str">
        <x:v>Not Started</x:v>
      </x:c>
      <x:c r="C1492" s="45" t="n">
        <x:v>39985</x:v>
      </x:c>
      <x:c r="D1492" s="33" t="str">
        <x:v>Law &amp; Order: Criminal Intent</x:v>
      </x:c>
      <x:c r="E1492" s="33" t="str">
        <x:v>Law &amp; Order</x:v>
      </x:c>
      <x:c r="F1492" s="33" t="str">
        <x:v>core</x:v>
      </x:c>
      <x:c r="G1492" s="50" t="n">
        <x:v>8</x:v>
      </x:c>
      <x:c r="H1492" s="50" t="n">
        <x:v>9</x:v>
      </x:c>
      <x:c r="I1492" s="44" t="str">
        <x:v>08.09</x:v>
      </x:c>
      <x:c r="J1492" s="33" t="str">
        <x:v>Family Values</x:v>
      </x:c>
      <x:c r="K1492" s="33" t="str"/>
      <x:c r="L1492" s="33" t="str"/>
      <x:c r="M1492" s="44" t="str"/>
      <x:c r="N1492" s="50" t="n">
        <x:v>43</x:v>
      </x:c>
      <x:c r="O1492" s="53" t="str">
        <x:v>When a flyer from a local Catholic high school drama show connects three murders, Goren and Eames must understand the psychology of a religious fanatic before he claims another victim.</x:v>
      </x:c>
      <x:c r="P1492" s="53" t="str">
        <x:v>Core Law &amp; Order franchise</x:v>
      </x:c>
      <x:c r="Q1492" s="17" t="str">
        <x:v>341375</x:v>
      </x:c>
      <x:c r="R1492" s="17" t="str">
        <x:v>tt1241313</x:v>
      </x:c>
      <x:c r="S1492" s="17" t="str">
        <x:v>1053</x:v>
      </x:c>
    </x:row>
    <x:row r="1493">
      <x:c r="A1493" s="43" t="n">
        <x:v>1489</x:v>
      </x:c>
      <x:c r="B1493" s="44" t="str">
        <x:v>Not Started</x:v>
      </x:c>
      <x:c r="C1493" s="45" t="n">
        <x:v>39992</x:v>
      </x:c>
      <x:c r="D1493" s="33" t="str">
        <x:v>In Plain Sight</x:v>
      </x:c>
      <x:c r="E1493" s="33" t="str">
        <x:v>Crossover Adjacent</x:v>
      </x:c>
      <x:c r="F1493" s="33" t="str">
        <x:v>connected</x:v>
      </x:c>
      <x:c r="G1493" s="50" t="n">
        <x:v>2</x:v>
      </x:c>
      <x:c r="H1493" s="50" t="n">
        <x:v>10</x:v>
      </x:c>
      <x:c r="I1493" s="44" t="str">
        <x:v>02.10</x:v>
      </x:c>
      <x:c r="J1493" s="33" t="str">
        <x:v>Miles to Go</x:v>
      </x:c>
      <x:c r="K1493" s="33" t="str"/>
      <x:c r="L1493" s="33" t="str"/>
      <x:c r="M1493" s="44" t="str"/>
      <x:c r="N1493" s="50" t="n">
        <x:v>42</x:v>
      </x:c>
      <x:c r="O1493" s="53" t="str">
        <x:v>Mary briefs a new witness whose visitation rights with his son depend on the man's testimony. When Mary learns the boy is missing, she tries to find him.</x:v>
      </x:c>
      <x:c r="P1493" s="53" t="str">
        <x:v>SVU character crossover / shared Dick Wolf connection</x:v>
      </x:c>
      <x:c r="Q1493" s="17" t="str">
        <x:v>393584</x:v>
      </x:c>
      <x:c r="R1493" s="17" t="str">
        <x:v>tt1435093</x:v>
      </x:c>
      <x:c r="S1493" s="17" t="str">
        <x:v>1057</x:v>
      </x:c>
    </x:row>
    <x:row r="1494">
      <x:c r="A1494" s="43" t="n">
        <x:v>1490</x:v>
      </x:c>
      <x:c r="B1494" s="44" t="str">
        <x:v>Not Started</x:v>
      </x:c>
      <x:c r="C1494" s="45" t="n">
        <x:v>39992</x:v>
      </x:c>
      <x:c r="D1494" s="33" t="str">
        <x:v>Law &amp; Order: Criminal Intent</x:v>
      </x:c>
      <x:c r="E1494" s="33" t="str">
        <x:v>Law &amp; Order</x:v>
      </x:c>
      <x:c r="F1494" s="33" t="str">
        <x:v>core</x:v>
      </x:c>
      <x:c r="G1494" s="50" t="n">
        <x:v>8</x:v>
      </x:c>
      <x:c r="H1494" s="50" t="n">
        <x:v>10</x:v>
      </x:c>
      <x:c r="I1494" s="44" t="str">
        <x:v>08.10</x:v>
      </x:c>
      <x:c r="J1494" s="33" t="str">
        <x:v>Salome in Manhattan</x:v>
      </x:c>
      <x:c r="K1494" s="33" t="str"/>
      <x:c r="L1494" s="33" t="str"/>
      <x:c r="M1494" s="44" t="str"/>
      <x:c r="N1494" s="50" t="n">
        <x:v>41</x:v>
      </x:c>
      <x:c r="O1494" s="53" t="str">
        <x:v>A celebrity chef's star is on the rise as he plans the opening of a trendy restaurant with powerful partners. Yet his world is upended when his tabloid-friendly, gorgeous girlfriend and business partner is killed under mysterious circumstances. Detectives Nichols and Wheeler enter the seductive world of power and privilege and discover desperation and murder.</x:v>
      </x:c>
      <x:c r="P1494" s="53" t="str">
        <x:v>Core Law &amp; Order franchise</x:v>
      </x:c>
      <x:c r="Q1494" s="17" t="str">
        <x:v>341376</x:v>
      </x:c>
      <x:c r="R1494" s="17" t="str">
        <x:v>tt1241299</x:v>
      </x:c>
      <x:c r="S1494" s="17" t="str">
        <x:v>1055</x:v>
      </x:c>
    </x:row>
    <x:row r="1495">
      <x:c r="A1495" s="43" t="n">
        <x:v>1491</x:v>
      </x:c>
      <x:c r="B1495" s="44" t="str">
        <x:v>Not Started</x:v>
      </x:c>
      <x:c r="C1495" s="45" t="n">
        <x:v>39992</x:v>
      </x:c>
      <x:c r="D1495" s="33" t="str">
        <x:v>Law &amp; Order: Criminal Intent</x:v>
      </x:c>
      <x:c r="E1495" s="33" t="str">
        <x:v>Law &amp; Order</x:v>
      </x:c>
      <x:c r="F1495" s="33" t="str">
        <x:v>core</x:v>
      </x:c>
      <x:c r="G1495" s="50" t="n">
        <x:v>8</x:v>
      </x:c>
      <x:c r="H1495" s="50" t="n">
        <x:v>11</x:v>
      </x:c>
      <x:c r="I1495" s="44" t="str">
        <x:v>08.11</x:v>
      </x:c>
      <x:c r="J1495" s="33" t="str">
        <x:v>Lady's Man</x:v>
      </x:c>
      <x:c r="K1495" s="33" t="str"/>
      <x:c r="L1495" s="33" t="str"/>
      <x:c r="M1495" s="44" t="str"/>
      <x:c r="N1495" s="50" t="n">
        <x:v>43</x:v>
      </x:c>
      <x:c r="O1495" s="53" t="str">
        <x:v>Goren and Eames investigate the killing of a man who became famous for dodging a murder conviction because of a mishandled trial. The man spun his notoriety into a TV show but turned up dead on his birthday.</x:v>
      </x:c>
      <x:c r="P1495" s="53" t="str">
        <x:v>Core Law &amp; Order franchise</x:v>
      </x:c>
      <x:c r="Q1495" s="17" t="str">
        <x:v>341377</x:v>
      </x:c>
      <x:c r="R1495" s="17" t="str">
        <x:v>tt1241300</x:v>
      </x:c>
      <x:c r="S1495" s="17" t="str">
        <x:v>1056</x:v>
      </x:c>
    </x:row>
    <x:row r="1496">
      <x:c r="A1496" s="43" t="n">
        <x:v>1492</x:v>
      </x:c>
      <x:c r="B1496" s="44" t="str">
        <x:v>Not Started</x:v>
      </x:c>
      <x:c r="C1496" s="45" t="n">
        <x:v>40006</x:v>
      </x:c>
      <x:c r="D1496" s="33" t="str">
        <x:v>In Plain Sight</x:v>
      </x:c>
      <x:c r="E1496" s="33" t="str">
        <x:v>Crossover Adjacent</x:v>
      </x:c>
      <x:c r="F1496" s="33" t="str">
        <x:v>connected</x:v>
      </x:c>
      <x:c r="G1496" s="50" t="n">
        <x:v>2</x:v>
      </x:c>
      <x:c r="H1496" s="50" t="n">
        <x:v>11</x:v>
      </x:c>
      <x:c r="I1496" s="44" t="str">
        <x:v>02.11</x:v>
      </x:c>
      <x:c r="J1496" s="33" t="str">
        <x:v>Jailbait</x:v>
      </x:c>
      <x:c r="K1496" s="33" t="str"/>
      <x:c r="L1496" s="33" t="str"/>
      <x:c r="M1496" s="44" t="str"/>
      <x:c r="N1496" s="50" t="n">
        <x:v>42</x:v>
      </x:c>
      <x:c r="O1496" s="53" t="str">
        <x:v>The barely legal daughter of Mary's witness – a Miami racketeer – finds herself in a dangerous romance, just as Raph's mother visits to prepare an engagement feast for the surprised Mary.</x:v>
      </x:c>
      <x:c r="P1496" s="53" t="str">
        <x:v>SVU character crossover / shared Dick Wolf connection</x:v>
      </x:c>
      <x:c r="Q1496" s="17" t="str">
        <x:v>393585</x:v>
      </x:c>
      <x:c r="R1496" s="17" t="str">
        <x:v>tt1435094</x:v>
      </x:c>
      <x:c r="S1496" s="17" t="str">
        <x:v>1059</x:v>
      </x:c>
    </x:row>
    <x:row r="1497">
      <x:c r="A1497" s="43" t="n">
        <x:v>1493</x:v>
      </x:c>
      <x:c r="B1497" s="44" t="str">
        <x:v>Not Started</x:v>
      </x:c>
      <x:c r="C1497" s="45" t="n">
        <x:v>40006</x:v>
      </x:c>
      <x:c r="D1497" s="33" t="str">
        <x:v>Law &amp; Order: Criminal Intent</x:v>
      </x:c>
      <x:c r="E1497" s="33" t="str">
        <x:v>Law &amp; Order</x:v>
      </x:c>
      <x:c r="F1497" s="33" t="str">
        <x:v>core</x:v>
      </x:c>
      <x:c r="G1497" s="50" t="n">
        <x:v>8</x:v>
      </x:c>
      <x:c r="H1497" s="50" t="n">
        <x:v>12</x:v>
      </x:c>
      <x:c r="I1497" s="44" t="str">
        <x:v>08.12</x:v>
      </x:c>
      <x:c r="J1497" s="33" t="str">
        <x:v>Passion</x:v>
      </x:c>
      <x:c r="K1497" s="33" t="str"/>
      <x:c r="L1497" s="33" t="str"/>
      <x:c r="M1497" s="44" t="str"/>
      <x:c r="N1497" s="50" t="n">
        <x:v>41</x:v>
      </x:c>
      <x:c r="O1497" s="53" t="str">
        <x:v>Egocentric poet Jacob Garrety would do anything to keep his poetry journal, The Village Quarterly, afloat. When foundation president Don McCallum shows up and announces he is cutting funding to the journal, Jacob appeals to assistant and lover Lauren to use her sexuality to change Don's mind. Though reluctant, she agrees. While Jacob enjoys the advances of arts patron Sandra Dunbar at a poetry reading, Lauren carries out Jacob's wish, and winds up dead on the street. Detectives Nichols and Wheeler discover the deadly passion that exists behind the arts.</x:v>
      </x:c>
      <x:c r="P1497" s="53" t="str">
        <x:v>Core Law &amp; Order franchise</x:v>
      </x:c>
      <x:c r="Q1497" s="17" t="str">
        <x:v>341378</x:v>
      </x:c>
      <x:c r="R1497" s="17" t="str">
        <x:v>tt1241301</x:v>
      </x:c>
      <x:c r="S1497" s="17" t="str">
        <x:v>1058</x:v>
      </x:c>
    </x:row>
    <x:row r="1498">
      <x:c r="A1498" s="43" t="n">
        <x:v>1494</x:v>
      </x:c>
      <x:c r="B1498" s="44" t="str">
        <x:v>Not Started</x:v>
      </x:c>
      <x:c r="C1498" s="45" t="n">
        <x:v>40013</x:v>
      </x:c>
      <x:c r="D1498" s="33" t="str">
        <x:v>In Plain Sight</x:v>
      </x:c>
      <x:c r="E1498" s="33" t="str">
        <x:v>Crossover Adjacent</x:v>
      </x:c>
      <x:c r="F1498" s="33" t="str">
        <x:v>connected</x:v>
      </x:c>
      <x:c r="G1498" s="50" t="n">
        <x:v>2</x:v>
      </x:c>
      <x:c r="H1498" s="50" t="n">
        <x:v>12</x:v>
      </x:c>
      <x:c r="I1498" s="44" t="str">
        <x:v>02.12</x:v>
      </x:c>
      <x:c r="J1498" s="33" t="str">
        <x:v>Training Video</x:v>
      </x:c>
      <x:c r="K1498" s="33" t="str"/>
      <x:c r="L1498" s="33" t="str"/>
      <x:c r="M1498" s="44" t="str"/>
      <x:c r="N1498" s="50" t="n">
        <x:v>42</x:v>
      </x:c>
      <x:c r="O1498" s="53" t="str">
        <x:v>Mary lends her expertise for the U.S. Marshalls by making a training video with a film crew. Elsewhere, Marshall prepares the arrangements so that an elderly mobster in Witsec can go to his son's funeral.</x:v>
      </x:c>
      <x:c r="P1498" s="53" t="str">
        <x:v>SVU character crossover / shared Dick Wolf connection</x:v>
      </x:c>
      <x:c r="Q1498" s="17" t="str">
        <x:v>393586</x:v>
      </x:c>
      <x:c r="R1498" s="17" t="str">
        <x:v>tt1402298</x:v>
      </x:c>
      <x:c r="S1498" s="17" t="str">
        <x:v>1061</x:v>
      </x:c>
    </x:row>
    <x:row r="1499">
      <x:c r="A1499" s="43" t="n">
        <x:v>1495</x:v>
      </x:c>
      <x:c r="B1499" s="44" t="str">
        <x:v>Not Started</x:v>
      </x:c>
      <x:c r="C1499" s="45" t="n">
        <x:v>40013</x:v>
      </x:c>
      <x:c r="D1499" s="33" t="str">
        <x:v>Law &amp; Order: Criminal Intent</x:v>
      </x:c>
      <x:c r="E1499" s="33" t="str">
        <x:v>Law &amp; Order</x:v>
      </x:c>
      <x:c r="F1499" s="33" t="str">
        <x:v>core</x:v>
      </x:c>
      <x:c r="G1499" s="50" t="n">
        <x:v>8</x:v>
      </x:c>
      <x:c r="H1499" s="50" t="n">
        <x:v>13</x:v>
      </x:c>
      <x:c r="I1499" s="44" t="str">
        <x:v>08.13</x:v>
      </x:c>
      <x:c r="J1499" s="33" t="str">
        <x:v>All In</x:v>
      </x:c>
      <x:c r="K1499" s="33" t="str"/>
      <x:c r="L1499" s="33" t="str"/>
      <x:c r="M1499" s="44" t="str"/>
      <x:c r="N1499" s="50" t="n">
        <x:v>42</x:v>
      </x:c>
      <x:c r="O1499" s="53" t="str">
        <x:v>When poker genius Josh Snow loses $80,000 in a card game, backer and bookie Lou Cardinale forces him into collections to work off the losses. Lou gives him a .38 and a box of blanks to extract gambling debts, and sends along his mistress, Angela, to keep an eye on the money. Detectives Goren and Eames enter an elaborate game where they must join in the play, or be played.</x:v>
      </x:c>
      <x:c r="P1499" s="53" t="str">
        <x:v>Core Law &amp; Order franchise</x:v>
      </x:c>
      <x:c r="Q1499" s="17" t="str">
        <x:v>341379</x:v>
      </x:c>
      <x:c r="R1499" s="17" t="str">
        <x:v>tt1241302</x:v>
      </x:c>
      <x:c r="S1499" s="17" t="str">
        <x:v>1060</x:v>
      </x:c>
    </x:row>
    <x:row r="1500">
      <x:c r="A1500" s="43" t="n">
        <x:v>1496</x:v>
      </x:c>
      <x:c r="B1500" s="44" t="str">
        <x:v>Not Started</x:v>
      </x:c>
      <x:c r="C1500" s="45" t="n">
        <x:v>40020</x:v>
      </x:c>
      <x:c r="D1500" s="33" t="str">
        <x:v>In Plain Sight</x:v>
      </x:c>
      <x:c r="E1500" s="33" t="str">
        <x:v>Crossover Adjacent</x:v>
      </x:c>
      <x:c r="F1500" s="33" t="str">
        <x:v>connected</x:v>
      </x:c>
      <x:c r="G1500" s="50" t="n">
        <x:v>2</x:v>
      </x:c>
      <x:c r="H1500" s="50" t="n">
        <x:v>13</x:v>
      </x:c>
      <x:c r="I1500" s="44" t="str">
        <x:v>02.13</x:v>
      </x:c>
      <x:c r="J1500" s="33" t="str">
        <x:v>Let's Get It Ahn</x:v>
      </x:c>
      <x:c r="K1500" s="33" t="str"/>
      <x:c r="L1500" s="33" t="str"/>
      <x:c r="M1500" s="44" t="str"/>
      <x:c r="N1500" s="50" t="n">
        <x:v>42</x:v>
      </x:c>
      <x:c r="O1500" s="53" t="str">
        <x:v>A world-class counterfeiter witness is suspected in a murder; Mary and Marshall realize they may be hiding a witness from the government.</x:v>
      </x:c>
      <x:c r="P1500" s="53" t="str">
        <x:v>SVU character crossover / shared Dick Wolf connection</x:v>
      </x:c>
      <x:c r="Q1500" s="17" t="str">
        <x:v>393587</x:v>
      </x:c>
      <x:c r="R1500" s="17" t="str">
        <x:v>tt1421186</x:v>
      </x:c>
      <x:c r="S1500" s="17" t="str">
        <x:v>1063</x:v>
      </x:c>
    </x:row>
    <x:row r="1501">
      <x:c r="A1501" s="43" t="n">
        <x:v>1497</x:v>
      </x:c>
      <x:c r="B1501" s="44" t="str">
        <x:v>Not Started</x:v>
      </x:c>
      <x:c r="C1501" s="45" t="n">
        <x:v>40020</x:v>
      </x:c>
      <x:c r="D1501" s="33" t="str">
        <x:v>Law &amp; Order: Criminal Intent</x:v>
      </x:c>
      <x:c r="E1501" s="33" t="str">
        <x:v>Law &amp; Order</x:v>
      </x:c>
      <x:c r="F1501" s="33" t="str">
        <x:v>core</x:v>
      </x:c>
      <x:c r="G1501" s="50" t="n">
        <x:v>8</x:v>
      </x:c>
      <x:c r="H1501" s="50" t="n">
        <x:v>14</x:v>
      </x:c>
      <x:c r="I1501" s="44" t="str">
        <x:v>08.14</x:v>
      </x:c>
      <x:c r="J1501" s="33" t="str">
        <x:v>Major Case</x:v>
      </x:c>
      <x:c r="K1501" s="33" t="str"/>
      <x:c r="L1501" s="33" t="str"/>
      <x:c r="M1501" s="44" t="str"/>
      <x:c r="N1501" s="50" t="n">
        <x:v>43</x:v>
      </x:c>
      <x:c r="O1501" s="53" t="str">
        <x:v>Detective Eames assists with Nichols' case involving the death of an addict who was just days from going straight when Wheeler is otherwise engaged in the labor and delivery of her baby.</x:v>
      </x:c>
      <x:c r="P1501" s="53" t="str">
        <x:v>Core Law &amp; Order franchise</x:v>
      </x:c>
      <x:c r="Q1501" s="17" t="str">
        <x:v>341380</x:v>
      </x:c>
      <x:c r="R1501" s="17" t="str">
        <x:v>tt1241303</x:v>
      </x:c>
      <x:c r="S1501" s="17" t="str">
        <x:v>1062</x:v>
      </x:c>
    </x:row>
    <x:row r="1502">
      <x:c r="A1502" s="43" t="n">
        <x:v>1498</x:v>
      </x:c>
      <x:c r="B1502" s="44" t="str">
        <x:v>Not Started</x:v>
      </x:c>
      <x:c r="C1502" s="45" t="n">
        <x:v>40027</x:v>
      </x:c>
      <x:c r="D1502" s="33" t="str">
        <x:v>In Plain Sight</x:v>
      </x:c>
      <x:c r="E1502" s="33" t="str">
        <x:v>Crossover Adjacent</x:v>
      </x:c>
      <x:c r="F1502" s="33" t="str">
        <x:v>connected</x:v>
      </x:c>
      <x:c r="G1502" s="50" t="n">
        <x:v>2</x:v>
      </x:c>
      <x:c r="H1502" s="50" t="n">
        <x:v>14</x:v>
      </x:c>
      <x:c r="I1502" s="44" t="str">
        <x:v>02.14</x:v>
      </x:c>
      <x:c r="J1502" s="33" t="str">
        <x:v>Once a Ponzi Time</x:v>
      </x:c>
      <x:c r="K1502" s="33" t="str"/>
      <x:c r="L1502" s="33" t="str"/>
      <x:c r="M1502" s="44" t="str"/>
      <x:c r="N1502" s="50" t="n">
        <x:v>41</x:v>
      </x:c>
      <x:c r="O1502" s="53" t="str">
        <x:v>When a Wall Street blue blood rats on his boss' investment fraud and hides out in WITSEC, something from his past life comes calling.</x:v>
      </x:c>
      <x:c r="P1502" s="53" t="str">
        <x:v>SVU character crossover / shared Dick Wolf connection</x:v>
      </x:c>
      <x:c r="Q1502" s="17" t="str">
        <x:v>393588</x:v>
      </x:c>
      <x:c r="R1502" s="17" t="str">
        <x:v>tt1435095</x:v>
      </x:c>
      <x:c r="S1502" s="17" t="str">
        <x:v>1065</x:v>
      </x:c>
    </x:row>
    <x:row r="1503">
      <x:c r="A1503" s="43" t="n">
        <x:v>1499</x:v>
      </x:c>
      <x:c r="B1503" s="44" t="str">
        <x:v>Not Started</x:v>
      </x:c>
      <x:c r="C1503" s="45" t="n">
        <x:v>40027</x:v>
      </x:c>
      <x:c r="D1503" s="33" t="str">
        <x:v>Law &amp; Order: Criminal Intent</x:v>
      </x:c>
      <x:c r="E1503" s="33" t="str">
        <x:v>Law &amp; Order</x:v>
      </x:c>
      <x:c r="F1503" s="33" t="str">
        <x:v>core</x:v>
      </x:c>
      <x:c r="G1503" s="50" t="n">
        <x:v>8</x:v>
      </x:c>
      <x:c r="H1503" s="50" t="n">
        <x:v>15</x:v>
      </x:c>
      <x:c r="I1503" s="44" t="str">
        <x:v>08.15</x:v>
      </x:c>
      <x:c r="J1503" s="33" t="str">
        <x:v>Alpha Dog</x:v>
      </x:c>
      <x:c r="K1503" s="33" t="str"/>
      <x:c r="L1503" s="33" t="str"/>
      <x:c r="M1503" s="44" t="str"/>
      <x:c r="N1503" s="50" t="n">
        <x:v>43</x:v>
      </x:c>
      <x:c r="O1503" s="53" t="str">
        <x:v>A popular male model spends the night with a mysterious woman and after a night of love and drugs, is found dead. Goren and Eames uncover the sexual paranoia behind the murder.</x:v>
      </x:c>
      <x:c r="P1503" s="53" t="str">
        <x:v>Core Law &amp; Order franchise</x:v>
      </x:c>
      <x:c r="Q1503" s="17" t="str">
        <x:v>341381</x:v>
      </x:c>
      <x:c r="R1503" s="17" t="str">
        <x:v>tt1241304</x:v>
      </x:c>
      <x:c r="S1503" s="17" t="str">
        <x:v>1064</x:v>
      </x:c>
    </x:row>
    <x:row r="1504">
      <x:c r="A1504" s="43" t="n">
        <x:v>1500</x:v>
      </x:c>
      <x:c r="B1504" s="44" t="str">
        <x:v>Not Started</x:v>
      </x:c>
      <x:c r="C1504" s="45" t="n">
        <x:v>40034</x:v>
      </x:c>
      <x:c r="D1504" s="33" t="str">
        <x:v>In Plain Sight</x:v>
      </x:c>
      <x:c r="E1504" s="33" t="str">
        <x:v>Crossover Adjacent</x:v>
      </x:c>
      <x:c r="F1504" s="33" t="str">
        <x:v>connected</x:v>
      </x:c>
      <x:c r="G1504" s="50" t="n">
        <x:v>2</x:v>
      </x:c>
      <x:c r="H1504" s="50" t="n">
        <x:v>15</x:v>
      </x:c>
      <x:c r="I1504" s="44" t="str">
        <x:v>02.15</x:v>
      </x:c>
      <x:c r="J1504" s="33" t="str">
        <x:v>Don't Cry for Me, Albuquerque</x:v>
      </x:c>
      <x:c r="K1504" s="33" t="str"/>
      <x:c r="L1504" s="33" t="str"/>
      <x:c r="M1504" s="44" t="str"/>
      <x:c r="N1504" s="50" t="n">
        <x:v>41</x:v>
      </x:c>
      <x:c r="O1504" s="53" t="str">
        <x:v>The US government helps a Latina political activist hide in Witsec, but the arrangement sours after she moves into her new home.</x:v>
      </x:c>
      <x:c r="P1504" s="53" t="str">
        <x:v>SVU character crossover / shared Dick Wolf connection</x:v>
      </x:c>
      <x:c r="Q1504" s="17" t="str">
        <x:v>393589</x:v>
      </x:c>
      <x:c r="R1504" s="17" t="str">
        <x:v>tt1421185</x:v>
      </x:c>
      <x:c r="S1504" s="17" t="str">
        <x:v>1067</x:v>
      </x:c>
    </x:row>
    <x:row r="1505">
      <x:c r="A1505" s="43" t="n">
        <x:v>1501</x:v>
      </x:c>
      <x:c r="B1505" s="44" t="str">
        <x:v>Not Started</x:v>
      </x:c>
      <x:c r="C1505" s="45" t="n">
        <x:v>40034</x:v>
      </x:c>
      <x:c r="D1505" s="33" t="str">
        <x:v>Law &amp; Order: Criminal Intent</x:v>
      </x:c>
      <x:c r="E1505" s="33" t="str">
        <x:v>Law &amp; Order</x:v>
      </x:c>
      <x:c r="F1505" s="33" t="str">
        <x:v>core</x:v>
      </x:c>
      <x:c r="G1505" s="50" t="n">
        <x:v>8</x:v>
      </x:c>
      <x:c r="H1505" s="50" t="n">
        <x:v>16</x:v>
      </x:c>
      <x:c r="I1505" s="44" t="str">
        <x:v>08.16</x:v>
      </x:c>
      <x:c r="J1505" s="33" t="str">
        <x:v>Revolution</x:v>
      </x:c>
      <x:c r="K1505" s="33" t="str"/>
      <x:c r="L1505" s="33" t="str"/>
      <x:c r="M1505" s="44" t="str"/>
      <x:c r="N1505" s="50" t="n">
        <x:v>43</x:v>
      </x:c>
      <x:c r="O1505" s="53" t="str">
        <x:v>A heist goes tragically wrong when a revolutionary makes plans on kidnapping a powerful bank executive, and winds up dead. During Nichols and Eames probe of the murder, they must also prevent a terrorist campaign.</x:v>
      </x:c>
      <x:c r="P1505" s="53" t="str">
        <x:v>Core Law &amp; Order franchise</x:v>
      </x:c>
      <x:c r="Q1505" s="17" t="str">
        <x:v>341382</x:v>
      </x:c>
      <x:c r="R1505" s="17" t="str">
        <x:v>tt1241305</x:v>
      </x:c>
      <x:c r="S1505" s="17" t="str">
        <x:v>1066</x:v>
      </x:c>
    </x:row>
    <x:row r="1506">
      <x:c r="A1506" s="43" t="n">
        <x:v>1502</x:v>
      </x:c>
      <x:c r="B1506" s="44" t="str">
        <x:v>Not Started</x:v>
      </x:c>
      <x:c r="C1506" s="45" t="n">
        <x:v>40079</x:v>
      </x:c>
      <x:c r="D1506" s="33" t="str">
        <x:v>Law &amp; Order: Special Victims Unit</x:v>
      </x:c>
      <x:c r="E1506" s="33" t="str">
        <x:v>Law &amp; Order</x:v>
      </x:c>
      <x:c r="F1506" s="33" t="str">
        <x:v>core</x:v>
      </x:c>
      <x:c r="G1506" s="50" t="n">
        <x:v>11</x:v>
      </x:c>
      <x:c r="H1506" s="50" t="n">
        <x:v>1</x:v>
      </x:c>
      <x:c r="I1506" s="44" t="str">
        <x:v>11.01</x:v>
      </x:c>
      <x:c r="J1506" s="33" t="str">
        <x:v>Unstable</x:v>
      </x:c>
      <x:c r="K1506" s="33" t="str"/>
      <x:c r="L1506" s="33" t="str"/>
      <x:c r="M1506" s="44" t="str"/>
      <x:c r="N1506" s="50" t="n">
        <x:v>43</x:v>
      </x:c>
      <x:c r="O1506" s="53" t="str">
        <x:v>Officer Nate Kendall aids a woman in trouble and becomes roped into solving a rape case. While Detectives Elliot Stabler and Olivia Benson believe that Kendall is not right for the case due to his unstable personality, Executive ADA Sonya Paxton joins the team, bringing evidence of a common thread among three other rape cases. With Paxton's help, the team might expose a serial rapist.</x:v>
      </x:c>
      <x:c r="P1506" s="53" t="str">
        <x:v>Core Law &amp; Order franchise</x:v>
      </x:c>
      <x:c r="Q1506" s="17" t="str">
        <x:v>225165</x:v>
      </x:c>
      <x:c r="R1506" s="17" t="str">
        <x:v>tt1475914</x:v>
      </x:c>
      <x:c r="S1506" s="17" t="str">
        <x:v>1068</x:v>
      </x:c>
    </x:row>
    <x:row r="1507">
      <x:c r="A1507" s="43" t="n">
        <x:v>1503</x:v>
      </x:c>
      <x:c r="B1507" s="44" t="str">
        <x:v>Not Started</x:v>
      </x:c>
      <x:c r="C1507" s="45" t="n">
        <x:v>40081</x:v>
      </x:c>
      <x:c r="D1507" s="33" t="str">
        <x:v>Law &amp; Order</x:v>
      </x:c>
      <x:c r="E1507" s="33" t="str">
        <x:v>Law &amp; Order</x:v>
      </x:c>
      <x:c r="F1507" s="33" t="str">
        <x:v>core</x:v>
      </x:c>
      <x:c r="G1507" s="50" t="n">
        <x:v>20</x:v>
      </x:c>
      <x:c r="H1507" s="50" t="n">
        <x:v>1</x:v>
      </x:c>
      <x:c r="I1507" s="44" t="str">
        <x:v>20.01</x:v>
      </x:c>
      <x:c r="J1507" s="33" t="str">
        <x:v>Memo from the Dark Side</x:v>
      </x:c>
      <x:c r="K1507" s="33" t="str"/>
      <x:c r="L1507" s="33" t="str"/>
      <x:c r="M1507" s="44" t="str"/>
      <x:c r="N1507" s="50" t="n">
        <x:v>45</x:v>
      </x:c>
      <x:c r="O1507" s="53" t="str">
        <x:v>The body of a young war veteran is found in a parking garage and the murder is connected to a law professor who used to work for the Department of Justice.</x:v>
      </x:c>
      <x:c r="P1507" s="53" t="str">
        <x:v>Core Law &amp; Order franchise</x:v>
      </x:c>
      <x:c r="Q1507" s="17" t="str">
        <x:v>34488</x:v>
      </x:c>
      <x:c r="R1507" s="17" t="str">
        <x:v>tt1475913</x:v>
      </x:c>
      <x:c r="S1507" s="17" t="str">
        <x:v>1069</x:v>
      </x:c>
    </x:row>
    <x:row r="1508">
      <x:c r="A1508" s="43" t="n">
        <x:v>1504</x:v>
      </x:c>
      <x:c r="B1508" s="44" t="str">
        <x:v>Not Started</x:v>
      </x:c>
      <x:c r="C1508" s="45" t="n">
        <x:v>40086</x:v>
      </x:c>
      <x:c r="D1508" s="33" t="str">
        <x:v>Law &amp; Order: Special Victims Unit</x:v>
      </x:c>
      <x:c r="E1508" s="33" t="str">
        <x:v>Law &amp; Order</x:v>
      </x:c>
      <x:c r="F1508" s="33" t="str">
        <x:v>core</x:v>
      </x:c>
      <x:c r="G1508" s="50" t="n">
        <x:v>11</x:v>
      </x:c>
      <x:c r="H1508" s="50" t="n">
        <x:v>2</x:v>
      </x:c>
      <x:c r="I1508" s="44" t="str">
        <x:v>11.02</x:v>
      </x:c>
      <x:c r="J1508" s="33" t="str">
        <x:v>Sugar</x:v>
      </x:c>
      <x:c r="K1508" s="33" t="str"/>
      <x:c r="L1508" s="33" t="str"/>
      <x:c r="M1508" s="44" t="str"/>
      <x:c r="N1508" s="50" t="n">
        <x:v>42</x:v>
      </x:c>
      <x:c r="O1508" s="53" t="str">
        <x:v>A young woman's body is found stuffed inside a suitcase, and police believe that Mindy Keefe, the victim, was a train passenger on her way to Tampa when she was murdered. Detectives Benson and Stabler turn to Keefe's financier boyfriend, Owen Cassidy's yacht to investigate. However, Cassidy claims he was on his boat during the time of the murder. After further searching, the detectives discover Keefe belonged to an online dating website. But when the CEO of the dating website, Vance Shepard, refuses to comment on the case, the detectives turn to ADA Sonya Paxton for help.</x:v>
      </x:c>
      <x:c r="P1508" s="53" t="str">
        <x:v>Core Law &amp; Order franchise</x:v>
      </x:c>
      <x:c r="Q1508" s="17" t="str">
        <x:v>225166</x:v>
      </x:c>
      <x:c r="R1508" s="17" t="str">
        <x:v>tt1480092</x:v>
      </x:c>
      <x:c r="S1508" s="17" t="str">
        <x:v>1070</x:v>
      </x:c>
    </x:row>
    <x:row r="1509">
      <x:c r="A1509" s="43" t="n">
        <x:v>1505</x:v>
      </x:c>
      <x:c r="B1509" s="44" t="str">
        <x:v>Not Started</x:v>
      </x:c>
      <x:c r="C1509" s="45" t="n">
        <x:v>40088</x:v>
      </x:c>
      <x:c r="D1509" s="33" t="str">
        <x:v>Law &amp; Order</x:v>
      </x:c>
      <x:c r="E1509" s="33" t="str">
        <x:v>Law &amp; Order</x:v>
      </x:c>
      <x:c r="F1509" s="33" t="str">
        <x:v>core</x:v>
      </x:c>
      <x:c r="G1509" s="50" t="n">
        <x:v>20</x:v>
      </x:c>
      <x:c r="H1509" s="50" t="n">
        <x:v>2</x:v>
      </x:c>
      <x:c r="I1509" s="44" t="str">
        <x:v>20.02</x:v>
      </x:c>
      <x:c r="J1509" s="33" t="str">
        <x:v>Just a Girl in the World</x:v>
      </x:c>
      <x:c r="K1509" s="33" t="str"/>
      <x:c r="L1509" s="33" t="str"/>
      <x:c r="M1509" s="44" t="str"/>
      <x:c r="N1509" s="50" t="n">
        <x:v>45</x:v>
      </x:c>
      <x:c r="O1509" s="53" t="str">
        <x:v>A crime scene investigator is murdered in her apartment. Her fiance is suspected, but then a journalist is attacked and DNA is found at the scene that links this crime to the murder.</x:v>
      </x:c>
      <x:c r="P1509" s="53" t="str">
        <x:v>Core Law &amp; Order franchise</x:v>
      </x:c>
      <x:c r="Q1509" s="17" t="str">
        <x:v>34489</x:v>
      </x:c>
      <x:c r="R1509" s="17" t="str">
        <x:v>tt1497512</x:v>
      </x:c>
      <x:c r="S1509" s="17" t="str">
        <x:v>1071</x:v>
      </x:c>
    </x:row>
    <x:row r="1510">
      <x:c r="A1510" s="43" t="n">
        <x:v>1506</x:v>
      </x:c>
      <x:c r="B1510" s="44" t="str">
        <x:v>Not Started</x:v>
      </x:c>
      <x:c r="C1510" s="45" t="n">
        <x:v>40093</x:v>
      </x:c>
      <x:c r="D1510" s="33" t="str">
        <x:v>Law &amp; Order: Special Victims Unit</x:v>
      </x:c>
      <x:c r="E1510" s="33" t="str">
        <x:v>Law &amp; Order</x:v>
      </x:c>
      <x:c r="F1510" s="33" t="str">
        <x:v>core</x:v>
      </x:c>
      <x:c r="G1510" s="50" t="n">
        <x:v>11</x:v>
      </x:c>
      <x:c r="H1510" s="50" t="n">
        <x:v>3</x:v>
      </x:c>
      <x:c r="I1510" s="44" t="str">
        <x:v>11.03</x:v>
      </x:c>
      <x:c r="J1510" s="33" t="str">
        <x:v>Solitary</x:v>
      </x:c>
      <x:c r="K1510" s="33" t="str"/>
      <x:c r="L1510" s="33" t="str"/>
      <x:c r="M1510" s="44" t="str"/>
      <x:c r="N1510" s="50" t="n">
        <x:v>43</x:v>
      </x:c>
      <x:c r="O1510" s="53" t="str">
        <x:v>When Lily Milton is reported missing, her boyfriend, Parker Hubbard, points Detectives Benson and Stabler in the direction of Callum Donovan, Lily's downstairs neighbor and convicted bank robber who spent nineteen years in solitary confinement. During the investigation into Donovan's alibi, Lily is found alive, adding a surprising twist to the case and exposing more of Donovan's dark past.</x:v>
      </x:c>
      <x:c r="P1510" s="53" t="str">
        <x:v>Core Law &amp; Order franchise</x:v>
      </x:c>
      <x:c r="Q1510" s="17" t="str">
        <x:v>225167</x:v>
      </x:c>
      <x:c r="R1510" s="17" t="str">
        <x:v>tt1507723</x:v>
      </x:c>
      <x:c r="S1510" s="17" t="str">
        <x:v>1072</x:v>
      </x:c>
    </x:row>
    <x:row r="1511">
      <x:c r="A1511" s="43" t="n">
        <x:v>1507</x:v>
      </x:c>
      <x:c r="B1511" s="44" t="str">
        <x:v>Not Started</x:v>
      </x:c>
      <x:c r="C1511" s="45" t="n">
        <x:v>40095</x:v>
      </x:c>
      <x:c r="D1511" s="33" t="str">
        <x:v>Law &amp; Order</x:v>
      </x:c>
      <x:c r="E1511" s="33" t="str">
        <x:v>Law &amp; Order</x:v>
      </x:c>
      <x:c r="F1511" s="33" t="str">
        <x:v>core</x:v>
      </x:c>
      <x:c r="G1511" s="50" t="n">
        <x:v>20</x:v>
      </x:c>
      <x:c r="H1511" s="50" t="n">
        <x:v>3</x:v>
      </x:c>
      <x:c r="I1511" s="44" t="str">
        <x:v>20.03</x:v>
      </x:c>
      <x:c r="J1511" s="33" t="str">
        <x:v>Great Satan</x:v>
      </x:c>
      <x:c r="K1511" s="33" t="str"/>
      <x:c r="L1511" s="33" t="str"/>
      <x:c r="M1511" s="44" t="str"/>
      <x:c r="N1511" s="50" t="n">
        <x:v>45</x:v>
      </x:c>
      <x:c r="O1511" s="53" t="str">
        <x:v>Detectives Lupo and Bernard investigate when an aspiring musician is found dead. A bag of cash leads them to multiple suspects.</x:v>
      </x:c>
      <x:c r="P1511" s="53" t="str">
        <x:v>Core Law &amp; Order franchise</x:v>
      </x:c>
      <x:c r="Q1511" s="17" t="str">
        <x:v>34490</x:v>
      </x:c>
      <x:c r="R1511" s="17" t="str">
        <x:v>tt1511145</x:v>
      </x:c>
      <x:c r="S1511" s="17" t="str">
        <x:v>1073</x:v>
      </x:c>
    </x:row>
    <x:row r="1512">
      <x:c r="A1512" s="43" t="n">
        <x:v>1508</x:v>
      </x:c>
      <x:c r="B1512" s="44" t="str">
        <x:v>Not Started</x:v>
      </x:c>
      <x:c r="C1512" s="45" t="n">
        <x:v>40100</x:v>
      </x:c>
      <x:c r="D1512" s="33" t="str">
        <x:v>Law &amp; Order: Special Victims Unit</x:v>
      </x:c>
      <x:c r="E1512" s="33" t="str">
        <x:v>Law &amp; Order</x:v>
      </x:c>
      <x:c r="F1512" s="33" t="str">
        <x:v>core</x:v>
      </x:c>
      <x:c r="G1512" s="50" t="n">
        <x:v>11</x:v>
      </x:c>
      <x:c r="H1512" s="50" t="n">
        <x:v>4</x:v>
      </x:c>
      <x:c r="I1512" s="44" t="str">
        <x:v>11.04</x:v>
      </x:c>
      <x:c r="J1512" s="33" t="str">
        <x:v>Hammered</x:v>
      </x:c>
      <x:c r="K1512" s="33" t="str"/>
      <x:c r="L1512" s="33" t="str"/>
      <x:c r="M1512" s="44" t="str"/>
      <x:c r="N1512" s="50" t="n">
        <x:v>42</x:v>
      </x:c>
      <x:c r="O1512" s="53" t="str">
        <x:v>After a night of heavy drinking, Dalton Rindell wakes up to a bloody apartment, a terrible cut on his head and a dead woman in his bed. Unable to recall the night before, Rindell immediately calls the police. Detectives Benson and Stabler suspect the crime is the result of a deadly love triangle; however Rindell does not recognize the victim. After questioning Rindell and the victim's family and friends, Benson and Stabler are provided with leads in several different directions. Unsure which lead to follow, the two detectives decide to return to the bar where the night began in order to piece together the gruesome truth.</x:v>
      </x:c>
      <x:c r="P1512" s="53" t="str">
        <x:v>Core Law &amp; Order franchise</x:v>
      </x:c>
      <x:c r="Q1512" s="17" t="str">
        <x:v>225168</x:v>
      </x:c>
      <x:c r="R1512" s="17" t="str">
        <x:v>tt1508810</x:v>
      </x:c>
      <x:c r="S1512" s="17" t="str">
        <x:v>1074</x:v>
      </x:c>
    </x:row>
    <x:row r="1513">
      <x:c r="A1513" s="43" t="n">
        <x:v>1509</x:v>
      </x:c>
      <x:c r="B1513" s="44" t="str">
        <x:v>Not Started</x:v>
      </x:c>
      <x:c r="C1513" s="45" t="n">
        <x:v>40102</x:v>
      </x:c>
      <x:c r="D1513" s="33" t="str">
        <x:v>Law &amp; Order</x:v>
      </x:c>
      <x:c r="E1513" s="33" t="str">
        <x:v>Law &amp; Order</x:v>
      </x:c>
      <x:c r="F1513" s="33" t="str">
        <x:v>core</x:v>
      </x:c>
      <x:c r="G1513" s="50" t="n">
        <x:v>20</x:v>
      </x:c>
      <x:c r="H1513" s="50" t="n">
        <x:v>4</x:v>
      </x:c>
      <x:c r="I1513" s="44" t="str">
        <x:v>20.04</x:v>
      </x:c>
      <x:c r="J1513" s="33" t="str">
        <x:v>Reality Bites</x:v>
      </x:c>
      <x:c r="K1513" s="33" t="str"/>
      <x:c r="L1513" s="33" t="str"/>
      <x:c r="M1513" s="44" t="str"/>
      <x:c r="N1513" s="50" t="n">
        <x:v>45</x:v>
      </x:c>
      <x:c r="O1513" s="53" t="str">
        <x:v>A mother of ten adopted special needs children is murdered. The day after her murder, her husband appears on reality TV.</x:v>
      </x:c>
      <x:c r="P1513" s="53" t="str">
        <x:v>Core Law &amp; Order franchise</x:v>
      </x:c>
      <x:c r="Q1513" s="17" t="str">
        <x:v>34491</x:v>
      </x:c>
      <x:c r="R1513" s="17" t="str">
        <x:v>tt1510431</x:v>
      </x:c>
      <x:c r="S1513" s="17" t="str">
        <x:v>1075</x:v>
      </x:c>
    </x:row>
    <x:row r="1514">
      <x:c r="A1514" s="43" t="n">
        <x:v>1510</x:v>
      </x:c>
      <x:c r="B1514" s="44" t="str">
        <x:v>Not Started</x:v>
      </x:c>
      <x:c r="C1514" s="45" t="n">
        <x:v>40107</x:v>
      </x:c>
      <x:c r="D1514" s="33" t="str">
        <x:v>Law &amp; Order: Special Victims Unit</x:v>
      </x:c>
      <x:c r="E1514" s="33" t="str">
        <x:v>Law &amp; Order</x:v>
      </x:c>
      <x:c r="F1514" s="33" t="str">
        <x:v>core</x:v>
      </x:c>
      <x:c r="G1514" s="50" t="n">
        <x:v>11</x:v>
      </x:c>
      <x:c r="H1514" s="50" t="n">
        <x:v>5</x:v>
      </x:c>
      <x:c r="I1514" s="44" t="str">
        <x:v>11.05</x:v>
      </x:c>
      <x:c r="J1514" s="33" t="str">
        <x:v>Hardwired</x:v>
      </x:c>
      <x:c r="K1514" s="33" t="str"/>
      <x:c r="L1514" s="33" t="str"/>
      <x:c r="M1514" s="44" t="str"/>
      <x:c r="N1514" s="50" t="n">
        <x:v>43</x:v>
      </x:c>
      <x:c r="O1514" s="53" t="str">
        <x:v>After Eva Banks makes a shocking discovery about her son's behavior at school, she takes him to the doctor, only to find out that he has been the victim of sexual abuse. Detectives Benson and Stabler come onto the scene and question the victim and his family.</x:v>
      </x:c>
      <x:c r="P1514" s="53" t="str">
        <x:v>Core Law &amp; Order franchise</x:v>
      </x:c>
      <x:c r="Q1514" s="17" t="str">
        <x:v>225169</x:v>
      </x:c>
      <x:c r="R1514" s="17" t="str">
        <x:v>tt1497968</x:v>
      </x:c>
      <x:c r="S1514" s="17" t="str">
        <x:v>1076</x:v>
      </x:c>
    </x:row>
    <x:row r="1515">
      <x:c r="A1515" s="43" t="n">
        <x:v>1511</x:v>
      </x:c>
      <x:c r="B1515" s="44" t="str">
        <x:v>Not Started</x:v>
      </x:c>
      <x:c r="C1515" s="45" t="n">
        <x:v>40109</x:v>
      </x:c>
      <x:c r="D1515" s="33" t="str">
        <x:v>Law &amp; Order</x:v>
      </x:c>
      <x:c r="E1515" s="33" t="str">
        <x:v>Law &amp; Order</x:v>
      </x:c>
      <x:c r="F1515" s="33" t="str">
        <x:v>core</x:v>
      </x:c>
      <x:c r="G1515" s="50" t="n">
        <x:v>20</x:v>
      </x:c>
      <x:c r="H1515" s="50" t="n">
        <x:v>5</x:v>
      </x:c>
      <x:c r="I1515" s="44" t="str">
        <x:v>20.05</x:v>
      </x:c>
      <x:c r="J1515" s="33" t="str">
        <x:v>Dignity</x:v>
      </x:c>
      <x:c r="K1515" s="33" t="str"/>
      <x:c r="L1515" s="33" t="str"/>
      <x:c r="M1515" s="44" t="str"/>
      <x:c r="N1515" s="50" t="n">
        <x:v>45</x:v>
      </x:c>
      <x:c r="O1515" s="53" t="str">
        <x:v>A doctor who performs late-term abortions is murdered in church. The case falls apart for Cutter when Rubirosa is touched by an abortion nurse's testimony.</x:v>
      </x:c>
      <x:c r="P1515" s="53" t="str">
        <x:v>Core Law &amp; Order franchise</x:v>
      </x:c>
      <x:c r="Q1515" s="17" t="str">
        <x:v>34492</x:v>
      </x:c>
      <x:c r="R1515" s="17" t="str">
        <x:v>tt1526907</x:v>
      </x:c>
      <x:c r="S1515" s="17" t="str">
        <x:v>1077</x:v>
      </x:c>
    </x:row>
    <x:row r="1516">
      <x:c r="A1516" s="43" t="n">
        <x:v>1512</x:v>
      </x:c>
      <x:c r="B1516" s="44" t="str">
        <x:v>Not Started</x:v>
      </x:c>
      <x:c r="C1516" s="45" t="n">
        <x:v>40114</x:v>
      </x:c>
      <x:c r="D1516" s="33" t="str">
        <x:v>Law &amp; Order: Special Victims Unit</x:v>
      </x:c>
      <x:c r="E1516" s="33" t="str">
        <x:v>Law &amp; Order</x:v>
      </x:c>
      <x:c r="F1516" s="33" t="str">
        <x:v>core</x:v>
      </x:c>
      <x:c r="G1516" s="50" t="n">
        <x:v>11</x:v>
      </x:c>
      <x:c r="H1516" s="50" t="n">
        <x:v>6</x:v>
      </x:c>
      <x:c r="I1516" s="44" t="str">
        <x:v>11.06</x:v>
      </x:c>
      <x:c r="J1516" s="33" t="str">
        <x:v>Spooked</x:v>
      </x:c>
      <x:c r="K1516" s="33" t="str"/>
      <x:c r="L1516" s="33" t="str"/>
      <x:c r="M1516" s="44" t="str"/>
      <x:c r="N1516" s="50" t="n">
        <x:v>42</x:v>
      </x:c>
      <x:c r="O1516" s="53" t="str">
        <x:v>The FBI gets involved in a murder case when it becomes too dangerous for the SVU cops.</x:v>
      </x:c>
      <x:c r="P1516" s="53" t="str">
        <x:v>Core Law &amp; Order franchise</x:v>
      </x:c>
      <x:c r="Q1516" s="17" t="str">
        <x:v>225170</x:v>
      </x:c>
      <x:c r="R1516" s="17" t="str">
        <x:v>tt1513455</x:v>
      </x:c>
      <x:c r="S1516" s="17" t="str">
        <x:v>1078</x:v>
      </x:c>
    </x:row>
    <x:row r="1517">
      <x:c r="A1517" s="43" t="n">
        <x:v>1513</x:v>
      </x:c>
      <x:c r="B1517" s="44" t="str">
        <x:v>Not Started</x:v>
      </x:c>
      <x:c r="C1517" s="45" t="n">
        <x:v>40116</x:v>
      </x:c>
      <x:c r="D1517" s="33" t="str">
        <x:v>Law &amp; Order</x:v>
      </x:c>
      <x:c r="E1517" s="33" t="str">
        <x:v>Law &amp; Order</x:v>
      </x:c>
      <x:c r="F1517" s="33" t="str">
        <x:v>core</x:v>
      </x:c>
      <x:c r="G1517" s="50" t="n">
        <x:v>20</x:v>
      </x:c>
      <x:c r="H1517" s="50" t="n">
        <x:v>6</x:v>
      </x:c>
      <x:c r="I1517" s="44" t="str">
        <x:v>20.06</x:v>
      </x:c>
      <x:c r="J1517" s="33" t="str">
        <x:v>Human Flesh Search Engine</x:v>
      </x:c>
      <x:c r="K1517" s="33" t="str"/>
      <x:c r="L1517" s="33" t="str"/>
      <x:c r="M1517" s="44" t="str"/>
      <x:c r="N1517" s="50" t="n">
        <x:v>45</x:v>
      </x:c>
      <x:c r="O1517" s="53" t="str">
        <x:v>Bernard becomes the target of a dangerous website that is partly responsible for a homicide the detectives are investigating</x:v>
      </x:c>
      <x:c r="P1517" s="53" t="str">
        <x:v>Core Law &amp; Order franchise</x:v>
      </x:c>
      <x:c r="Q1517" s="17" t="str">
        <x:v>34493</x:v>
      </x:c>
      <x:c r="R1517" s="17" t="str">
        <x:v>tt1529049</x:v>
      </x:c>
      <x:c r="S1517" s="17" t="str">
        <x:v>1079</x:v>
      </x:c>
    </x:row>
    <x:row r="1518">
      <x:c r="A1518" s="43" t="n">
        <x:v>1514</x:v>
      </x:c>
      <x:c r="B1518" s="44" t="str">
        <x:v>Not Started</x:v>
      </x:c>
      <x:c r="C1518" s="45" t="n">
        <x:v>40121</x:v>
      </x:c>
      <x:c r="D1518" s="33" t="str">
        <x:v>Law &amp; Order: Special Victims Unit</x:v>
      </x:c>
      <x:c r="E1518" s="33" t="str">
        <x:v>Law &amp; Order</x:v>
      </x:c>
      <x:c r="F1518" s="33" t="str">
        <x:v>core</x:v>
      </x:c>
      <x:c r="G1518" s="50" t="n">
        <x:v>11</x:v>
      </x:c>
      <x:c r="H1518" s="50" t="n">
        <x:v>7</x:v>
      </x:c>
      <x:c r="I1518" s="44" t="str">
        <x:v>11.07</x:v>
      </x:c>
      <x:c r="J1518" s="33" t="str">
        <x:v>Users</x:v>
      </x:c>
      <x:c r="K1518" s="33" t="str"/>
      <x:c r="L1518" s="33" t="str"/>
      <x:c r="M1518" s="44" t="str"/>
      <x:c r="N1518" s="50" t="n">
        <x:v>42</x:v>
      </x:c>
      <x:c r="O1518" s="53" t="str">
        <x:v>The team investigates the father of a murdered teenager whose crime scene photo has gone viral on the web, but they believe they've found a more likely suspect when they speak with the girl's therapist. The case becomes more frustrating as alibis exclude suspects and a strange occurrence in the morgue sends them in a different direction.</x:v>
      </x:c>
      <x:c r="P1518" s="53" t="str">
        <x:v>Core Law &amp; Order franchise</x:v>
      </x:c>
      <x:c r="Q1518" s="17" t="str">
        <x:v>225171</x:v>
      </x:c>
      <x:c r="R1518" s="17" t="str">
        <x:v>tt1536228</x:v>
      </x:c>
      <x:c r="S1518" s="17" t="str">
        <x:v>1080</x:v>
      </x:c>
    </x:row>
    <x:row r="1519">
      <x:c r="A1519" s="43" t="n">
        <x:v>1515</x:v>
      </x:c>
      <x:c r="B1519" s="44" t="str">
        <x:v>Not Started</x:v>
      </x:c>
      <x:c r="C1519" s="45" t="n">
        <x:v>40123</x:v>
      </x:c>
      <x:c r="D1519" s="33" t="str">
        <x:v>Law &amp; Order</x:v>
      </x:c>
      <x:c r="E1519" s="33" t="str">
        <x:v>Law &amp; Order</x:v>
      </x:c>
      <x:c r="F1519" s="33" t="str">
        <x:v>core</x:v>
      </x:c>
      <x:c r="G1519" s="50" t="n">
        <x:v>20</x:v>
      </x:c>
      <x:c r="H1519" s="50" t="n">
        <x:v>7</x:v>
      </x:c>
      <x:c r="I1519" s="44" t="str">
        <x:v>20.07</x:v>
      </x:c>
      <x:c r="J1519" s="33" t="str">
        <x:v>Boy Gone Astray</x:v>
      </x:c>
      <x:c r="K1519" s="33" t="str"/>
      <x:c r="L1519" s="33" t="str"/>
      <x:c r="M1519" s="44" t="str"/>
      <x:c r="N1519" s="50" t="n">
        <x:v>45</x:v>
      </x:c>
      <x:c r="O1519" s="53" t="str">
        <x:v>When a young woman is found dead in her apartment, a few tell-tale signs quickly lead Detectives Cyrus Lupo and Kevin Bernard to believe that the killer was not after her wealth.</x:v>
      </x:c>
      <x:c r="P1519" s="53" t="str">
        <x:v>Core Law &amp; Order franchise</x:v>
      </x:c>
      <x:c r="Q1519" s="17" t="str">
        <x:v>34494</x:v>
      </x:c>
      <x:c r="R1519" s="17" t="str">
        <x:v>tt1539399</x:v>
      </x:c>
      <x:c r="S1519" s="17" t="str">
        <x:v>1081</x:v>
      </x:c>
    </x:row>
    <x:row r="1520">
      <x:c r="A1520" s="43" t="n">
        <x:v>1516</x:v>
      </x:c>
      <x:c r="B1520" s="44" t="str">
        <x:v>Not Started</x:v>
      </x:c>
      <x:c r="C1520" s="45" t="n">
        <x:v>40123</x:v>
      </x:c>
      <x:c r="D1520" s="33" t="str">
        <x:v>Law &amp; Order</x:v>
      </x:c>
      <x:c r="E1520" s="33" t="str">
        <x:v>Law &amp; Order</x:v>
      </x:c>
      <x:c r="F1520" s="33" t="str">
        <x:v>core</x:v>
      </x:c>
      <x:c r="G1520" s="50" t="n">
        <x:v>20</x:v>
      </x:c>
      <x:c r="H1520" s="50" t="n">
        <x:v>8</x:v>
      </x:c>
      <x:c r="I1520" s="44" t="str">
        <x:v>20.08</x:v>
      </x:c>
      <x:c r="J1520" s="33" t="str">
        <x:v>Doped</x:v>
      </x:c>
      <x:c r="K1520" s="33" t="str"/>
      <x:c r="L1520" s="33" t="str"/>
      <x:c r="M1520" s="44" t="str"/>
      <x:c r="N1520" s="50" t="n">
        <x:v>45</x:v>
      </x:c>
      <x:c r="O1520" s="53" t="str">
        <x:v>A deadly drunk-driving car accident brings Detectives Cyrus Lupo and Kevin Bernard to the scene when a suspicious nasal spray is found. After the medical examiner realizes the nasal spray is a powerful anesthetic that could easily disorient its user, the detectives become suspicious of the victim's boss, Zach Marshall</x:v>
      </x:c>
      <x:c r="P1520" s="53" t="str">
        <x:v>Core Law &amp; Order franchise</x:v>
      </x:c>
      <x:c r="Q1520" s="17" t="str">
        <x:v>34495</x:v>
      </x:c>
      <x:c r="R1520" s="17" t="str">
        <x:v>tt1539400</x:v>
      </x:c>
      <x:c r="S1520" s="17" t="str">
        <x:v>1082</x:v>
      </x:c>
    </x:row>
    <x:row r="1521">
      <x:c r="A1521" s="43" t="n">
        <x:v>1517</x:v>
      </x:c>
      <x:c r="B1521" s="44" t="str">
        <x:v>Not Started</x:v>
      </x:c>
      <x:c r="C1521" s="45" t="n">
        <x:v>40128</x:v>
      </x:c>
      <x:c r="D1521" s="33" t="str">
        <x:v>Law &amp; Order: Special Victims Unit</x:v>
      </x:c>
      <x:c r="E1521" s="33" t="str">
        <x:v>Law &amp; Order</x:v>
      </x:c>
      <x:c r="F1521" s="33" t="str">
        <x:v>core</x:v>
      </x:c>
      <x:c r="G1521" s="50" t="n">
        <x:v>11</x:v>
      </x:c>
      <x:c r="H1521" s="50" t="n">
        <x:v>8</x:v>
      </x:c>
      <x:c r="I1521" s="44" t="str">
        <x:v>11.08</x:v>
      </x:c>
      <x:c r="J1521" s="33" t="str">
        <x:v>Turmoil</x:v>
      </x:c>
      <x:c r="K1521" s="33" t="str"/>
      <x:c r="L1521" s="33" t="str"/>
      <x:c r="M1521" s="44" t="str"/>
      <x:c r="N1521" s="50" t="n">
        <x:v>44</x:v>
      </x:c>
      <x:c r="O1521" s="53" t="str">
        <x:v>Stabler is torn between a troubling rape case which victim has had pictures posted on the net and his son, whose friend's actions may endanger a life and both of their futures.</x:v>
      </x:c>
      <x:c r="P1521" s="53" t="str">
        <x:v>Core Law &amp; Order franchise</x:v>
      </x:c>
      <x:c r="Q1521" s="17" t="str">
        <x:v>225172</x:v>
      </x:c>
      <x:c r="R1521" s="17" t="str">
        <x:v>tt1536227</x:v>
      </x:c>
      <x:c r="S1521" s="17" t="str">
        <x:v>1083</x:v>
      </x:c>
    </x:row>
    <x:row r="1522">
      <x:c r="A1522" s="43" t="n">
        <x:v>1518</x:v>
      </x:c>
      <x:c r="B1522" s="44" t="str">
        <x:v>Not Started</x:v>
      </x:c>
      <x:c r="C1522" s="45" t="n">
        <x:v>40130</x:v>
      </x:c>
      <x:c r="D1522" s="33" t="str">
        <x:v>Law &amp; Order</x:v>
      </x:c>
      <x:c r="E1522" s="33" t="str">
        <x:v>Law &amp; Order</x:v>
      </x:c>
      <x:c r="F1522" s="33" t="str">
        <x:v>core</x:v>
      </x:c>
      <x:c r="G1522" s="50" t="n">
        <x:v>20</x:v>
      </x:c>
      <x:c r="H1522" s="50" t="n">
        <x:v>9</x:v>
      </x:c>
      <x:c r="I1522" s="44" t="str">
        <x:v>20.09</x:v>
      </x:c>
      <x:c r="J1522" s="33" t="str">
        <x:v>For the Defense</x:v>
      </x:c>
      <x:c r="K1522" s="33" t="str"/>
      <x:c r="L1522" s="33" t="str"/>
      <x:c r="M1522" s="44" t="str"/>
      <x:c r="N1522" s="50" t="n">
        <x:v>45</x:v>
      </x:c>
      <x:c r="O1522" s="53" t="str">
        <x:v>A case that begins as a search for a missing witness spirals into a murder conspiracy with ADA Connie Rubirosa caught in the middle.</x:v>
      </x:c>
      <x:c r="P1522" s="53" t="str">
        <x:v>Core Law &amp; Order franchise</x:v>
      </x:c>
      <x:c r="Q1522" s="17" t="str">
        <x:v>34496</x:v>
      </x:c>
      <x:c r="R1522" s="17" t="str">
        <x:v>tt1539401</x:v>
      </x:c>
      <x:c r="S1522" s="17" t="str">
        <x:v>1084</x:v>
      </x:c>
    </x:row>
    <x:row r="1523">
      <x:c r="A1523" s="43" t="n">
        <x:v>1519</x:v>
      </x:c>
      <x:c r="B1523" s="44" t="str">
        <x:v>Not Started</x:v>
      </x:c>
      <x:c r="C1523" s="45" t="n">
        <x:v>40135</x:v>
      </x:c>
      <x:c r="D1523" s="33" t="str">
        <x:v>Law &amp; Order: Special Victims Unit</x:v>
      </x:c>
      <x:c r="E1523" s="33" t="str">
        <x:v>Law &amp; Order</x:v>
      </x:c>
      <x:c r="F1523" s="33" t="str">
        <x:v>core</x:v>
      </x:c>
      <x:c r="G1523" s="50" t="n">
        <x:v>11</x:v>
      </x:c>
      <x:c r="H1523" s="50" t="n">
        <x:v>9</x:v>
      </x:c>
      <x:c r="I1523" s="44" t="str">
        <x:v>11.09</x:v>
      </x:c>
      <x:c r="J1523" s="33" t="str">
        <x:v>Perverted</x:v>
      </x:c>
      <x:c r="K1523" s="33" t="str"/>
      <x:c r="L1523" s="33" t="str"/>
      <x:c r="M1523" s="44" t="str"/>
      <x:c r="N1523" s="50" t="n">
        <x:v>42</x:v>
      </x:c>
      <x:c r="O1523" s="53" t="str">
        <x:v>DNA links Olivia to the murder of a biker in Central Park whose gang specialized in hits and prostitution. With Munch and Fin assigned to the investigation and evidence continuing to mount against Benson, Elliot begins his own inquiry – determined to prove her innocence and save her career.</x:v>
      </x:c>
      <x:c r="P1523" s="53" t="str">
        <x:v>Core Law &amp; Order franchise</x:v>
      </x:c>
      <x:c r="Q1523" s="17" t="str">
        <x:v>225173</x:v>
      </x:c>
      <x:c r="R1523" s="17" t="str">
        <x:v>tt1541330</x:v>
      </x:c>
      <x:c r="S1523" s="17" t="str">
        <x:v>1085</x:v>
      </x:c>
    </x:row>
    <x:row r="1524">
      <x:c r="A1524" s="43" t="n">
        <x:v>1520</x:v>
      </x:c>
      <x:c r="B1524" s="44" t="str">
        <x:v>Not Started</x:v>
      </x:c>
      <x:c r="C1524" s="45" t="n">
        <x:v>40137</x:v>
      </x:c>
      <x:c r="D1524" s="33" t="str">
        <x:v>Law &amp; Order</x:v>
      </x:c>
      <x:c r="E1524" s="33" t="str">
        <x:v>Law &amp; Order</x:v>
      </x:c>
      <x:c r="F1524" s="33" t="str">
        <x:v>core</x:v>
      </x:c>
      <x:c r="G1524" s="50" t="n">
        <x:v>20</x:v>
      </x:c>
      <x:c r="H1524" s="50" t="n">
        <x:v>10</x:v>
      </x:c>
      <x:c r="I1524" s="44" t="str">
        <x:v>20.10</x:v>
      </x:c>
      <x:c r="J1524" s="33" t="str">
        <x:v>Shotgun</x:v>
      </x:c>
      <x:c r="K1524" s="33" t="str"/>
      <x:c r="L1524" s="33" t="str"/>
      <x:c r="M1524" s="44" t="str"/>
      <x:c r="N1524" s="50" t="n">
        <x:v>45</x:v>
      </x:c>
      <x:c r="O1524" s="53" t="str">
        <x:v>When an elderly man defends his shop from an armed robbery, Detectives Kevin Bernard and Cyrus Lupo suspect that this incident could have been an inside job. After further investigation, the detectives discover that the mugging might have been a scare tactic for a shakedown.</x:v>
      </x:c>
      <x:c r="P1524" s="53" t="str">
        <x:v>Core Law &amp; Order franchise</x:v>
      </x:c>
      <x:c r="Q1524" s="17" t="str">
        <x:v>34497</x:v>
      </x:c>
      <x:c r="R1524" s="17" t="str">
        <x:v>tt1544307</x:v>
      </x:c>
      <x:c r="S1524" s="17" t="str">
        <x:v>1086</x:v>
      </x:c>
    </x:row>
    <x:row r="1525">
      <x:c r="A1525" s="43" t="n">
        <x:v>1521</x:v>
      </x:c>
      <x:c r="B1525" s="44" t="str">
        <x:v>Not Started</x:v>
      </x:c>
      <x:c r="C1525" s="45" t="n">
        <x:v>40156</x:v>
      </x:c>
      <x:c r="D1525" s="33" t="str">
        <x:v>Law &amp; Order: Special Victims Unit</x:v>
      </x:c>
      <x:c r="E1525" s="33" t="str">
        <x:v>Law &amp; Order</x:v>
      </x:c>
      <x:c r="F1525" s="33" t="str">
        <x:v>core</x:v>
      </x:c>
      <x:c r="G1525" s="50" t="n">
        <x:v>11</x:v>
      </x:c>
      <x:c r="H1525" s="50" t="n">
        <x:v>10</x:v>
      </x:c>
      <x:c r="I1525" s="44" t="str">
        <x:v>11.10</x:v>
      </x:c>
      <x:c r="J1525" s="33" t="str">
        <x:v>Anchor</x:v>
      </x:c>
      <x:c r="K1525" s="33" t="str"/>
      <x:c r="L1525" s="33" t="str"/>
      <x:c r="M1525" s="44" t="str"/>
      <x:c r="N1525" s="50" t="n">
        <x:v>42</x:v>
      </x:c>
      <x:c r="O1525" s="53" t="str">
        <x:v>Fin's investigation into three little girl's deaths takes him into the world of immigration, anchor babies, a grassroots opposition movement, a radio talk show host who fans the hatred, and an immigration rights attorney who is somehow tied up in everything.</x:v>
      </x:c>
      <x:c r="P1525" s="53" t="str">
        <x:v>Core Law &amp; Order franchise</x:v>
      </x:c>
      <x:c r="Q1525" s="17" t="str">
        <x:v>225174</x:v>
      </x:c>
      <x:c r="R1525" s="17" t="str">
        <x:v>tt1532110</x:v>
      </x:c>
      <x:c r="S1525" s="17" t="str">
        <x:v>1087</x:v>
      </x:c>
    </x:row>
    <x:row r="1526">
      <x:c r="A1526" s="43" t="n">
        <x:v>1522</x:v>
      </x:c>
      <x:c r="B1526" s="44" t="str">
        <x:v>Not Started</x:v>
      </x:c>
      <x:c r="C1526" s="45" t="n">
        <x:v>40158</x:v>
      </x:c>
      <x:c r="D1526" s="33" t="str">
        <x:v>Law &amp; Order</x:v>
      </x:c>
      <x:c r="E1526" s="33" t="str">
        <x:v>Law &amp; Order</x:v>
      </x:c>
      <x:c r="F1526" s="33" t="str">
        <x:v>core</x:v>
      </x:c>
      <x:c r="G1526" s="50" t="n">
        <x:v>20</x:v>
      </x:c>
      <x:c r="H1526" s="50" t="n">
        <x:v>11</x:v>
      </x:c>
      <x:c r="I1526" s="44" t="str">
        <x:v>20.11</x:v>
      </x:c>
      <x:c r="J1526" s="33" t="str">
        <x:v>Fed</x:v>
      </x:c>
      <x:c r="K1526" s="33" t="str"/>
      <x:c r="L1526" s="33" t="str"/>
      <x:c r="M1526" s="44" t="str"/>
      <x:c r="N1526" s="50" t="n">
        <x:v>45</x:v>
      </x:c>
      <x:c r="O1526" s="53" t="str">
        <x:v>After a community activist is murdered and labeled "FED", Detectives Bernard and Lupo find it difficult to eliminate multiple suspects. Also, Lieutenant Van Buren hears from Detective Rey Curtis.</x:v>
      </x:c>
      <x:c r="P1526" s="53" t="str">
        <x:v>Core Law &amp; Order franchise</x:v>
      </x:c>
      <x:c r="Q1526" s="17" t="str">
        <x:v>34498</x:v>
      </x:c>
      <x:c r="R1526" s="17" t="str">
        <x:v>tt1549656</x:v>
      </x:c>
      <x:c r="S1526" s="17" t="str">
        <x:v>1088</x:v>
      </x:c>
    </x:row>
    <x:row r="1527">
      <x:c r="A1527" s="43" t="n">
        <x:v>1523</x:v>
      </x:c>
      <x:c r="B1527" s="44" t="str">
        <x:v>Not Started</x:v>
      </x:c>
      <x:c r="C1527" s="45" t="n">
        <x:v>40184</x:v>
      </x:c>
      <x:c r="D1527" s="33" t="str">
        <x:v>Law &amp; Order: Special Victims Unit</x:v>
      </x:c>
      <x:c r="E1527" s="33" t="str">
        <x:v>Law &amp; Order</x:v>
      </x:c>
      <x:c r="F1527" s="33" t="str">
        <x:v>core</x:v>
      </x:c>
      <x:c r="G1527" s="50" t="n">
        <x:v>11</x:v>
      </x:c>
      <x:c r="H1527" s="50" t="n">
        <x:v>11</x:v>
      </x:c>
      <x:c r="I1527" s="44" t="str">
        <x:v>11.11</x:v>
      </x:c>
      <x:c r="J1527" s="33" t="str">
        <x:v>Quickie</x:v>
      </x:c>
      <x:c r="K1527" s="33" t="str"/>
      <x:c r="L1527" s="33" t="str"/>
      <x:c r="M1527" s="44" t="str"/>
      <x:c r="N1527" s="50" t="n">
        <x:v>42</x:v>
      </x:c>
      <x:c r="O1527" s="53" t="str">
        <x:v>One case becomes two as a murder leads to a serial rapist who is busy spreading disease along with his assaults, and the detectives' only clue is a website set up for casual and anonymous encounters.</x:v>
      </x:c>
      <x:c r="P1527" s="53" t="str">
        <x:v>Core Law &amp; Order franchise</x:v>
      </x:c>
      <x:c r="Q1527" s="17" t="str">
        <x:v>225175</x:v>
      </x:c>
      <x:c r="R1527" s="17" t="str">
        <x:v>tt1569094</x:v>
      </x:c>
      <x:c r="S1527" s="17" t="str">
        <x:v>1089</x:v>
      </x:c>
    </x:row>
    <x:row r="1528">
      <x:c r="A1528" s="43" t="n">
        <x:v>1524</x:v>
      </x:c>
      <x:c r="B1528" s="44" t="str">
        <x:v>Not Started</x:v>
      </x:c>
      <x:c r="C1528" s="45" t="n">
        <x:v>40189</x:v>
      </x:c>
      <x:c r="D1528" s="33" t="str">
        <x:v>Law &amp; Order: UK</x:v>
      </x:c>
      <x:c r="E1528" s="33" t="str">
        <x:v>Law &amp; Order</x:v>
      </x:c>
      <x:c r="F1528" s="33" t="str">
        <x:v>core</x:v>
      </x:c>
      <x:c r="G1528" s="50" t="n">
        <x:v>2</x:v>
      </x:c>
      <x:c r="H1528" s="50" t="n">
        <x:v>1</x:v>
      </x:c>
      <x:c r="I1528" s="44" t="str">
        <x:v>02.01</x:v>
      </x:c>
      <x:c r="J1528" s="33" t="str">
        <x:v>Samaritan</x:v>
      </x:c>
      <x:c r="K1528" s="33" t="str"/>
      <x:c r="L1528" s="33" t="str"/>
      <x:c r="M1528" s="44" t="str"/>
      <x:c r="N1528" s="50" t="n">
        <x:v>48</x:v>
      </x:c>
      <x:c r="O1528" s="53" t="str">
        <x:v>A police officer is killed in a shoot out with a drug dealer. Based on the testimony of another dealer, Brooks and Devlin must determine whether back up was slow to arrive and left the officer to die because he was gay.</x:v>
      </x:c>
      <x:c r="P1528" s="53" t="str">
        <x:v>Law &amp; Order format/franchise</x:v>
      </x:c>
      <x:c r="Q1528" s="17" t="str">
        <x:v>392394</x:v>
      </x:c>
      <x:c r="R1528" s="17" t="str">
        <x:v>tt1377084</x:v>
      </x:c>
      <x:c r="S1528" s="17" t="str">
        <x:v>1090</x:v>
      </x:c>
    </x:row>
    <x:row r="1529">
      <x:c r="A1529" s="43" t="n">
        <x:v>1525</x:v>
      </x:c>
      <x:c r="B1529" s="44" t="str">
        <x:v>Not Started</x:v>
      </x:c>
      <x:c r="C1529" s="45" t="n">
        <x:v>40191</x:v>
      </x:c>
      <x:c r="D1529" s="33" t="str">
        <x:v>Law &amp; Order: Special Victims Unit</x:v>
      </x:c>
      <x:c r="E1529" s="33" t="str">
        <x:v>Law &amp; Order</x:v>
      </x:c>
      <x:c r="F1529" s="33" t="str">
        <x:v>core</x:v>
      </x:c>
      <x:c r="G1529" s="50" t="n">
        <x:v>11</x:v>
      </x:c>
      <x:c r="H1529" s="50" t="n">
        <x:v>12</x:v>
      </x:c>
      <x:c r="I1529" s="44" t="str">
        <x:v>11.12</x:v>
      </x:c>
      <x:c r="J1529" s="33" t="str">
        <x:v>Shadow</x:v>
      </x:c>
      <x:c r="K1529" s="33" t="str"/>
      <x:c r="L1529" s="33" t="str"/>
      <x:c r="M1529" s="44" t="str"/>
      <x:c r="N1529" s="50" t="n">
        <x:v>42</x:v>
      </x:c>
      <x:c r="O1529" s="53" t="str">
        <x:v>When a rich and powerful couple with political connections is found murdered in their bedroom, Detectives Olivia Benson and Elliot Stabler decide to speak to the deceased couple's daughter, Anne, for more information. After hearing Anne's account of a nefarious man who has been following her, the detectives soon discover that Anne's supposed stalker is none other than Detective Ash Ramsey of the Special Frauds division. Convinced that Anne killed her parents for their money, Ramsey becomes suspicious of Anne's business manager and is led to believe that he helped her steal money from the foundation she runs. When blackmail and embezzlement come into play, the detectives find that their lives may be at risk over a girl with some serious parent issues.</x:v>
      </x:c>
      <x:c r="P1529" s="53" t="str">
        <x:v>Core Law &amp; Order franchise</x:v>
      </x:c>
      <x:c r="Q1529" s="17" t="str">
        <x:v>225176</x:v>
      </x:c>
      <x:c r="R1529" s="17" t="str">
        <x:v>tt1569095</x:v>
      </x:c>
      <x:c r="S1529" s="17" t="str">
        <x:v>1091</x:v>
      </x:c>
    </x:row>
    <x:row r="1530">
      <x:c r="A1530" s="43" t="n">
        <x:v>1526</x:v>
      </x:c>
      <x:c r="B1530" s="44" t="str">
        <x:v>Not Started</x:v>
      </x:c>
      <x:c r="C1530" s="45" t="n">
        <x:v>40193</x:v>
      </x:c>
      <x:c r="D1530" s="33" t="str">
        <x:v>Law &amp; Order</x:v>
      </x:c>
      <x:c r="E1530" s="33" t="str">
        <x:v>Law &amp; Order</x:v>
      </x:c>
      <x:c r="F1530" s="33" t="str">
        <x:v>core</x:v>
      </x:c>
      <x:c r="G1530" s="50" t="n">
        <x:v>20</x:v>
      </x:c>
      <x:c r="H1530" s="50" t="n">
        <x:v>12</x:v>
      </x:c>
      <x:c r="I1530" s="44" t="str">
        <x:v>20.12</x:v>
      </x:c>
      <x:c r="J1530" s="33" t="str">
        <x:v>Blackmail</x:v>
      </x:c>
      <x:c r="K1530" s="33" t="str"/>
      <x:c r="L1530" s="33" t="str"/>
      <x:c r="M1530" s="44" t="str"/>
      <x:c r="N1530" s="50" t="n">
        <x:v>45</x:v>
      </x:c>
      <x:c r="O1530" s="53" t="str">
        <x:v>Blackmail is the twelfth episode of the twentieth season of the television series Law &amp; Order. It aired on NBC January 15, 2010.</x:v>
      </x:c>
      <x:c r="P1530" s="53" t="str">
        <x:v>Core Law &amp; Order franchise</x:v>
      </x:c>
      <x:c r="Q1530" s="17" t="str">
        <x:v>34499</x:v>
      </x:c>
      <x:c r="R1530" s="17" t="str">
        <x:v>tt1556824</x:v>
      </x:c>
      <x:c r="S1530" s="17" t="str">
        <x:v>1092</x:v>
      </x:c>
    </x:row>
    <x:row r="1531">
      <x:c r="A1531" s="43" t="n">
        <x:v>1527</x:v>
      </x:c>
      <x:c r="B1531" s="44" t="str">
        <x:v>Not Started</x:v>
      </x:c>
      <x:c r="C1531" s="45" t="n">
        <x:v>40196</x:v>
      </x:c>
      <x:c r="D1531" s="33" t="str">
        <x:v>Law &amp; Order: UK</x:v>
      </x:c>
      <x:c r="E1531" s="33" t="str">
        <x:v>Law &amp; Order</x:v>
      </x:c>
      <x:c r="F1531" s="33" t="str">
        <x:v>core</x:v>
      </x:c>
      <x:c r="G1531" s="50" t="n">
        <x:v>2</x:v>
      </x:c>
      <x:c r="H1531" s="50" t="n">
        <x:v>2</x:v>
      </x:c>
      <x:c r="I1531" s="44" t="str">
        <x:v>02.02</x:v>
      </x:c>
      <x:c r="J1531" s="33" t="str">
        <x:v>Hidden</x:v>
      </x:c>
      <x:c r="K1531" s="33" t="str"/>
      <x:c r="L1531" s="33" t="str"/>
      <x:c r="M1531" s="44" t="str"/>
      <x:c r="N1531" s="50" t="n">
        <x:v>48</x:v>
      </x:c>
      <x:c r="O1531" s="53" t="str">
        <x:v>Devlin and Brooks investigate the case of a 10 year-old girl, Jodie Gaines, who was kidnapped, and then found two weeks later dead, in a rubbish bin. A suspect is found but all is not as it seems.</x:v>
      </x:c>
      <x:c r="P1531" s="53" t="str">
        <x:v>Law &amp; Order format/franchise</x:v>
      </x:c>
      <x:c r="Q1531" s="17" t="str">
        <x:v>392395</x:v>
      </x:c>
      <x:c r="R1531" s="17" t="str">
        <x:v>tt1377079</x:v>
      </x:c>
      <x:c r="S1531" s="17" t="str">
        <x:v>1093</x:v>
      </x:c>
    </x:row>
    <x:row r="1532">
      <x:c r="A1532" s="43" t="n">
        <x:v>1528</x:v>
      </x:c>
      <x:c r="B1532" s="44" t="str">
        <x:v>Not Started</x:v>
      </x:c>
      <x:c r="C1532" s="45" t="n">
        <x:v>40203</x:v>
      </x:c>
      <x:c r="D1532" s="33" t="str">
        <x:v>Law &amp; Order: UK</x:v>
      </x:c>
      <x:c r="E1532" s="33" t="str">
        <x:v>Law &amp; Order</x:v>
      </x:c>
      <x:c r="F1532" s="33" t="str">
        <x:v>core</x:v>
      </x:c>
      <x:c r="G1532" s="50" t="n">
        <x:v>2</x:v>
      </x:c>
      <x:c r="H1532" s="50" t="n">
        <x:v>3</x:v>
      </x:c>
      <x:c r="I1532" s="44" t="str">
        <x:v>02.03</x:v>
      </x:c>
      <x:c r="J1532" s="33" t="str">
        <x:v>Community Service</x:v>
      </x:c>
      <x:c r="K1532" s="33" t="str"/>
      <x:c r="L1532" s="33" t="str"/>
      <x:c r="M1532" s="44" t="str"/>
      <x:c r="N1532" s="50" t="n">
        <x:v>48</x:v>
      </x:c>
      <x:c r="O1532" s="53" t="str">
        <x:v>A homeless man is found beaten and unconscious in a park. Because he is bipolar his testimony is disjointed and make him unable to identify his attacked. A neighbourhood resident is charged with the premeditated attack.</x:v>
      </x:c>
      <x:c r="P1532" s="53" t="str">
        <x:v>Law &amp; Order format/franchise</x:v>
      </x:c>
      <x:c r="Q1532" s="17" t="str">
        <x:v>392396</x:v>
      </x:c>
      <x:c r="R1532" s="17" t="str">
        <x:v>tt1377085</x:v>
      </x:c>
      <x:c r="S1532" s="17" t="str">
        <x:v>1094</x:v>
      </x:c>
    </x:row>
    <x:row r="1533">
      <x:c r="A1533" s="43" t="n">
        <x:v>1529</x:v>
      </x:c>
      <x:c r="B1533" s="44" t="str">
        <x:v>Not Started</x:v>
      </x:c>
      <x:c r="C1533" s="45" t="n">
        <x:v>40210</x:v>
      </x:c>
      <x:c r="D1533" s="33" t="str">
        <x:v>Law &amp; Order: UK</x:v>
      </x:c>
      <x:c r="E1533" s="33" t="str">
        <x:v>Law &amp; Order</x:v>
      </x:c>
      <x:c r="F1533" s="33" t="str">
        <x:v>core</x:v>
      </x:c>
      <x:c r="G1533" s="50" t="n">
        <x:v>2</x:v>
      </x:c>
      <x:c r="H1533" s="50" t="n">
        <x:v>4</x:v>
      </x:c>
      <x:c r="I1533" s="44" t="str">
        <x:v>02.04</x:v>
      </x:c>
      <x:c r="J1533" s="33" t="str">
        <x:v>Sacrifice</x:v>
      </x:c>
      <x:c r="K1533" s="33" t="str"/>
      <x:c r="L1533" s="33" t="str"/>
      <x:c r="M1533" s="44" t="str"/>
      <x:c r="N1533" s="50" t="n">
        <x:v>48</x:v>
      </x:c>
      <x:c r="O1533" s="53" t="str">
        <x:v>A man found in a park, with his kidney stolen. It seems a respected doctor is involved. George Castle defends a friend in the case.</x:v>
      </x:c>
      <x:c r="P1533" s="53" t="str">
        <x:v>Law &amp; Order format/franchise</x:v>
      </x:c>
      <x:c r="Q1533" s="17" t="str">
        <x:v>392397</x:v>
      </x:c>
      <x:c r="R1533" s="17" t="str">
        <x:v>tt1377627</x:v>
      </x:c>
      <x:c r="S1533" s="17" t="str">
        <x:v>1095</x:v>
      </x:c>
    </x:row>
    <x:row r="1534">
      <x:c r="A1534" s="43" t="n">
        <x:v>1530</x:v>
      </x:c>
      <x:c r="B1534" s="44" t="str">
        <x:v>Not Started</x:v>
      </x:c>
      <x:c r="C1534" s="45" t="n">
        <x:v>40217</x:v>
      </x:c>
      <x:c r="D1534" s="33" t="str">
        <x:v>Law &amp; Order: UK</x:v>
      </x:c>
      <x:c r="E1534" s="33" t="str">
        <x:v>Law &amp; Order</x:v>
      </x:c>
      <x:c r="F1534" s="33" t="str">
        <x:v>core</x:v>
      </x:c>
      <x:c r="G1534" s="50" t="n">
        <x:v>2</x:v>
      </x:c>
      <x:c r="H1534" s="50" t="n">
        <x:v>5</x:v>
      </x:c>
      <x:c r="I1534" s="44" t="str">
        <x:v>02.05</x:v>
      </x:c>
      <x:c r="J1534" s="33" t="str">
        <x:v>Love And Loss</x:v>
      </x:c>
      <x:c r="K1534" s="33" t="str"/>
      <x:c r="L1534" s="33" t="str"/>
      <x:c r="M1534" s="44" t="str"/>
      <x:c r="N1534" s="50" t="n">
        <x:v>48</x:v>
      </x:c>
      <x:c r="O1534" s="53" t="str">
        <x:v>When a teenage girl dies of a heroin overdose. Devlin and Brooks must find out how and why she came to be a drug mule.</x:v>
      </x:c>
      <x:c r="P1534" s="53" t="str">
        <x:v>Law &amp; Order format/franchise</x:v>
      </x:c>
      <x:c r="Q1534" s="17" t="str">
        <x:v>392398</x:v>
      </x:c>
      <x:c r="R1534" s="17" t="str">
        <x:v>tt1377078</x:v>
      </x:c>
      <x:c r="S1534" s="17" t="str">
        <x:v>1096</x:v>
      </x:c>
    </x:row>
    <x:row r="1535">
      <x:c r="A1535" s="43" t="n">
        <x:v>1531</x:v>
      </x:c>
      <x:c r="B1535" s="44" t="str">
        <x:v>Not Started</x:v>
      </x:c>
      <x:c r="C1535" s="45" t="n">
        <x:v>40224</x:v>
      </x:c>
      <x:c r="D1535" s="33" t="str">
        <x:v>Law &amp; Order: UK</x:v>
      </x:c>
      <x:c r="E1535" s="33" t="str">
        <x:v>Law &amp; Order</x:v>
      </x:c>
      <x:c r="F1535" s="33" t="str">
        <x:v>core</x:v>
      </x:c>
      <x:c r="G1535" s="50" t="n">
        <x:v>2</x:v>
      </x:c>
      <x:c r="H1535" s="50" t="n">
        <x:v>6</x:v>
      </x:c>
      <x:c r="I1535" s="44" t="str">
        <x:v>02.06</x:v>
      </x:c>
      <x:c r="J1535" s="33" t="str">
        <x:v>Honour Bound</x:v>
      </x:c>
      <x:c r="K1535" s="33" t="str"/>
      <x:c r="L1535" s="33" t="str"/>
      <x:c r="M1535" s="44" t="str"/>
      <x:c r="N1535" s="50" t="n">
        <x:v>48</x:v>
      </x:c>
      <x:c r="O1535" s="53" t="str">
        <x:v>A drug sting apparently goes bad resulting in the death of an informant. Devlin feeling something was not right about the situation digs into the past of the involved detective. Unfortunately this brings up a question of Brooks involvement in a drug theft from six years earlier.</x:v>
      </x:c>
      <x:c r="P1535" s="53" t="str">
        <x:v>Law &amp; Order format/franchise</x:v>
      </x:c>
      <x:c r="Q1535" s="17" t="str">
        <x:v>392399</x:v>
      </x:c>
      <x:c r="R1535" s="17" t="str">
        <x:v>tt1377080</x:v>
      </x:c>
      <x:c r="S1535" s="17" t="str">
        <x:v>1097</x:v>
      </x:c>
    </x:row>
    <x:row r="1536">
      <x:c r="A1536" s="43" t="n">
        <x:v>1532</x:v>
      </x:c>
      <x:c r="B1536" s="44" t="str">
        <x:v>Not Started</x:v>
      </x:c>
      <x:c r="C1536" s="45" t="n">
        <x:v>40238</x:v>
      </x:c>
      <x:c r="D1536" s="33" t="str">
        <x:v>Law &amp; Order</x:v>
      </x:c>
      <x:c r="E1536" s="33" t="str">
        <x:v>Law &amp; Order</x:v>
      </x:c>
      <x:c r="F1536" s="33" t="str">
        <x:v>core</x:v>
      </x:c>
      <x:c r="G1536" s="50" t="n">
        <x:v>20</x:v>
      </x:c>
      <x:c r="H1536" s="50" t="n">
        <x:v>13</x:v>
      </x:c>
      <x:c r="I1536" s="44" t="str">
        <x:v>20.13</x:v>
      </x:c>
      <x:c r="J1536" s="33" t="str">
        <x:v>Steel-Eyed Death</x:v>
      </x:c>
      <x:c r="K1536" s="33" t="str"/>
      <x:c r="L1536" s="33" t="str"/>
      <x:c r="M1536" s="44" t="str"/>
      <x:c r="N1536" s="50" t="n">
        <x:v>45</x:v>
      </x:c>
      <x:c r="O1536" s="53" t="str">
        <x:v>When a family of four is found murdered in their home, Detectives Cyrus Lupo and Kevin Bernard discover that the deaths may be related to the deceased teenage daughter's troubled friend, Bonnie.</x:v>
      </x:c>
      <x:c r="P1536" s="53" t="str">
        <x:v>Core Law &amp; Order franchise</x:v>
      </x:c>
      <x:c r="Q1536" s="17" t="str">
        <x:v>34500</x:v>
      </x:c>
      <x:c r="R1536" s="17" t="str">
        <x:v>tt1556364</x:v>
      </x:c>
      <x:c r="S1536" s="17" t="str">
        <x:v>1098</x:v>
      </x:c>
    </x:row>
    <x:row r="1537">
      <x:c r="A1537" s="43" t="n">
        <x:v>1533</x:v>
      </x:c>
      <x:c r="B1537" s="44" t="str">
        <x:v>Not Started</x:v>
      </x:c>
      <x:c r="C1537" s="45" t="n">
        <x:v>40238</x:v>
      </x:c>
      <x:c r="D1537" s="33" t="str">
        <x:v>Law &amp; Order</x:v>
      </x:c>
      <x:c r="E1537" s="33" t="str">
        <x:v>Law &amp; Order</x:v>
      </x:c>
      <x:c r="F1537" s="33" t="str">
        <x:v>core</x:v>
      </x:c>
      <x:c r="G1537" s="50" t="n">
        <x:v>20</x:v>
      </x:c>
      <x:c r="H1537" s="50" t="n">
        <x:v>14</x:v>
      </x:c>
      <x:c r="I1537" s="44" t="str">
        <x:v>20.14</x:v>
      </x:c>
      <x:c r="J1537" s="33" t="str">
        <x:v>Boy on Fire</x:v>
      </x:c>
      <x:c r="K1537" s="33" t="str"/>
      <x:c r="L1537" s="33" t="str"/>
      <x:c r="M1537" s="44" t="str"/>
      <x:c r="N1537" s="50" t="n">
        <x:v>45</x:v>
      </x:c>
      <x:c r="O1537" s="53" t="str">
        <x:v>When detectives Cyrus Lupo and Kevin Bernard come upon the burning body of Cesar, a sixteen-year-old charter school student from a bad neighborhood, they begin to question his young mentee Moses, who was the last person to see him alive.</x:v>
      </x:c>
      <x:c r="P1537" s="53" t="str">
        <x:v>Core Law &amp; Order franchise</x:v>
      </x:c>
      <x:c r="Q1537" s="17" t="str">
        <x:v>34501</x:v>
      </x:c>
      <x:c r="R1537" s="17" t="str">
        <x:v>tt1582303</x:v>
      </x:c>
      <x:c r="S1537" s="17" t="str">
        <x:v>1099</x:v>
      </x:c>
    </x:row>
    <x:row r="1538">
      <x:c r="A1538" s="43" t="n">
        <x:v>1534</x:v>
      </x:c>
      <x:c r="B1538" s="44" t="str">
        <x:v>Not Started</x:v>
      </x:c>
      <x:c r="C1538" s="45" t="n">
        <x:v>40240</x:v>
      </x:c>
      <x:c r="D1538" s="33" t="str">
        <x:v>Law &amp; Order: Special Victims Unit</x:v>
      </x:c>
      <x:c r="E1538" s="33" t="str">
        <x:v>Law &amp; Order</x:v>
      </x:c>
      <x:c r="F1538" s="33" t="str">
        <x:v>core</x:v>
      </x:c>
      <x:c r="G1538" s="50" t="n">
        <x:v>11</x:v>
      </x:c>
      <x:c r="H1538" s="50" t="n">
        <x:v>13</x:v>
      </x:c>
      <x:c r="I1538" s="44" t="str">
        <x:v>11.13</x:v>
      </x:c>
      <x:c r="J1538" s="33" t="str">
        <x:v>P.C.</x:v>
      </x:c>
      <x:c r="K1538" s="33" t="str"/>
      <x:c r="L1538" s="33" t="str"/>
      <x:c r="M1538" s="44" t="str"/>
      <x:c r="N1538" s="50" t="n">
        <x:v>42</x:v>
      </x:c>
      <x:c r="O1538" s="53" t="str">
        <x:v>Detectives Olivia Benson and Eliot Stabler find a woman bleeding from the neck and nearly dead. The woman dies before they reach the hospital, and soon the investigation leads them to the frontman of the death metal band Vampyre Sacrifyce. He bites girls, steals blood from the local blood bank and sings about violence to women all in the name of his strange, vampiric lifestyle. The singer claims he was nowhere near the scene of the crime, and soon a lesbian rights group led by Babs Duffy gets involved, claiming the victim's death was a result of police neglect. However, when more women from Babs's group are attacked, it becomes clear that the victim's case wasn't an isolated incident and that someone out there has a larger plan to bring the group down.</x:v>
      </x:c>
      <x:c r="P1538" s="53" t="str">
        <x:v>Core Law &amp; Order franchise</x:v>
      </x:c>
      <x:c r="Q1538" s="17" t="str">
        <x:v>225177</x:v>
      </x:c>
      <x:c r="R1538" s="17" t="str">
        <x:v>tt1568497</x:v>
      </x:c>
      <x:c r="S1538" s="17" t="str">
        <x:v>1100</x:v>
      </x:c>
    </x:row>
    <x:row r="1539">
      <x:c r="A1539" s="43" t="n">
        <x:v>1535</x:v>
      </x:c>
      <x:c r="B1539" s="44" t="str">
        <x:v>Not Started</x:v>
      </x:c>
      <x:c r="C1539" s="45" t="n">
        <x:v>40240</x:v>
      </x:c>
      <x:c r="D1539" s="33" t="str">
        <x:v>Law &amp; Order: Special Victims Unit</x:v>
      </x:c>
      <x:c r="E1539" s="33" t="str">
        <x:v>Law &amp; Order</x:v>
      </x:c>
      <x:c r="F1539" s="33" t="str">
        <x:v>core</x:v>
      </x:c>
      <x:c r="G1539" s="50" t="n">
        <x:v>11</x:v>
      </x:c>
      <x:c r="H1539" s="50" t="n">
        <x:v>14</x:v>
      </x:c>
      <x:c r="I1539" s="44" t="str">
        <x:v>11.14</x:v>
      </x:c>
      <x:c r="J1539" s="33" t="str">
        <x:v>Savior</x:v>
      </x:c>
      <x:c r="K1539" s="33" t="str"/>
      <x:c r="L1539" s="33" t="str"/>
      <x:c r="M1539" s="44" t="str"/>
      <x:c r="N1539" s="50" t="n">
        <x:v>42</x:v>
      </x:c>
      <x:c r="O1539" s="53" t="str">
        <x:v>When a series of young prostitutes are found murdered with homemade prayer cards attached to their bodies, Detectives Olivia Benson and Eliot Stabler struggle to find the common thread. However, just when they think that they've found the murderer, Captain Donald Cragen informs the detectives that another victim named Gladys has turned up with a prayer card. This time she survived. As the case unfolds, Benson finds herself getting emotionally invested in the survivor until she is forced to make a decision that she isn't ready to face.</x:v>
      </x:c>
      <x:c r="P1539" s="53" t="str">
        <x:v>Core Law &amp; Order franchise</x:v>
      </x:c>
      <x:c r="Q1539" s="17" t="str">
        <x:v>225178</x:v>
      </x:c>
      <x:c r="R1539" s="17" t="str">
        <x:v>tt1569097</x:v>
      </x:c>
      <x:c r="S1539" s="17" t="str">
        <x:v>1101</x:v>
      </x:c>
    </x:row>
    <x:row r="1540">
      <x:c r="A1540" s="43" t="n">
        <x:v>1536</x:v>
      </x:c>
      <x:c r="B1540" s="44" t="str">
        <x:v>Not Started</x:v>
      </x:c>
      <x:c r="C1540" s="45" t="n">
        <x:v>40245</x:v>
      </x:c>
      <x:c r="D1540" s="33" t="str">
        <x:v>Law &amp; Order</x:v>
      </x:c>
      <x:c r="E1540" s="33" t="str">
        <x:v>Law &amp; Order</x:v>
      </x:c>
      <x:c r="F1540" s="33" t="str">
        <x:v>core</x:v>
      </x:c>
      <x:c r="G1540" s="50" t="n">
        <x:v>20</x:v>
      </x:c>
      <x:c r="H1540" s="50" t="n">
        <x:v>15</x:v>
      </x:c>
      <x:c r="I1540" s="44" t="str">
        <x:v>20.15</x:v>
      </x:c>
      <x:c r="J1540" s="33" t="str">
        <x:v>Brilliant Disguise</x:v>
      </x:c>
      <x:c r="K1540" s="33" t="str"/>
      <x:c r="L1540" s="33" t="str"/>
      <x:c r="M1540" s="44" t="str"/>
      <x:c r="N1540" s="50" t="n">
        <x:v>45</x:v>
      </x:c>
      <x:c r="O1540" s="53" t="str">
        <x:v>A young woman is found murdered in a hotel and the evidence leads to a medical student.</x:v>
      </x:c>
      <x:c r="P1540" s="53" t="str">
        <x:v>Core Law &amp; Order franchise</x:v>
      </x:c>
      <x:c r="Q1540" s="17" t="str">
        <x:v>34502</x:v>
      </x:c>
      <x:c r="R1540" s="17" t="str">
        <x:v>tt1610810</x:v>
      </x:c>
      <x:c r="S1540" s="17" t="str">
        <x:v>1102</x:v>
      </x:c>
    </x:row>
    <x:row r="1541">
      <x:c r="A1541" s="43" t="n">
        <x:v>1537</x:v>
      </x:c>
      <x:c r="B1541" s="44" t="str">
        <x:v>Not Started</x:v>
      </x:c>
      <x:c r="C1541" s="45" t="n">
        <x:v>40247</x:v>
      </x:c>
      <x:c r="D1541" s="33" t="str">
        <x:v>Law &amp; Order: Special Victims Unit</x:v>
      </x:c>
      <x:c r="E1541" s="33" t="str">
        <x:v>Law &amp; Order</x:v>
      </x:c>
      <x:c r="F1541" s="33" t="str">
        <x:v>core</x:v>
      </x:c>
      <x:c r="G1541" s="50" t="n">
        <x:v>11</x:v>
      </x:c>
      <x:c r="H1541" s="50" t="n">
        <x:v>15</x:v>
      </x:c>
      <x:c r="I1541" s="44" t="str">
        <x:v>11.15</x:v>
      </x:c>
      <x:c r="J1541" s="33" t="str">
        <x:v>Confidential</x:v>
      </x:c>
      <x:c r="K1541" s="33" t="str"/>
      <x:c r="L1541" s="33" t="str"/>
      <x:c r="M1541" s="44" t="str"/>
      <x:c r="N1541" s="50" t="n">
        <x:v>43</x:v>
      </x:c>
      <x:c r="O1541" s="53" t="str">
        <x:v>Benson and Stabler investigate the abduction of a woman in a building owned by a high-powered and highly protected investment banker, but when Munch's memory of an eerily similar crime proves true the focus turns toward potentially freeing an innocent man, and it may take the DA himself to shake loose the truth.</x:v>
      </x:c>
      <x:c r="P1541" s="53" t="str">
        <x:v>Core Law &amp; Order franchise</x:v>
      </x:c>
      <x:c r="Q1541" s="17" t="str">
        <x:v>225179</x:v>
      </x:c>
      <x:c r="R1541" s="17" t="str">
        <x:v>tt1569096</x:v>
      </x:c>
      <x:c r="S1541" s="17" t="str">
        <x:v>1103</x:v>
      </x:c>
    </x:row>
    <x:row r="1542">
      <x:c r="A1542" s="43" t="n">
        <x:v>1538</x:v>
      </x:c>
      <x:c r="B1542" s="44" t="str">
        <x:v>Not Started</x:v>
      </x:c>
      <x:c r="C1542" s="45" t="n">
        <x:v>40252</x:v>
      </x:c>
      <x:c r="D1542" s="33" t="str">
        <x:v>Law &amp; Order</x:v>
      </x:c>
      <x:c r="E1542" s="33" t="str">
        <x:v>Law &amp; Order</x:v>
      </x:c>
      <x:c r="F1542" s="33" t="str">
        <x:v>core</x:v>
      </x:c>
      <x:c r="G1542" s="50" t="n">
        <x:v>20</x:v>
      </x:c>
      <x:c r="H1542" s="50" t="n">
        <x:v>16</x:v>
      </x:c>
      <x:c r="I1542" s="44" t="str">
        <x:v>20.16</x:v>
      </x:c>
      <x:c r="J1542" s="33" t="str">
        <x:v>Innocence</x:v>
      </x:c>
      <x:c r="K1542" s="33" t="str"/>
      <x:c r="L1542" s="33" t="str"/>
      <x:c r="M1542" s="44" t="str"/>
      <x:c r="N1542" s="50" t="n">
        <x:v>45</x:v>
      </x:c>
      <x:c r="O1542" s="53" t="str">
        <x:v>A man is convicted of a hate crime for allegedly killing a gay man, but a group called the Innocence Coalition is determined to clear his name.</x:v>
      </x:c>
      <x:c r="P1542" s="53" t="str">
        <x:v>Core Law &amp; Order franchise</x:v>
      </x:c>
      <x:c r="Q1542" s="17" t="str">
        <x:v>34503</x:v>
      </x:c>
      <x:c r="R1542" s="17" t="str">
        <x:v>tt1610811</x:v>
      </x:c>
      <x:c r="S1542" s="17" t="str">
        <x:v>1104</x:v>
      </x:c>
    </x:row>
    <x:row r="1543">
      <x:c r="A1543" s="43" t="n">
        <x:v>1539</x:v>
      </x:c>
      <x:c r="B1543" s="44" t="str">
        <x:v>Not Started</x:v>
      </x:c>
      <x:c r="C1543" s="45" t="n">
        <x:v>40254</x:v>
      </x:c>
      <x:c r="D1543" s="33" t="str">
        <x:v>Law &amp; Order: Special Victims Unit</x:v>
      </x:c>
      <x:c r="E1543" s="33" t="str">
        <x:v>Law &amp; Order</x:v>
      </x:c>
      <x:c r="F1543" s="33" t="str">
        <x:v>core</x:v>
      </x:c>
      <x:c r="G1543" s="50" t="n">
        <x:v>11</x:v>
      </x:c>
      <x:c r="H1543" s="50" t="n">
        <x:v>16</x:v>
      </x:c>
      <x:c r="I1543" s="44" t="str">
        <x:v>11.16</x:v>
      </x:c>
      <x:c r="J1543" s="33" t="str">
        <x:v>Witness</x:v>
      </x:c>
      <x:c r="K1543" s="33" t="str"/>
      <x:c r="L1543" s="33" t="str"/>
      <x:c r="M1543" s="44" t="str"/>
      <x:c r="N1543" s="50" t="n">
        <x:v>43</x:v>
      </x:c>
      <x:c r="O1543" s="53" t="str">
        <x:v>Soon after a young girl, Laine McAlister, is raped in her apartment building's stairwell, Detectives Olivia Benson and Eliot Stabler meet Laine in the hospital and find her extremely shaken with a large cut on her hand. After an unpleasant exchange with a man she claims is her boyfriend, the detectives become suspicious that she may have fabricated her rape to get attention. Their suspicions grow when she waits to reveal that there was an eyewitness. As the gravity of the situation intensifies, Benson and Stabler find themselves in a race to track down the witness and get a testimony before it is too late.</x:v>
      </x:c>
      <x:c r="P1543" s="53" t="str">
        <x:v>Core Law &amp; Order franchise</x:v>
      </x:c>
      <x:c r="Q1543" s="17" t="str">
        <x:v>225180</x:v>
      </x:c>
      <x:c r="R1543" s="17" t="str">
        <x:v>tt1589590</x:v>
      </x:c>
      <x:c r="S1543" s="17" t="str">
        <x:v>1105</x:v>
      </x:c>
    </x:row>
    <x:row r="1544">
      <x:c r="A1544" s="43" t="n">
        <x:v>1540</x:v>
      </x:c>
      <x:c r="B1544" s="44" t="str">
        <x:v>Not Started</x:v>
      </x:c>
      <x:c r="C1544" s="45" t="n">
        <x:v>40259</x:v>
      </x:c>
      <x:c r="D1544" s="33" t="str">
        <x:v>Law &amp; Order</x:v>
      </x:c>
      <x:c r="E1544" s="33" t="str">
        <x:v>Law &amp; Order</x:v>
      </x:c>
      <x:c r="F1544" s="33" t="str">
        <x:v>core</x:v>
      </x:c>
      <x:c r="G1544" s="50" t="n">
        <x:v>20</x:v>
      </x:c>
      <x:c r="H1544" s="50" t="n">
        <x:v>17</x:v>
      </x:c>
      <x:c r="I1544" s="44" t="str">
        <x:v>20.17</x:v>
      </x:c>
      <x:c r="J1544" s="33" t="str">
        <x:v>Four Cops Shot</x:v>
      </x:c>
      <x:c r="K1544" s="33" t="str"/>
      <x:c r="L1544" s="33" t="str"/>
      <x:c r="M1544" s="44" t="str"/>
      <x:c r="N1544" s="50" t="n">
        <x:v>45</x:v>
      </x:c>
      <x:c r="O1544" s="53" t="str">
        <x:v>The debate rages over how to treat an informant who shot and killed four police officers. However, did one of the officers try to put undue pressure on him to help catch a dangerous criminal?</x:v>
      </x:c>
      <x:c r="P1544" s="53" t="str">
        <x:v>Core Law &amp; Order franchise</x:v>
      </x:c>
      <x:c r="Q1544" s="17" t="str">
        <x:v>34504</x:v>
      </x:c>
      <x:c r="R1544" s="17" t="str">
        <x:v>tt1615323</x:v>
      </x:c>
      <x:c r="S1544" s="17" t="str">
        <x:v>1106</x:v>
      </x:c>
    </x:row>
    <x:row r="1545">
      <x:c r="A1545" s="43" t="n">
        <x:v>1541</x:v>
      </x:c>
      <x:c r="B1545" s="44" t="str">
        <x:v>Not Started</x:v>
      </x:c>
      <x:c r="C1545" s="45" t="n">
        <x:v>40261</x:v>
      </x:c>
      <x:c r="D1545" s="33" t="str">
        <x:v>Law &amp; Order: Special Victims Unit</x:v>
      </x:c>
      <x:c r="E1545" s="33" t="str">
        <x:v>Law &amp; Order</x:v>
      </x:c>
      <x:c r="F1545" s="33" t="str">
        <x:v>core</x:v>
      </x:c>
      <x:c r="G1545" s="50" t="n">
        <x:v>11</x:v>
      </x:c>
      <x:c r="H1545" s="50" t="n">
        <x:v>17</x:v>
      </x:c>
      <x:c r="I1545" s="44" t="str">
        <x:v>11.17</x:v>
      </x:c>
      <x:c r="J1545" s="33" t="str">
        <x:v>Disabled</x:v>
      </x:c>
      <x:c r="K1545" s="33" t="str"/>
      <x:c r="L1545" s="33" t="str"/>
      <x:c r="M1545" s="44" t="str"/>
      <x:c r="N1545" s="50" t="n">
        <x:v>42</x:v>
      </x:c>
      <x:c r="O1545" s="53" t="str">
        <x:v>Detectives Olivia Benson and Eliot Stabler are called in to investigate when a disabled woman, Cara Benson, is beaten and raped. Though the victim's condition has rendered her unable to speak, the detectives soon deduce that someone close to her is responsible, with the lead suspects being her resentful sister and troubled nephew. As the investigation continues, Benson and Stabler strive to make Cara comfortable with coming forward to stand up for herself and illuminating some of the disturbing truths about the assisted living business.</x:v>
      </x:c>
      <x:c r="P1545" s="53" t="str">
        <x:v>Core Law &amp; Order franchise</x:v>
      </x:c>
      <x:c r="Q1545" s="17" t="str">
        <x:v>225181</x:v>
      </x:c>
      <x:c r="R1545" s="17" t="str">
        <x:v>tt1598661</x:v>
      </x:c>
      <x:c r="S1545" s="17" t="str">
        <x:v>1107</x:v>
      </x:c>
    </x:row>
    <x:row r="1546">
      <x:c r="A1546" s="43" t="n">
        <x:v>1542</x:v>
      </x:c>
      <x:c r="B1546" s="44" t="str">
        <x:v>Not Started</x:v>
      </x:c>
      <x:c r="C1546" s="45" t="n">
        <x:v>40266</x:v>
      </x:c>
      <x:c r="D1546" s="33" t="str">
        <x:v>Law &amp; Order</x:v>
      </x:c>
      <x:c r="E1546" s="33" t="str">
        <x:v>Law &amp; Order</x:v>
      </x:c>
      <x:c r="F1546" s="33" t="str">
        <x:v>core</x:v>
      </x:c>
      <x:c r="G1546" s="50" t="n">
        <x:v>20</x:v>
      </x:c>
      <x:c r="H1546" s="50" t="n">
        <x:v>18</x:v>
      </x:c>
      <x:c r="I1546" s="44" t="str">
        <x:v>20.18</x:v>
      </x:c>
      <x:c r="J1546" s="33" t="str">
        <x:v>Brazil</x:v>
      </x:c>
      <x:c r="K1546" s="33" t="str"/>
      <x:c r="L1546" s="33" t="str"/>
      <x:c r="M1546" s="44" t="str"/>
      <x:c r="N1546" s="50" t="n">
        <x:v>45</x:v>
      </x:c>
      <x:c r="O1546" s="53" t="str">
        <x:v>When an environmental scientist, Dr. Oscar Silva, is poisoned during a global warming symposium, Detectives Cyrus Lupo and Kevin Bernard initially suspect competitors from Dr. Silva's field of study. It is soon discovered that Dr. Silva is involved in a messy custody battle with his wife's ex-husband, Phillip Shoemaker and the focus of the investigation quickly shifts to the victim's family. Meanwhile, the case becomes personal for Cutter as it stirs up unpleasant memories from his own past.</x:v>
      </x:c>
      <x:c r="P1546" s="53" t="str">
        <x:v>Core Law &amp; Order franchise</x:v>
      </x:c>
      <x:c r="Q1546" s="17" t="str">
        <x:v>34505</x:v>
      </x:c>
      <x:c r="R1546" s="17" t="str">
        <x:v>tt1620131</x:v>
      </x:c>
      <x:c r="S1546" s="17" t="str">
        <x:v>1108</x:v>
      </x:c>
    </x:row>
    <x:row r="1547">
      <x:c r="A1547" s="43" t="n">
        <x:v>1543</x:v>
      </x:c>
      <x:c r="B1547" s="44" t="str">
        <x:v>Not Started</x:v>
      </x:c>
      <x:c r="C1547" s="45" t="n">
        <x:v>40267</x:v>
      </x:c>
      <x:c r="D1547" s="33" t="str">
        <x:v>Law &amp; Order: Criminal Intent</x:v>
      </x:c>
      <x:c r="E1547" s="33" t="str">
        <x:v>Law &amp; Order</x:v>
      </x:c>
      <x:c r="F1547" s="33" t="str">
        <x:v>core</x:v>
      </x:c>
      <x:c r="G1547" s="50" t="n">
        <x:v>9</x:v>
      </x:c>
      <x:c r="H1547" s="50" t="n">
        <x:v>1</x:v>
      </x:c>
      <x:c r="I1547" s="44" t="str">
        <x:v>09.01</x:v>
      </x:c>
      <x:c r="J1547" s="33" t="str">
        <x:v>Loyalty (1)</x:v>
      </x:c>
      <x:c r="K1547" s="33" t="str"/>
      <x:c r="L1547" s="33" t="str"/>
      <x:c r="M1547" s="44" t="str"/>
      <x:c r="N1547" s="50" t="n">
        <x:v>44</x:v>
      </x:c>
      <x:c r="O1547" s="53" t="str">
        <x:v>Captain Ross finds himself at the tragic center of an overseas conflict, galvanizing the assistance of Major Case detectives Goren, Eames and Nichols.</x:v>
      </x:c>
      <x:c r="P1547" s="53" t="str">
        <x:v>Core Law &amp; Order franchise</x:v>
      </x:c>
      <x:c r="Q1547" s="17" t="str">
        <x:v>341383</x:v>
      </x:c>
      <x:c r="R1547" s="17" t="str">
        <x:v>tt1611479</x:v>
      </x:c>
      <x:c r="S1547" s="17" t="str">
        <x:v>1109</x:v>
      </x:c>
    </x:row>
    <x:row r="1548">
      <x:c r="A1548" s="43" t="n">
        <x:v>1544</x:v>
      </x:c>
      <x:c r="B1548" s="44" t="str">
        <x:v>Not Started</x:v>
      </x:c>
      <x:c r="C1548" s="45" t="n">
        <x:v>40268</x:v>
      </x:c>
      <x:c r="D1548" s="33" t="str">
        <x:v>In Plain Sight</x:v>
      </x:c>
      <x:c r="E1548" s="33" t="str">
        <x:v>Crossover Adjacent</x:v>
      </x:c>
      <x:c r="F1548" s="33" t="str">
        <x:v>connected</x:v>
      </x:c>
      <x:c r="G1548" s="50" t="n">
        <x:v>3</x:v>
      </x:c>
      <x:c r="H1548" s="50" t="n">
        <x:v>1</x:v>
      </x:c>
      <x:c r="I1548" s="44" t="str">
        <x:v>03.01</x:v>
      </x:c>
      <x:c r="J1548" s="33" t="str">
        <x:v>Father Goes West</x:v>
      </x:c>
      <x:c r="K1548" s="33" t="str"/>
      <x:c r="L1548" s="33" t="str"/>
      <x:c r="M1548" s="44" t="str"/>
      <x:c r="N1548" s="50" t="n">
        <x:v>43</x:v>
      </x:c>
      <x:c r="O1548" s="53" t="str">
        <x:v>A former high line thief from Boston tries to give up crime for the sake of his teenage son, and Mary and Marshall search for the person who nearly killed Mary.</x:v>
      </x:c>
      <x:c r="P1548" s="53" t="str">
        <x:v>SVU character crossover / shared Dick Wolf connection</x:v>
      </x:c>
      <x:c r="Q1548" s="17" t="str">
        <x:v>393590</x:v>
      </x:c>
      <x:c r="R1548" s="17" t="str">
        <x:v>tt1594359</x:v>
      </x:c>
      <x:c r="S1548" s="17" t="str">
        <x:v>1111</x:v>
      </x:c>
    </x:row>
    <x:row r="1549">
      <x:c r="A1549" s="43" t="n">
        <x:v>1545</x:v>
      </x:c>
      <x:c r="B1549" s="44" t="str">
        <x:v>Not Started</x:v>
      </x:c>
      <x:c r="C1549" s="45" t="n">
        <x:v>40268</x:v>
      </x:c>
      <x:c r="D1549" s="33" t="str">
        <x:v>Law &amp; Order: Special Victims Unit</x:v>
      </x:c>
      <x:c r="E1549" s="33" t="str">
        <x:v>Law &amp; Order</x:v>
      </x:c>
      <x:c r="F1549" s="33" t="str">
        <x:v>core</x:v>
      </x:c>
      <x:c r="G1549" s="50" t="n">
        <x:v>11</x:v>
      </x:c>
      <x:c r="H1549" s="50" t="n">
        <x:v>18</x:v>
      </x:c>
      <x:c r="I1549" s="44" t="str">
        <x:v>11.18</x:v>
      </x:c>
      <x:c r="J1549" s="33" t="str">
        <x:v>Bedtime</x:v>
      </x:c>
      <x:c r="K1549" s="33" t="str"/>
      <x:c r="L1549" s="33" t="str"/>
      <x:c r="M1549" s="44" t="str"/>
      <x:c r="N1549" s="50" t="n">
        <x:v>42</x:v>
      </x:c>
      <x:c r="O1549" s="53" t="str">
        <x:v>When a journalist is found raped and murdered in her own bed, Cragen is able to connect this particular case to another five murders that happened thirty years ago, committed by the "Bedtime Butcher". To uncover the truth behind the crimes, Benson goes undercover in order to find the real killer.</x:v>
      </x:c>
      <x:c r="P1549" s="53" t="str">
        <x:v>Core Law &amp; Order franchise</x:v>
      </x:c>
      <x:c r="Q1549" s="17" t="str">
        <x:v>225182</x:v>
      </x:c>
      <x:c r="R1549" s="17" t="str">
        <x:v>tt1601371</x:v>
      </x:c>
      <x:c r="S1549" s="17" t="str">
        <x:v>1110</x:v>
      </x:c>
    </x:row>
    <x:row r="1550">
      <x:c r="A1550" s="43" t="n">
        <x:v>1546</x:v>
      </x:c>
      <x:c r="B1550" s="44" t="str">
        <x:v>Not Started</x:v>
      </x:c>
      <x:c r="C1550" s="45" t="n">
        <x:v>40274</x:v>
      </x:c>
      <x:c r="D1550" s="33" t="str">
        <x:v>Law &amp; Order: Criminal Intent</x:v>
      </x:c>
      <x:c r="E1550" s="33" t="str">
        <x:v>Law &amp; Order</x:v>
      </x:c>
      <x:c r="F1550" s="33" t="str">
        <x:v>core</x:v>
      </x:c>
      <x:c r="G1550" s="50" t="n">
        <x:v>9</x:v>
      </x:c>
      <x:c r="H1550" s="50" t="n">
        <x:v>2</x:v>
      </x:c>
      <x:c r="I1550" s="44" t="str">
        <x:v>09.02</x:v>
      </x:c>
      <x:c r="J1550" s="33" t="str">
        <x:v>Loyalty (2)</x:v>
      </x:c>
      <x:c r="K1550" s="33" t="str"/>
      <x:c r="L1550" s="33" t="str"/>
      <x:c r="M1550" s="44" t="str"/>
      <x:c r="N1550" s="50" t="n">
        <x:v>45</x:v>
      </x:c>
      <x:c r="O1550" s="53" t="str">
        <x:v>With an illegal arms deal and a hunt for Somali terrorists hanging in the balance, Detectives Goren, Eames, Nichols and newcomer Stevens combine resources in an attempt to bring justice.</x:v>
      </x:c>
      <x:c r="P1550" s="53" t="str">
        <x:v>Core Law &amp; Order franchise</x:v>
      </x:c>
      <x:c r="Q1550" s="17" t="str">
        <x:v>341384</x:v>
      </x:c>
      <x:c r="R1550" s="17" t="str">
        <x:v>tt1611480</x:v>
      </x:c>
      <x:c r="S1550" s="17" t="str">
        <x:v>1112</x:v>
      </x:c>
    </x:row>
    <x:row r="1551">
      <x:c r="A1551" s="43" t="n">
        <x:v>1547</x:v>
      </x:c>
      <x:c r="B1551" s="44" t="str">
        <x:v>Not Started</x:v>
      </x:c>
      <x:c r="C1551" s="45" t="n">
        <x:v>40275</x:v>
      </x:c>
      <x:c r="D1551" s="33" t="str">
        <x:v>In Plain Sight</x:v>
      </x:c>
      <x:c r="E1551" s="33" t="str">
        <x:v>Crossover Adjacent</x:v>
      </x:c>
      <x:c r="F1551" s="33" t="str">
        <x:v>connected</x:v>
      </x:c>
      <x:c r="G1551" s="50" t="n">
        <x:v>3</x:v>
      </x:c>
      <x:c r="H1551" s="50" t="n">
        <x:v>2</x:v>
      </x:c>
      <x:c r="I1551" s="44" t="str">
        <x:v>03.02</x:v>
      </x:c>
      <x:c r="J1551" s="33" t="str">
        <x:v>When Mary Met Marshall</x:v>
      </x:c>
      <x:c r="K1551" s="33" t="str"/>
      <x:c r="L1551" s="33" t="str"/>
      <x:c r="M1551" s="44" t="str"/>
      <x:c r="N1551" s="50" t="n">
        <x:v>42</x:v>
      </x:c>
      <x:c r="O1551" s="53" t="str">
        <x:v>In 2003 Mary meets Marshall for the first time as they get lovers CLAUDIA TOBIN and HENRY DOER into the WitSec program, and it's a toss-up whose relationship is going to last: Claudia and Henry's, or Mary and Marshall's.</x:v>
      </x:c>
      <x:c r="P1551" s="53" t="str">
        <x:v>SVU character crossover / shared Dick Wolf connection</x:v>
      </x:c>
      <x:c r="Q1551" s="17" t="str">
        <x:v>393591</x:v>
      </x:c>
      <x:c r="R1551" s="17" t="str">
        <x:v>tt1601365</x:v>
      </x:c>
      <x:c r="S1551" s="17" t="str">
        <x:v>1114</x:v>
      </x:c>
    </x:row>
    <x:row r="1552">
      <x:c r="A1552" s="43" t="n">
        <x:v>1548</x:v>
      </x:c>
      <x:c r="B1552" s="44" t="str">
        <x:v>Not Started</x:v>
      </x:c>
      <x:c r="C1552" s="45" t="n">
        <x:v>40275</x:v>
      </x:c>
      <x:c r="D1552" s="33" t="str">
        <x:v>Law &amp; Order: Special Victims Unit</x:v>
      </x:c>
      <x:c r="E1552" s="33" t="str">
        <x:v>Law &amp; Order</x:v>
      </x:c>
      <x:c r="F1552" s="33" t="str">
        <x:v>core</x:v>
      </x:c>
      <x:c r="G1552" s="50" t="n">
        <x:v>11</x:v>
      </x:c>
      <x:c r="H1552" s="50" t="n">
        <x:v>19</x:v>
      </x:c>
      <x:c r="I1552" s="44" t="str">
        <x:v>11.19</x:v>
      </x:c>
      <x:c r="J1552" s="33" t="str">
        <x:v>Conned</x:v>
      </x:c>
      <x:c r="K1552" s="33" t="str"/>
      <x:c r="L1552" s="33" t="str"/>
      <x:c r="M1552" s="44" t="str"/>
      <x:c r="N1552" s="50" t="n">
        <x:v>42</x:v>
      </x:c>
      <x:c r="O1552" s="53" t="str">
        <x:v>A case of mistaken identity complicates the investigation into the murder of whom most believe was an uninvited wedding guest at a hotel in which the body was found.</x:v>
      </x:c>
      <x:c r="P1552" s="53" t="str">
        <x:v>Core Law &amp; Order franchise</x:v>
      </x:c>
      <x:c r="Q1552" s="17" t="str">
        <x:v>225183</x:v>
      </x:c>
      <x:c r="R1552" s="17" t="str">
        <x:v>tt1607135</x:v>
      </x:c>
      <x:c r="S1552" s="17" t="str">
        <x:v>1113</x:v>
      </x:c>
    </x:row>
    <x:row r="1553">
      <x:c r="A1553" s="43" t="n">
        <x:v>1549</x:v>
      </x:c>
      <x:c r="B1553" s="44" t="str">
        <x:v>Not Started</x:v>
      </x:c>
      <x:c r="C1553" s="45" t="n">
        <x:v>40281</x:v>
      </x:c>
      <x:c r="D1553" s="33" t="str">
        <x:v>Law &amp; Order: Criminal Intent</x:v>
      </x:c>
      <x:c r="E1553" s="33" t="str">
        <x:v>Law &amp; Order</x:v>
      </x:c>
      <x:c r="F1553" s="33" t="str">
        <x:v>core</x:v>
      </x:c>
      <x:c r="G1553" s="50" t="n">
        <x:v>9</x:v>
      </x:c>
      <x:c r="H1553" s="50" t="n">
        <x:v>3</x:v>
      </x:c>
      <x:c r="I1553" s="44" t="str">
        <x:v>09.03</x:v>
      </x:c>
      <x:c r="J1553" s="33" t="str">
        <x:v>Broad Channel</x:v>
      </x:c>
      <x:c r="K1553" s="33" t="str"/>
      <x:c r="L1553" s="33" t="str"/>
      <x:c r="M1553" s="44" t="str"/>
      <x:c r="N1553" s="50" t="n">
        <x:v>42</x:v>
      </x:c>
      <x:c r="O1553" s="53" t="str">
        <x:v>The murder of an NYPD detective brings Nichols and Stevens to a sleepy seaside town, ruled by one of Nichols' old foes – an Irish mob boss with a reputation for eluding justice.</x:v>
      </x:c>
      <x:c r="P1553" s="53" t="str">
        <x:v>Core Law &amp; Order franchise</x:v>
      </x:c>
      <x:c r="Q1553" s="17" t="str">
        <x:v>341385</x:v>
      </x:c>
      <x:c r="R1553" s="17" t="str">
        <x:v>tt1605952</x:v>
      </x:c>
      <x:c r="S1553" s="17" t="str">
        <x:v>1115</x:v>
      </x:c>
    </x:row>
    <x:row r="1554">
      <x:c r="A1554" s="43" t="n">
        <x:v>1550</x:v>
      </x:c>
      <x:c r="B1554" s="44" t="str">
        <x:v>Not Started</x:v>
      </x:c>
      <x:c r="C1554" s="45" t="n">
        <x:v>40282</x:v>
      </x:c>
      <x:c r="D1554" s="33" t="str">
        <x:v>In Plain Sight</x:v>
      </x:c>
      <x:c r="E1554" s="33" t="str">
        <x:v>Crossover Adjacent</x:v>
      </x:c>
      <x:c r="F1554" s="33" t="str">
        <x:v>connected</x:v>
      </x:c>
      <x:c r="G1554" s="50" t="n">
        <x:v>3</x:v>
      </x:c>
      <x:c r="H1554" s="50" t="n">
        <x:v>3</x:v>
      </x:c>
      <x:c r="I1554" s="44" t="str">
        <x:v>03.03</x:v>
      </x:c>
      <x:c r="J1554" s="33" t="str">
        <x:v>Coma Chameleon</x:v>
      </x:c>
      <x:c r="K1554" s="33" t="str"/>
      <x:c r="L1554" s="33" t="str"/>
      <x:c r="M1554" s="44" t="str"/>
      <x:c r="N1554" s="50" t="n">
        <x:v>43</x:v>
      </x:c>
      <x:c r="O1554" s="53" t="str">
        <x:v>ATF agent Wade Guthrie is shot and left for dead by gun trader Jasper Malone. After three years in a coma, he wakes to find the world he left behind has drastically changed.</x:v>
      </x:c>
      <x:c r="P1554" s="53" t="str">
        <x:v>SVU character crossover / shared Dick Wolf connection</x:v>
      </x:c>
      <x:c r="Q1554" s="17" t="str">
        <x:v>393592</x:v>
      </x:c>
      <x:c r="R1554" s="17" t="str">
        <x:v>tt1603620</x:v>
      </x:c>
      <x:c r="S1554" s="17" t="str">
        <x:v>1116</x:v>
      </x:c>
    </x:row>
    <x:row r="1555">
      <x:c r="A1555" s="43" t="n">
        <x:v>1551</x:v>
      </x:c>
      <x:c r="B1555" s="44" t="str">
        <x:v>Not Started</x:v>
      </x:c>
      <x:c r="C1555" s="45" t="n">
        <x:v>40286</x:v>
      </x:c>
      <x:c r="D1555" s="33" t="str">
        <x:v>Law &amp; Order: Special Victims Unit</x:v>
      </x:c>
      <x:c r="E1555" s="33" t="str">
        <x:v>Law &amp; Order</x:v>
      </x:c>
      <x:c r="F1555" s="33" t="str">
        <x:v>core</x:v>
      </x:c>
      <x:c r="G1555" s="50" t="n">
        <x:v>11</x:v>
      </x:c>
      <x:c r="H1555" s="50" t="n">
        <x:v>21</x:v>
      </x:c>
      <x:c r="I1555" s="44" t="str">
        <x:v>11.21</x:v>
      </x:c>
      <x:c r="J1555" s="33" t="str">
        <x:v>Torch</x:v>
      </x:c>
      <x:c r="K1555" s="33" t="str"/>
      <x:c r="L1555" s="33" t="str"/>
      <x:c r="M1555" s="44" t="str"/>
      <x:c r="N1555" s="50" t="n">
        <x:v>43</x:v>
      </x:c>
      <x:c r="O1555" s="53" t="str">
        <x:v>After two young girls die in a fire, Stabler finds a familiar face in the prosecutor assigned to the case.</x:v>
      </x:c>
      <x:c r="P1555" s="53" t="str">
        <x:v>Core Law &amp; Order franchise</x:v>
      </x:c>
      <x:c r="Q1555" s="17" t="str">
        <x:v>225185</x:v>
      </x:c>
      <x:c r="R1555" s="17" t="str">
        <x:v>tt1607136</x:v>
      </x:c>
      <x:c r="S1555" s="17" t="str">
        <x:v>1121</x:v>
      </x:c>
    </x:row>
    <x:row r="1556">
      <x:c r="A1556" s="43" t="n">
        <x:v>1552</x:v>
      </x:c>
      <x:c r="B1556" s="44" t="str">
        <x:v>Not Started</x:v>
      </x:c>
      <x:c r="C1556" s="45" t="n">
        <x:v>40288</x:v>
      </x:c>
      <x:c r="D1556" s="33" t="str">
        <x:v>Law &amp; Order: Criminal Intent</x:v>
      </x:c>
      <x:c r="E1556" s="33" t="str">
        <x:v>Law &amp; Order</x:v>
      </x:c>
      <x:c r="F1556" s="33" t="str">
        <x:v>core</x:v>
      </x:c>
      <x:c r="G1556" s="50" t="n">
        <x:v>9</x:v>
      </x:c>
      <x:c r="H1556" s="50" t="n">
        <x:v>4</x:v>
      </x:c>
      <x:c r="I1556" s="44" t="str">
        <x:v>09.04</x:v>
      </x:c>
      <x:c r="J1556" s="33" t="str">
        <x:v>Delicate</x:v>
      </x:c>
      <x:c r="K1556" s="33" t="str"/>
      <x:c r="L1556" s="33" t="str"/>
      <x:c r="M1556" s="44" t="str"/>
      <x:c r="N1556" s="50" t="n">
        <x:v>43</x:v>
      </x:c>
      <x:c r="O1556" s="53" t="str">
        <x:v>The detectives find themselves in the cutthroat world of professional ballet as they investigate the murder of the star ballerina at a conservatory.</x:v>
      </x:c>
      <x:c r="P1556" s="53" t="str">
        <x:v>Core Law &amp; Order franchise</x:v>
      </x:c>
      <x:c r="Q1556" s="17" t="str">
        <x:v>341386</x:v>
      </x:c>
      <x:c r="R1556" s="17" t="str">
        <x:v>tt1610812</x:v>
      </x:c>
      <x:c r="S1556" s="17" t="str">
        <x:v>1117</x:v>
      </x:c>
    </x:row>
    <x:row r="1557">
      <x:c r="A1557" s="43" t="n">
        <x:v>1553</x:v>
      </x:c>
      <x:c r="B1557" s="44" t="str">
        <x:v>Not Started</x:v>
      </x:c>
      <x:c r="C1557" s="45" t="n">
        <x:v>40289</x:v>
      </x:c>
      <x:c r="D1557" s="33" t="str">
        <x:v>In Plain Sight</x:v>
      </x:c>
      <x:c r="E1557" s="33" t="str">
        <x:v>Crossover Adjacent</x:v>
      </x:c>
      <x:c r="F1557" s="33" t="str">
        <x:v>connected</x:v>
      </x:c>
      <x:c r="G1557" s="50" t="n">
        <x:v>3</x:v>
      </x:c>
      <x:c r="H1557" s="50" t="n">
        <x:v>4</x:v>
      </x:c>
      <x:c r="I1557" s="44" t="str">
        <x:v>03.04</x:v>
      </x:c>
      <x:c r="J1557" s="33" t="str">
        <x:v>Whistle Stop</x:v>
      </x:c>
      <x:c r="K1557" s="33" t="str"/>
      <x:c r="L1557" s="33" t="str"/>
      <x:c r="M1557" s="44" t="str"/>
      <x:c r="N1557" s="50" t="n">
        <x:v>41</x:v>
      </x:c>
      <x:c r="O1557" s="53" t="str">
        <x:v>Mary and Marshall try to help FBI Agent Mike Faber convince his informant to enter WITSEC. Despite their best efforts, the informant refuses their protection and gets himself into a heap of trouble. After Mary, Marshall and Agent Faber save the informant from certain death, he and his family join Witsec.</x:v>
      </x:c>
      <x:c r="P1557" s="53" t="str">
        <x:v>SVU character crossover / shared Dick Wolf connection</x:v>
      </x:c>
      <x:c r="Q1557" s="17" t="str">
        <x:v>393593</x:v>
      </x:c>
      <x:c r="R1557" s="17" t="str">
        <x:v>tt1619550</x:v>
      </x:c>
      <x:c r="S1557" s="17" t="str">
        <x:v>1119</x:v>
      </x:c>
    </x:row>
    <x:row r="1558">
      <x:c r="A1558" s="43" t="n">
        <x:v>1554</x:v>
      </x:c>
      <x:c r="B1558" s="44" t="str">
        <x:v>Not Started</x:v>
      </x:c>
      <x:c r="C1558" s="45" t="n">
        <x:v>40289</x:v>
      </x:c>
      <x:c r="D1558" s="33" t="str">
        <x:v>Law &amp; Order: Special Victims Unit</x:v>
      </x:c>
      <x:c r="E1558" s="33" t="str">
        <x:v>Law &amp; Order</x:v>
      </x:c>
      <x:c r="F1558" s="33" t="str">
        <x:v>core</x:v>
      </x:c>
      <x:c r="G1558" s="50" t="n">
        <x:v>11</x:v>
      </x:c>
      <x:c r="H1558" s="50" t="n">
        <x:v>20</x:v>
      </x:c>
      <x:c r="I1558" s="44" t="str">
        <x:v>11.20</x:v>
      </x:c>
      <x:c r="J1558" s="33" t="str">
        <x:v>Beef</x:v>
      </x:c>
      <x:c r="K1558" s="33" t="str"/>
      <x:c r="L1558" s="33" t="str"/>
      <x:c r="M1558" s="44" t="str"/>
      <x:c r="N1558" s="50" t="n">
        <x:v>41</x:v>
      </x:c>
      <x:c r="O1558" s="53" t="str">
        <x:v>After a young woman is sexually assaulted and murdered, Detectives Olivia Benson and Eliot Stabler track down the woman's boyfriend - their first suspect - but learn that he is a devout vegan who wouldn't hurt a fly. They soon find that the victim had been deeply involved in the fight to expose questionable practices in the meat-packing industry, even going undercover at a large company to find out the truth. Benson goes undercover herself to retrace the woman's footsteps and to identify who the victim might have angered along the way.</x:v>
      </x:c>
      <x:c r="P1558" s="53" t="str">
        <x:v>Core Law &amp; Order franchise</x:v>
      </x:c>
      <x:c r="Q1558" s="17" t="str">
        <x:v>225184</x:v>
      </x:c>
      <x:c r="R1558" s="17" t="str">
        <x:v>tt1632053</x:v>
      </x:c>
      <x:c r="S1558" s="17" t="str">
        <x:v>1118</x:v>
      </x:c>
    </x:row>
    <x:row r="1559">
      <x:c r="A1559" s="43" t="n">
        <x:v>1555</x:v>
      </x:c>
      <x:c r="B1559" s="44" t="str">
        <x:v>Not Started</x:v>
      </x:c>
      <x:c r="C1559" s="45" t="n">
        <x:v>40295</x:v>
      </x:c>
      <x:c r="D1559" s="33" t="str">
        <x:v>Law &amp; Order: Criminal Intent</x:v>
      </x:c>
      <x:c r="E1559" s="33" t="str">
        <x:v>Law &amp; Order</x:v>
      </x:c>
      <x:c r="F1559" s="33" t="str">
        <x:v>core</x:v>
      </x:c>
      <x:c r="G1559" s="50" t="n">
        <x:v>9</x:v>
      </x:c>
      <x:c r="H1559" s="50" t="n">
        <x:v>5</x:v>
      </x:c>
      <x:c r="I1559" s="44" t="str">
        <x:v>09.05</x:v>
      </x:c>
      <x:c r="J1559" s="33" t="str">
        <x:v>Gods &amp; Insects</x:v>
      </x:c>
      <x:c r="K1559" s="33" t="str"/>
      <x:c r="L1559" s="33" t="str"/>
      <x:c r="M1559" s="44" t="str"/>
      <x:c r="N1559" s="50" t="n">
        <x:v>43</x:v>
      </x:c>
      <x:c r="O1559" s="53" t="str">
        <x:v>A body that's been decapitated, initially thought to be a mob hit, leads Detectives Nichols and Stevens to an escort service and the financial would-be gods who utilize it.</x:v>
      </x:c>
      <x:c r="P1559" s="53" t="str">
        <x:v>Core Law &amp; Order franchise</x:v>
      </x:c>
      <x:c r="Q1559" s="17" t="str">
        <x:v>341387</x:v>
      </x:c>
      <x:c r="R1559" s="17" t="str">
        <x:v>tt1605306</x:v>
      </x:c>
      <x:c r="S1559" s="17" t="str">
        <x:v>1120</x:v>
      </x:c>
    </x:row>
    <x:row r="1560">
      <x:c r="A1560" s="43" t="n">
        <x:v>1556</x:v>
      </x:c>
      <x:c r="B1560" s="44" t="str">
        <x:v>Not Started</x:v>
      </x:c>
      <x:c r="C1560" s="45" t="n">
        <x:v>40296</x:v>
      </x:c>
      <x:c r="D1560" s="33" t="str">
        <x:v>In Plain Sight</x:v>
      </x:c>
      <x:c r="E1560" s="33" t="str">
        <x:v>Crossover Adjacent</x:v>
      </x:c>
      <x:c r="F1560" s="33" t="str">
        <x:v>connected</x:v>
      </x:c>
      <x:c r="G1560" s="50" t="n">
        <x:v>3</x:v>
      </x:c>
      <x:c r="H1560" s="50" t="n">
        <x:v>5</x:v>
      </x:c>
      <x:c r="I1560" s="44" t="str">
        <x:v>03.05</x:v>
      </x:c>
      <x:c r="J1560" s="33" t="str">
        <x:v>Fish or Cut Betta</x:v>
      </x:c>
      <x:c r="K1560" s="33" t="str"/>
      <x:c r="L1560" s="33" t="str"/>
      <x:c r="M1560" s="44" t="str"/>
      <x:c r="N1560" s="50" t="n">
        <x:v>42</x:v>
      </x:c>
      <x:c r="O1560" s="53" t="str">
        <x:v>Mary's new witness falls in love for the first time; Mary must stop her witness from taking out his pain in the form of an explosive device.</x:v>
      </x:c>
      <x:c r="P1560" s="53" t="str">
        <x:v>SVU character crossover / shared Dick Wolf connection</x:v>
      </x:c>
      <x:c r="Q1560" s="17" t="str">
        <x:v>393594</x:v>
      </x:c>
      <x:c r="R1560" s="17" t="str">
        <x:v>tt1622765</x:v>
      </x:c>
      <x:c r="S1560" s="17" t="str">
        <x:v>1122</x:v>
      </x:c>
    </x:row>
    <x:row r="1561">
      <x:c r="A1561" s="43" t="n">
        <x:v>1557</x:v>
      </x:c>
      <x:c r="B1561" s="44" t="str">
        <x:v>Not Started</x:v>
      </x:c>
      <x:c r="C1561" s="45" t="n">
        <x:v>40301</x:v>
      </x:c>
      <x:c r="D1561" s="33" t="str">
        <x:v>Law &amp; Order</x:v>
      </x:c>
      <x:c r="E1561" s="33" t="str">
        <x:v>Law &amp; Order</x:v>
      </x:c>
      <x:c r="F1561" s="33" t="str">
        <x:v>core</x:v>
      </x:c>
      <x:c r="G1561" s="50" t="n">
        <x:v>20</x:v>
      </x:c>
      <x:c r="H1561" s="50" t="n">
        <x:v>19</x:v>
      </x:c>
      <x:c r="I1561" s="44" t="str">
        <x:v>20.19</x:v>
      </x:c>
      <x:c r="J1561" s="33" t="str">
        <x:v>Crashers</x:v>
      </x:c>
      <x:c r="K1561" s="33" t="str"/>
      <x:c r="L1561" s="33" t="str"/>
      <x:c r="M1561" s="44" t="str"/>
      <x:c r="N1561" s="50" t="n">
        <x:v>45</x:v>
      </x:c>
      <x:c r="O1561" s="53" t="str">
        <x:v>When the body of a model is found burning in an alley, Detectives Lupo and Bernard search for her killer.</x:v>
      </x:c>
      <x:c r="P1561" s="53" t="str">
        <x:v>Core Law &amp; Order franchise</x:v>
      </x:c>
      <x:c r="Q1561" s="17" t="str">
        <x:v>34506</x:v>
      </x:c>
      <x:c r="R1561" s="17" t="str">
        <x:v>tt1629040</x:v>
      </x:c>
      <x:c r="S1561" s="17" t="str">
        <x:v>1123</x:v>
      </x:c>
    </x:row>
    <x:row r="1562">
      <x:c r="A1562" s="43" t="n">
        <x:v>1558</x:v>
      </x:c>
      <x:c r="B1562" s="44" t="str">
        <x:v>Not Started</x:v>
      </x:c>
      <x:c r="C1562" s="45" t="n">
        <x:v>40302</x:v>
      </x:c>
      <x:c r="D1562" s="33" t="str">
        <x:v>Law &amp; Order: Criminal Intent</x:v>
      </x:c>
      <x:c r="E1562" s="33" t="str">
        <x:v>Law &amp; Order</x:v>
      </x:c>
      <x:c r="F1562" s="33" t="str">
        <x:v>core</x:v>
      </x:c>
      <x:c r="G1562" s="50" t="n">
        <x:v>9</x:v>
      </x:c>
      <x:c r="H1562" s="50" t="n">
        <x:v>6</x:v>
      </x:c>
      <x:c r="I1562" s="44" t="str">
        <x:v>09.06</x:v>
      </x:c>
      <x:c r="J1562" s="33" t="str">
        <x:v>Abel &amp; Willing</x:v>
      </x:c>
      <x:c r="K1562" s="33" t="str"/>
      <x:c r="L1562" s="33" t="str"/>
      <x:c r="M1562" s="44" t="str"/>
      <x:c r="N1562" s="50" t="n">
        <x:v>43</x:v>
      </x:c>
      <x:c r="O1562" s="53" t="str">
        <x:v>A psychologist conducts unimaginable field experiments asking his human test subjects to make the impossible choice, but Detectives Nichols and Stevens are even more surprised by the man's inspiration.</x:v>
      </x:c>
      <x:c r="P1562" s="53" t="str">
        <x:v>Core Law &amp; Order franchise</x:v>
      </x:c>
      <x:c r="Q1562" s="17" t="str">
        <x:v>341388</x:v>
      </x:c>
      <x:c r="R1562" s="17" t="str">
        <x:v>tt1598660</x:v>
      </x:c>
      <x:c r="S1562" s="17" t="str">
        <x:v>1124</x:v>
      </x:c>
    </x:row>
    <x:row r="1563">
      <x:c r="A1563" s="43" t="n">
        <x:v>1559</x:v>
      </x:c>
      <x:c r="B1563" s="44" t="str">
        <x:v>Not Started</x:v>
      </x:c>
      <x:c r="C1563" s="45" t="n">
        <x:v>40303</x:v>
      </x:c>
      <x:c r="D1563" s="33" t="str">
        <x:v>In Plain Sight</x:v>
      </x:c>
      <x:c r="E1563" s="33" t="str">
        <x:v>Crossover Adjacent</x:v>
      </x:c>
      <x:c r="F1563" s="33" t="str">
        <x:v>connected</x:v>
      </x:c>
      <x:c r="G1563" s="50" t="n">
        <x:v>3</x:v>
      </x:c>
      <x:c r="H1563" s="50" t="n">
        <x:v>6</x:v>
      </x:c>
      <x:c r="I1563" s="44" t="str">
        <x:v>03.06</x:v>
      </x:c>
      <x:c r="J1563" s="33" t="str">
        <x:v>No Clemency for Old Men</x:v>
      </x:c>
      <x:c r="K1563" s="33" t="str"/>
      <x:c r="L1563" s="33" t="str"/>
      <x:c r="M1563" s="44" t="str"/>
      <x:c r="N1563" s="50" t="n">
        <x:v>42</x:v>
      </x:c>
      <x:c r="O1563" s="53" t="str">
        <x:v>Mary tries to help a parolee acclimate to life outside of prison after having spent 38 years behind bars while Marshall helps out when one of Mary's witnesses no longer wants to work with her.</x:v>
      </x:c>
      <x:c r="P1563" s="53" t="str">
        <x:v>SVU character crossover / shared Dick Wolf connection</x:v>
      </x:c>
      <x:c r="Q1563" s="17" t="str">
        <x:v>393595</x:v>
      </x:c>
      <x:c r="R1563" s="17" t="str">
        <x:v>tt1622766</x:v>
      </x:c>
      <x:c r="S1563" s="17" t="str">
        <x:v>1126</x:v>
      </x:c>
    </x:row>
    <x:row r="1564">
      <x:c r="A1564" s="43" t="n">
        <x:v>1560</x:v>
      </x:c>
      <x:c r="B1564" s="44" t="str">
        <x:v>Not Started</x:v>
      </x:c>
      <x:c r="C1564" s="45" t="n">
        <x:v>40303</x:v>
      </x:c>
      <x:c r="D1564" s="33" t="str">
        <x:v>Law &amp; Order: Special Victims Unit</x:v>
      </x:c>
      <x:c r="E1564" s="33" t="str">
        <x:v>Law &amp; Order</x:v>
      </x:c>
      <x:c r="F1564" s="33" t="str">
        <x:v>core</x:v>
      </x:c>
      <x:c r="G1564" s="50" t="n">
        <x:v>11</x:v>
      </x:c>
      <x:c r="H1564" s="50" t="n">
        <x:v>22</x:v>
      </x:c>
      <x:c r="I1564" s="44" t="str">
        <x:v>11.22</x:v>
      </x:c>
      <x:c r="J1564" s="33" t="str">
        <x:v>Ace</x:v>
      </x:c>
      <x:c r="K1564" s="33" t="str"/>
      <x:c r="L1564" s="33" t="str"/>
      <x:c r="M1564" s="44" t="str"/>
      <x:c r="N1564" s="50" t="n">
        <x:v>42</x:v>
      </x:c>
      <x:c r="O1564" s="53" t="str">
        <x:v>When a pregnant woman is raped, Detectives Olivia Benson and Eliot Stabler arrive at the hospital to find that she has fled. Even when someone is arrested for a similar offense, ADA Jo Marlowe says she doesn't have a case in court unless they find the victim and get a statement from her. Soon, Benson and Stabler connect the woman to an illegal adoption operation, forcing them to go undercover and expose the truth.</x:v>
      </x:c>
      <x:c r="P1564" s="53" t="str">
        <x:v>Core Law &amp; Order franchise</x:v>
      </x:c>
      <x:c r="Q1564" s="17" t="str">
        <x:v>225186</x:v>
      </x:c>
      <x:c r="R1564" s="17" t="str">
        <x:v>tt1638652</x:v>
      </x:c>
      <x:c r="S1564" s="17" t="str">
        <x:v>1125</x:v>
      </x:c>
    </x:row>
    <x:row r="1565">
      <x:c r="A1565" s="43" t="n">
        <x:v>1561</x:v>
      </x:c>
      <x:c r="B1565" s="44" t="str">
        <x:v>Not Started</x:v>
      </x:c>
      <x:c r="C1565" s="45" t="n">
        <x:v>40308</x:v>
      </x:c>
      <x:c r="D1565" s="33" t="str">
        <x:v>Law &amp; Order</x:v>
      </x:c>
      <x:c r="E1565" s="33" t="str">
        <x:v>Law &amp; Order</x:v>
      </x:c>
      <x:c r="F1565" s="33" t="str">
        <x:v>core</x:v>
      </x:c>
      <x:c r="G1565" s="50" t="n">
        <x:v>20</x:v>
      </x:c>
      <x:c r="H1565" s="50" t="n">
        <x:v>20</x:v>
      </x:c>
      <x:c r="I1565" s="44" t="str">
        <x:v>20.20</x:v>
      </x:c>
      <x:c r="J1565" s="33" t="str">
        <x:v>The Taxman Cometh</x:v>
      </x:c>
      <x:c r="K1565" s="33" t="str"/>
      <x:c r="L1565" s="33" t="str"/>
      <x:c r="M1565" s="44" t="str"/>
      <x:c r="N1565" s="50" t="n">
        <x:v>45</x:v>
      </x:c>
      <x:c r="O1565" s="53" t="str">
        <x:v>Lupo and Bernard uncover a possible conspiracy to kill off wealthy cancer patients, so their inheritors don't have to pay an estate tax. However, legal roadblocks make the case difficult to prosecute.</x:v>
      </x:c>
      <x:c r="P1565" s="53" t="str">
        <x:v>Core Law &amp; Order franchise</x:v>
      </x:c>
      <x:c r="Q1565" s="17" t="str">
        <x:v>34507</x:v>
      </x:c>
      <x:c r="R1565" s="17" t="str">
        <x:v>tt1629041</x:v>
      </x:c>
      <x:c r="S1565" s="17" t="str">
        <x:v>1127</x:v>
      </x:c>
    </x:row>
    <x:row r="1566">
      <x:c r="A1566" s="43" t="n">
        <x:v>1562</x:v>
      </x:c>
      <x:c r="B1566" s="44" t="str">
        <x:v>Not Started</x:v>
      </x:c>
      <x:c r="C1566" s="45" t="n">
        <x:v>40309</x:v>
      </x:c>
      <x:c r="D1566" s="33" t="str">
        <x:v>Law &amp; Order: Criminal Intent</x:v>
      </x:c>
      <x:c r="E1566" s="33" t="str">
        <x:v>Law &amp; Order</x:v>
      </x:c>
      <x:c r="F1566" s="33" t="str">
        <x:v>core</x:v>
      </x:c>
      <x:c r="G1566" s="50" t="n">
        <x:v>9</x:v>
      </x:c>
      <x:c r="H1566" s="50" t="n">
        <x:v>7</x:v>
      </x:c>
      <x:c r="I1566" s="44" t="str">
        <x:v>09.07</x:v>
      </x:c>
      <x:c r="J1566" s="33" t="str">
        <x:v>Love Sick</x:v>
      </x:c>
      <x:c r="K1566" s="33" t="str"/>
      <x:c r="L1566" s="33" t="str"/>
      <x:c r="M1566" s="44" t="str"/>
      <x:c r="N1566" s="50" t="n">
        <x:v>42</x:v>
      </x:c>
      <x:c r="O1566" s="53" t="str">
        <x:v>Detectives Nichols and Stevens investigate a nurse and the men who love her while looking into the death of a woman who was treated in the emergency room shortly before she was murdered.</x:v>
      </x:c>
      <x:c r="P1566" s="53" t="str">
        <x:v>Core Law &amp; Order franchise</x:v>
      </x:c>
      <x:c r="Q1566" s="17" t="str">
        <x:v>341389</x:v>
      </x:c>
      <x:c r="R1566" s="17" t="str">
        <x:v>tt1618648</x:v>
      </x:c>
      <x:c r="S1566" s="17" t="str">
        <x:v>1128</x:v>
      </x:c>
    </x:row>
    <x:row r="1567">
      <x:c r="A1567" s="43" t="n">
        <x:v>1563</x:v>
      </x:c>
      <x:c r="B1567" s="44" t="str">
        <x:v>Not Started</x:v>
      </x:c>
      <x:c r="C1567" s="45" t="n">
        <x:v>40310</x:v>
      </x:c>
      <x:c r="D1567" s="33" t="str">
        <x:v>In Plain Sight</x:v>
      </x:c>
      <x:c r="E1567" s="33" t="str">
        <x:v>Crossover Adjacent</x:v>
      </x:c>
      <x:c r="F1567" s="33" t="str">
        <x:v>connected</x:v>
      </x:c>
      <x:c r="G1567" s="50" t="n">
        <x:v>3</x:v>
      </x:c>
      <x:c r="H1567" s="50" t="n">
        <x:v>7</x:v>
      </x:c>
      <x:c r="I1567" s="44" t="str">
        <x:v>03.07</x:v>
      </x:c>
      <x:c r="J1567" s="33" t="str">
        <x:v>Love's Faber Lost</x:v>
      </x:c>
      <x:c r="K1567" s="33" t="str"/>
      <x:c r="L1567" s="33" t="str"/>
      <x:c r="M1567" s="44" t="str"/>
      <x:c r="N1567" s="50" t="n">
        <x:v>43</x:v>
      </x:c>
      <x:c r="O1567" s="53" t="str">
        <x:v>Mary's new witness is part of a mortgage fraud ring and is an important link in the case of FBI Agent Faber.</x:v>
      </x:c>
      <x:c r="P1567" s="53" t="str">
        <x:v>SVU character crossover / shared Dick Wolf connection</x:v>
      </x:c>
      <x:c r="Q1567" s="17" t="str">
        <x:v>393596</x:v>
      </x:c>
      <x:c r="R1567" s="17" t="str">
        <x:v>tt1631584</x:v>
      </x:c>
      <x:c r="S1567" s="17" t="str">
        <x:v>1130</x:v>
      </x:c>
    </x:row>
    <x:row r="1568">
      <x:c r="A1568" s="43" t="n">
        <x:v>1564</x:v>
      </x:c>
      <x:c r="B1568" s="44" t="str">
        <x:v>Not Started</x:v>
      </x:c>
      <x:c r="C1568" s="45" t="n">
        <x:v>40310</x:v>
      </x:c>
      <x:c r="D1568" s="33" t="str">
        <x:v>Law &amp; Order: Special Victims Unit</x:v>
      </x:c>
      <x:c r="E1568" s="33" t="str">
        <x:v>Law &amp; Order</x:v>
      </x:c>
      <x:c r="F1568" s="33" t="str">
        <x:v>core</x:v>
      </x:c>
      <x:c r="G1568" s="50" t="n">
        <x:v>11</x:v>
      </x:c>
      <x:c r="H1568" s="50" t="n">
        <x:v>23</x:v>
      </x:c>
      <x:c r="I1568" s="44" t="str">
        <x:v>11.23</x:v>
      </x:c>
      <x:c r="J1568" s="33" t="str">
        <x:v>Wannabe</x:v>
      </x:c>
      <x:c r="K1568" s="33" t="str"/>
      <x:c r="L1568" s="33" t="str"/>
      <x:c r="M1568" s="44" t="str"/>
      <x:c r="N1568" s="50" t="n">
        <x:v>42</x:v>
      </x:c>
      <x:c r="O1568" s="53" t="str">
        <x:v>After a man flashes customers at an electronics store, it is discovered that someone who matches his description has recently raped three young girls. Captain Donald Cragen orchestrates a movement to catch the rapist, and a rookie cop makes an arrest. Detectives Olivia Benson and Eliot Stabler confirm that they've found their man, but after ADA Jo Marlowe expresses some doubts, it is soon discovered that the so-called rookie may have some secrets of his own.</x:v>
      </x:c>
      <x:c r="P1568" s="53" t="str">
        <x:v>Core Law &amp; Order franchise</x:v>
      </x:c>
      <x:c r="Q1568" s="17" t="str">
        <x:v>225187</x:v>
      </x:c>
      <x:c r="R1568" s="17" t="str">
        <x:v>tt1644792</x:v>
      </x:c>
      <x:c r="S1568" s="17" t="str">
        <x:v>1129</x:v>
      </x:c>
    </x:row>
    <x:row r="1569">
      <x:c r="A1569" s="43" t="n">
        <x:v>1565</x:v>
      </x:c>
      <x:c r="B1569" s="44" t="str">
        <x:v>Not Started</x:v>
      </x:c>
      <x:c r="C1569" s="45" t="n">
        <x:v>40315</x:v>
      </x:c>
      <x:c r="D1569" s="33" t="str">
        <x:v>Law &amp; Order</x:v>
      </x:c>
      <x:c r="E1569" s="33" t="str">
        <x:v>Law &amp; Order</x:v>
      </x:c>
      <x:c r="F1569" s="33" t="str">
        <x:v>core</x:v>
      </x:c>
      <x:c r="G1569" s="50" t="n">
        <x:v>20</x:v>
      </x:c>
      <x:c r="H1569" s="50" t="n">
        <x:v>21</x:v>
      </x:c>
      <x:c r="I1569" s="44" t="str">
        <x:v>20.21</x:v>
      </x:c>
      <x:c r="J1569" s="33" t="str">
        <x:v>Immortal</x:v>
      </x:c>
      <x:c r="K1569" s="33" t="str"/>
      <x:c r="L1569" s="33" t="str"/>
      <x:c r="M1569" s="44" t="str"/>
      <x:c r="N1569" s="50" t="n">
        <x:v>45</x:v>
      </x:c>
      <x:c r="O1569" s="53" t="str">
        <x:v>A man's double life is discovered after he is stabbed to death.</x:v>
      </x:c>
      <x:c r="P1569" s="53" t="str">
        <x:v>Core Law &amp; Order franchise</x:v>
      </x:c>
      <x:c r="Q1569" s="17" t="str">
        <x:v>34508</x:v>
      </x:c>
      <x:c r="R1569" s="17" t="str">
        <x:v>tt1628344</x:v>
      </x:c>
      <x:c r="S1569" s="17" t="str">
        <x:v>1131</x:v>
      </x:c>
    </x:row>
    <x:row r="1570">
      <x:c r="A1570" s="43" t="n">
        <x:v>1566</x:v>
      </x:c>
      <x:c r="B1570" s="44" t="str">
        <x:v>Not Started</x:v>
      </x:c>
      <x:c r="C1570" s="45" t="n">
        <x:v>40315</x:v>
      </x:c>
      <x:c r="D1570" s="33" t="str">
        <x:v>Law &amp; Order</x:v>
      </x:c>
      <x:c r="E1570" s="33" t="str">
        <x:v>Law &amp; Order</x:v>
      </x:c>
      <x:c r="F1570" s="33" t="str">
        <x:v>core</x:v>
      </x:c>
      <x:c r="G1570" s="50" t="n">
        <x:v>20</x:v>
      </x:c>
      <x:c r="H1570" s="50" t="n">
        <x:v>22</x:v>
      </x:c>
      <x:c r="I1570" s="44" t="str">
        <x:v>20.22</x:v>
      </x:c>
      <x:c r="J1570" s="33" t="str">
        <x:v>Love Eternal</x:v>
      </x:c>
      <x:c r="K1570" s="33" t="str"/>
      <x:c r="L1570" s="33" t="str"/>
      <x:c r="M1570" s="44" t="str"/>
      <x:c r="N1570" s="50" t="n">
        <x:v>45</x:v>
      </x:c>
      <x:c r="O1570" s="53" t="str">
        <x:v>When a reality TV crew finds a dead man's body locked in a dog cage, detectives suspect the victim's wife.</x:v>
      </x:c>
      <x:c r="P1570" s="53" t="str">
        <x:v>Core Law &amp; Order franchise</x:v>
      </x:c>
      <x:c r="Q1570" s="17" t="str">
        <x:v>34509</x:v>
      </x:c>
      <x:c r="R1570" s="17" t="str">
        <x:v>tt1644790</x:v>
      </x:c>
      <x:c r="S1570" s="17" t="str">
        <x:v>1132</x:v>
      </x:c>
    </x:row>
    <x:row r="1571">
      <x:c r="A1571" s="43" t="n">
        <x:v>1567</x:v>
      </x:c>
      <x:c r="B1571" s="44" t="str">
        <x:v>Not Started</x:v>
      </x:c>
      <x:c r="C1571" s="45" t="n">
        <x:v>40316</x:v>
      </x:c>
      <x:c r="D1571" s="33" t="str">
        <x:v>Law &amp; Order: Criminal Intent</x:v>
      </x:c>
      <x:c r="E1571" s="33" t="str">
        <x:v>Law &amp; Order</x:v>
      </x:c>
      <x:c r="F1571" s="33" t="str">
        <x:v>core</x:v>
      </x:c>
      <x:c r="G1571" s="50" t="n">
        <x:v>9</x:v>
      </x:c>
      <x:c r="H1571" s="50" t="n">
        <x:v>8</x:v>
      </x:c>
      <x:c r="I1571" s="44" t="str">
        <x:v>09.08</x:v>
      </x:c>
      <x:c r="J1571" s="33" t="str">
        <x:v>Love on Ice</x:v>
      </x:c>
      <x:c r="K1571" s="33" t="str"/>
      <x:c r="L1571" s="33" t="str"/>
      <x:c r="M1571" s="44" t="str"/>
      <x:c r="N1571" s="50" t="n">
        <x:v>43</x:v>
      </x:c>
      <x:c r="O1571" s="53" t="str">
        <x:v>Four men who have been friends since high school discover they're being blackmailed over the death of another childhood friend. When one of the four turns up dead, it's up to Nichols and Stevens to uncover the truth behind a 22-year-old mystery.</x:v>
      </x:c>
      <x:c r="P1571" s="53" t="str">
        <x:v>Core Law &amp; Order franchise</x:v>
      </x:c>
      <x:c r="Q1571" s="17" t="str">
        <x:v>341390</x:v>
      </x:c>
      <x:c r="R1571" s="17" t="str">
        <x:v>tt1618649</x:v>
      </x:c>
      <x:c r="S1571" s="17" t="str">
        <x:v>1133</x:v>
      </x:c>
    </x:row>
    <x:row r="1572">
      <x:c r="A1572" s="43" t="n">
        <x:v>1568</x:v>
      </x:c>
      <x:c r="B1572" s="44" t="str">
        <x:v>Not Started</x:v>
      </x:c>
      <x:c r="C1572" s="45" t="n">
        <x:v>40317</x:v>
      </x:c>
      <x:c r="D1572" s="33" t="str">
        <x:v>In Plain Sight</x:v>
      </x:c>
      <x:c r="E1572" s="33" t="str">
        <x:v>Crossover Adjacent</x:v>
      </x:c>
      <x:c r="F1572" s="33" t="str">
        <x:v>connected</x:v>
      </x:c>
      <x:c r="G1572" s="50" t="n">
        <x:v>3</x:v>
      </x:c>
      <x:c r="H1572" s="50" t="n">
        <x:v>8</x:v>
      </x:c>
      <x:c r="I1572" s="44" t="str">
        <x:v>03.08</x:v>
      </x:c>
      <x:c r="J1572" s="33" t="str">
        <x:v>Son of Mann</x:v>
      </x:c>
      <x:c r="K1572" s="33" t="str"/>
      <x:c r="L1572" s="33" t="str"/>
      <x:c r="M1572" s="44" t="str"/>
      <x:c r="N1572" s="50" t="n">
        <x:v>43</x:v>
      </x:c>
      <x:c r="O1572" s="53" t="str">
        <x:v>Marshall is being evaluated in the field by his father (Geoff Pierson) during a joint fugitive operation. Mary meets Brandi's secret friend.</x:v>
      </x:c>
      <x:c r="P1572" s="53" t="str">
        <x:v>SVU character crossover / shared Dick Wolf connection</x:v>
      </x:c>
      <x:c r="Q1572" s="17" t="str">
        <x:v>393597</x:v>
      </x:c>
      <x:c r="R1572" s="17" t="str">
        <x:v>tt1654280</x:v>
      </x:c>
      <x:c r="S1572" s="17" t="str">
        <x:v>1135</x:v>
      </x:c>
    </x:row>
    <x:row r="1573">
      <x:c r="A1573" s="43" t="n">
        <x:v>1569</x:v>
      </x:c>
      <x:c r="B1573" s="44" t="str">
        <x:v>Not Started</x:v>
      </x:c>
      <x:c r="C1573" s="45" t="n">
        <x:v>40317</x:v>
      </x:c>
      <x:c r="D1573" s="33" t="str">
        <x:v>Law &amp; Order: Special Victims Unit</x:v>
      </x:c>
      <x:c r="E1573" s="33" t="str">
        <x:v>Law &amp; Order</x:v>
      </x:c>
      <x:c r="F1573" s="33" t="str">
        <x:v>core</x:v>
      </x:c>
      <x:c r="G1573" s="50" t="n">
        <x:v>11</x:v>
      </x:c>
      <x:c r="H1573" s="50" t="n">
        <x:v>24</x:v>
      </x:c>
      <x:c r="I1573" s="44" t="str">
        <x:v>11.24</x:v>
      </x:c>
      <x:c r="J1573" s="33" t="str">
        <x:v>Shattered</x:v>
      </x:c>
      <x:c r="K1573" s="33" t="str"/>
      <x:c r="L1573" s="33" t="str"/>
      <x:c r="M1573" s="44" t="str"/>
      <x:c r="N1573" s="50" t="n">
        <x:v>42</x:v>
      </x:c>
      <x:c r="O1573" s="53" t="str">
        <x:v>The detectives end up in a dangerous situation while investigating the whereabouts of a kidnapped eight-year-old boy.</x:v>
      </x:c>
      <x:c r="P1573" s="53" t="str">
        <x:v>Core Law &amp; Order franchise</x:v>
      </x:c>
      <x:c r="Q1573" s="17" t="str">
        <x:v>225188</x:v>
      </x:c>
      <x:c r="R1573" s="17" t="str">
        <x:v>tt1654294</x:v>
      </x:c>
      <x:c r="S1573" s="17" t="str">
        <x:v>1134</x:v>
      </x:c>
    </x:row>
    <x:row r="1574">
      <x:c r="A1574" s="43" t="n">
        <x:v>1570</x:v>
      </x:c>
      <x:c r="B1574" s="44" t="str">
        <x:v>Not Started</x:v>
      </x:c>
      <x:c r="C1574" s="45" t="n">
        <x:v>40322</x:v>
      </x:c>
      <x:c r="D1574" s="33" t="str">
        <x:v>Law &amp; Order</x:v>
      </x:c>
      <x:c r="E1574" s="33" t="str">
        <x:v>Law &amp; Order</x:v>
      </x:c>
      <x:c r="F1574" s="33" t="str">
        <x:v>core</x:v>
      </x:c>
      <x:c r="G1574" s="50" t="n">
        <x:v>20</x:v>
      </x:c>
      <x:c r="H1574" s="50" t="n">
        <x:v>23</x:v>
      </x:c>
      <x:c r="I1574" s="44" t="str">
        <x:v>20.23</x:v>
      </x:c>
      <x:c r="J1574" s="33" t="str">
        <x:v>Rubber Room</x:v>
      </x:c>
      <x:c r="K1574" s="33" t="str"/>
      <x:c r="L1574" s="33" t="str"/>
      <x:c r="M1574" s="44" t="str"/>
      <x:c r="N1574" s="50" t="n">
        <x:v>45</x:v>
      </x:c>
      <x:c r="O1574" s="53" t="str">
        <x:v>Detectives search for an anonymous blogger who has posted plans to blow up a school. Lt. Van Buren struggles to keep her personal issues private.</x:v>
      </x:c>
      <x:c r="P1574" s="53" t="str">
        <x:v>Core Law &amp; Order franchise</x:v>
      </x:c>
      <x:c r="Q1574" s="17" t="str">
        <x:v>34510</x:v>
      </x:c>
      <x:c r="R1574" s="17" t="str">
        <x:v>tt1644791</x:v>
      </x:c>
      <x:c r="S1574" s="17" t="str">
        <x:v>1136</x:v>
      </x:c>
    </x:row>
    <x:row r="1575">
      <x:c r="A1575" s="43" t="n">
        <x:v>1571</x:v>
      </x:c>
      <x:c r="B1575" s="44" t="str">
        <x:v>Not Started</x:v>
      </x:c>
      <x:c r="C1575" s="45" t="n">
        <x:v>40323</x:v>
      </x:c>
      <x:c r="D1575" s="33" t="str">
        <x:v>Law &amp; Order: Criminal Intent</x:v>
      </x:c>
      <x:c r="E1575" s="33" t="str">
        <x:v>Law &amp; Order</x:v>
      </x:c>
      <x:c r="F1575" s="33" t="str">
        <x:v>core</x:v>
      </x:c>
      <x:c r="G1575" s="50" t="n">
        <x:v>9</x:v>
      </x:c>
      <x:c r="H1575" s="50" t="n">
        <x:v>9</x:v>
      </x:c>
      <x:c r="I1575" s="44" t="str">
        <x:v>09.09</x:v>
      </x:c>
      <x:c r="J1575" s="33" t="str">
        <x:v>Traffic</x:v>
      </x:c>
      <x:c r="K1575" s="33" t="str"/>
      <x:c r="L1575" s="33" t="str"/>
      <x:c r="M1575" s="44" t="str"/>
      <x:c r="N1575" s="50" t="n">
        <x:v>43</x:v>
      </x:c>
      <x:c r="O1575" s="53" t="str">
        <x:v>The murder of a magazine editor reveals his predilection for young girls, leaving Nichols and Stevens investigating not only his staff, but a Russian prostitution ring.</x:v>
      </x:c>
      <x:c r="P1575" s="53" t="str">
        <x:v>Core Law &amp; Order franchise</x:v>
      </x:c>
      <x:c r="Q1575" s="17" t="str">
        <x:v>341391</x:v>
      </x:c>
      <x:c r="R1575" s="17" t="str">
        <x:v>tt1618065</x:v>
      </x:c>
      <x:c r="S1575" s="17" t="str">
        <x:v>1137</x:v>
      </x:c>
    </x:row>
    <x:row r="1576">
      <x:c r="A1576" s="43" t="n">
        <x:v>1572</x:v>
      </x:c>
      <x:c r="B1576" s="44" t="str">
        <x:v>Not Started</x:v>
      </x:c>
      <x:c r="C1576" s="45" t="n">
        <x:v>40330</x:v>
      </x:c>
      <x:c r="D1576" s="33" t="str">
        <x:v>Law &amp; Order: Criminal Intent</x:v>
      </x:c>
      <x:c r="E1576" s="33" t="str">
        <x:v>Law &amp; Order</x:v>
      </x:c>
      <x:c r="F1576" s="33" t="str">
        <x:v>core</x:v>
      </x:c>
      <x:c r="G1576" s="50" t="n">
        <x:v>9</x:v>
      </x:c>
      <x:c r="H1576" s="50" t="n">
        <x:v>10</x:v>
      </x:c>
      <x:c r="I1576" s="44" t="str">
        <x:v>09.10</x:v>
      </x:c>
      <x:c r="J1576" s="33" t="str">
        <x:v>Disciple</x:v>
      </x:c>
      <x:c r="K1576" s="33" t="str"/>
      <x:c r="L1576" s="33" t="str"/>
      <x:c r="M1576" s="44" t="str"/>
      <x:c r="N1576" s="50" t="n">
        <x:v>43</x:v>
      </x:c>
      <x:c r="O1576" s="53" t="str">
        <x:v>A new murder fits the style of a serial killer who was executed months earlier. Stevens must figure out if the killing is a copycat crime or if she helped convict an innocent man.</x:v>
      </x:c>
      <x:c r="P1576" s="53" t="str">
        <x:v>Core Law &amp; Order franchise</x:v>
      </x:c>
      <x:c r="Q1576" s="17" t="str">
        <x:v>341392</x:v>
      </x:c>
      <x:c r="R1576" s="17" t="str">
        <x:v>tt1662570</x:v>
      </x:c>
      <x:c r="S1576" s="17" t="str">
        <x:v>1138</x:v>
      </x:c>
    </x:row>
    <x:row r="1577">
      <x:c r="A1577" s="43" t="n">
        <x:v>1573</x:v>
      </x:c>
      <x:c r="B1577" s="44" t="str">
        <x:v>Not Started</x:v>
      </x:c>
      <x:c r="C1577" s="45" t="n">
        <x:v>40331</x:v>
      </x:c>
      <x:c r="D1577" s="33" t="str">
        <x:v>In Plain Sight</x:v>
      </x:c>
      <x:c r="E1577" s="33" t="str">
        <x:v>Crossover Adjacent</x:v>
      </x:c>
      <x:c r="F1577" s="33" t="str">
        <x:v>connected</x:v>
      </x:c>
      <x:c r="G1577" s="50" t="n">
        <x:v>3</x:v>
      </x:c>
      <x:c r="H1577" s="50" t="n">
        <x:v>9</x:v>
      </x:c>
      <x:c r="I1577" s="44" t="str">
        <x:v>03.09</x:v>
      </x:c>
      <x:c r="J1577" s="33" t="str">
        <x:v>Death Becomes Her</x:v>
      </x:c>
      <x:c r="K1577" s="33" t="str"/>
      <x:c r="L1577" s="33" t="str"/>
      <x:c r="M1577" s="44" t="str"/>
      <x:c r="N1577" s="50" t="n">
        <x:v>43</x:v>
      </x:c>
      <x:c r="O1577" s="53" t="str">
        <x:v>A woman wants to escape from her family, who are heavily involved in organized crime, but a secret from her past puts her eligibility for the Witness Protection program in jeopardy.</x:v>
      </x:c>
      <x:c r="P1577" s="53" t="str">
        <x:v>SVU character crossover / shared Dick Wolf connection</x:v>
      </x:c>
      <x:c r="Q1577" s="17" t="str">
        <x:v>393598</x:v>
      </x:c>
      <x:c r="R1577" s="17" t="str">
        <x:v>tt1661990</x:v>
      </x:c>
      <x:c r="S1577" s="17" t="str">
        <x:v>1139</x:v>
      </x:c>
    </x:row>
    <x:row r="1578">
      <x:c r="A1578" s="43" t="n">
        <x:v>1574</x:v>
      </x:c>
      <x:c r="B1578" s="44" t="str">
        <x:v>Not Started</x:v>
      </x:c>
      <x:c r="C1578" s="45" t="n">
        <x:v>40337</x:v>
      </x:c>
      <x:c r="D1578" s="33" t="str">
        <x:v>Law &amp; Order: Criminal Intent</x:v>
      </x:c>
      <x:c r="E1578" s="33" t="str">
        <x:v>Law &amp; Order</x:v>
      </x:c>
      <x:c r="F1578" s="33" t="str">
        <x:v>core</x:v>
      </x:c>
      <x:c r="G1578" s="50" t="n">
        <x:v>9</x:v>
      </x:c>
      <x:c r="H1578" s="50" t="n">
        <x:v>11</x:v>
      </x:c>
      <x:c r="I1578" s="44" t="str">
        <x:v>09.11</x:v>
      </x:c>
      <x:c r="J1578" s="33" t="str">
        <x:v>Lost Children of the Blood</x:v>
      </x:c>
      <x:c r="K1578" s="33" t="str"/>
      <x:c r="L1578" s="33" t="str"/>
      <x:c r="M1578" s="44" t="str"/>
      <x:c r="N1578" s="50" t="n">
        <x:v>42</x:v>
      </x:c>
      <x:c r="O1578" s="53" t="str">
        <x:v>The body of a bright young college student is found completely drained of blood. What appears to be a sex game gone wrong leads to a world of underground clubs, blood dealers, and a fanatical cult who believe themselves immortal.</x:v>
      </x:c>
      <x:c r="P1578" s="53" t="str">
        <x:v>Core Law &amp; Order franchise</x:v>
      </x:c>
      <x:c r="Q1578" s="17" t="str">
        <x:v>341393</x:v>
      </x:c>
      <x:c r="R1578" s="17" t="str">
        <x:v>tt1662148</x:v>
      </x:c>
      <x:c r="S1578" s="17" t="str">
        <x:v>1140</x:v>
      </x:c>
    </x:row>
    <x:row r="1579">
      <x:c r="A1579" s="43" t="n">
        <x:v>1575</x:v>
      </x:c>
      <x:c r="B1579" s="44" t="str">
        <x:v>Not Started</x:v>
      </x:c>
      <x:c r="C1579" s="45" t="n">
        <x:v>40338</x:v>
      </x:c>
      <x:c r="D1579" s="33" t="str">
        <x:v>In Plain Sight</x:v>
      </x:c>
      <x:c r="E1579" s="33" t="str">
        <x:v>Crossover Adjacent</x:v>
      </x:c>
      <x:c r="F1579" s="33" t="str">
        <x:v>connected</x:v>
      </x:c>
      <x:c r="G1579" s="50" t="n">
        <x:v>3</x:v>
      </x:c>
      <x:c r="H1579" s="50" t="n">
        <x:v>10</x:v>
      </x:c>
      <x:c r="I1579" s="44" t="str">
        <x:v>03.10</x:v>
      </x:c>
      <x:c r="J1579" s="33" t="str">
        <x:v>Her Days Are Numbered</x:v>
      </x:c>
      <x:c r="K1579" s="33" t="str"/>
      <x:c r="L1579" s="33" t="str"/>
      <x:c r="M1579" s="44" t="str"/>
      <x:c r="N1579" s="50" t="n">
        <x:v>42</x:v>
      </x:c>
      <x:c r="O1579" s="53" t="str">
        <x:v>A witness with Aspergers who has no social filter and can't lie stymies Mary, particularly when the witness refuses to testify against her only friend – the key conspirator in a numbers case. Meanwhile, Marshall and Stan race to figure out why an Immigration and Customs Enforcement agent is holding up the visa of a key witness before she is deported. Plus, Brandi reveals her plan for the money she made by investing with Scott.</x:v>
      </x:c>
      <x:c r="P1579" s="53" t="str">
        <x:v>SVU character crossover / shared Dick Wolf connection</x:v>
      </x:c>
      <x:c r="Q1579" s="17" t="str">
        <x:v>393599</x:v>
      </x:c>
      <x:c r="R1579" s="17" t="str">
        <x:v>tt1662565</x:v>
      </x:c>
      <x:c r="S1579" s="17" t="str">
        <x:v>1141</x:v>
      </x:c>
    </x:row>
    <x:row r="1580">
      <x:c r="A1580" s="43" t="n">
        <x:v>1576</x:v>
      </x:c>
      <x:c r="B1580" s="44" t="str">
        <x:v>Not Started</x:v>
      </x:c>
      <x:c r="C1580" s="45" t="n">
        <x:v>40344</x:v>
      </x:c>
      <x:c r="D1580" s="33" t="str">
        <x:v>Law &amp; Order: Criminal Intent</x:v>
      </x:c>
      <x:c r="E1580" s="33" t="str">
        <x:v>Law &amp; Order</x:v>
      </x:c>
      <x:c r="F1580" s="33" t="str">
        <x:v>core</x:v>
      </x:c>
      <x:c r="G1580" s="50" t="n">
        <x:v>9</x:v>
      </x:c>
      <x:c r="H1580" s="50" t="n">
        <x:v>12</x:v>
      </x:c>
      <x:c r="I1580" s="44" t="str">
        <x:v>09.12</x:v>
      </x:c>
      <x:c r="J1580" s="33" t="str">
        <x:v>True Legacy</x:v>
      </x:c>
      <x:c r="K1580" s="33" t="str"/>
      <x:c r="L1580" s="33" t="str"/>
      <x:c r="M1580" s="44" t="str"/>
      <x:c r="N1580" s="50" t="n">
        <x:v>43</x:v>
      </x:c>
      <x:c r="O1580" s="53" t="str">
        <x:v>While investigating the murder of a food truck business owner, Nichols and Stevens uncover evidence of an affair and a possible larger scandal involving a New York senator.</x:v>
      </x:c>
      <x:c r="P1580" s="53" t="str">
        <x:v>Core Law &amp; Order franchise</x:v>
      </x:c>
      <x:c r="Q1580" s="17" t="str">
        <x:v>341394</x:v>
      </x:c>
      <x:c r="R1580" s="17" t="str">
        <x:v>tt1664323</x:v>
      </x:c>
      <x:c r="S1580" s="17" t="str">
        <x:v>1142</x:v>
      </x:c>
    </x:row>
    <x:row r="1581">
      <x:c r="A1581" s="43" t="n">
        <x:v>1577</x:v>
      </x:c>
      <x:c r="B1581" s="44" t="str">
        <x:v>Not Started</x:v>
      </x:c>
      <x:c r="C1581" s="45" t="n">
        <x:v>40345</x:v>
      </x:c>
      <x:c r="D1581" s="33" t="str">
        <x:v>In Plain Sight</x:v>
      </x:c>
      <x:c r="E1581" s="33" t="str">
        <x:v>Crossover Adjacent</x:v>
      </x:c>
      <x:c r="F1581" s="33" t="str">
        <x:v>connected</x:v>
      </x:c>
      <x:c r="G1581" s="50" t="n">
        <x:v>3</x:v>
      </x:c>
      <x:c r="H1581" s="50" t="n">
        <x:v>11</x:v>
      </x:c>
      <x:c r="I1581" s="44" t="str">
        <x:v>03.11</x:v>
      </x:c>
      <x:c r="J1581" s="33" t="str">
        <x:v>The Born Identity</x:v>
      </x:c>
      <x:c r="K1581" s="33" t="str"/>
      <x:c r="L1581" s="33" t="str"/>
      <x:c r="M1581" s="44" t="str"/>
      <x:c r="N1581" s="50" t="n">
        <x:v>42</x:v>
      </x:c>
      <x:c r="O1581" s="53" t="str">
        <x:v>Mary helps her latest witness, a homeless man who's struggling with the program, find his birth parents. But the search could cause more problems than she anticipated. Elsewhere, Scott asks to borrow more money, raising a red flag for Brandi.</x:v>
      </x:c>
      <x:c r="P1581" s="53" t="str">
        <x:v>SVU character crossover / shared Dick Wolf connection</x:v>
      </x:c>
      <x:c r="Q1581" s="17" t="str">
        <x:v>393600</x:v>
      </x:c>
      <x:c r="R1581" s="17" t="str">
        <x:v>tt1662566</x:v>
      </x:c>
      <x:c r="S1581" s="17" t="str">
        <x:v>1143</x:v>
      </x:c>
    </x:row>
    <x:row r="1582">
      <x:c r="A1582" s="43" t="n">
        <x:v>1578</x:v>
      </x:c>
      <x:c r="B1582" s="44" t="str">
        <x:v>Not Started</x:v>
      </x:c>
      <x:c r="C1582" s="45" t="n">
        <x:v>40351</x:v>
      </x:c>
      <x:c r="D1582" s="33" t="str">
        <x:v>Law &amp; Order: Criminal Intent</x:v>
      </x:c>
      <x:c r="E1582" s="33" t="str">
        <x:v>Law &amp; Order</x:v>
      </x:c>
      <x:c r="F1582" s="33" t="str">
        <x:v>core</x:v>
      </x:c>
      <x:c r="G1582" s="50" t="n">
        <x:v>9</x:v>
      </x:c>
      <x:c r="H1582" s="50" t="n">
        <x:v>13</x:v>
      </x:c>
      <x:c r="I1582" s="44" t="str">
        <x:v>09.13</x:v>
      </x:c>
      <x:c r="J1582" s="33" t="str">
        <x:v>The Mobster Will See You Now</x:v>
      </x:c>
      <x:c r="K1582" s="33" t="str"/>
      <x:c r="L1582" s="33" t="str"/>
      <x:c r="M1582" s="44" t="str"/>
      <x:c r="N1582" s="50" t="n">
        <x:v>42</x:v>
      </x:c>
      <x:c r="O1582" s="53" t="str">
        <x:v>A government official blackmails two doctors for overcharging patients before he is killed. The doctors have another secret to protect, however, and worry that someone will find out mobsters financed their practice.</x:v>
      </x:c>
      <x:c r="P1582" s="53" t="str">
        <x:v>Core Law &amp; Order franchise</x:v>
      </x:c>
      <x:c r="Q1582" s="17" t="str">
        <x:v>341395</x:v>
      </x:c>
      <x:c r="R1582" s="17" t="str">
        <x:v>tt1665572</x:v>
      </x:c>
      <x:c r="S1582" s="17" t="str">
        <x:v>1144</x:v>
      </x:c>
    </x:row>
    <x:row r="1583">
      <x:c r="A1583" s="43" t="n">
        <x:v>1579</x:v>
      </x:c>
      <x:c r="B1583" s="44" t="str">
        <x:v>Not Started</x:v>
      </x:c>
      <x:c r="C1583" s="45" t="n">
        <x:v>40352</x:v>
      </x:c>
      <x:c r="D1583" s="33" t="str">
        <x:v>In Plain Sight</x:v>
      </x:c>
      <x:c r="E1583" s="33" t="str">
        <x:v>Crossover Adjacent</x:v>
      </x:c>
      <x:c r="F1583" s="33" t="str">
        <x:v>connected</x:v>
      </x:c>
      <x:c r="G1583" s="50" t="n">
        <x:v>3</x:v>
      </x:c>
      <x:c r="H1583" s="50" t="n">
        <x:v>12</x:v>
      </x:c>
      <x:c r="I1583" s="44" t="str">
        <x:v>03.12</x:v>
      </x:c>
      <x:c r="J1583" s="33" t="str">
        <x:v>WITSEC Stepmother</x:v>
      </x:c>
      <x:c r="K1583" s="33" t="str"/>
      <x:c r="L1583" s="33" t="str"/>
      <x:c r="M1583" s="44" t="str"/>
      <x:c r="N1583" s="50" t="n">
        <x:v>42</x:v>
      </x:c>
      <x:c r="O1583" s="53" t="str">
        <x:v>Mary keeps an eye on a teen witness whose separated parents are too distracted by their own issues to pay attention to their daughter. Marshall thinks a witness may have betrayed his brother; and Brandi tends to Scott after he's attacked.</x:v>
      </x:c>
      <x:c r="P1583" s="53" t="str">
        <x:v>SVU character crossover / shared Dick Wolf connection</x:v>
      </x:c>
      <x:c r="Q1583" s="17" t="str">
        <x:v>393601</x:v>
      </x:c>
      <x:c r="R1583" s="17" t="str">
        <x:v>tt1662567</x:v>
      </x:c>
      <x:c r="S1583" s="17" t="str">
        <x:v>1145</x:v>
      </x:c>
    </x:row>
    <x:row r="1584">
      <x:c r="A1584" s="43" t="n">
        <x:v>1580</x:v>
      </x:c>
      <x:c r="B1584" s="44" t="str">
        <x:v>Not Started</x:v>
      </x:c>
      <x:c r="C1584" s="45" t="n">
        <x:v>40358</x:v>
      </x:c>
      <x:c r="D1584" s="33" t="str">
        <x:v>Law &amp; Order: Criminal Intent</x:v>
      </x:c>
      <x:c r="E1584" s="33" t="str">
        <x:v>Law &amp; Order</x:v>
      </x:c>
      <x:c r="F1584" s="33" t="str">
        <x:v>core</x:v>
      </x:c>
      <x:c r="G1584" s="50" t="n">
        <x:v>9</x:v>
      </x:c>
      <x:c r="H1584" s="50" t="n">
        <x:v>14</x:v>
      </x:c>
      <x:c r="I1584" s="44" t="str">
        <x:v>09.14</x:v>
      </x:c>
      <x:c r="J1584" s="33" t="str">
        <x:v>Palimpsest</x:v>
      </x:c>
      <x:c r="K1584" s="33" t="str"/>
      <x:c r="L1584" s="33" t="str"/>
      <x:c r="M1584" s="44" t="str"/>
      <x:c r="N1584" s="50" t="n">
        <x:v>41</x:v>
      </x:c>
      <x:c r="O1584" s="53" t="str">
        <x:v>Nichols takes a very personal interest in a case that turns out to have many layers when an old friend is murdered, and somehow the reclusive book dealer's troubled daughter is also involved.</x:v>
      </x:c>
      <x:c r="P1584" s="53" t="str">
        <x:v>Core Law &amp; Order franchise</x:v>
      </x:c>
      <x:c r="Q1584" s="17" t="str">
        <x:v>341396</x:v>
      </x:c>
      <x:c r="R1584" s="17" t="str">
        <x:v>tt1678652</x:v>
      </x:c>
      <x:c r="S1584" s="17" t="str">
        <x:v>1146</x:v>
      </x:c>
    </x:row>
    <x:row r="1585">
      <x:c r="A1585" s="43" t="n">
        <x:v>1581</x:v>
      </x:c>
      <x:c r="B1585" s="44" t="str">
        <x:v>Not Started</x:v>
      </x:c>
      <x:c r="C1585" s="45" t="n">
        <x:v>40359</x:v>
      </x:c>
      <x:c r="D1585" s="33" t="str">
        <x:v>In Plain Sight</x:v>
      </x:c>
      <x:c r="E1585" s="33" t="str">
        <x:v>Crossover Adjacent</x:v>
      </x:c>
      <x:c r="F1585" s="33" t="str">
        <x:v>connected</x:v>
      </x:c>
      <x:c r="G1585" s="50" t="n">
        <x:v>3</x:v>
      </x:c>
      <x:c r="H1585" s="50" t="n">
        <x:v>13</x:v>
      </x:c>
      <x:c r="I1585" s="44" t="str">
        <x:v>03.13</x:v>
      </x:c>
      <x:c r="J1585" s="33" t="str">
        <x:v>A Priest Walks Into a Bar</x:v>
      </x:c>
      <x:c r="K1585" s="33" t="str"/>
      <x:c r="L1585" s="33" t="str"/>
      <x:c r="M1585" s="44" t="str"/>
      <x:c r="N1585" s="50" t="n">
        <x:v>42</x:v>
      </x:c>
      <x:c r="O1585" s="53" t="str">
        <x:v>After a priest witnesses the murder of a parishioner, he will have to give up his special vocation in order to enter WITSEC.</x:v>
      </x:c>
      <x:c r="P1585" s="53" t="str">
        <x:v>SVU character crossover / shared Dick Wolf connection</x:v>
      </x:c>
      <x:c r="Q1585" s="17" t="str">
        <x:v>393602</x:v>
      </x:c>
      <x:c r="R1585" s="17" t="str">
        <x:v>tt1662564</x:v>
      </x:c>
      <x:c r="S1585" s="17" t="str">
        <x:v>1147</x:v>
      </x:c>
    </x:row>
    <x:row r="1586">
      <x:c r="A1586" s="43" t="n">
        <x:v>1582</x:v>
      </x:c>
      <x:c r="B1586" s="44" t="str">
        <x:v>Not Started</x:v>
      </x:c>
      <x:c r="C1586" s="45" t="n">
        <x:v>40365</x:v>
      </x:c>
      <x:c r="D1586" s="33" t="str">
        <x:v>Law &amp; Order: Criminal Intent</x:v>
      </x:c>
      <x:c r="E1586" s="33" t="str">
        <x:v>Law &amp; Order</x:v>
      </x:c>
      <x:c r="F1586" s="33" t="str">
        <x:v>core</x:v>
      </x:c>
      <x:c r="G1586" s="50" t="n">
        <x:v>9</x:v>
      </x:c>
      <x:c r="H1586" s="50" t="n">
        <x:v>15</x:v>
      </x:c>
      <x:c r="I1586" s="44" t="str">
        <x:v>09.15</x:v>
      </x:c>
      <x:c r="J1586" s="33" t="str">
        <x:v>Inhumane Society</x:v>
      </x:c>
      <x:c r="K1586" s="33" t="str"/>
      <x:c r="L1586" s="33" t="str"/>
      <x:c r="M1586" s="44" t="str"/>
      <x:c r="N1586" s="50" t="n">
        <x:v>41</x:v>
      </x:c>
      <x:c r="O1586" s="53" t="str">
        <x:v>A boxer's career is derailed when authorities discover he leads a dog fighting ring.</x:v>
      </x:c>
      <x:c r="P1586" s="53" t="str">
        <x:v>Core Law &amp; Order franchise</x:v>
      </x:c>
      <x:c r="Q1586" s="17" t="str">
        <x:v>341397</x:v>
      </x:c>
      <x:c r="R1586" s="17" t="str">
        <x:v>tt1678651</x:v>
      </x:c>
      <x:c r="S1586" s="17" t="str">
        <x:v>1148</x:v>
      </x:c>
    </x:row>
    <x:row r="1587">
      <x:c r="A1587" s="43" t="n">
        <x:v>1583</x:v>
      </x:c>
      <x:c r="B1587" s="44" t="str">
        <x:v>Not Started</x:v>
      </x:c>
      <x:c r="C1587" s="45" t="n">
        <x:v>40365</x:v>
      </x:c>
      <x:c r="D1587" s="33" t="str">
        <x:v>Law &amp; Order: Criminal Intent</x:v>
      </x:c>
      <x:c r="E1587" s="33" t="str">
        <x:v>Law &amp; Order</x:v>
      </x:c>
      <x:c r="F1587" s="33" t="str">
        <x:v>core</x:v>
      </x:c>
      <x:c r="G1587" s="50" t="n">
        <x:v>9</x:v>
      </x:c>
      <x:c r="H1587" s="50" t="n">
        <x:v>16</x:v>
      </x:c>
      <x:c r="I1587" s="44" t="str">
        <x:v>09.16</x:v>
      </x:c>
      <x:c r="J1587" s="33" t="str">
        <x:v>Three-in-One</x:v>
      </x:c>
      <x:c r="K1587" s="33" t="str"/>
      <x:c r="L1587" s="33" t="str"/>
      <x:c r="M1587" s="44" t="str"/>
      <x:c r="N1587" s="50" t="n">
        <x:v>43</x:v>
      </x:c>
      <x:c r="O1587" s="53" t="str">
        <x:v>Nichols reaches out to his father for assistance when he and Stevens are assigned the case of a real estate agent who has been murdered.</x:v>
      </x:c>
      <x:c r="P1587" s="53" t="str">
        <x:v>Core Law &amp; Order franchise</x:v>
      </x:c>
      <x:c r="Q1587" s="17" t="str">
        <x:v>341398</x:v>
      </x:c>
      <x:c r="R1587" s="17" t="str">
        <x:v>tt1678653</x:v>
      </x:c>
      <x:c r="S1587" s="17" t="str">
        <x:v>1149</x:v>
      </x:c>
    </x:row>
    <x:row r="1588">
      <x:c r="A1588" s="43" t="n">
        <x:v>1584</x:v>
      </x:c>
      <x:c r="B1588" s="44" t="str">
        <x:v>Not Started</x:v>
      </x:c>
      <x:c r="C1588" s="45" t="n">
        <x:v>40429</x:v>
      </x:c>
      <x:c r="D1588" s="33" t="str">
        <x:v>Law &amp; Order: LA</x:v>
      </x:c>
      <x:c r="E1588" s="33" t="str">
        <x:v>Law &amp; Order</x:v>
      </x:c>
      <x:c r="F1588" s="33" t="str">
        <x:v>core</x:v>
      </x:c>
      <x:c r="G1588" s="50" t="n">
        <x:v>0</x:v>
      </x:c>
      <x:c r="H1588" s="50" t="n">
        <x:v>1</x:v>
      </x:c>
      <x:c r="I1588" s="44" t="str">
        <x:v>S00.01</x:v>
      </x:c>
      <x:c r="J1588" s="33" t="str">
        <x:v>Sneak Peek</x:v>
      </x:c>
      <x:c r="K1588" s="33" t="str"/>
      <x:c r="L1588" s="33" t="str"/>
      <x:c r="M1588" s="44" t="str"/>
      <x:c r="N1588" s="50" t="n">
        <x:v>43</x:v>
      </x:c>
      <x:c r="O1588" s="53" t="str">
        <x:v>An exclusive sneak peek of the new series, exclusively available on iTunes for free.</x:v>
      </x:c>
      <x:c r="P1588" s="53" t="str">
        <x:v>Law &amp; Order franchise spinoff</x:v>
      </x:c>
      <x:c r="Q1588" s="17" t="str">
        <x:v>774881</x:v>
      </x:c>
      <x:c r="R1588" s="17" t="str"/>
      <x:c r="S1588" s="17" t="str"/>
    </x:row>
    <x:row r="1589">
      <x:c r="A1589" s="43" t="n">
        <x:v>1585</x:v>
      </x:c>
      <x:c r="B1589" s="44" t="str">
        <x:v>Not Started</x:v>
      </x:c>
      <x:c r="C1589" s="45" t="n">
        <x:v>40430</x:v>
      </x:c>
      <x:c r="D1589" s="33" t="str">
        <x:v>Law &amp; Order: UK</x:v>
      </x:c>
      <x:c r="E1589" s="33" t="str">
        <x:v>Law &amp; Order</x:v>
      </x:c>
      <x:c r="F1589" s="33" t="str">
        <x:v>core</x:v>
      </x:c>
      <x:c r="G1589" s="50" t="n">
        <x:v>3</x:v>
      </x:c>
      <x:c r="H1589" s="50" t="n">
        <x:v>1</x:v>
      </x:c>
      <x:c r="I1589" s="44" t="str">
        <x:v>03.01</x:v>
      </x:c>
      <x:c r="J1589" s="33" t="str">
        <x:v>Broken</x:v>
      </x:c>
      <x:c r="K1589" s="33" t="str"/>
      <x:c r="L1589" s="33" t="str"/>
      <x:c r="M1589" s="44" t="str"/>
      <x:c r="N1589" s="50" t="n">
        <x:v>48</x:v>
      </x:c>
      <x:c r="O1589" s="53" t="str">
        <x:v>The terrifying CCTV image of a toddler being led to his death haunts this episode of Law &amp; Order UK which deals with the difficult and morally complex issue of children who kill. As a society, we are very unforgiving of child killers but if the killers themselves are only children, it begs the question - who really is responsible for the crime? With two children in the frame, each blaming the other, can forensic evidence prove who is guilty of strangling little Conor to death? In an emotionally gut wrenching episode, George defies his superiors and instead takes instruction from the victim's mother who has a surprising point of view on the crime. Can the justice system, and ultimately the government, afford to be lenient?</x:v>
      </x:c>
      <x:c r="P1589" s="53" t="str">
        <x:v>Law &amp; Order format/franchise</x:v>
      </x:c>
      <x:c r="Q1589" s="17" t="str">
        <x:v>392400</x:v>
      </x:c>
      <x:c r="R1589" s="17" t="str">
        <x:v>tt1491964</x:v>
      </x:c>
      <x:c r="S1589" s="17" t="str">
        <x:v>1150</x:v>
      </x:c>
    </x:row>
    <x:row r="1590">
      <x:c r="A1590" s="43" t="n">
        <x:v>1586</x:v>
      </x:c>
      <x:c r="B1590" s="44" t="str">
        <x:v>Not Started</x:v>
      </x:c>
      <x:c r="C1590" s="45" t="n">
        <x:v>40437</x:v>
      </x:c>
      <x:c r="D1590" s="33" t="str">
        <x:v>Law &amp; Order: UK</x:v>
      </x:c>
      <x:c r="E1590" s="33" t="str">
        <x:v>Law &amp; Order</x:v>
      </x:c>
      <x:c r="F1590" s="33" t="str">
        <x:v>core</x:v>
      </x:c>
      <x:c r="G1590" s="50" t="n">
        <x:v>3</x:v>
      </x:c>
      <x:c r="H1590" s="50" t="n">
        <x:v>2</x:v>
      </x:c>
      <x:c r="I1590" s="44" t="str">
        <x:v>03.02</x:v>
      </x:c>
      <x:c r="J1590" s="33" t="str">
        <x:v>Hounded</x:v>
      </x:c>
      <x:c r="K1590" s="33" t="str"/>
      <x:c r="L1590" s="33" t="str"/>
      <x:c r="M1590" s="44" t="str"/>
      <x:c r="N1590" s="50" t="n">
        <x:v>48</x:v>
      </x:c>
      <x:c r="O1590" s="53" t="str">
        <x:v>When the body of a 16 year old girl is found dead in her home in the middle of the afternoon, the investigating police cannot be sure a crime was even committed. With no forensic evidence and nothing to suggest the victim didn't die of natural causes, Matt and Ronnie question why they have been called out in the first place. However, the mother's victim believes she was raped because she never slept naked. On further investigation, an unlikely murder weapon is uncovered and a likely suspect - someone with whom Crown Prosecutor James Steel has a history. Determined the accused is guilty, James pursues him with every power available. Like a man possessed, he pushes the boundaries of the law to the legal limit. Is our hero persecuting an innocent man or justified in his convictions?</x:v>
      </x:c>
      <x:c r="P1590" s="53" t="str">
        <x:v>Law &amp; Order format/franchise</x:v>
      </x:c>
      <x:c r="Q1590" s="17" t="str">
        <x:v>392401</x:v>
      </x:c>
      <x:c r="R1590" s="17" t="str">
        <x:v>tt1684283</x:v>
      </x:c>
      <x:c r="S1590" s="17" t="str">
        <x:v>1151</x:v>
      </x:c>
    </x:row>
    <x:row r="1591">
      <x:c r="A1591" s="43" t="n">
        <x:v>1587</x:v>
      </x:c>
      <x:c r="B1591" s="44" t="str">
        <x:v>Not Started</x:v>
      </x:c>
      <x:c r="C1591" s="45" t="n">
        <x:v>40443</x:v>
      </x:c>
      <x:c r="D1591" s="33" t="str">
        <x:v>Law &amp; Order: Special Victims Unit</x:v>
      </x:c>
      <x:c r="E1591" s="33" t="str">
        <x:v>Law &amp; Order</x:v>
      </x:c>
      <x:c r="F1591" s="33" t="str">
        <x:v>core</x:v>
      </x:c>
      <x:c r="G1591" s="50" t="n">
        <x:v>12</x:v>
      </x:c>
      <x:c r="H1591" s="50" t="n">
        <x:v>1</x:v>
      </x:c>
      <x:c r="I1591" s="44" t="str">
        <x:v>12.01</x:v>
      </x:c>
      <x:c r="J1591" s="33" t="str">
        <x:v>Locum</x:v>
      </x:c>
      <x:c r="K1591" s="33" t="str"/>
      <x:c r="L1591" s="33" t="str"/>
      <x:c r="M1591" s="44" t="str"/>
      <x:c r="N1591" s="50" t="n">
        <x:v>42</x:v>
      </x:c>
      <x:c r="O1591" s="53" t="str">
        <x:v>Benson and Stabler are called to investigate when a little girl goes missing. They soon find out that the mother had another daughter who disappeared some years earlier and she becomes the focus of the investigation.</x:v>
      </x:c>
      <x:c r="P1591" s="53" t="str">
        <x:v>Core Law &amp; Order franchise</x:v>
      </x:c>
      <x:c r="Q1591" s="17" t="str">
        <x:v>225189</x:v>
      </x:c>
      <x:c r="R1591" s="17" t="str">
        <x:v>tt1702168</x:v>
      </x:c>
      <x:c r="S1591" s="17" t="str">
        <x:v>1152</x:v>
      </x:c>
    </x:row>
    <x:row r="1592">
      <x:c r="A1592" s="43" t="n">
        <x:v>1588</x:v>
      </x:c>
      <x:c r="B1592" s="44" t="str">
        <x:v>Not Started</x:v>
      </x:c>
      <x:c r="C1592" s="45" t="n">
        <x:v>40443</x:v>
      </x:c>
      <x:c r="D1592" s="33" t="str">
        <x:v>Law &amp; Order: Special Victims Unit</x:v>
      </x:c>
      <x:c r="E1592" s="33" t="str">
        <x:v>Law &amp; Order</x:v>
      </x:c>
      <x:c r="F1592" s="33" t="str">
        <x:v>core</x:v>
      </x:c>
      <x:c r="G1592" s="50" t="n">
        <x:v>12</x:v>
      </x:c>
      <x:c r="H1592" s="50" t="n">
        <x:v>2</x:v>
      </x:c>
      <x:c r="I1592" s="44" t="str">
        <x:v>12.02</x:v>
      </x:c>
      <x:c r="J1592" s="33" t="str">
        <x:v>Bullseye</x:v>
      </x:c>
      <x:c r="K1592" s="33" t="str"/>
      <x:c r="L1592" s="33" t="str"/>
      <x:c r="M1592" s="44" t="str"/>
      <x:c r="N1592" s="50" t="n">
        <x:v>42</x:v>
      </x:c>
      <x:c r="O1592" s="53" t="str">
        <x:v>The brutal rape of a ten-year-old girl leaves her unable to recall her own name. Unfortunately, once Fin assists with the ID, the detectives find that she's not the only one with memory impairment, and Dr. Huang is brought in to assess her home situation.</x:v>
      </x:c>
      <x:c r="P1592" s="53" t="str">
        <x:v>Core Law &amp; Order franchise</x:v>
      </x:c>
      <x:c r="Q1592" s="17" t="str">
        <x:v>225190</x:v>
      </x:c>
      <x:c r="R1592" s="17" t="str">
        <x:v>tt1697001</x:v>
      </x:c>
      <x:c r="S1592" s="17" t="str">
        <x:v>1153</x:v>
      </x:c>
    </x:row>
    <x:row r="1593">
      <x:c r="A1593" s="43" t="n">
        <x:v>1589</x:v>
      </x:c>
      <x:c r="B1593" s="44" t="str">
        <x:v>Not Started</x:v>
      </x:c>
      <x:c r="C1593" s="45" t="n">
        <x:v>40444</x:v>
      </x:c>
      <x:c r="D1593" s="33" t="str">
        <x:v>Law &amp; Order: UK</x:v>
      </x:c>
      <x:c r="E1593" s="33" t="str">
        <x:v>Law &amp; Order</x:v>
      </x:c>
      <x:c r="F1593" s="33" t="str">
        <x:v>core</x:v>
      </x:c>
      <x:c r="G1593" s="50" t="n">
        <x:v>3</x:v>
      </x:c>
      <x:c r="H1593" s="50" t="n">
        <x:v>3</x:v>
      </x:c>
      <x:c r="I1593" s="44" t="str">
        <x:v>03.03</x:v>
      </x:c>
      <x:c r="J1593" s="33" t="str">
        <x:v>Defence</x:v>
      </x:c>
      <x:c r="K1593" s="33" t="str"/>
      <x:c r="L1593" s="33" t="str"/>
      <x:c r="M1593" s="44" t="str"/>
      <x:c r="N1593" s="50" t="n">
        <x:v>48</x:v>
      </x:c>
      <x:c r="O1593" s="53" t="str">
        <x:v>When three people are brutally murdered in a shop in central London and a fourth left for dead, Matt and Ronnie are up against the clock to find the killer who they fear could strike again at any moment. The nature of the attack was frenzied and brutal with the killer using a bayonet to slay his victims. With this information and a photofit, Matt and Ronnie are quickly must identify the killer before they strike again. James assumes a straightforward case ahead of him. However, things take an unexpected turn when he learns that the defendant has brilliant legal support. With the case for defence looking very strong, James' only hope is to convince a deluded defendant to accept responsibility for his crimes.</x:v>
      </x:c>
      <x:c r="P1593" s="53" t="str">
        <x:v>Law &amp; Order format/franchise</x:v>
      </x:c>
      <x:c r="Q1593" s="17" t="str">
        <x:v>392402</x:v>
      </x:c>
      <x:c r="R1593" s="17" t="str">
        <x:v>tt1491970</x:v>
      </x:c>
      <x:c r="S1593" s="17" t="str">
        <x:v>1154</x:v>
      </x:c>
    </x:row>
    <x:row r="1594">
      <x:c r="A1594" s="43" t="n">
        <x:v>1590</x:v>
      </x:c>
      <x:c r="B1594" s="44" t="str">
        <x:v>Not Started</x:v>
      </x:c>
      <x:c r="C1594" s="45" t="n">
        <x:v>40450</x:v>
      </x:c>
      <x:c r="D1594" s="33" t="str">
        <x:v>Law &amp; Order: LA</x:v>
      </x:c>
      <x:c r="E1594" s="33" t="str">
        <x:v>Law &amp; Order</x:v>
      </x:c>
      <x:c r="F1594" s="33" t="str">
        <x:v>core</x:v>
      </x:c>
      <x:c r="G1594" s="50" t="n">
        <x:v>1</x:v>
      </x:c>
      <x:c r="H1594" s="50" t="n">
        <x:v>1</x:v>
      </x:c>
      <x:c r="I1594" s="44" t="str">
        <x:v>01.01</x:v>
      </x:c>
      <x:c r="J1594" s="33" t="str">
        <x:v>Hollywood</x:v>
      </x:c>
      <x:c r="K1594" s="33" t="str"/>
      <x:c r="L1594" s="33" t="str"/>
      <x:c r="M1594" s="44" t="str"/>
      <x:c r="N1594" s="50" t="n">
        <x:v>43</x:v>
      </x:c>
      <x:c r="O1594" s="53" t="str">
        <x:v>Detectives Winters and Jaruszalski track the activities of a tech-savvy group of teenagers who they suspect have escalated from burglary of the rich and famous to murder.</x:v>
      </x:c>
      <x:c r="P1594" s="53" t="str">
        <x:v>Law &amp; Order franchise spinoff</x:v>
      </x:c>
      <x:c r="Q1594" s="17" t="str">
        <x:v>774882</x:v>
      </x:c>
      <x:c r="R1594" s="17" t="str">
        <x:v>tt1668996</x:v>
      </x:c>
      <x:c r="S1594" s="17" t="str">
        <x:v>1156</x:v>
      </x:c>
    </x:row>
    <x:row r="1595">
      <x:c r="A1595" s="43" t="n">
        <x:v>1591</x:v>
      </x:c>
      <x:c r="B1595" s="44" t="str">
        <x:v>Not Started</x:v>
      </x:c>
      <x:c r="C1595" s="45" t="n">
        <x:v>40450</x:v>
      </x:c>
      <x:c r="D1595" s="33" t="str">
        <x:v>Law &amp; Order: Special Victims Unit</x:v>
      </x:c>
      <x:c r="E1595" s="33" t="str">
        <x:v>Law &amp; Order</x:v>
      </x:c>
      <x:c r="F1595" s="33" t="str">
        <x:v>core</x:v>
      </x:c>
      <x:c r="G1595" s="50" t="n">
        <x:v>12</x:v>
      </x:c>
      <x:c r="H1595" s="50" t="n">
        <x:v>3</x:v>
      </x:c>
      <x:c r="I1595" s="44" t="str">
        <x:v>12.03</x:v>
      </x:c>
      <x:c r="J1595" s="33" t="str">
        <x:v>Behave</x:v>
      </x:c>
      <x:c r="K1595" s="33" t="str"/>
      <x:c r="L1595" s="33" t="str"/>
      <x:c r="M1595" s="44" t="str"/>
      <x:c r="N1595" s="50" t="n">
        <x:v>43</x:v>
      </x:c>
      <x:c r="O1595" s="53" t="str">
        <x:v>A woman who has been raped multiple times is afraid to leave her house. The issue of unopened rape kits will see Detective Olivia Benson travel from New York City to Los Angeles.</x:v>
      </x:c>
      <x:c r="P1595" s="53" t="str">
        <x:v>Core Law &amp; Order franchise</x:v>
      </x:c>
      <x:c r="Q1595" s="17" t="str">
        <x:v>225191</x:v>
      </x:c>
      <x:c r="R1595" s="17" t="str">
        <x:v>tt1706883</x:v>
      </x:c>
      <x:c r="S1595" s="17" t="str">
        <x:v>1155</x:v>
      </x:c>
    </x:row>
    <x:row r="1596">
      <x:c r="A1596" s="43" t="n">
        <x:v>1592</x:v>
      </x:c>
      <x:c r="B1596" s="44" t="str">
        <x:v>Not Started</x:v>
      </x:c>
      <x:c r="C1596" s="45" t="n">
        <x:v>40451</x:v>
      </x:c>
      <x:c r="D1596" s="33" t="str">
        <x:v>Law &amp; Order: UK</x:v>
      </x:c>
      <x:c r="E1596" s="33" t="str">
        <x:v>Law &amp; Order</x:v>
      </x:c>
      <x:c r="F1596" s="33" t="str">
        <x:v>core</x:v>
      </x:c>
      <x:c r="G1596" s="50" t="n">
        <x:v>3</x:v>
      </x:c>
      <x:c r="H1596" s="50" t="n">
        <x:v>4</x:v>
      </x:c>
      <x:c r="I1596" s="44" t="str">
        <x:v>03.04</x:v>
      </x:c>
      <x:c r="J1596" s="33" t="str">
        <x:v>Confession</x:v>
      </x:c>
      <x:c r="K1596" s="33" t="str"/>
      <x:c r="L1596" s="33" t="str"/>
      <x:c r="M1596" s="44" t="str"/>
      <x:c r="N1596" s="50" t="n">
        <x:v>48</x:v>
      </x:c>
      <x:c r="O1596" s="53" t="str">
        <x:v>This week's case hits close to home for DS Matt Devlin when investigating the death of a police officer, and his best friend, PS Pete Garvey. Devlin and Garvey had known each other since childhood and when Matt discovers Pete had recently been in contact with their childhood parish priest Jonathan Nugent (Matthew Marsh), his suspicions are alerted as Pete claimed to have been sexually abused by him as a child. With nothing but suspicions and unfounded rumours to go on, a murder charge cannot be brought against Nugent. Now a married man with a family of his own, can Matt really be sure they've got the right man? James and Alesha take an unusual approach in order to bring a charge - any charge - against the accused in a desperate attempt to get the case home.</x:v>
      </x:c>
      <x:c r="P1596" s="53" t="str">
        <x:v>Law &amp; Order format/franchise</x:v>
      </x:c>
      <x:c r="Q1596" s="17" t="str">
        <x:v>392403</x:v>
      </x:c>
      <x:c r="R1596" s="17" t="str">
        <x:v>tt1491971</x:v>
      </x:c>
      <x:c r="S1596" s="17" t="str">
        <x:v>1157</x:v>
      </x:c>
    </x:row>
    <x:row r="1597">
      <x:c r="A1597" s="43" t="n">
        <x:v>1593</x:v>
      </x:c>
      <x:c r="B1597" s="44" t="str">
        <x:v>Not Started</x:v>
      </x:c>
      <x:c r="C1597" s="45" t="n">
        <x:v>40457</x:v>
      </x:c>
      <x:c r="D1597" s="33" t="str">
        <x:v>Law &amp; Order: LA</x:v>
      </x:c>
      <x:c r="E1597" s="33" t="str">
        <x:v>Law &amp; Order</x:v>
      </x:c>
      <x:c r="F1597" s="33" t="str">
        <x:v>core</x:v>
      </x:c>
      <x:c r="G1597" s="50" t="n">
        <x:v>1</x:v>
      </x:c>
      <x:c r="H1597" s="50" t="n">
        <x:v>2</x:v>
      </x:c>
      <x:c r="I1597" s="44" t="str">
        <x:v>01.02</x:v>
      </x:c>
      <x:c r="J1597" s="33" t="str">
        <x:v>Echo Park</x:v>
      </x:c>
      <x:c r="K1597" s="33" t="str"/>
      <x:c r="L1597" s="33" t="str"/>
      <x:c r="M1597" s="44" t="str"/>
      <x:c r="N1597" s="50" t="n">
        <x:v>43</x:v>
      </x:c>
      <x:c r="O1597" s="53" t="str">
        <x:v>When murderous cult member "Baby" Jane Lee Rayburn is found stabbed to death, Detectives Rex Winters and Tomas "TJ" Jaruszalski question multiple suspects, including the cult ringleader Denis Watson and Jane's former cellmate, Maura Dillon. However, the case cuts very close to home for Detective Winters when his wife Lori, a former Detective, is questioned. DDA Dekker and DDA Stanton find themselves facing a trial where the line between suspect and victim is blurred.</x:v>
      </x:c>
      <x:c r="P1597" s="53" t="str">
        <x:v>Law &amp; Order franchise spinoff</x:v>
      </x:c>
      <x:c r="Q1597" s="17" t="str">
        <x:v>774883</x:v>
      </x:c>
      <x:c r="R1597" s="17" t="str">
        <x:v>tt1710741</x:v>
      </x:c>
      <x:c r="S1597" s="17" t="str">
        <x:v>1159</x:v>
      </x:c>
    </x:row>
    <x:row r="1598">
      <x:c r="A1598" s="43" t="n">
        <x:v>1594</x:v>
      </x:c>
      <x:c r="B1598" s="44" t="str">
        <x:v>Not Started</x:v>
      </x:c>
      <x:c r="C1598" s="45" t="n">
        <x:v>40457</x:v>
      </x:c>
      <x:c r="D1598" s="33" t="str">
        <x:v>Law &amp; Order: Special Victims Unit</x:v>
      </x:c>
      <x:c r="E1598" s="33" t="str">
        <x:v>Law &amp; Order</x:v>
      </x:c>
      <x:c r="F1598" s="33" t="str">
        <x:v>core</x:v>
      </x:c>
      <x:c r="G1598" s="50" t="n">
        <x:v>12</x:v>
      </x:c>
      <x:c r="H1598" s="50" t="n">
        <x:v>4</x:v>
      </x:c>
      <x:c r="I1598" s="44" t="str">
        <x:v>12.04</x:v>
      </x:c>
      <x:c r="J1598" s="33" t="str">
        <x:v>Merchandise</x:v>
      </x:c>
      <x:c r="K1598" s="33" t="str"/>
      <x:c r="L1598" s="33" t="str"/>
      <x:c r="M1598" s="44" t="str"/>
      <x:c r="N1598" s="50" t="n">
        <x:v>42</x:v>
      </x:c>
      <x:c r="O1598" s="53" t="str">
        <x:v>A teenage girl's death exposes a human trafficking ring and leads detectives Olivia Benson and Elliot Stabler to team up with an old friend at the U.S. Attorney's office.</x:v>
      </x:c>
      <x:c r="P1598" s="53" t="str">
        <x:v>Core Law &amp; Order franchise</x:v>
      </x:c>
      <x:c r="Q1598" s="17" t="str">
        <x:v>225192</x:v>
      </x:c>
      <x:c r="R1598" s="17" t="str">
        <x:v>tt1717349</x:v>
      </x:c>
      <x:c r="S1598" s="17" t="str">
        <x:v>1158</x:v>
      </x:c>
    </x:row>
    <x:row r="1599">
      <x:c r="A1599" s="43" t="n">
        <x:v>1595</x:v>
      </x:c>
      <x:c r="B1599" s="44" t="str">
        <x:v>Not Started</x:v>
      </x:c>
      <x:c r="C1599" s="45" t="n">
        <x:v>40458</x:v>
      </x:c>
      <x:c r="D1599" s="33" t="str">
        <x:v>Law &amp; Order: UK</x:v>
      </x:c>
      <x:c r="E1599" s="33" t="str">
        <x:v>Law &amp; Order</x:v>
      </x:c>
      <x:c r="F1599" s="33" t="str">
        <x:v>core</x:v>
      </x:c>
      <x:c r="G1599" s="50" t="n">
        <x:v>3</x:v>
      </x:c>
      <x:c r="H1599" s="50" t="n">
        <x:v>5</x:v>
      </x:c>
      <x:c r="I1599" s="44" t="str">
        <x:v>03.05</x:v>
      </x:c>
      <x:c r="J1599" s="33" t="str">
        <x:v>Survivor</x:v>
      </x:c>
      <x:c r="K1599" s="33" t="str"/>
      <x:c r="L1599" s="33" t="str"/>
      <x:c r="M1599" s="44" t="str"/>
      <x:c r="N1599" s="50" t="n">
        <x:v>48</x:v>
      </x:c>
      <x:c r="O1599" s="53" t="str">
        <x:v>Survivor begins with the investigation into the murder of Prison Officer Charlie Tyner who is found shot dead on a council estate in Hackney. It soon comes to light that, rather than being the good clean officer of Her Majesty's Prison Service we first believe him to be, Charlie Tyner is corrupt and taking advantage of his position in prison in a number of ways. There are plenty of prisoners inside with reason enough to want to kill Charlie but, being in prison, they have solid alibis so who killed Charlie and why? Crown Prosecutors James Steel and Alesha Phillips find themselves at odds with their boss, George Castle, who is keen to bring to justice the killer of a prison officer. James and Alesha can't help but feel Tyner's abuse should be brought into consideration when charging the accused. And they have their eye on a much greater prize - a career criminal connected to Tyner who has evaded the justice system for too long. Can James and Alesha convince the key witness to give evidence against a man she claims to love?</x:v>
      </x:c>
      <x:c r="P1599" s="53" t="str">
        <x:v>Law &amp; Order format/franchise</x:v>
      </x:c>
      <x:c r="Q1599" s="17" t="str">
        <x:v>392404</x:v>
      </x:c>
      <x:c r="R1599" s="17" t="str">
        <x:v>tt1491969</x:v>
      </x:c>
      <x:c r="S1599" s="17" t="str">
        <x:v>1160</x:v>
      </x:c>
    </x:row>
    <x:row r="1600">
      <x:c r="A1600" s="43" t="n">
        <x:v>1596</x:v>
      </x:c>
      <x:c r="B1600" s="44" t="str">
        <x:v>Not Started</x:v>
      </x:c>
      <x:c r="C1600" s="45" t="n">
        <x:v>40464</x:v>
      </x:c>
      <x:c r="D1600" s="33" t="str">
        <x:v>Law &amp; Order: LA</x:v>
      </x:c>
      <x:c r="E1600" s="33" t="str">
        <x:v>Law &amp; Order</x:v>
      </x:c>
      <x:c r="F1600" s="33" t="str">
        <x:v>core</x:v>
      </x:c>
      <x:c r="G1600" s="50" t="n">
        <x:v>1</x:v>
      </x:c>
      <x:c r="H1600" s="50" t="n">
        <x:v>3</x:v>
      </x:c>
      <x:c r="I1600" s="44" t="str">
        <x:v>01.03</x:v>
      </x:c>
      <x:c r="J1600" s="33" t="str">
        <x:v>Harbor City</x:v>
      </x:c>
      <x:c r="K1600" s="33" t="str"/>
      <x:c r="L1600" s="33" t="str"/>
      <x:c r="M1600" s="44" t="str"/>
      <x:c r="N1600" s="50" t="n">
        <x:v>43</x:v>
      </x:c>
      <x:c r="O1600" s="53" t="str">
        <x:v>A former surf champion is murdered in what appears to be a robbery gone awry.</x:v>
      </x:c>
      <x:c r="P1600" s="53" t="str">
        <x:v>Law &amp; Order franchise spinoff</x:v>
      </x:c>
      <x:c r="Q1600" s="17" t="str">
        <x:v>774884</x:v>
      </x:c>
      <x:c r="R1600" s="17" t="str">
        <x:v>tt1720510</x:v>
      </x:c>
      <x:c r="S1600" s="17" t="str">
        <x:v>1162</x:v>
      </x:c>
    </x:row>
    <x:row r="1601">
      <x:c r="A1601" s="43" t="n">
        <x:v>1597</x:v>
      </x:c>
      <x:c r="B1601" s="44" t="str">
        <x:v>Not Started</x:v>
      </x:c>
      <x:c r="C1601" s="45" t="n">
        <x:v>40464</x:v>
      </x:c>
      <x:c r="D1601" s="33" t="str">
        <x:v>Law &amp; Order: Special Victims Unit</x:v>
      </x:c>
      <x:c r="E1601" s="33" t="str">
        <x:v>Law &amp; Order</x:v>
      </x:c>
      <x:c r="F1601" s="33" t="str">
        <x:v>core</x:v>
      </x:c>
      <x:c r="G1601" s="50" t="n">
        <x:v>12</x:v>
      </x:c>
      <x:c r="H1601" s="50" t="n">
        <x:v>5</x:v>
      </x:c>
      <x:c r="I1601" s="44" t="str">
        <x:v>12.05</x:v>
      </x:c>
      <x:c r="J1601" s="33" t="str">
        <x:v>Wet</x:v>
      </x:c>
      <x:c r="K1601" s="33" t="str"/>
      <x:c r="L1601" s="33" t="str"/>
      <x:c r="M1601" s="44" t="str"/>
      <x:c r="N1601" s="50" t="n">
        <x:v>42</x:v>
      </x:c>
      <x:c r="O1601" s="53" t="str">
        <x:v>Detectives Benson and Stabler arrive on the scene where a woman is found dead in Bethesda Fountain. When her squeaky clean image doesn't match up with her promiscuous actions on the night of her murder, ADA Mikka Von encourages the cops to dig deeper into her past.</x:v>
      </x:c>
      <x:c r="P1601" s="53" t="str">
        <x:v>Core Law &amp; Order franchise</x:v>
      </x:c>
      <x:c r="Q1601" s="17" t="str">
        <x:v>225193</x:v>
      </x:c>
      <x:c r="R1601" s="17" t="str">
        <x:v>tt1727032</x:v>
      </x:c>
      <x:c r="S1601" s="17" t="str">
        <x:v>1161</x:v>
      </x:c>
    </x:row>
    <x:row r="1602">
      <x:c r="A1602" s="43" t="n">
        <x:v>1598</x:v>
      </x:c>
      <x:c r="B1602" s="44" t="str">
        <x:v>Not Started</x:v>
      </x:c>
      <x:c r="C1602" s="45" t="n">
        <x:v>40465</x:v>
      </x:c>
      <x:c r="D1602" s="33" t="str">
        <x:v>Law &amp; Order: UK</x:v>
      </x:c>
      <x:c r="E1602" s="33" t="str">
        <x:v>Law &amp; Order</x:v>
      </x:c>
      <x:c r="F1602" s="33" t="str">
        <x:v>core</x:v>
      </x:c>
      <x:c r="G1602" s="50" t="n">
        <x:v>3</x:v>
      </x:c>
      <x:c r="H1602" s="50" t="n">
        <x:v>6</x:v>
      </x:c>
      <x:c r="I1602" s="44" t="str">
        <x:v>03.06</x:v>
      </x:c>
      <x:c r="J1602" s="33" t="str">
        <x:v>Masquerade</x:v>
      </x:c>
      <x:c r="K1602" s="33" t="str"/>
      <x:c r="L1602" s="33" t="str"/>
      <x:c r="M1602" s="44" t="str"/>
      <x:c r="N1602" s="50" t="n">
        <x:v>48</x:v>
      </x:c>
      <x:c r="O1602" s="53" t="str">
        <x:v>The mystery surrounding the stabbing of student, Archie Rahman, has our cops chasing their tails when the only clue they have to go on is a library book checked out on the day of his murder. Two students connected to the book have given an alibi for each other but one of them is lying and it's down to our cops to find out which one. When the perpetrator eventually confesses and claims to have acted in self-defence, Alesha is forced to face past demons. It's a delicate balancing act for James who is tasked not only with prosecuting the offender but also with defending a dead victim. Unless the truth of what happened that day is uncovered, a murderer could walk free or an innocent victim be wrongly convicted.</x:v>
      </x:c>
      <x:c r="P1602" s="53" t="str">
        <x:v>Law &amp; Order format/franchise</x:v>
      </x:c>
      <x:c r="Q1602" s="17" t="str">
        <x:v>392405</x:v>
      </x:c>
      <x:c r="R1602" s="17" t="str">
        <x:v>tt1491973</x:v>
      </x:c>
      <x:c r="S1602" s="17" t="str">
        <x:v>1163</x:v>
      </x:c>
    </x:row>
    <x:row r="1603">
      <x:c r="A1603" s="43" t="n">
        <x:v>1599</x:v>
      </x:c>
      <x:c r="B1603" s="44" t="str">
        <x:v>Not Started</x:v>
      </x:c>
      <x:c r="C1603" s="45" t="n">
        <x:v>40471</x:v>
      </x:c>
      <x:c r="D1603" s="33" t="str">
        <x:v>Law &amp; Order: LA</x:v>
      </x:c>
      <x:c r="E1603" s="33" t="str">
        <x:v>Law &amp; Order</x:v>
      </x:c>
      <x:c r="F1603" s="33" t="str">
        <x:v>core</x:v>
      </x:c>
      <x:c r="G1603" s="50" t="n">
        <x:v>1</x:v>
      </x:c>
      <x:c r="H1603" s="50" t="n">
        <x:v>4</x:v>
      </x:c>
      <x:c r="I1603" s="44" t="str">
        <x:v>01.04</x:v>
      </x:c>
      <x:c r="J1603" s="33" t="str">
        <x:v>Sylmar</x:v>
      </x:c>
      <x:c r="K1603" s="33" t="str"/>
      <x:c r="L1603" s="33" t="str"/>
      <x:c r="M1603" s="44" t="str"/>
      <x:c r="N1603" s="50" t="n">
        <x:v>43</x:v>
      </x:c>
      <x:c r="O1603" s="53" t="str">
        <x:v>When a meth lab in Sylmar explodes, killing two kids, TJ and Winters embark on an odyssey that uncovers a band of radical Muslims hell-bent on bombing LAX.</x:v>
      </x:c>
      <x:c r="P1603" s="53" t="str">
        <x:v>Law &amp; Order franchise spinoff</x:v>
      </x:c>
      <x:c r="Q1603" s="17" t="str">
        <x:v>774885</x:v>
      </x:c>
      <x:c r="R1603" s="17" t="str">
        <x:v>tt1720513</x:v>
      </x:c>
      <x:c r="S1603" s="17" t="str">
        <x:v>1165</x:v>
      </x:c>
    </x:row>
    <x:row r="1604">
      <x:c r="A1604" s="43" t="n">
        <x:v>1600</x:v>
      </x:c>
      <x:c r="B1604" s="44" t="str">
        <x:v>Not Started</x:v>
      </x:c>
      <x:c r="C1604" s="45" t="n">
        <x:v>40471</x:v>
      </x:c>
      <x:c r="D1604" s="33" t="str">
        <x:v>Law &amp; Order: Special Victims Unit</x:v>
      </x:c>
      <x:c r="E1604" s="33" t="str">
        <x:v>Law &amp; Order</x:v>
      </x:c>
      <x:c r="F1604" s="33" t="str">
        <x:v>core</x:v>
      </x:c>
      <x:c r="G1604" s="50" t="n">
        <x:v>12</x:v>
      </x:c>
      <x:c r="H1604" s="50" t="n">
        <x:v>6</x:v>
      </x:c>
      <x:c r="I1604" s="44" t="str">
        <x:v>12.06</x:v>
      </x:c>
      <x:c r="J1604" s="33" t="str">
        <x:v>Branded</x:v>
      </x:c>
      <x:c r="K1604" s="33" t="str"/>
      <x:c r="L1604" s="33" t="str"/>
      <x:c r="M1604" s="44" t="str"/>
      <x:c r="N1604" s="50" t="n">
        <x:v>43</x:v>
      </x:c>
      <x:c r="O1604" s="53" t="str">
        <x:v>Two men have been branded and sodomised by someone. Is there a connection between these men, and what nut case is on the loose?</x:v>
      </x:c>
      <x:c r="P1604" s="53" t="str">
        <x:v>Core Law &amp; Order franchise</x:v>
      </x:c>
      <x:c r="Q1604" s="17" t="str">
        <x:v>225194</x:v>
      </x:c>
      <x:c r="R1604" s="17" t="str">
        <x:v>tt1739581</x:v>
      </x:c>
      <x:c r="S1604" s="17" t="str">
        <x:v>1164</x:v>
      </x:c>
    </x:row>
    <x:row r="1605">
      <x:c r="A1605" s="43" t="n">
        <x:v>1601</x:v>
      </x:c>
      <x:c r="B1605" s="44" t="str">
        <x:v>Not Started</x:v>
      </x:c>
      <x:c r="C1605" s="45" t="n">
        <x:v>40472</x:v>
      </x:c>
      <x:c r="D1605" s="33" t="str">
        <x:v>Law &amp; Order: UK</x:v>
      </x:c>
      <x:c r="E1605" s="33" t="str">
        <x:v>Law &amp; Order</x:v>
      </x:c>
      <x:c r="F1605" s="33" t="str">
        <x:v>core</x:v>
      </x:c>
      <x:c r="G1605" s="50" t="n">
        <x:v>3</x:v>
      </x:c>
      <x:c r="H1605" s="50" t="n">
        <x:v>7</x:v>
      </x:c>
      <x:c r="I1605" s="44" t="str">
        <x:v>03.07</x:v>
      </x:c>
      <x:c r="J1605" s="33" t="str">
        <x:v>Anonymous</x:v>
      </x:c>
      <x:c r="K1605" s="33" t="str"/>
      <x:c r="L1605" s="33" t="str"/>
      <x:c r="M1605" s="44" t="str"/>
      <x:c r="N1605" s="50" t="n">
        <x:v>48</x:v>
      </x:c>
      <x:c r="O1605" s="53" t="str">
        <x:v>For two years, Stephanie Blake (Michelle Bonnard) has been stalked by a man who calls himself 'Giovanni'. She knows nothing about him but he knows everything about her right down to the finest details of what she keeps in her bathroom cabinet. Over time, his e-mails and calls have become more intimidating but without an actual physical threat against her, there is very little the police can do for Stephanie. After initial investigations lead nowhere, the police are forced to abandon the case. Then something happens which shakes our police heroes to their very core. What should be a straightforward prosecution becomes complicated when a key piece of evidence is excluded. Up against Defence Barrister Evelyn Wyndham (Anna Chancellor), James has his work cut out for him. When one of the cops becomes a key witness for the prosecution, the question arises of whether his motivation is genuine or borne out of guilt. Will he perjure himself in order to get the right result?</x:v>
      </x:c>
      <x:c r="P1605" s="53" t="str">
        <x:v>Law &amp; Order format/franchise</x:v>
      </x:c>
      <x:c r="Q1605" s="17" t="str">
        <x:v>392406</x:v>
      </x:c>
      <x:c r="R1605" s="17" t="str">
        <x:v>tt1491974</x:v>
      </x:c>
      <x:c r="S1605" s="17" t="str">
        <x:v>1166</x:v>
      </x:c>
    </x:row>
    <x:row r="1606">
      <x:c r="A1606" s="43" t="n">
        <x:v>1602</x:v>
      </x:c>
      <x:c r="B1606" s="44" t="str">
        <x:v>Not Started</x:v>
      </x:c>
      <x:c r="C1606" s="45" t="n">
        <x:v>40485</x:v>
      </x:c>
      <x:c r="D1606" s="33" t="str">
        <x:v>Law &amp; Order: LA</x:v>
      </x:c>
      <x:c r="E1606" s="33" t="str">
        <x:v>Law &amp; Order</x:v>
      </x:c>
      <x:c r="F1606" s="33" t="str">
        <x:v>core</x:v>
      </x:c>
      <x:c r="G1606" s="50" t="n">
        <x:v>1</x:v>
      </x:c>
      <x:c r="H1606" s="50" t="n">
        <x:v>5</x:v>
      </x:c>
      <x:c r="I1606" s="44" t="str">
        <x:v>01.05</x:v>
      </x:c>
      <x:c r="J1606" s="33" t="str">
        <x:v>Pasadena</x:v>
      </x:c>
      <x:c r="K1606" s="33" t="str"/>
      <x:c r="L1606" s="33" t="str"/>
      <x:c r="M1606" s="44" t="str"/>
      <x:c r="N1606" s="50" t="n">
        <x:v>43</x:v>
      </x:c>
      <x:c r="O1606" s="53" t="str">
        <x:v>The investigation of a hit-and-run accident leads to a political minefield.</x:v>
      </x:c>
      <x:c r="P1606" s="53" t="str">
        <x:v>Law &amp; Order franchise spinoff</x:v>
      </x:c>
      <x:c r="Q1606" s="17" t="str">
        <x:v>774886</x:v>
      </x:c>
      <x:c r="R1606" s="17" t="str">
        <x:v>tt1720512</x:v>
      </x:c>
      <x:c r="S1606" s="17" t="str">
        <x:v>1168</x:v>
      </x:c>
    </x:row>
    <x:row r="1607">
      <x:c r="A1607" s="43" t="n">
        <x:v>1603</x:v>
      </x:c>
      <x:c r="B1607" s="44" t="str">
        <x:v>Not Started</x:v>
      </x:c>
      <x:c r="C1607" s="45" t="n">
        <x:v>40485</x:v>
      </x:c>
      <x:c r="D1607" s="33" t="str">
        <x:v>Law &amp; Order: Special Victims Unit</x:v>
      </x:c>
      <x:c r="E1607" s="33" t="str">
        <x:v>Law &amp; Order</x:v>
      </x:c>
      <x:c r="F1607" s="33" t="str">
        <x:v>core</x:v>
      </x:c>
      <x:c r="G1607" s="50" t="n">
        <x:v>12</x:v>
      </x:c>
      <x:c r="H1607" s="50" t="n">
        <x:v>7</x:v>
      </x:c>
      <x:c r="I1607" s="44" t="str">
        <x:v>12.07</x:v>
      </x:c>
      <x:c r="J1607" s="33" t="str">
        <x:v>Trophy</x:v>
      </x:c>
      <x:c r="K1607" s="33" t="str"/>
      <x:c r="L1607" s="33" t="str"/>
      <x:c r="M1607" s="44" t="str"/>
      <x:c r="N1607" s="50" t="n">
        <x:v>43</x:v>
      </x:c>
      <x:c r="O1607" s="53" t="str">
        <x:v>A rape and murder investigation puts the detectives lives at risk.</x:v>
      </x:c>
      <x:c r="P1607" s="53" t="str">
        <x:v>Core Law &amp; Order franchise</x:v>
      </x:c>
      <x:c r="Q1607" s="17" t="str">
        <x:v>225195</x:v>
      </x:c>
      <x:c r="R1607" s="17" t="str">
        <x:v>tt1750610</x:v>
      </x:c>
      <x:c r="S1607" s="17" t="str">
        <x:v>1167</x:v>
      </x:c>
    </x:row>
    <x:row r="1608">
      <x:c r="A1608" s="43" t="n">
        <x:v>1604</x:v>
      </x:c>
      <x:c r="B1608" s="44" t="str">
        <x:v>Not Started</x:v>
      </x:c>
      <x:c r="C1608" s="45" t="n">
        <x:v>40492</x:v>
      </x:c>
      <x:c r="D1608" s="33" t="str">
        <x:v>Law &amp; Order: LA</x:v>
      </x:c>
      <x:c r="E1608" s="33" t="str">
        <x:v>Law &amp; Order</x:v>
      </x:c>
      <x:c r="F1608" s="33" t="str">
        <x:v>core</x:v>
      </x:c>
      <x:c r="G1608" s="50" t="n">
        <x:v>1</x:v>
      </x:c>
      <x:c r="H1608" s="50" t="n">
        <x:v>6</x:v>
      </x:c>
      <x:c r="I1608" s="44" t="str">
        <x:v>01.06</x:v>
      </x:c>
      <x:c r="J1608" s="33" t="str">
        <x:v>Hondo Field</x:v>
      </x:c>
      <x:c r="K1608" s="33" t="str"/>
      <x:c r="L1608" s="33" t="str"/>
      <x:c r="M1608" s="44" t="str"/>
      <x:c r="N1608" s="50" t="n">
        <x:v>43</x:v>
      </x:c>
      <x:c r="O1608" s="53" t="str">
        <x:v>When an oil rig worker is found dead on shore, the investigation leads TJ and Winters to a drilling platform off the California coast.</x:v>
      </x:c>
      <x:c r="P1608" s="53" t="str">
        <x:v>Law &amp; Order franchise spinoff</x:v>
      </x:c>
      <x:c r="Q1608" s="17" t="str">
        <x:v>774887</x:v>
      </x:c>
      <x:c r="R1608" s="17" t="str">
        <x:v>tt1720511</x:v>
      </x:c>
      <x:c r="S1608" s="17" t="str">
        <x:v>1170</x:v>
      </x:c>
    </x:row>
    <x:row r="1609">
      <x:c r="A1609" s="43" t="n">
        <x:v>1605</x:v>
      </x:c>
      <x:c r="B1609" s="44" t="str">
        <x:v>Not Started</x:v>
      </x:c>
      <x:c r="C1609" s="45" t="n">
        <x:v>40492</x:v>
      </x:c>
      <x:c r="D1609" s="33" t="str">
        <x:v>Law &amp; Order: Special Victims Unit</x:v>
      </x:c>
      <x:c r="E1609" s="33" t="str">
        <x:v>Law &amp; Order</x:v>
      </x:c>
      <x:c r="F1609" s="33" t="str">
        <x:v>core</x:v>
      </x:c>
      <x:c r="G1609" s="50" t="n">
        <x:v>12</x:v>
      </x:c>
      <x:c r="H1609" s="50" t="n">
        <x:v>8</x:v>
      </x:c>
      <x:c r="I1609" s="44" t="str">
        <x:v>12.08</x:v>
      </x:c>
      <x:c r="J1609" s="33" t="str">
        <x:v>Penetration</x:v>
      </x:c>
      <x:c r="K1609" s="33" t="str"/>
      <x:c r="L1609" s="33" t="str"/>
      <x:c r="M1609" s="44" t="str"/>
      <x:c r="N1609" s="50" t="n">
        <x:v>42</x:v>
      </x:c>
      <x:c r="O1609" s="53" t="str">
        <x:v>Undercover FBI agent Dana Lewis returns to help the detectives with a case.</x:v>
      </x:c>
      <x:c r="P1609" s="53" t="str">
        <x:v>Core Law &amp; Order franchise</x:v>
      </x:c>
      <x:c r="Q1609" s="17" t="str">
        <x:v>225196</x:v>
      </x:c>
      <x:c r="R1609" s="17" t="str">
        <x:v>tt1750609</x:v>
      </x:c>
      <x:c r="S1609" s="17" t="str">
        <x:v>1169</x:v>
      </x:c>
    </x:row>
    <x:row r="1610">
      <x:c r="A1610" s="43" t="n">
        <x:v>1606</x:v>
      </x:c>
      <x:c r="B1610" s="44" t="str">
        <x:v>Not Started</x:v>
      </x:c>
      <x:c r="C1610" s="45" t="n">
        <x:v>40499</x:v>
      </x:c>
      <x:c r="D1610" s="33" t="str">
        <x:v>Law &amp; Order: LA</x:v>
      </x:c>
      <x:c r="E1610" s="33" t="str">
        <x:v>Law &amp; Order</x:v>
      </x:c>
      <x:c r="F1610" s="33" t="str">
        <x:v>core</x:v>
      </x:c>
      <x:c r="G1610" s="50" t="n">
        <x:v>1</x:v>
      </x:c>
      <x:c r="H1610" s="50" t="n">
        <x:v>7</x:v>
      </x:c>
      <x:c r="I1610" s="44" t="str">
        <x:v>01.07</x:v>
      </x:c>
      <x:c r="J1610" s="33" t="str">
        <x:v>Ballona Creek</x:v>
      </x:c>
      <x:c r="K1610" s="33" t="str"/>
      <x:c r="L1610" s="33" t="str"/>
      <x:c r="M1610" s="44" t="str"/>
      <x:c r="N1610" s="50" t="n">
        <x:v>43</x:v>
      </x:c>
      <x:c r="O1610" s="53" t="str">
        <x:v>The murder of a Watershed Management employee uncovers a cold case, and prompts the serial killer at its heart to come out of retirement.</x:v>
      </x:c>
      <x:c r="P1610" s="53" t="str">
        <x:v>Law &amp; Order franchise spinoff</x:v>
      </x:c>
      <x:c r="Q1610" s="17" t="str">
        <x:v>774888</x:v>
      </x:c>
      <x:c r="R1610" s="17" t="str">
        <x:v>tt1720509</x:v>
      </x:c>
      <x:c r="S1610" s="17" t="str">
        <x:v>1172</x:v>
      </x:c>
    </x:row>
    <x:row r="1611">
      <x:c r="A1611" s="43" t="n">
        <x:v>1607</x:v>
      </x:c>
      <x:c r="B1611" s="44" t="str">
        <x:v>Not Started</x:v>
      </x:c>
      <x:c r="C1611" s="45" t="n">
        <x:v>40499</x:v>
      </x:c>
      <x:c r="D1611" s="33" t="str">
        <x:v>Law &amp; Order: Special Victims Unit</x:v>
      </x:c>
      <x:c r="E1611" s="33" t="str">
        <x:v>Law &amp; Order</x:v>
      </x:c>
      <x:c r="F1611" s="33" t="str">
        <x:v>core</x:v>
      </x:c>
      <x:c r="G1611" s="50" t="n">
        <x:v>12</x:v>
      </x:c>
      <x:c r="H1611" s="50" t="n">
        <x:v>9</x:v>
      </x:c>
      <x:c r="I1611" s="44" t="str">
        <x:v>12.09</x:v>
      </x:c>
      <x:c r="J1611" s="33" t="str">
        <x:v>Gray</x:v>
      </x:c>
      <x:c r="K1611" s="33" t="str"/>
      <x:c r="L1611" s="33" t="str"/>
      <x:c r="M1611" s="44" t="str"/>
      <x:c r="N1611" s="50" t="n">
        <x:v>43</x:v>
      </x:c>
      <x:c r="O1611" s="53" t="str">
        <x:v>Stabler's participation in a Take Back the Night rally at Kathleen's campus results in an extra case for him and Benson when a student claims she was raped. Unfortunately, the case turns out to be a "he said-she said" type with little evidence. Enter Sonya Paxton, and it can only get more complicated.</x:v>
      </x:c>
      <x:c r="P1611" s="53" t="str">
        <x:v>Core Law &amp; Order franchise</x:v>
      </x:c>
      <x:c r="Q1611" s="17" t="str">
        <x:v>225197</x:v>
      </x:c>
      <x:c r="R1611" s="17" t="str">
        <x:v>tt1750608</x:v>
      </x:c>
      <x:c r="S1611" s="17" t="str">
        <x:v>1171</x:v>
      </x:c>
    </x:row>
    <x:row r="1612">
      <x:c r="A1612" s="43" t="n">
        <x:v>1608</x:v>
      </x:c>
      <x:c r="B1612" s="44" t="str">
        <x:v>Not Started</x:v>
      </x:c>
      <x:c r="C1612" s="45" t="n">
        <x:v>40513</x:v>
      </x:c>
      <x:c r="D1612" s="33" t="str">
        <x:v>Law &amp; Order: LA</x:v>
      </x:c>
      <x:c r="E1612" s="33" t="str">
        <x:v>Law &amp; Order</x:v>
      </x:c>
      <x:c r="F1612" s="33" t="str">
        <x:v>core</x:v>
      </x:c>
      <x:c r="G1612" s="50" t="n">
        <x:v>1</x:v>
      </x:c>
      <x:c r="H1612" s="50" t="n">
        <x:v>8</x:v>
      </x:c>
      <x:c r="I1612" s="44" t="str">
        <x:v>01.08</x:v>
      </x:c>
      <x:c r="J1612" s="33" t="str">
        <x:v>Playa Vista</x:v>
      </x:c>
      <x:c r="K1612" s="33" t="str"/>
      <x:c r="L1612" s="33" t="str"/>
      <x:c r="M1612" s="44" t="str"/>
      <x:c r="N1612" s="50" t="n">
        <x:v>43</x:v>
      </x:c>
      <x:c r="O1612" s="53" t="str">
        <x:v>The murder of golfer Kristin Halstead sends Detectives Winters and Jaruszalski to the Mens' professional circuit for leads, only to find them in Chip Jarrow. Trouble comes in the form of an incident between Jarrow and his wife Monica. Which leaves DDAs Dekker and Stanton to filter the chaos into a coherent case they can win.</x:v>
      </x:c>
      <x:c r="P1612" s="53" t="str">
        <x:v>Law &amp; Order franchise spinoff</x:v>
      </x:c>
      <x:c r="Q1612" s="17" t="str">
        <x:v>774889</x:v>
      </x:c>
      <x:c r="R1612" s="17" t="str">
        <x:v>tt1717348</x:v>
      </x:c>
      <x:c r="S1612" s="17" t="str">
        <x:v>1174</x:v>
      </x:c>
    </x:row>
    <x:row r="1613">
      <x:c r="A1613" s="43" t="n">
        <x:v>1609</x:v>
      </x:c>
      <x:c r="B1613" s="44" t="str">
        <x:v>Not Started</x:v>
      </x:c>
      <x:c r="C1613" s="45" t="n">
        <x:v>40513</x:v>
      </x:c>
      <x:c r="D1613" s="33" t="str">
        <x:v>Law &amp; Order: Special Victims Unit</x:v>
      </x:c>
      <x:c r="E1613" s="33" t="str">
        <x:v>Law &amp; Order</x:v>
      </x:c>
      <x:c r="F1613" s="33" t="str">
        <x:v>core</x:v>
      </x:c>
      <x:c r="G1613" s="50" t="n">
        <x:v>12</x:v>
      </x:c>
      <x:c r="H1613" s="50" t="n">
        <x:v>10</x:v>
      </x:c>
      <x:c r="I1613" s="44" t="str">
        <x:v>12.10</x:v>
      </x:c>
      <x:c r="J1613" s="33" t="str">
        <x:v>Rescue</x:v>
      </x:c>
      <x:c r="K1613" s="33" t="str"/>
      <x:c r="L1613" s="33" t="str"/>
      <x:c r="M1613" s="44" t="str"/>
      <x:c r="N1613" s="50" t="n">
        <x:v>41</x:v>
      </x:c>
      <x:c r="O1613" s="53" t="str">
        <x:v>With young Calvin in her care, Detective Benson continues the search for his drug-addict mother, Vivian, but Detective Stabler notices a strong bond forming between Benson and the boy. When Vivian's name comes up during a rape investigation, Captain Cragen assigns Detectives Fin and Munch to the case instead. However, it will take more than Cragen' s orders to keep Benson away.</x:v>
      </x:c>
      <x:c r="P1613" s="53" t="str">
        <x:v>Core Law &amp; Order franchise</x:v>
      </x:c>
      <x:c r="Q1613" s="17" t="str">
        <x:v>225198</x:v>
      </x:c>
      <x:c r="R1613" s="17" t="str">
        <x:v>tt1778597</x:v>
      </x:c>
      <x:c r="S1613" s="17" t="str">
        <x:v>1173</x:v>
      </x:c>
    </x:row>
    <x:row r="1614">
      <x:c r="A1614" s="43" t="n">
        <x:v>1610</x:v>
      </x:c>
      <x:c r="B1614" s="44" t="str">
        <x:v>Not Started</x:v>
      </x:c>
      <x:c r="C1614" s="45" t="n">
        <x:v>40548</x:v>
      </x:c>
      <x:c r="D1614" s="33" t="str">
        <x:v>Law &amp; Order: Special Victims Unit</x:v>
      </x:c>
      <x:c r="E1614" s="33" t="str">
        <x:v>Law &amp; Order</x:v>
      </x:c>
      <x:c r="F1614" s="33" t="str">
        <x:v>core</x:v>
      </x:c>
      <x:c r="G1614" s="50" t="n">
        <x:v>12</x:v>
      </x:c>
      <x:c r="H1614" s="50" t="n">
        <x:v>11</x:v>
      </x:c>
      <x:c r="I1614" s="44" t="str">
        <x:v>12.11</x:v>
      </x:c>
      <x:c r="J1614" s="33" t="str">
        <x:v>Pop</x:v>
      </x:c>
      <x:c r="K1614" s="33" t="str"/>
      <x:c r="L1614" s="33" t="str"/>
      <x:c r="M1614" s="44" t="str"/>
      <x:c r="N1614" s="50" t="n">
        <x:v>42</x:v>
      </x:c>
      <x:c r="O1614" s="53" t="str">
        <x:v>A young boy is found dead on a park carousel after being dropped off by his uncle Joe Gilbert. When Detectives Benson and Stabler learn that the boy was beaten to death they suspect that it could be the result of a bully at school. The investigation leads to an unsettling gambling ring. Detectives suspect that Gilbert's acquaintance, Joe Roberts is beating his wife Sandra and the case takes a horrifying turn.</x:v>
      </x:c>
      <x:c r="P1614" s="53" t="str">
        <x:v>Core Law &amp; Order franchise</x:v>
      </x:c>
      <x:c r="Q1614" s="17" t="str">
        <x:v>225199</x:v>
      </x:c>
      <x:c r="R1614" s="17" t="str">
        <x:v>tt1803432</x:v>
      </x:c>
      <x:c r="S1614" s="17" t="str">
        <x:v>1175</x:v>
      </x:c>
    </x:row>
    <x:row r="1615">
      <x:c r="A1615" s="43" t="n">
        <x:v>1611</x:v>
      </x:c>
      <x:c r="B1615" s="44" t="str">
        <x:v>Not Started</x:v>
      </x:c>
      <x:c r="C1615" s="45" t="n">
        <x:v>40548</x:v>
      </x:c>
      <x:c r="D1615" s="33" t="str">
        <x:v>Law &amp; Order: Special Victims Unit</x:v>
      </x:c>
      <x:c r="E1615" s="33" t="str">
        <x:v>Law &amp; Order</x:v>
      </x:c>
      <x:c r="F1615" s="33" t="str">
        <x:v>core</x:v>
      </x:c>
      <x:c r="G1615" s="50" t="n">
        <x:v>12</x:v>
      </x:c>
      <x:c r="H1615" s="50" t="n">
        <x:v>12</x:v>
      </x:c>
      <x:c r="I1615" s="44" t="str">
        <x:v>12.12</x:v>
      </x:c>
      <x:c r="J1615" s="33" t="str">
        <x:v>Possessed</x:v>
      </x:c>
      <x:c r="K1615" s="33" t="str"/>
      <x:c r="L1615" s="33" t="str"/>
      <x:c r="M1615" s="44" t="str"/>
      <x:c r="N1615" s="50" t="n">
        <x:v>43</x:v>
      </x:c>
      <x:c r="O1615" s="53" t="str">
        <x:v>A young man finds that his girlfriend Larissa Welsh has been attacked in her apartment with evidence that points to her buried past. Detectives Benson and Stabler go in search of her attacker and discover that an elderly man, Orville Underwood, may have been involved in traumatic events of Welsh's past. For the detectives, solving the case comes down to who was in possession of the evidence.</x:v>
      </x:c>
      <x:c r="P1615" s="53" t="str">
        <x:v>Core Law &amp; Order franchise</x:v>
      </x:c>
      <x:c r="Q1615" s="17" t="str">
        <x:v>225200</x:v>
      </x:c>
      <x:c r="R1615" s="17" t="str">
        <x:v>tt1803430</x:v>
      </x:c>
      <x:c r="S1615" s="17" t="str">
        <x:v>1176</x:v>
      </x:c>
    </x:row>
    <x:row r="1616">
      <x:c r="A1616" s="43" t="n">
        <x:v>1612</x:v>
      </x:c>
      <x:c r="B1616" s="44" t="str">
        <x:v>Not Started</x:v>
      </x:c>
      <x:c r="C1616" s="45" t="n">
        <x:v>40555</x:v>
      </x:c>
      <x:c r="D1616" s="33" t="str">
        <x:v>Law &amp; Order: Special Victims Unit</x:v>
      </x:c>
      <x:c r="E1616" s="33" t="str">
        <x:v>Law &amp; Order</x:v>
      </x:c>
      <x:c r="F1616" s="33" t="str">
        <x:v>core</x:v>
      </x:c>
      <x:c r="G1616" s="50" t="n">
        <x:v>12</x:v>
      </x:c>
      <x:c r="H1616" s="50" t="n">
        <x:v>13</x:v>
      </x:c>
      <x:c r="I1616" s="44" t="str">
        <x:v>12.13</x:v>
      </x:c>
      <x:c r="J1616" s="33" t="str">
        <x:v>Mask</x:v>
      </x:c>
      <x:c r="K1616" s="33" t="str"/>
      <x:c r="L1616" s="33" t="str"/>
      <x:c r="M1616" s="44" t="str"/>
      <x:c r="N1616" s="50" t="n">
        <x:v>42</x:v>
      </x:c>
      <x:c r="O1616" s="53" t="str">
        <x:v>Debbie Shields comes home to find her partner Ann Jackson being raped by a man wearing a haunting mask. Shields contacts Ann's father to notify him of her critical condition. As detectives Benson and Stabler interrogate Ann's father, Captain Jackson, his sordid past is revealed filled with sexual and alcohol addiction. Jackson's new role as a sex therapist is hindering the detectives from getting the information they need to solve the case and if Jackson won't comply, the detectives are going to have to get creative.</x:v>
      </x:c>
      <x:c r="P1616" s="53" t="str">
        <x:v>Core Law &amp; Order franchise</x:v>
      </x:c>
      <x:c r="Q1616" s="17" t="str">
        <x:v>225201</x:v>
      </x:c>
      <x:c r="R1616" s="17" t="str">
        <x:v>tt1803431</x:v>
      </x:c>
      <x:c r="S1616" s="17" t="str">
        <x:v>1177</x:v>
      </x:c>
    </x:row>
    <x:row r="1617">
      <x:c r="A1617" s="43" t="n">
        <x:v>1613</x:v>
      </x:c>
      <x:c r="B1617" s="44" t="str">
        <x:v>Not Started</x:v>
      </x:c>
      <x:c r="C1617" s="45" t="n">
        <x:v>40562</x:v>
      </x:c>
      <x:c r="D1617" s="33" t="str">
        <x:v>Law &amp; Order: Special Victims Unit</x:v>
      </x:c>
      <x:c r="E1617" s="33" t="str">
        <x:v>Law &amp; Order</x:v>
      </x:c>
      <x:c r="F1617" s="33" t="str">
        <x:v>core</x:v>
      </x:c>
      <x:c r="G1617" s="50" t="n">
        <x:v>12</x:v>
      </x:c>
      <x:c r="H1617" s="50" t="n">
        <x:v>14</x:v>
      </x:c>
      <x:c r="I1617" s="44" t="str">
        <x:v>12.14</x:v>
      </x:c>
      <x:c r="J1617" s="33" t="str">
        <x:v>Dirty</x:v>
      </x:c>
      <x:c r="K1617" s="33" t="str"/>
      <x:c r="L1617" s="33" t="str"/>
      <x:c r="M1617" s="44" t="str"/>
      <x:c r="N1617" s="50" t="n">
        <x:v>41</x:v>
      </x:c>
      <x:c r="O1617" s="53" t="str">
        <x:v>Detective Saliyah "Sunny" Qadri goes in search of Brooklyn District Attorney Page Ferguson, who she fears may be in danger. Qadri finds Ferguson just in time to witness her fall from the top of a parking garage. When Benson arrives, she discovers that the crime scene has been tampered with. Benson turns to an old friend, Assistant U.S. Attorney Christine Danielson for help. As the investigation progresses, Benson begins to question Ferguson's suspicious past and Qadri's involvement in the case.</x:v>
      </x:c>
      <x:c r="P1617" s="53" t="str">
        <x:v>Core Law &amp; Order franchise</x:v>
      </x:c>
      <x:c r="Q1617" s="17" t="str">
        <x:v>225202</x:v>
      </x:c>
      <x:c r="R1617" s="17" t="str">
        <x:v>tt1809786</x:v>
      </x:c>
      <x:c r="S1617" s="17" t="str">
        <x:v>1178</x:v>
      </x:c>
    </x:row>
    <x:row r="1618">
      <x:c r="A1618" s="43" t="n">
        <x:v>1614</x:v>
      </x:c>
      <x:c r="B1618" s="44" t="str">
        <x:v>Not Started</x:v>
      </x:c>
      <x:c r="C1618" s="45" t="n">
        <x:v>40576</x:v>
      </x:c>
      <x:c r="D1618" s="33" t="str">
        <x:v>Law &amp; Order: Special Victims Unit</x:v>
      </x:c>
      <x:c r="E1618" s="33" t="str">
        <x:v>Law &amp; Order</x:v>
      </x:c>
      <x:c r="F1618" s="33" t="str">
        <x:v>core</x:v>
      </x:c>
      <x:c r="G1618" s="50" t="n">
        <x:v>12</x:v>
      </x:c>
      <x:c r="H1618" s="50" t="n">
        <x:v>15</x:v>
      </x:c>
      <x:c r="I1618" s="44" t="str">
        <x:v>12.15</x:v>
      </x:c>
      <x:c r="J1618" s="33" t="str">
        <x:v>Flight</x:v>
      </x:c>
      <x:c r="K1618" s="33" t="str"/>
      <x:c r="L1618" s="33" t="str"/>
      <x:c r="M1618" s="44" t="str"/>
      <x:c r="N1618" s="50" t="n">
        <x:v>41</x:v>
      </x:c>
      <x:c r="O1618" s="53" t="str">
        <x:v>When it is discovered that a teenage girl is suffering from Post Traumatic Stress Disorder due to sexual abuse, all leads point to billionaire Jordan Kress. As Detectives Benson and Stabler continue to investigate, Kress involves his lawyer, Dwight Stanitch, who throws the whole case awry.</x:v>
      </x:c>
      <x:c r="P1618" s="53" t="str">
        <x:v>Core Law &amp; Order franchise</x:v>
      </x:c>
      <x:c r="Q1618" s="17" t="str">
        <x:v>225203</x:v>
      </x:c>
      <x:c r="R1618" s="17" t="str">
        <x:v>tt1822632</x:v>
      </x:c>
      <x:c r="S1618" s="17" t="str">
        <x:v>1179</x:v>
      </x:c>
    </x:row>
    <x:row r="1619">
      <x:c r="A1619" s="43" t="n">
        <x:v>1615</x:v>
      </x:c>
      <x:c r="B1619" s="44" t="str">
        <x:v>Not Started</x:v>
      </x:c>
      <x:c r="C1619" s="45" t="n">
        <x:v>40583</x:v>
      </x:c>
      <x:c r="D1619" s="33" t="str">
        <x:v>Law &amp; Order: Special Victims Unit</x:v>
      </x:c>
      <x:c r="E1619" s="33" t="str">
        <x:v>Law &amp; Order</x:v>
      </x:c>
      <x:c r="F1619" s="33" t="str">
        <x:v>core</x:v>
      </x:c>
      <x:c r="G1619" s="50" t="n">
        <x:v>12</x:v>
      </x:c>
      <x:c r="H1619" s="50" t="n">
        <x:v>16</x:v>
      </x:c>
      <x:c r="I1619" s="44" t="str">
        <x:v>12.16</x:v>
      </x:c>
      <x:c r="J1619" s="33" t="str">
        <x:v>Spectacle</x:v>
      </x:c>
      <x:c r="K1619" s="33" t="str"/>
      <x:c r="L1619" s="33" t="str"/>
      <x:c r="M1619" s="44" t="str"/>
      <x:c r="N1619" s="50" t="n">
        <x:v>41</x:v>
      </x:c>
      <x:c r="O1619" s="53" t="str">
        <x:v>After the sexual assault of a young woman is videotaped and featured on a campus-wide intranet feed, detectives Elliot Stabler and Odafin "Fin" Tutuola go in search of the victim and her attacker. As they delve into the investigation, it becomes clear that the perpetrator created a spectacle to draw attention to his own issues.</x:v>
      </x:c>
      <x:c r="P1619" s="53" t="str">
        <x:v>Core Law &amp; Order franchise</x:v>
      </x:c>
      <x:c r="Q1619" s="17" t="str">
        <x:v>225204</x:v>
      </x:c>
      <x:c r="R1619" s="17" t="str">
        <x:v>tt1825389</x:v>
      </x:c>
      <x:c r="S1619" s="17" t="str">
        <x:v>1180</x:v>
      </x:c>
    </x:row>
    <x:row r="1620">
      <x:c r="A1620" s="43" t="n">
        <x:v>1616</x:v>
      </x:c>
      <x:c r="B1620" s="44" t="str">
        <x:v>Not Started</x:v>
      </x:c>
      <x:c r="C1620" s="45" t="n">
        <x:v>40590</x:v>
      </x:c>
      <x:c r="D1620" s="33" t="str">
        <x:v>Law &amp; Order: Special Victims Unit</x:v>
      </x:c>
      <x:c r="E1620" s="33" t="str">
        <x:v>Law &amp; Order</x:v>
      </x:c>
      <x:c r="F1620" s="33" t="str">
        <x:v>core</x:v>
      </x:c>
      <x:c r="G1620" s="50" t="n">
        <x:v>12</x:v>
      </x:c>
      <x:c r="H1620" s="50" t="n">
        <x:v>17</x:v>
      </x:c>
      <x:c r="I1620" s="44" t="str">
        <x:v>12.17</x:v>
      </x:c>
      <x:c r="J1620" s="33" t="str">
        <x:v>Pursuit</x:v>
      </x:c>
      <x:c r="K1620" s="33" t="str"/>
      <x:c r="L1620" s="33" t="str"/>
      <x:c r="M1620" s="44" t="str"/>
      <x:c r="N1620" s="50" t="n">
        <x:v>43</x:v>
      </x:c>
      <x:c r="O1620" s="53" t="str">
        <x:v>The TV host of a show that spotlights predators receives threats to her safety, and this reawakens her hunt for her sister's abductor. An ADA with connections to the TV host then assists detectives in their investigation.</x:v>
      </x:c>
      <x:c r="P1620" s="53" t="str">
        <x:v>Core Law &amp; Order franchise</x:v>
      </x:c>
      <x:c r="Q1620" s="17" t="str">
        <x:v>225205</x:v>
      </x:c>
      <x:c r="R1620" s="17" t="str">
        <x:v>tt1833175</x:v>
      </x:c>
      <x:c r="S1620" s="17" t="str">
        <x:v>1181</x:v>
      </x:c>
    </x:row>
    <x:row r="1621">
      <x:c r="A1621" s="43" t="n">
        <x:v>1617</x:v>
      </x:c>
      <x:c r="B1621" s="44" t="str">
        <x:v>Not Started</x:v>
      </x:c>
      <x:c r="C1621" s="45" t="n">
        <x:v>40597</x:v>
      </x:c>
      <x:c r="D1621" s="33" t="str">
        <x:v>Law &amp; Order: Special Victims Unit</x:v>
      </x:c>
      <x:c r="E1621" s="33" t="str">
        <x:v>Law &amp; Order</x:v>
      </x:c>
      <x:c r="F1621" s="33" t="str">
        <x:v>core</x:v>
      </x:c>
      <x:c r="G1621" s="50" t="n">
        <x:v>12</x:v>
      </x:c>
      <x:c r="H1621" s="50" t="n">
        <x:v>18</x:v>
      </x:c>
      <x:c r="I1621" s="44" t="str">
        <x:v>12.18</x:v>
      </x:c>
      <x:c r="J1621" s="33" t="str">
        <x:v>Bully</x:v>
      </x:c>
      <x:c r="K1621" s="33" t="str"/>
      <x:c r="L1621" s="33" t="str"/>
      <x:c r="M1621" s="44" t="str"/>
      <x:c r="N1621" s="50" t="n">
        <x:v>42</x:v>
      </x:c>
      <x:c r="O1621" s="53" t="str">
        <x:v>An art patron finds a body, and when detectives question the murdered woman's good friend and associates, they uncover an antagonistic work environment filled with grown-up bullies.</x:v>
      </x:c>
      <x:c r="P1621" s="53" t="str">
        <x:v>Core Law &amp; Order franchise</x:v>
      </x:c>
      <x:c r="Q1621" s="17" t="str">
        <x:v>225206</x:v>
      </x:c>
      <x:c r="R1621" s="17" t="str">
        <x:v>tt1833174</x:v>
      </x:c>
      <x:c r="S1621" s="17" t="str">
        <x:v>1182</x:v>
      </x:c>
    </x:row>
    <x:row r="1622">
      <x:c r="A1622" s="43" t="n">
        <x:v>1618</x:v>
      </x:c>
      <x:c r="B1622" s="44" t="str">
        <x:v>Not Started</x:v>
      </x:c>
      <x:c r="C1622" s="45" t="n">
        <x:v>40609</x:v>
      </x:c>
      <x:c r="D1622" s="33" t="str">
        <x:v>Law &amp; Order: UK</x:v>
      </x:c>
      <x:c r="E1622" s="33" t="str">
        <x:v>Law &amp; Order</x:v>
      </x:c>
      <x:c r="F1622" s="33" t="str">
        <x:v>core</x:v>
      </x:c>
      <x:c r="G1622" s="50" t="n">
        <x:v>4</x:v>
      </x:c>
      <x:c r="H1622" s="50" t="n">
        <x:v>1</x:v>
      </x:c>
      <x:c r="I1622" s="44" t="str">
        <x:v>04.01</x:v>
      </x:c>
      <x:c r="J1622" s="33" t="str">
        <x:v>Help</x:v>
      </x:c>
      <x:c r="K1622" s="33" t="str"/>
      <x:c r="L1622" s="33" t="str"/>
      <x:c r="M1622" s="44" t="str"/>
      <x:c r="N1622" s="50" t="n">
        <x:v>48</x:v>
      </x:c>
      <x:c r="O1622" s="53" t="str">
        <x:v>The police investigate the murder of a former professional footballer, Robert Nichols, who is found lying beside his car bludgeoned to death. He was on his way to meet his sister and was apparently replacing a flat tire when the attack occurred. The only thing taken was his very expensive watch. They manage to trace a passerby, Mike Jones, who initially denies having seen anything but eventually admits he was helping Nichols fix his flat. The police are naturally suspicious and believe Jones may have been the perpetrator. In checking into Nichols's background however, they learn he was a big-time gambler and owed well-known mobster Don Marsh a quarter of a million pounds. Jones obviously has good reason to lie since he saw who killed Nichols but the mobster has made it clear that his life is in danger if he testifies.</x:v>
      </x:c>
      <x:c r="P1622" s="53" t="str">
        <x:v>Law &amp; Order format/franchise</x:v>
      </x:c>
      <x:c r="Q1622" s="17" t="str">
        <x:v>392407</x:v>
      </x:c>
      <x:c r="R1622" s="17" t="str">
        <x:v>tt1491975</x:v>
      </x:c>
      <x:c r="S1622" s="17" t="str">
        <x:v>1183</x:v>
      </x:c>
    </x:row>
    <x:row r="1623">
      <x:c r="A1623" s="43" t="n">
        <x:v>1619</x:v>
      </x:c>
      <x:c r="B1623" s="44" t="str">
        <x:v>Not Started</x:v>
      </x:c>
      <x:c r="C1623" s="45" t="n">
        <x:v>40616</x:v>
      </x:c>
      <x:c r="D1623" s="33" t="str">
        <x:v>Law &amp; Order: UK</x:v>
      </x:c>
      <x:c r="E1623" s="33" t="str">
        <x:v>Law &amp; Order</x:v>
      </x:c>
      <x:c r="F1623" s="33" t="str">
        <x:v>core</x:v>
      </x:c>
      <x:c r="G1623" s="50" t="n">
        <x:v>4</x:v>
      </x:c>
      <x:c r="H1623" s="50" t="n">
        <x:v>2</x:v>
      </x:c>
      <x:c r="I1623" s="44" t="str">
        <x:v>04.02</x:v>
      </x:c>
      <x:c r="J1623" s="33" t="str">
        <x:v>Denial</x:v>
      </x:c>
      <x:c r="K1623" s="33" t="str"/>
      <x:c r="L1623" s="33" t="str"/>
      <x:c r="M1623" s="44" t="str"/>
      <x:c r="N1623" s="50" t="n">
        <x:v>48</x:v>
      </x:c>
      <x:c r="O1623" s="53" t="str">
        <x:v>A judge is badly injured when she is shot during what appears to be a car robbery. The investigation reveals that a hitman had been hired to kill her.</x:v>
      </x:c>
      <x:c r="P1623" s="53" t="str">
        <x:v>Law &amp; Order format/franchise</x:v>
      </x:c>
      <x:c r="Q1623" s="17" t="str">
        <x:v>392408</x:v>
      </x:c>
      <x:c r="R1623" s="17" t="str">
        <x:v>tt1491976</x:v>
      </x:c>
      <x:c r="S1623" s="17" t="str">
        <x:v>1184</x:v>
      </x:c>
    </x:row>
    <x:row r="1624">
      <x:c r="A1624" s="43" t="n">
        <x:v>1620</x:v>
      </x:c>
      <x:c r="B1624" s="44" t="str">
        <x:v>Not Started</x:v>
      </x:c>
      <x:c r="C1624" s="45" t="n">
        <x:v>40623</x:v>
      </x:c>
      <x:c r="D1624" s="33" t="str">
        <x:v>Law &amp; Order: UK</x:v>
      </x:c>
      <x:c r="E1624" s="33" t="str">
        <x:v>Law &amp; Order</x:v>
      </x:c>
      <x:c r="F1624" s="33" t="str">
        <x:v>core</x:v>
      </x:c>
      <x:c r="G1624" s="50" t="n">
        <x:v>4</x:v>
      </x:c>
      <x:c r="H1624" s="50" t="n">
        <x:v>3</x:v>
      </x:c>
      <x:c r="I1624" s="44" t="str">
        <x:v>04.03</x:v>
      </x:c>
      <x:c r="J1624" s="33" t="str">
        <x:v>ID</x:v>
      </x:c>
      <x:c r="K1624" s="33" t="str"/>
      <x:c r="L1624" s="33" t="str"/>
      <x:c r="M1624" s="44" t="str"/>
      <x:c r="N1624" s="50" t="n">
        <x:v>48</x:v>
      </x:c>
      <x:c r="O1624" s="53" t="str">
        <x:v>The case starts with the murder of a doctor in the car park of the hospital where she works. What initially seems like a crime of passion soon unravels into a conspiracy involving senior government officials. Risking their careers, James and Alesha must get to the bottom of this case before another life is destroyed.</x:v>
      </x:c>
      <x:c r="P1624" s="53" t="str">
        <x:v>Law &amp; Order format/franchise</x:v>
      </x:c>
      <x:c r="Q1624" s="17" t="str">
        <x:v>392409</x:v>
      </x:c>
      <x:c r="R1624" s="17" t="str">
        <x:v>tt1491965</x:v>
      </x:c>
      <x:c r="S1624" s="17" t="str">
        <x:v>1185</x:v>
      </x:c>
    </x:row>
    <x:row r="1625">
      <x:c r="A1625" s="43" t="n">
        <x:v>1621</x:v>
      </x:c>
      <x:c r="B1625" s="44" t="str">
        <x:v>Not Started</x:v>
      </x:c>
      <x:c r="C1625" s="45" t="n">
        <x:v>40625</x:v>
      </x:c>
      <x:c r="D1625" s="33" t="str">
        <x:v>Law &amp; Order: Special Victims Unit</x:v>
      </x:c>
      <x:c r="E1625" s="33" t="str">
        <x:v>Law &amp; Order</x:v>
      </x:c>
      <x:c r="F1625" s="33" t="str">
        <x:v>core</x:v>
      </x:c>
      <x:c r="G1625" s="50" t="n">
        <x:v>12</x:v>
      </x:c>
      <x:c r="H1625" s="50" t="n">
        <x:v>19</x:v>
      </x:c>
      <x:c r="I1625" s="44" t="str">
        <x:v>12.19</x:v>
      </x:c>
      <x:c r="J1625" s="33" t="str">
        <x:v>Bombshell</x:v>
      </x:c>
      <x:c r="K1625" s="33" t="str"/>
      <x:c r="L1625" s="33" t="str"/>
      <x:c r="M1625" s="44" t="str"/>
      <x:c r="N1625" s="50" t="n">
        <x:v>42</x:v>
      </x:c>
      <x:c r="O1625" s="53" t="str">
        <x:v>A grifter named Cassandra strikes swinging men who frequent sex clubs.</x:v>
      </x:c>
      <x:c r="P1625" s="53" t="str">
        <x:v>Core Law &amp; Order franchise</x:v>
      </x:c>
      <x:c r="Q1625" s="17" t="str">
        <x:v>225207</x:v>
      </x:c>
      <x:c r="R1625" s="17" t="str">
        <x:v>tt1837245</x:v>
      </x:c>
      <x:c r="S1625" s="17" t="str">
        <x:v>1186</x:v>
      </x:c>
    </x:row>
    <x:row r="1626">
      <x:c r="A1626" s="43" t="n">
        <x:v>1622</x:v>
      </x:c>
      <x:c r="B1626" s="44" t="str">
        <x:v>Not Started</x:v>
      </x:c>
      <x:c r="C1626" s="45" t="n">
        <x:v>40630</x:v>
      </x:c>
      <x:c r="D1626" s="33" t="str">
        <x:v>Law &amp; Order: UK</x:v>
      </x:c>
      <x:c r="E1626" s="33" t="str">
        <x:v>Law &amp; Order</x:v>
      </x:c>
      <x:c r="F1626" s="33" t="str">
        <x:v>core</x:v>
      </x:c>
      <x:c r="G1626" s="50" t="n">
        <x:v>4</x:v>
      </x:c>
      <x:c r="H1626" s="50" t="n">
        <x:v>4</x:v>
      </x:c>
      <x:c r="I1626" s="44" t="str">
        <x:v>04.04</x:v>
      </x:c>
      <x:c r="J1626" s="33" t="str">
        <x:v>Duty of Care</x:v>
      </x:c>
      <x:c r="K1626" s="33" t="str"/>
      <x:c r="L1626" s="33" t="str"/>
      <x:c r="M1626" s="44" t="str"/>
      <x:c r="N1626" s="50" t="n">
        <x:v>48</x:v>
      </x:c>
      <x:c r="O1626" s="53" t="str">
        <x:v>The police investigate a suspicious fire that resulted in the death of 13 year-old Ian Parnell. His mother Megan managed to escape but the pathologist confirms that Ian died of smoke inhalation. The boy was severely disabled and unable to care for himself. They follow several false leads including an absent father who is behind on his support payments and a couple of neighborhood lads who were known to have harassed the dead boy. In the end, the evidence points to the mother. In court James and Alesha come up against a barrister who refuses all reasonable offers to settle the case. His disdain for his client leads him to mount a series of increasingly ridiculous defenses. When the truth finally emerges, the Crown prosecutors face a moral dilemma.</x:v>
      </x:c>
      <x:c r="P1626" s="53" t="str">
        <x:v>Law &amp; Order format/franchise</x:v>
      </x:c>
      <x:c r="Q1626" s="17" t="str">
        <x:v>392410</x:v>
      </x:c>
      <x:c r="R1626" s="17" t="str">
        <x:v>tt1491966</x:v>
      </x:c>
      <x:c r="S1626" s="17" t="str">
        <x:v>1187</x:v>
      </x:c>
    </x:row>
    <x:row r="1627">
      <x:c r="A1627" s="43" t="n">
        <x:v>1623</x:v>
      </x:c>
      <x:c r="B1627" s="44" t="str">
        <x:v>Not Started</x:v>
      </x:c>
      <x:c r="C1627" s="45" t="n">
        <x:v>40632</x:v>
      </x:c>
      <x:c r="D1627" s="33" t="str">
        <x:v>Law &amp; Order: Special Victims Unit</x:v>
      </x:c>
      <x:c r="E1627" s="33" t="str">
        <x:v>Law &amp; Order</x:v>
      </x:c>
      <x:c r="F1627" s="33" t="str">
        <x:v>core</x:v>
      </x:c>
      <x:c r="G1627" s="50" t="n">
        <x:v>12</x:v>
      </x:c>
      <x:c r="H1627" s="50" t="n">
        <x:v>20</x:v>
      </x:c>
      <x:c r="I1627" s="44" t="str">
        <x:v>12.20</x:v>
      </x:c>
      <x:c r="J1627" s="33" t="str">
        <x:v>Totem</x:v>
      </x:c>
      <x:c r="K1627" s="33" t="str"/>
      <x:c r="L1627" s="33" t="str"/>
      <x:c r="M1627" s="44" t="str"/>
      <x:c r="N1627" s="50" t="n">
        <x:v>43</x:v>
      </x:c>
      <x:c r="O1627" s="53" t="str">
        <x:v>When a young girl is found dead with a doll that is believed to have been left as a totem, detectives Benson and Stabler team up with Captain Jackson, a psychologist who assisted them with a recent case, to investigate her murder. Jackson joins the detectives as they retrace the girl's last steps and go to meet with her piano teacher June Frye. Jackson's skills prove to be invaluable in deciphering the meaning of the totem and ultimately finding her killer.</x:v>
      </x:c>
      <x:c r="P1627" s="53" t="str">
        <x:v>Core Law &amp; Order franchise</x:v>
      </x:c>
      <x:c r="Q1627" s="17" t="str">
        <x:v>225208</x:v>
      </x:c>
      <x:c r="R1627" s="17" t="str">
        <x:v>tt1865798</x:v>
      </x:c>
      <x:c r="S1627" s="17" t="str">
        <x:v>1188</x:v>
      </x:c>
    </x:row>
    <x:row r="1628">
      <x:c r="A1628" s="43" t="n">
        <x:v>1624</x:v>
      </x:c>
      <x:c r="B1628" s="44" t="str">
        <x:v>Not Started</x:v>
      </x:c>
      <x:c r="C1628" s="45" t="n">
        <x:v>40637</x:v>
      </x:c>
      <x:c r="D1628" s="33" t="str">
        <x:v>Law &amp; Order: UK</x:v>
      </x:c>
      <x:c r="E1628" s="33" t="str">
        <x:v>Law &amp; Order</x:v>
      </x:c>
      <x:c r="F1628" s="33" t="str">
        <x:v>core</x:v>
      </x:c>
      <x:c r="G1628" s="50" t="n">
        <x:v>4</x:v>
      </x:c>
      <x:c r="H1628" s="50" t="n">
        <x:v>5</x:v>
      </x:c>
      <x:c r="I1628" s="44" t="str">
        <x:v>04.05</x:v>
      </x:c>
      <x:c r="J1628" s="33" t="str">
        <x:v>Shaken</x:v>
      </x:c>
      <x:c r="K1628" s="33" t="str"/>
      <x:c r="L1628" s="33" t="str"/>
      <x:c r="M1628" s="44" t="str"/>
      <x:c r="N1628" s="50" t="n">
        <x:v>48</x:v>
      </x:c>
      <x:c r="O1628" s="53" t="str"/>
      <x:c r="P1628" s="53" t="str">
        <x:v>Law &amp; Order format/franchise</x:v>
      </x:c>
      <x:c r="Q1628" s="17" t="str">
        <x:v>392411</x:v>
      </x:c>
      <x:c r="R1628" s="17" t="str">
        <x:v>tt1491967</x:v>
      </x:c>
      <x:c r="S1628" s="17" t="str">
        <x:v>1189</x:v>
      </x:c>
    </x:row>
    <x:row r="1629">
      <x:c r="A1629" s="43" t="n">
        <x:v>1625</x:v>
      </x:c>
      <x:c r="B1629" s="44" t="str">
        <x:v>Not Started</x:v>
      </x:c>
      <x:c r="C1629" s="45" t="n">
        <x:v>40639</x:v>
      </x:c>
      <x:c r="D1629" s="33" t="str">
        <x:v>Law &amp; Order: Special Victims Unit</x:v>
      </x:c>
      <x:c r="E1629" s="33" t="str">
        <x:v>Law &amp; Order</x:v>
      </x:c>
      <x:c r="F1629" s="33" t="str">
        <x:v>core</x:v>
      </x:c>
      <x:c r="G1629" s="50" t="n">
        <x:v>12</x:v>
      </x:c>
      <x:c r="H1629" s="50" t="n">
        <x:v>21</x:v>
      </x:c>
      <x:c r="I1629" s="44" t="str">
        <x:v>12.21</x:v>
      </x:c>
      <x:c r="J1629" s="33" t="str">
        <x:v>Reparations</x:v>
      </x:c>
      <x:c r="K1629" s="33" t="str"/>
      <x:c r="L1629" s="33" t="str"/>
      <x:c r="M1629" s="44" t="str"/>
      <x:c r="N1629" s="50" t="n">
        <x:v>42</x:v>
      </x:c>
      <x:c r="O1629" s="53" t="str">
        <x:v>Two high-powered attorneys face each other across the aisle when Casey Novak returns to the team, and Joe Dekker takes a leave of absence from his Los Angeles duties after his cousin is charged with rape. Dekker's unwavering belief in his cousin's innocence, and a court disturbance make Novak and Benson take another look at the evidence, which leads them to someone playing a very long game in the name of hatred.</x:v>
      </x:c>
      <x:c r="P1629" s="53" t="str">
        <x:v>Core Law &amp; Order franchise</x:v>
      </x:c>
      <x:c r="Q1629" s="17" t="str">
        <x:v>225209</x:v>
      </x:c>
      <x:c r="R1629" s="17" t="str">
        <x:v>tt1870087</x:v>
      </x:c>
      <x:c r="S1629" s="17" t="str">
        <x:v>1190</x:v>
      </x:c>
    </x:row>
    <x:row r="1630">
      <x:c r="A1630" s="43" t="n">
        <x:v>1626</x:v>
      </x:c>
      <x:c r="B1630" s="44" t="str">
        <x:v>Not Started</x:v>
      </x:c>
      <x:c r="C1630" s="45" t="n">
        <x:v>40644</x:v>
      </x:c>
      <x:c r="D1630" s="33" t="str">
        <x:v>Law &amp; Order: LA</x:v>
      </x:c>
      <x:c r="E1630" s="33" t="str">
        <x:v>Law &amp; Order</x:v>
      </x:c>
      <x:c r="F1630" s="33" t="str">
        <x:v>core</x:v>
      </x:c>
      <x:c r="G1630" s="50" t="n">
        <x:v>1</x:v>
      </x:c>
      <x:c r="H1630" s="50" t="n">
        <x:v>9</x:v>
      </x:c>
      <x:c r="I1630" s="44" t="str">
        <x:v>01.09</x:v>
      </x:c>
      <x:c r="J1630" s="33" t="str">
        <x:v>Zuma Canyon</x:v>
      </x:c>
      <x:c r="K1630" s="33" t="str"/>
      <x:c r="L1630" s="33" t="str"/>
      <x:c r="M1630" s="44" t="str"/>
      <x:c r="N1630" s="50" t="n">
        <x:v>43</x:v>
      </x:c>
      <x:c r="O1630" s="53" t="str">
        <x:v>When a normal quinceañera erupts in violence, leaving multiple people dead, the detectives work quickly to follow a lead. During their search for answers, they find a young boy protecting acres of marijuana and discover he is the only witness that can help the case. As the detectives begin to close in on a suspect, Winters receives a surprise visit at home. Meanwhile, DDA Morales (Alfred Molina) must risk upsetting the Mexican government by prosecuting the guilty, which results in a shocking decision.</x:v>
      </x:c>
      <x:c r="P1630" s="53" t="str">
        <x:v>Law &amp; Order franchise spinoff</x:v>
      </x:c>
      <x:c r="Q1630" s="17" t="str">
        <x:v>774890</x:v>
      </x:c>
      <x:c r="R1630" s="17" t="str">
        <x:v>tt1750607</x:v>
      </x:c>
      <x:c r="S1630" s="17" t="str">
        <x:v>1192</x:v>
      </x:c>
    </x:row>
    <x:row r="1631">
      <x:c r="A1631" s="43" t="n">
        <x:v>1627</x:v>
      </x:c>
      <x:c r="B1631" s="44" t="str">
        <x:v>Not Started</x:v>
      </x:c>
      <x:c r="C1631" s="45" t="n">
        <x:v>40644</x:v>
      </x:c>
      <x:c r="D1631" s="33" t="str">
        <x:v>Law &amp; Order: LA</x:v>
      </x:c>
      <x:c r="E1631" s="33" t="str">
        <x:v>Law &amp; Order</x:v>
      </x:c>
      <x:c r="F1631" s="33" t="str">
        <x:v>core</x:v>
      </x:c>
      <x:c r="G1631" s="50" t="n">
        <x:v>1</x:v>
      </x:c>
      <x:c r="H1631" s="50" t="n">
        <x:v>10</x:v>
      </x:c>
      <x:c r="I1631" s="44" t="str">
        <x:v>01.10</x:v>
      </x:c>
      <x:c r="J1631" s="33" t="str">
        <x:v>Silver Lake</x:v>
      </x:c>
      <x:c r="K1631" s="33" t="str"/>
      <x:c r="L1631" s="33" t="str"/>
      <x:c r="M1631" s="44" t="str"/>
      <x:c r="N1631" s="50" t="n">
        <x:v>43</x:v>
      </x:c>
      <x:c r="O1631" s="53" t="str">
        <x:v>Don Alvin's quiet life is destroyed when an intruder ambushes he and his family in their home, killing his wife and son. After searching for clues, the detectives discover similar cases that lead them to one powerful common thread. Meanwhile, DDA's Dekker and Rubirosa have to tread carefully in order to get a guilty verdict after Morales' puts their case in jeopardy.</x:v>
      </x:c>
      <x:c r="P1631" s="53" t="str">
        <x:v>Law &amp; Order franchise spinoff</x:v>
      </x:c>
      <x:c r="Q1631" s="17" t="str">
        <x:v>774891</x:v>
      </x:c>
      <x:c r="R1631" s="17" t="str">
        <x:v>tt1768943</x:v>
      </x:c>
      <x:c r="S1631" s="17" t="str">
        <x:v>1193</x:v>
      </x:c>
    </x:row>
    <x:row r="1632">
      <x:c r="A1632" s="43" t="n">
        <x:v>1628</x:v>
      </x:c>
      <x:c r="B1632" s="44" t="str">
        <x:v>Not Started</x:v>
      </x:c>
      <x:c r="C1632" s="45" t="n">
        <x:v>40644</x:v>
      </x:c>
      <x:c r="D1632" s="33" t="str">
        <x:v>Law &amp; Order: UK</x:v>
      </x:c>
      <x:c r="E1632" s="33" t="str">
        <x:v>Law &amp; Order</x:v>
      </x:c>
      <x:c r="F1632" s="33" t="str">
        <x:v>core</x:v>
      </x:c>
      <x:c r="G1632" s="50" t="n">
        <x:v>4</x:v>
      </x:c>
      <x:c r="H1632" s="50" t="n">
        <x:v>6</x:v>
      </x:c>
      <x:c r="I1632" s="44" t="str">
        <x:v>04.06</x:v>
      </x:c>
      <x:c r="J1632" s="33" t="str">
        <x:v>Skeletons</x:v>
      </x:c>
      <x:c r="K1632" s="33" t="str"/>
      <x:c r="L1632" s="33" t="str"/>
      <x:c r="M1632" s="44" t="str"/>
      <x:c r="N1632" s="50" t="n">
        <x:v>48</x:v>
      </x:c>
      <x:c r="O1632" s="53" t="str">
        <x:v>DS Devlin and DS Brooks investigate the murder of a 13 year-old boy boy, Sean Monroe, the son of a fellow police officer who was killed and put down a storm drain. A note found on the body points to the work of Andrew Dillon, who was sentenced for an earlier racial murder and is serving his sentence. The racial motivation for the killing seems confirmed when a second boy, Dev Desai, is found strangled with the same note in his pocket. However, their investigation leads to a security guard, Marcus Wright, who admits to having encounters with both boys at the shops where he works. He says the boys deaths were God's will and he was simply doing God's work. If Wright is to be believed, it means that Dillon was wrongfully convicted. The case becomes personal when James Steel is accused of having purposely buried a witness statement that would have likely exonerated Dillon. He finds himself in dock but the judge allows him to conduct his own defense.</x:v>
      </x:c>
      <x:c r="P1632" s="53" t="str">
        <x:v>Law &amp; Order format/franchise</x:v>
      </x:c>
      <x:c r="Q1632" s="17" t="str">
        <x:v>392412</x:v>
      </x:c>
      <x:c r="R1632" s="17" t="str">
        <x:v>tt1491968</x:v>
      </x:c>
      <x:c r="S1632" s="17" t="str">
        <x:v>1191</x:v>
      </x:c>
    </x:row>
    <x:row r="1633">
      <x:c r="A1633" s="43" t="n">
        <x:v>1629</x:v>
      </x:c>
      <x:c r="B1633" s="44" t="str">
        <x:v>Not Started</x:v>
      </x:c>
      <x:c r="C1633" s="45" t="n">
        <x:v>40651</x:v>
      </x:c>
      <x:c r="D1633" s="33" t="str">
        <x:v>Law &amp; Order: LA</x:v>
      </x:c>
      <x:c r="E1633" s="33" t="str">
        <x:v>Law &amp; Order</x:v>
      </x:c>
      <x:c r="F1633" s="33" t="str">
        <x:v>core</x:v>
      </x:c>
      <x:c r="G1633" s="50" t="n">
        <x:v>1</x:v>
      </x:c>
      <x:c r="H1633" s="50" t="n">
        <x:v>11</x:v>
      </x:c>
      <x:c r="I1633" s="44" t="str">
        <x:v>01.11</x:v>
      </x:c>
      <x:c r="J1633" s="33" t="str">
        <x:v>East Pasadena</x:v>
      </x:c>
      <x:c r="K1633" s="33" t="str"/>
      <x:c r="L1633" s="33" t="str"/>
      <x:c r="M1633" s="44" t="str"/>
      <x:c r="N1633" s="50" t="n">
        <x:v>43</x:v>
      </x:c>
      <x:c r="O1633" s="53" t="str">
        <x:v>After a high-speed chase, the car is found containing a woman's dead body and no driver, Detectives Morales and Jaruszalski discover the victim's jealous boyfriend, who divulges information that leads them to believe her bookkeeping job was not what it seemed. The trail of the murder investigation uncovers massive corruption in City Hall - and more murder, where Detectives Morales's efficiency as a police officer is on the line.</x:v>
      </x:c>
      <x:c r="P1633" s="53" t="str">
        <x:v>Law &amp; Order franchise spinoff</x:v>
      </x:c>
      <x:c r="Q1633" s="17" t="str">
        <x:v>774892</x:v>
      </x:c>
      <x:c r="R1633" s="17" t="str">
        <x:v>tt1750605</x:v>
      </x:c>
      <x:c r="S1633" s="17" t="str">
        <x:v>1194</x:v>
      </x:c>
    </x:row>
    <x:row r="1634">
      <x:c r="A1634" s="43" t="n">
        <x:v>1630</x:v>
      </x:c>
      <x:c r="B1634" s="44" t="str">
        <x:v>Not Started</x:v>
      </x:c>
      <x:c r="C1634" s="45" t="n">
        <x:v>40658</x:v>
      </x:c>
      <x:c r="D1634" s="33" t="str">
        <x:v>Law &amp; Order: LA</x:v>
      </x:c>
      <x:c r="E1634" s="33" t="str">
        <x:v>Law &amp; Order</x:v>
      </x:c>
      <x:c r="F1634" s="33" t="str">
        <x:v>core</x:v>
      </x:c>
      <x:c r="G1634" s="50" t="n">
        <x:v>1</x:v>
      </x:c>
      <x:c r="H1634" s="50" t="n">
        <x:v>12</x:v>
      </x:c>
      <x:c r="I1634" s="44" t="str">
        <x:v>01.12</x:v>
      </x:c>
      <x:c r="J1634" s="33" t="str">
        <x:v>Benedict Canyon</x:v>
      </x:c>
      <x:c r="K1634" s="33" t="str"/>
      <x:c r="L1634" s="33" t="str"/>
      <x:c r="M1634" s="44" t="str"/>
      <x:c r="N1634" s="50" t="n">
        <x:v>43</x:v>
      </x:c>
      <x:c r="O1634" s="53" t="str">
        <x:v>When successful Hollywood stylist Lily Walker is gunned down while driving, the seemingly random murder sends shockwaves throughout the city. Following leads, the detectives uncover an unlikely twist that forces them to delve deep into Lily's and Detective Morales's pasts for clues to help solve the murder. Meanwhile, DDA's Dekker and Rubirosa must navigate their way through the details in hopes of bringing the real culprit to justice.</x:v>
      </x:c>
      <x:c r="P1634" s="53" t="str">
        <x:v>Law &amp; Order franchise spinoff</x:v>
      </x:c>
      <x:c r="Q1634" s="17" t="str">
        <x:v>774893</x:v>
      </x:c>
      <x:c r="R1634" s="17" t="str">
        <x:v>tt1834571</x:v>
      </x:c>
      <x:c r="S1634" s="17" t="str">
        <x:v>1195</x:v>
      </x:c>
    </x:row>
    <x:row r="1635">
      <x:c r="A1635" s="43" t="n">
        <x:v>1631</x:v>
      </x:c>
      <x:c r="B1635" s="44" t="str">
        <x:v>Not Started</x:v>
      </x:c>
      <x:c r="C1635" s="45" t="n">
        <x:v>40664</x:v>
      </x:c>
      <x:c r="D1635" s="33" t="str">
        <x:v>In Plain Sight</x:v>
      </x:c>
      <x:c r="E1635" s="33" t="str">
        <x:v>Crossover Adjacent</x:v>
      </x:c>
      <x:c r="F1635" s="33" t="str">
        <x:v>connected</x:v>
      </x:c>
      <x:c r="G1635" s="50" t="n">
        <x:v>4</x:v>
      </x:c>
      <x:c r="H1635" s="50" t="n">
        <x:v>1</x:v>
      </x:c>
      <x:c r="I1635" s="44" t="str">
        <x:v>04.01</x:v>
      </x:c>
      <x:c r="J1635" s="33" t="str">
        <x:v>The Art of the Steal</x:v>
      </x:c>
      <x:c r="K1635" s="33" t="str"/>
      <x:c r="L1635" s="33" t="str"/>
      <x:c r="M1635" s="44" t="str"/>
      <x:c r="N1635" s="50" t="n">
        <x:v>43</x:v>
      </x:c>
      <x:c r="O1635" s="53" t="str">
        <x:v>Mary uses a thief to catch a thief when she asks a witness to consult on a crime in order to exonerate Brandi of grand theft auto.</x:v>
      </x:c>
      <x:c r="P1635" s="53" t="str">
        <x:v>SVU character crossover / shared Dick Wolf connection</x:v>
      </x:c>
      <x:c r="Q1635" s="17" t="str">
        <x:v>393603</x:v>
      </x:c>
      <x:c r="R1635" s="17" t="str">
        <x:v>tt1836447</x:v>
      </x:c>
      <x:c r="S1635" s="17" t="str">
        <x:v>1197</x:v>
      </x:c>
    </x:row>
    <x:row r="1636">
      <x:c r="A1636" s="43" t="n">
        <x:v>1632</x:v>
      </x:c>
      <x:c r="B1636" s="44" t="str">
        <x:v>Not Started</x:v>
      </x:c>
      <x:c r="C1636" s="45" t="n">
        <x:v>40664</x:v>
      </x:c>
      <x:c r="D1636" s="33" t="str">
        <x:v>Law &amp; Order: Criminal Intent</x:v>
      </x:c>
      <x:c r="E1636" s="33" t="str">
        <x:v>Law &amp; Order</x:v>
      </x:c>
      <x:c r="F1636" s="33" t="str">
        <x:v>core</x:v>
      </x:c>
      <x:c r="G1636" s="50" t="n">
        <x:v>10</x:v>
      </x:c>
      <x:c r="H1636" s="50" t="n">
        <x:v>1</x:v>
      </x:c>
      <x:c r="I1636" s="44" t="str">
        <x:v>10.01</x:v>
      </x:c>
      <x:c r="J1636" s="33" t="str">
        <x:v>Rispetto</x:v>
      </x:c>
      <x:c r="K1636" s="33" t="str"/>
      <x:c r="L1636" s="33" t="str"/>
      <x:c r="M1636" s="44" t="str"/>
      <x:c r="N1636" s="50" t="n">
        <x:v>45</x:v>
      </x:c>
      <x:c r="O1636" s="53" t="str">
        <x:v>After a young call girl is murdered, investigation leads Goren and Eames to a hard-partying, "rockstar" fashion designer extraordinaire. Would the fashion house's key members stoop to murder to protect the runaway train wreck who makes them all millions?</x:v>
      </x:c>
      <x:c r="P1636" s="53" t="str">
        <x:v>Core Law &amp; Order franchise</x:v>
      </x:c>
      <x:c r="Q1636" s="17" t="str">
        <x:v>341399</x:v>
      </x:c>
      <x:c r="R1636" s="17" t="str">
        <x:v>tt1848164</x:v>
      </x:c>
      <x:c r="S1636" s="17" t="str">
        <x:v>1196</x:v>
      </x:c>
    </x:row>
    <x:row r="1637">
      <x:c r="A1637" s="43" t="n">
        <x:v>1633</x:v>
      </x:c>
      <x:c r="B1637" s="44" t="str">
        <x:v>Not Started</x:v>
      </x:c>
      <x:c r="C1637" s="45" t="n">
        <x:v>40665</x:v>
      </x:c>
      <x:c r="D1637" s="33" t="str">
        <x:v>Law &amp; Order: LA</x:v>
      </x:c>
      <x:c r="E1637" s="33" t="str">
        <x:v>Law &amp; Order</x:v>
      </x:c>
      <x:c r="F1637" s="33" t="str">
        <x:v>core</x:v>
      </x:c>
      <x:c r="G1637" s="50" t="n">
        <x:v>1</x:v>
      </x:c>
      <x:c r="H1637" s="50" t="n">
        <x:v>13</x:v>
      </x:c>
      <x:c r="I1637" s="44" t="str">
        <x:v>01.13</x:v>
      </x:c>
      <x:c r="J1637" s="33" t="str">
        <x:v>Reseda</x:v>
      </x:c>
      <x:c r="K1637" s="33" t="str"/>
      <x:c r="L1637" s="33" t="str"/>
      <x:c r="M1637" s="44" t="str"/>
      <x:c r="N1637" s="50" t="n">
        <x:v>43</x:v>
      </x:c>
      <x:c r="O1637" s="53" t="str">
        <x:v>When a bank robber hands a teller a photo of her kidnapped son, she quickly hands over the money in order to save his life. Uncovering details, Morales and Jaruszalski soon become suspicious of the kidnapping. When a second bank is robbed with the same motive, a potential suspect comes to the surface and the team finds themselves in a dangerous situation -- and one of their own pays the price. Meanwhile, DDA's Dekker and Rubirosa disagree with DA Hardin's prosecution strategy, so they devise their own game plan so the bank robber is behind bars for good.</x:v>
      </x:c>
      <x:c r="P1637" s="53" t="str">
        <x:v>Law &amp; Order franchise spinoff</x:v>
      </x:c>
      <x:c r="Q1637" s="17" t="str">
        <x:v>774894</x:v>
      </x:c>
      <x:c r="R1637" s="17" t="str">
        <x:v>tt1834020</x:v>
      </x:c>
      <x:c r="S1637" s="17" t="str">
        <x:v>1198</x:v>
      </x:c>
    </x:row>
    <x:row r="1638">
      <x:c r="A1638" s="43" t="n">
        <x:v>1634</x:v>
      </x:c>
      <x:c r="B1638" s="44" t="str">
        <x:v>Not Started</x:v>
      </x:c>
      <x:c r="C1638" s="45" t="n">
        <x:v>40667</x:v>
      </x:c>
      <x:c r="D1638" s="33" t="str">
        <x:v>Law &amp; Order: Special Victims Unit</x:v>
      </x:c>
      <x:c r="E1638" s="33" t="str">
        <x:v>Law &amp; Order</x:v>
      </x:c>
      <x:c r="F1638" s="33" t="str">
        <x:v>core</x:v>
      </x:c>
      <x:c r="G1638" s="50" t="n">
        <x:v>12</x:v>
      </x:c>
      <x:c r="H1638" s="50" t="n">
        <x:v>22</x:v>
      </x:c>
      <x:c r="I1638" s="44" t="str">
        <x:v>12.22</x:v>
      </x:c>
      <x:c r="J1638" s="33" t="str">
        <x:v>Bang</x:v>
      </x:c>
      <x:c r="K1638" s="33" t="str"/>
      <x:c r="L1638" s="33" t="str"/>
      <x:c r="M1638" s="44" t="str"/>
      <x:c r="N1638" s="50" t="n">
        <x:v>41</x:v>
      </x:c>
      <x:c r="O1638" s="53" t="str">
        <x:v>When an abandoned baby is found on playground, Detectives Benson and Stabler go in search of the child's caregiver. Upon meeting the nanny and her boyfriend, Ken Turner, they soon realize that he is also engaged to the baby's adoptive mother, Dede Aston. As the detectives dig deeper into Turner's malevolent past, they realize that the law may be on his side.</x:v>
      </x:c>
      <x:c r="P1638" s="53" t="str">
        <x:v>Core Law &amp; Order franchise</x:v>
      </x:c>
      <x:c r="Q1638" s="17" t="str">
        <x:v>225210</x:v>
      </x:c>
      <x:c r="R1638" s="17" t="str">
        <x:v>tt1863819</x:v>
      </x:c>
      <x:c r="S1638" s="17" t="str">
        <x:v>1199</x:v>
      </x:c>
    </x:row>
    <x:row r="1639">
      <x:c r="A1639" s="43" t="n">
        <x:v>1635</x:v>
      </x:c>
      <x:c r="B1639" s="44" t="str">
        <x:v>Not Started</x:v>
      </x:c>
      <x:c r="C1639" s="45" t="n">
        <x:v>40671</x:v>
      </x:c>
      <x:c r="D1639" s="33" t="str">
        <x:v>In Plain Sight</x:v>
      </x:c>
      <x:c r="E1639" s="33" t="str">
        <x:v>Crossover Adjacent</x:v>
      </x:c>
      <x:c r="F1639" s="33" t="str">
        <x:v>connected</x:v>
      </x:c>
      <x:c r="G1639" s="50" t="n">
        <x:v>4</x:v>
      </x:c>
      <x:c r="H1639" s="50" t="n">
        <x:v>2</x:v>
      </x:c>
      <x:c r="I1639" s="44" t="str">
        <x:v>04.02</x:v>
      </x:c>
      <x:c r="J1639" s="33" t="str">
        <x:v>Crazy Like a Witness</x:v>
      </x:c>
      <x:c r="K1639" s="33" t="str"/>
      <x:c r="L1639" s="33" t="str"/>
      <x:c r="M1639" s="44" t="str"/>
      <x:c r="N1639" s="50" t="n">
        <x:v>43</x:v>
      </x:c>
      <x:c r="O1639" s="53" t="str">
        <x:v>Mary's paranoid witness wants to reconnect with his son.</x:v>
      </x:c>
      <x:c r="P1639" s="53" t="str">
        <x:v>SVU character crossover / shared Dick Wolf connection</x:v>
      </x:c>
      <x:c r="Q1639" s="17" t="str">
        <x:v>393604</x:v>
      </x:c>
      <x:c r="R1639" s="17" t="str">
        <x:v>tt1910981</x:v>
      </x:c>
      <x:c r="S1639" s="17" t="str">
        <x:v>1201</x:v>
      </x:c>
    </x:row>
    <x:row r="1640">
      <x:c r="A1640" s="43" t="n">
        <x:v>1636</x:v>
      </x:c>
      <x:c r="B1640" s="44" t="str">
        <x:v>Not Started</x:v>
      </x:c>
      <x:c r="C1640" s="45" t="n">
        <x:v>40671</x:v>
      </x:c>
      <x:c r="D1640" s="33" t="str">
        <x:v>Law &amp; Order: Criminal Intent</x:v>
      </x:c>
      <x:c r="E1640" s="33" t="str">
        <x:v>Law &amp; Order</x:v>
      </x:c>
      <x:c r="F1640" s="33" t="str">
        <x:v>core</x:v>
      </x:c>
      <x:c r="G1640" s="50" t="n">
        <x:v>10</x:v>
      </x:c>
      <x:c r="H1640" s="50" t="n">
        <x:v>2</x:v>
      </x:c>
      <x:c r="I1640" s="44" t="str">
        <x:v>10.02</x:v>
      </x:c>
      <x:c r="J1640" s="33" t="str">
        <x:v>The Consoler</x:v>
      </x:c>
      <x:c r="K1640" s="33" t="str"/>
      <x:c r="L1640" s="33" t="str"/>
      <x:c r="M1640" s="44" t="str"/>
      <x:c r="N1640" s="50" t="n">
        <x:v>44</x:v>
      </x:c>
      <x:c r="O1640" s="53" t="str">
        <x:v>Goren and Eames return to the Major Case Squad after a year-long absence and must determine if a banker was murdered or committed suicide. They discover the bank's only client is the Catholic Church and dig into a scandal and cover-up linked to the murder.</x:v>
      </x:c>
      <x:c r="P1640" s="53" t="str">
        <x:v>Core Law &amp; Order franchise</x:v>
      </x:c>
      <x:c r="Q1640" s="17" t="str">
        <x:v>341400</x:v>
      </x:c>
      <x:c r="R1640" s="17" t="str">
        <x:v>tt1876968</x:v>
      </x:c>
      <x:c r="S1640" s="17" t="str">
        <x:v>1200</x:v>
      </x:c>
    </x:row>
    <x:row r="1641">
      <x:c r="A1641" s="43" t="n">
        <x:v>1637</x:v>
      </x:c>
      <x:c r="B1641" s="44" t="str">
        <x:v>Not Started</x:v>
      </x:c>
      <x:c r="C1641" s="45" t="n">
        <x:v>40672</x:v>
      </x:c>
      <x:c r="D1641" s="33" t="str">
        <x:v>Law &amp; Order: LA</x:v>
      </x:c>
      <x:c r="E1641" s="33" t="str">
        <x:v>Law &amp; Order</x:v>
      </x:c>
      <x:c r="F1641" s="33" t="str">
        <x:v>core</x:v>
      </x:c>
      <x:c r="G1641" s="50" t="n">
        <x:v>1</x:v>
      </x:c>
      <x:c r="H1641" s="50" t="n">
        <x:v>14</x:v>
      </x:c>
      <x:c r="I1641" s="44" t="str">
        <x:v>01.14</x:v>
      </x:c>
      <x:c r="J1641" s="33" t="str">
        <x:v>Runyon Canyon</x:v>
      </x:c>
      <x:c r="K1641" s="33" t="str"/>
      <x:c r="L1641" s="33" t="str"/>
      <x:c r="M1641" s="44" t="str"/>
      <x:c r="N1641" s="50" t="n">
        <x:v>43</x:v>
      </x:c>
      <x:c r="O1641" s="53" t="str">
        <x:v>When pre-med freshman Beth Garrett is found strangled to death, a mysterious text leads the detectives to a potential suspect. After some investigating at her sorority, the detectives learn that there is more to this mild mannered bookworm than initially meets the eye. Meanwhile, DDA's Dekker and Rubirosa are forced to change their strategy when game-changing evidence is discovered at the last minute.</x:v>
      </x:c>
      <x:c r="P1641" s="53" t="str">
        <x:v>Law &amp; Order franchise spinoff</x:v>
      </x:c>
      <x:c r="Q1641" s="17" t="str">
        <x:v>774895</x:v>
      </x:c>
      <x:c r="R1641" s="17" t="str">
        <x:v>tt1909532</x:v>
      </x:c>
      <x:c r="S1641" s="17" t="str">
        <x:v>1202</x:v>
      </x:c>
    </x:row>
    <x:row r="1642">
      <x:c r="A1642" s="43" t="n">
        <x:v>1638</x:v>
      </x:c>
      <x:c r="B1642" s="44" t="str">
        <x:v>Not Started</x:v>
      </x:c>
      <x:c r="C1642" s="45" t="n">
        <x:v>40674</x:v>
      </x:c>
      <x:c r="D1642" s="33" t="str">
        <x:v>Law &amp; Order: Special Victims Unit</x:v>
      </x:c>
      <x:c r="E1642" s="33" t="str">
        <x:v>Law &amp; Order</x:v>
      </x:c>
      <x:c r="F1642" s="33" t="str">
        <x:v>core</x:v>
      </x:c>
      <x:c r="G1642" s="50" t="n">
        <x:v>12</x:v>
      </x:c>
      <x:c r="H1642" s="50" t="n">
        <x:v>23</x:v>
      </x:c>
      <x:c r="I1642" s="44" t="str">
        <x:v>12.23</x:v>
      </x:c>
      <x:c r="J1642" s="33" t="str">
        <x:v>Delinquent</x:v>
      </x:c>
      <x:c r="K1642" s="33" t="str"/>
      <x:c r="L1642" s="33" t="str"/>
      <x:c r="M1642" s="44" t="str"/>
      <x:c r="N1642" s="50" t="n">
        <x:v>42</x:v>
      </x:c>
      <x:c r="O1642" s="53" t="str">
        <x:v>When a young woman finds a teenage boy asleep and naked in her bedroom, his mother, Bree Walsh, is quick to defend him. While Detective Benson and Detective Stabler try to figure out what truly happened, they also have to manage the sneaky teenager and his naive mother. As the detectives dig deeper, they discover how deceptive appearances can be.</x:v>
      </x:c>
      <x:c r="P1642" s="53" t="str">
        <x:v>Core Law &amp; Order franchise</x:v>
      </x:c>
      <x:c r="Q1642" s="17" t="str">
        <x:v>225211</x:v>
      </x:c>
      <x:c r="R1642" s="17" t="str">
        <x:v>tt1875495</x:v>
      </x:c>
      <x:c r="S1642" s="17" t="str">
        <x:v>1203</x:v>
      </x:c>
    </x:row>
    <x:row r="1643">
      <x:c r="A1643" s="43" t="n">
        <x:v>1639</x:v>
      </x:c>
      <x:c r="B1643" s="44" t="str">
        <x:v>Not Started</x:v>
      </x:c>
      <x:c r="C1643" s="45" t="n">
        <x:v>40678</x:v>
      </x:c>
      <x:c r="D1643" s="33" t="str">
        <x:v>In Plain Sight</x:v>
      </x:c>
      <x:c r="E1643" s="33" t="str">
        <x:v>Crossover Adjacent</x:v>
      </x:c>
      <x:c r="F1643" s="33" t="str">
        <x:v>connected</x:v>
      </x:c>
      <x:c r="G1643" s="50" t="n">
        <x:v>4</x:v>
      </x:c>
      <x:c r="H1643" s="50" t="n">
        <x:v>3</x:v>
      </x:c>
      <x:c r="I1643" s="44" t="str">
        <x:v>04.03</x:v>
      </x:c>
      <x:c r="J1643" s="33" t="str">
        <x:v>Love in the Time of Colorado</x:v>
      </x:c>
      <x:c r="K1643" s="33" t="str"/>
      <x:c r="L1643" s="33" t="str"/>
      <x:c r="M1643" s="44" t="str"/>
      <x:c r="N1643" s="50" t="n">
        <x:v>41</x:v>
      </x:c>
      <x:c r="O1643" s="53" t="str">
        <x:v>Mary is caught between a witness and a suspect.</x:v>
      </x:c>
      <x:c r="P1643" s="53" t="str">
        <x:v>SVU character crossover / shared Dick Wolf connection</x:v>
      </x:c>
      <x:c r="Q1643" s="17" t="str">
        <x:v>393605</x:v>
      </x:c>
      <x:c r="R1643" s="17" t="str">
        <x:v>tt1917796</x:v>
      </x:c>
      <x:c r="S1643" s="17" t="str">
        <x:v>1205</x:v>
      </x:c>
    </x:row>
    <x:row r="1644">
      <x:c r="A1644" s="43" t="n">
        <x:v>1640</x:v>
      </x:c>
      <x:c r="B1644" s="44" t="str">
        <x:v>Not Started</x:v>
      </x:c>
      <x:c r="C1644" s="45" t="n">
        <x:v>40678</x:v>
      </x:c>
      <x:c r="D1644" s="33" t="str">
        <x:v>Law &amp; Order: Criminal Intent</x:v>
      </x:c>
      <x:c r="E1644" s="33" t="str">
        <x:v>Law &amp; Order</x:v>
      </x:c>
      <x:c r="F1644" s="33" t="str">
        <x:v>core</x:v>
      </x:c>
      <x:c r="G1644" s="50" t="n">
        <x:v>10</x:v>
      </x:c>
      <x:c r="H1644" s="50" t="n">
        <x:v>3</x:v>
      </x:c>
      <x:c r="I1644" s="44" t="str">
        <x:v>10.03</x:v>
      </x:c>
      <x:c r="J1644" s="33" t="str">
        <x:v>Boots on the Ground</x:v>
      </x:c>
      <x:c r="K1644" s="33" t="str"/>
      <x:c r="L1644" s="33" t="str"/>
      <x:c r="M1644" s="44" t="str"/>
      <x:c r="N1644" s="50" t="n">
        <x:v>43</x:v>
      </x:c>
      <x:c r="O1644" s="53" t="str">
        <x:v>After a man is thrown to his death off a building, Goren and Eames discover an ongoing war between two private security companies. As the detectives investigate the lucrative business of intelligence gathering, the true agenda of the victim and the mystery behind his death is revealed.</x:v>
      </x:c>
      <x:c r="P1644" s="53" t="str">
        <x:v>Core Law &amp; Order franchise</x:v>
      </x:c>
      <x:c r="Q1644" s="17" t="str">
        <x:v>341401</x:v>
      </x:c>
      <x:c r="R1644" s="17" t="str">
        <x:v>tt1933834</x:v>
      </x:c>
      <x:c r="S1644" s="17" t="str">
        <x:v>1204</x:v>
      </x:c>
    </x:row>
    <x:row r="1645">
      <x:c r="A1645" s="43" t="n">
        <x:v>1641</x:v>
      </x:c>
      <x:c r="B1645" s="44" t="str">
        <x:v>Not Started</x:v>
      </x:c>
      <x:c r="C1645" s="45" t="n">
        <x:v>40679</x:v>
      </x:c>
      <x:c r="D1645" s="33" t="str">
        <x:v>Law &amp; Order: LA</x:v>
      </x:c>
      <x:c r="E1645" s="33" t="str">
        <x:v>Law &amp; Order</x:v>
      </x:c>
      <x:c r="F1645" s="33" t="str">
        <x:v>core</x:v>
      </x:c>
      <x:c r="G1645" s="50" t="n">
        <x:v>1</x:v>
      </x:c>
      <x:c r="H1645" s="50" t="n">
        <x:v>15</x:v>
      </x:c>
      <x:c r="I1645" s="44" t="str">
        <x:v>01.15</x:v>
      </x:c>
      <x:c r="J1645" s="33" t="str">
        <x:v>Hayden Tract</x:v>
      </x:c>
      <x:c r="K1645" s="33" t="str"/>
      <x:c r="L1645" s="33" t="str"/>
      <x:c r="M1645" s="44" t="str"/>
      <x:c r="N1645" s="50" t="n">
        <x:v>43</x:v>
      </x:c>
      <x:c r="O1645" s="53" t="str">
        <x:v>When a crazed gunman open fires during a rally with State Senator Celeste Kelman, seven innocent people are killed including the Senator. With the help of modern technology, the detectives identify a solid lead and possible motive for the shooting. At the DDA's office, tensions are running high when Dekker and Rubirosa disagree on how to handle the case. Meanwhile, TJ gets himself into a sticky situation as he continues his quest to find his dead partner's killer.</x:v>
      </x:c>
      <x:c r="P1645" s="53" t="str">
        <x:v>Law &amp; Order franchise spinoff</x:v>
      </x:c>
      <x:c r="Q1645" s="17" t="str">
        <x:v>774896</x:v>
      </x:c>
      <x:c r="R1645" s="17" t="str">
        <x:v>tt1878469</x:v>
      </x:c>
      <x:c r="S1645" s="17" t="str">
        <x:v>1206</x:v>
      </x:c>
    </x:row>
    <x:row r="1646">
      <x:c r="A1646" s="43" t="n">
        <x:v>1642</x:v>
      </x:c>
      <x:c r="B1646" s="44" t="str">
        <x:v>Not Started</x:v>
      </x:c>
      <x:c r="C1646" s="45" t="n">
        <x:v>40681</x:v>
      </x:c>
      <x:c r="D1646" s="33" t="str">
        <x:v>Law &amp; Order: Special Victims Unit</x:v>
      </x:c>
      <x:c r="E1646" s="33" t="str">
        <x:v>Law &amp; Order</x:v>
      </x:c>
      <x:c r="F1646" s="33" t="str">
        <x:v>core</x:v>
      </x:c>
      <x:c r="G1646" s="50" t="n">
        <x:v>12</x:v>
      </x:c>
      <x:c r="H1646" s="50" t="n">
        <x:v>24</x:v>
      </x:c>
      <x:c r="I1646" s="44" t="str">
        <x:v>12.24</x:v>
      </x:c>
      <x:c r="J1646" s="33" t="str">
        <x:v>Smoked</x:v>
      </x:c>
      <x:c r="K1646" s="33" t="str"/>
      <x:c r="L1646" s="33" t="str"/>
      <x:c r="M1646" s="44" t="str"/>
      <x:c r="N1646" s="50" t="n">
        <x:v>41</x:v>
      </x:c>
      <x:c r="O1646" s="53" t="str">
        <x:v>When a woman is murdered during an afternoon shopping trip with her daughter, Detectives Benson and Stabler are called in because she was scheduled to testify in their high-profile rape case. As the detectives continue to investigate the correlation between the murder and their case, they discover unlikely friendships that will lead them to the truth.</x:v>
      </x:c>
      <x:c r="P1646" s="53" t="str">
        <x:v>Core Law &amp; Order franchise</x:v>
      </x:c>
      <x:c r="Q1646" s="17" t="str">
        <x:v>225212</x:v>
      </x:c>
      <x:c r="R1646" s="17" t="str">
        <x:v>tt1875496</x:v>
      </x:c>
      <x:c r="S1646" s="17" t="str">
        <x:v>1207</x:v>
      </x:c>
    </x:row>
    <x:row r="1647">
      <x:c r="A1647" s="43" t="n">
        <x:v>1643</x:v>
      </x:c>
      <x:c r="B1647" s="44" t="str">
        <x:v>Not Started</x:v>
      </x:c>
      <x:c r="C1647" s="45" t="n">
        <x:v>40685</x:v>
      </x:c>
      <x:c r="D1647" s="33" t="str">
        <x:v>In Plain Sight</x:v>
      </x:c>
      <x:c r="E1647" s="33" t="str">
        <x:v>Crossover Adjacent</x:v>
      </x:c>
      <x:c r="F1647" s="33" t="str">
        <x:v>connected</x:v>
      </x:c>
      <x:c r="G1647" s="50" t="n">
        <x:v>4</x:v>
      </x:c>
      <x:c r="H1647" s="50" t="n">
        <x:v>4</x:v>
      </x:c>
      <x:c r="I1647" s="44" t="str">
        <x:v>04.04</x:v>
      </x:c>
      <x:c r="J1647" s="33" t="str">
        <x:v>Meet the Shannons</x:v>
      </x:c>
      <x:c r="K1647" s="33" t="str"/>
      <x:c r="L1647" s="33" t="str"/>
      <x:c r="M1647" s="44" t="str"/>
      <x:c r="N1647" s="50" t="n">
        <x:v>43</x:v>
      </x:c>
      <x:c r="O1647" s="53" t="str">
        <x:v>A beauty pageant queen finds out that she's spent most of her life in witness protection.</x:v>
      </x:c>
      <x:c r="P1647" s="53" t="str">
        <x:v>SVU character crossover / shared Dick Wolf connection</x:v>
      </x:c>
      <x:c r="Q1647" s="17" t="str">
        <x:v>393606</x:v>
      </x:c>
      <x:c r="R1647" s="17" t="str">
        <x:v>tt1870847</x:v>
      </x:c>
      <x:c r="S1647" s="17" t="str">
        <x:v>1209</x:v>
      </x:c>
    </x:row>
    <x:row r="1648">
      <x:c r="A1648" s="43" t="n">
        <x:v>1644</x:v>
      </x:c>
      <x:c r="B1648" s="44" t="str">
        <x:v>Not Started</x:v>
      </x:c>
      <x:c r="C1648" s="45" t="n">
        <x:v>40685</x:v>
      </x:c>
      <x:c r="D1648" s="33" t="str">
        <x:v>Law &amp; Order: Criminal Intent</x:v>
      </x:c>
      <x:c r="E1648" s="33" t="str">
        <x:v>Law &amp; Order</x:v>
      </x:c>
      <x:c r="F1648" s="33" t="str">
        <x:v>core</x:v>
      </x:c>
      <x:c r="G1648" s="50" t="n">
        <x:v>10</x:v>
      </x:c>
      <x:c r="H1648" s="50" t="n">
        <x:v>4</x:v>
      </x:c>
      <x:c r="I1648" s="44" t="str">
        <x:v>10.04</x:v>
      </x:c>
      <x:c r="J1648" s="33" t="str">
        <x:v>The Last Street in Manhattan</x:v>
      </x:c>
      <x:c r="K1648" s="33" t="str"/>
      <x:c r="L1648" s="33" t="str"/>
      <x:c r="M1648" s="44" t="str"/>
      <x:c r="N1648" s="50" t="n">
        <x:v>43</x:v>
      </x:c>
      <x:c r="O1648" s="53" t="str">
        <x:v>A hugely successful investment banker is killed and Detectives Goren and Eames target multiple suspects including his nemesis, a working class girlfriend and others whose paths he crossed.</x:v>
      </x:c>
      <x:c r="P1648" s="53" t="str">
        <x:v>Core Law &amp; Order franchise</x:v>
      </x:c>
      <x:c r="Q1648" s="17" t="str">
        <x:v>341402</x:v>
      </x:c>
      <x:c r="R1648" s="17" t="str">
        <x:v>tt1935526</x:v>
      </x:c>
      <x:c r="S1648" s="17" t="str">
        <x:v>1208</x:v>
      </x:c>
    </x:row>
    <x:row r="1649">
      <x:c r="A1649" s="43" t="n">
        <x:v>1645</x:v>
      </x:c>
      <x:c r="B1649" s="44" t="str">
        <x:v>Not Started</x:v>
      </x:c>
      <x:c r="C1649" s="45" t="n">
        <x:v>40686</x:v>
      </x:c>
      <x:c r="D1649" s="33" t="str">
        <x:v>Law &amp; Order: LA</x:v>
      </x:c>
      <x:c r="E1649" s="33" t="str">
        <x:v>Law &amp; Order</x:v>
      </x:c>
      <x:c r="F1649" s="33" t="str">
        <x:v>core</x:v>
      </x:c>
      <x:c r="G1649" s="50" t="n">
        <x:v>1</x:v>
      </x:c>
      <x:c r="H1649" s="50" t="n">
        <x:v>16</x:v>
      </x:c>
      <x:c r="I1649" s="44" t="str">
        <x:v>01.16</x:v>
      </x:c>
      <x:c r="J1649" s="33" t="str">
        <x:v>Big Rock Mesa</x:v>
      </x:c>
      <x:c r="K1649" s="33" t="str"/>
      <x:c r="L1649" s="33" t="str"/>
      <x:c r="M1649" s="44" t="str"/>
      <x:c r="N1649" s="50" t="n">
        <x:v>43</x:v>
      </x:c>
      <x:c r="O1649" s="53" t="str">
        <x:v>When a destructive wildfire suddenly rips through the hills of Malibu, arson is immediately suspected. Once the blaze is contained, the detectives soon realize that a second fire was intended to cover up a gruesome crime. Meanwhile, DDA’s Dekker and Rubirosa stumble upon some information crucial to the case.</x:v>
      </x:c>
      <x:c r="P1649" s="53" t="str">
        <x:v>Law &amp; Order franchise spinoff</x:v>
      </x:c>
      <x:c r="Q1649" s="17" t="str">
        <x:v>774897</x:v>
      </x:c>
      <x:c r="R1649" s="17" t="str">
        <x:v>tt1834019</x:v>
      </x:c>
      <x:c r="S1649" s="17" t="str">
        <x:v>1210</x:v>
      </x:c>
    </x:row>
    <x:row r="1650">
      <x:c r="A1650" s="43" t="n">
        <x:v>1646</x:v>
      </x:c>
      <x:c r="B1650" s="44" t="str">
        <x:v>Not Started</x:v>
      </x:c>
      <x:c r="C1650" s="45" t="n">
        <x:v>40688</x:v>
      </x:c>
      <x:c r="D1650" s="33" t="str">
        <x:v>Law &amp; Order: LA</x:v>
      </x:c>
      <x:c r="E1650" s="33" t="str">
        <x:v>Law &amp; Order</x:v>
      </x:c>
      <x:c r="F1650" s="33" t="str">
        <x:v>core</x:v>
      </x:c>
      <x:c r="G1650" s="50" t="n">
        <x:v>1</x:v>
      </x:c>
      <x:c r="H1650" s="50" t="n">
        <x:v>17</x:v>
      </x:c>
      <x:c r="I1650" s="44" t="str">
        <x:v>01.17</x:v>
      </x:c>
      <x:c r="J1650" s="33" t="str">
        <x:v>Angel's Knoll</x:v>
      </x:c>
      <x:c r="K1650" s="33" t="str"/>
      <x:c r="L1650" s="33" t="str"/>
      <x:c r="M1650" s="44" t="str"/>
      <x:c r="N1650" s="50" t="n">
        <x:v>43</x:v>
      </x:c>
      <x:c r="O1650" s="53" t="str">
        <x:v>Following a heated argument with his cousin, casino worker George Patrick is found brutally murdered in his hotel bathtub. However, after talking with the victim's girlfriend, they discover that more than one crime has been committed. Meanwhile, DDA's Dekker and Rubirosa reluctantly strike a deal with those involved in order to convict the real mastermind.</x:v>
      </x:c>
      <x:c r="P1650" s="53" t="str">
        <x:v>Law &amp; Order franchise spinoff</x:v>
      </x:c>
      <x:c r="Q1650" s="17" t="str">
        <x:v>774898</x:v>
      </x:c>
      <x:c r="R1650" s="17" t="str">
        <x:v>tt1834017</x:v>
      </x:c>
      <x:c r="S1650" s="17" t="str">
        <x:v>1211</x:v>
      </x:c>
    </x:row>
    <x:row r="1651">
      <x:c r="A1651" s="43" t="n">
        <x:v>1647</x:v>
      </x:c>
      <x:c r="B1651" s="44" t="str">
        <x:v>Not Started</x:v>
      </x:c>
      <x:c r="C1651" s="45" t="n">
        <x:v>40693</x:v>
      </x:c>
      <x:c r="D1651" s="33" t="str">
        <x:v>Law &amp; Order: LA</x:v>
      </x:c>
      <x:c r="E1651" s="33" t="str">
        <x:v>Law &amp; Order</x:v>
      </x:c>
      <x:c r="F1651" s="33" t="str">
        <x:v>core</x:v>
      </x:c>
      <x:c r="G1651" s="50" t="n">
        <x:v>1</x:v>
      </x:c>
      <x:c r="H1651" s="50" t="n">
        <x:v>18</x:v>
      </x:c>
      <x:c r="I1651" s="44" t="str">
        <x:v>01.18</x:v>
      </x:c>
      <x:c r="J1651" s="33" t="str">
        <x:v>Plummer Park</x:v>
      </x:c>
      <x:c r="K1651" s="33" t="str"/>
      <x:c r="L1651" s="33" t="str"/>
      <x:c r="M1651" s="44" t="str"/>
      <x:c r="N1651" s="50" t="n">
        <x:v>43</x:v>
      </x:c>
      <x:c r="O1651" s="53" t="str">
        <x:v>Detectives Winters and Jaruszalski investigate a botched kidnapping, which becomes complicated when they discover another crime. Unfortunately, this dilemma leaves Dekker with a ticking clock as ICE threatens to extradite witnesses who are key to his case.</x:v>
      </x:c>
      <x:c r="P1651" s="53" t="str">
        <x:v>Law &amp; Order franchise spinoff</x:v>
      </x:c>
      <x:c r="Q1651" s="17" t="str">
        <x:v>774899</x:v>
      </x:c>
      <x:c r="R1651" s="17" t="str">
        <x:v>tt1750606</x:v>
      </x:c>
      <x:c r="S1651" s="17" t="str">
        <x:v>1212</x:v>
      </x:c>
    </x:row>
    <x:row r="1652">
      <x:c r="A1652" s="43" t="n">
        <x:v>1648</x:v>
      </x:c>
      <x:c r="B1652" s="44" t="str">
        <x:v>Not Started</x:v>
      </x:c>
      <x:c r="C1652" s="45" t="n">
        <x:v>40699</x:v>
      </x:c>
      <x:c r="D1652" s="33" t="str">
        <x:v>In Plain Sight</x:v>
      </x:c>
      <x:c r="E1652" s="33" t="str">
        <x:v>Crossover Adjacent</x:v>
      </x:c>
      <x:c r="F1652" s="33" t="str">
        <x:v>connected</x:v>
      </x:c>
      <x:c r="G1652" s="50" t="n">
        <x:v>4</x:v>
      </x:c>
      <x:c r="H1652" s="50" t="n">
        <x:v>5</x:v>
      </x:c>
      <x:c r="I1652" s="44" t="str">
        <x:v>04.05</x:v>
      </x:c>
      <x:c r="J1652" s="33" t="str">
        <x:v>Second Crime Around</x:v>
      </x:c>
      <x:c r="K1652" s="33" t="str"/>
      <x:c r="L1652" s="33" t="str"/>
      <x:c r="M1652" s="44" t="str"/>
      <x:c r="N1652" s="50" t="n">
        <x:v>43</x:v>
      </x:c>
      <x:c r="O1652" s="53" t="str">
        <x:v>Mary works with an unapologetic con artist.</x:v>
      </x:c>
      <x:c r="P1652" s="53" t="str">
        <x:v>SVU character crossover / shared Dick Wolf connection</x:v>
      </x:c>
      <x:c r="Q1652" s="17" t="str">
        <x:v>393607</x:v>
      </x:c>
      <x:c r="R1652" s="17" t="str">
        <x:v>tt1917794</x:v>
      </x:c>
      <x:c r="S1652" s="17" t="str">
        <x:v>1214</x:v>
      </x:c>
    </x:row>
    <x:row r="1653">
      <x:c r="A1653" s="43" t="n">
        <x:v>1649</x:v>
      </x:c>
      <x:c r="B1653" s="44" t="str">
        <x:v>Not Started</x:v>
      </x:c>
      <x:c r="C1653" s="45" t="n">
        <x:v>40699</x:v>
      </x:c>
      <x:c r="D1653" s="33" t="str">
        <x:v>Law &amp; Order: Criminal Intent</x:v>
      </x:c>
      <x:c r="E1653" s="33" t="str">
        <x:v>Law &amp; Order</x:v>
      </x:c>
      <x:c r="F1653" s="33" t="str">
        <x:v>core</x:v>
      </x:c>
      <x:c r="G1653" s="50" t="n">
        <x:v>10</x:v>
      </x:c>
      <x:c r="H1653" s="50" t="n">
        <x:v>5</x:v>
      </x:c>
      <x:c r="I1653" s="44" t="str">
        <x:v>10.05</x:v>
      </x:c>
      <x:c r="J1653" s="33" t="str">
        <x:v>Trophy Wine</x:v>
      </x:c>
      <x:c r="K1653" s="33" t="str"/>
      <x:c r="L1653" s="33" t="str"/>
      <x:c r="M1653" s="44" t="str"/>
      <x:c r="N1653" s="50" t="n">
        <x:v>43</x:v>
      </x:c>
      <x:c r="O1653" s="53" t="str">
        <x:v>When a wealthy wine importer is found dead in his cellar after hosting a tasting of two hundred year-old wine, Goren and Eames uncover the conspiratorial workings of a high-end auction house. The guests of the tasting, a sexy grifter couple, and the victim's wife are brought into suspicion as deeper investigations reveal the victim's true nature and new motives come to light.</x:v>
      </x:c>
      <x:c r="P1653" s="53" t="str">
        <x:v>Core Law &amp; Order franchise</x:v>
      </x:c>
      <x:c r="Q1653" s="17" t="str">
        <x:v>341403</x:v>
      </x:c>
      <x:c r="R1653" s="17" t="str">
        <x:v>tt1942451</x:v>
      </x:c>
      <x:c r="S1653" s="17" t="str">
        <x:v>1213</x:v>
      </x:c>
    </x:row>
    <x:row r="1654">
      <x:c r="A1654" s="43" t="n">
        <x:v>1650</x:v>
      </x:c>
      <x:c r="B1654" s="44" t="str">
        <x:v>Not Started</x:v>
      </x:c>
      <x:c r="C1654" s="45" t="n">
        <x:v>40700</x:v>
      </x:c>
      <x:c r="D1654" s="33" t="str">
        <x:v>Law &amp; Order: LA</x:v>
      </x:c>
      <x:c r="E1654" s="33" t="str">
        <x:v>Law &amp; Order</x:v>
      </x:c>
      <x:c r="F1654" s="33" t="str">
        <x:v>core</x:v>
      </x:c>
      <x:c r="G1654" s="50" t="n">
        <x:v>1</x:v>
      </x:c>
      <x:c r="H1654" s="50" t="n">
        <x:v>19</x:v>
      </x:c>
      <x:c r="I1654" s="44" t="str">
        <x:v>01.19</x:v>
      </x:c>
      <x:c r="J1654" s="33" t="str">
        <x:v>Carthay Circle</x:v>
      </x:c>
      <x:c r="K1654" s="33" t="str"/>
      <x:c r="L1654" s="33" t="str"/>
      <x:c r="M1654" s="44" t="str"/>
      <x:c r="N1654" s="50" t="n">
        <x:v>43</x:v>
      </x:c>
      <x:c r="O1654" s="53" t="str">
        <x:v>When Kim Ho Lee is found dead by a neighbor, the detectives suspect her live-in boyfriend of murder until they stumble upon his dead body. As Winters and Jazuszalski begin digging into Joyner’s past, they learn that he was hired to collect voter signatures in order to put a controversial proposition back on the ballot. However, when surprising details are uncovered, DDA’s Morales and Price find their case in jeopardy and justice hanging in the balance.</x:v>
      </x:c>
      <x:c r="P1654" s="53" t="str">
        <x:v>Law &amp; Order franchise spinoff</x:v>
      </x:c>
      <x:c r="Q1654" s="17" t="str">
        <x:v>774900</x:v>
      </x:c>
      <x:c r="R1654" s="17" t="str">
        <x:v>tt1834018</x:v>
      </x:c>
      <x:c r="S1654" s="17" t="str">
        <x:v>1215</x:v>
      </x:c>
    </x:row>
    <x:row r="1655">
      <x:c r="A1655" s="43" t="n">
        <x:v>1651</x:v>
      </x:c>
      <x:c r="B1655" s="44" t="str">
        <x:v>Not Started</x:v>
      </x:c>
      <x:c r="C1655" s="45" t="n">
        <x:v>40706</x:v>
      </x:c>
      <x:c r="D1655" s="33" t="str">
        <x:v>In Plain Sight</x:v>
      </x:c>
      <x:c r="E1655" s="33" t="str">
        <x:v>Crossover Adjacent</x:v>
      </x:c>
      <x:c r="F1655" s="33" t="str">
        <x:v>connected</x:v>
      </x:c>
      <x:c r="G1655" s="50" t="n">
        <x:v>4</x:v>
      </x:c>
      <x:c r="H1655" s="50" t="n">
        <x:v>6</x:v>
      </x:c>
      <x:c r="I1655" s="44" t="str">
        <x:v>04.06</x:v>
      </x:c>
      <x:c r="J1655" s="33" t="str">
        <x:v>Something A-mish</x:v>
      </x:c>
      <x:c r="K1655" s="33" t="str"/>
      <x:c r="L1655" s="33" t="str"/>
      <x:c r="M1655" s="44" t="str"/>
      <x:c r="N1655" s="50" t="n">
        <x:v>43</x:v>
      </x:c>
      <x:c r="O1655" s="53" t="str">
        <x:v>An Amish witness comes into the program and must learn to adapt.</x:v>
      </x:c>
      <x:c r="P1655" s="53" t="str">
        <x:v>SVU character crossover / shared Dick Wolf connection</x:v>
      </x:c>
      <x:c r="Q1655" s="17" t="str">
        <x:v>393608</x:v>
      </x:c>
      <x:c r="R1655" s="17" t="str">
        <x:v>tt1917795</x:v>
      </x:c>
      <x:c r="S1655" s="17" t="str">
        <x:v>1217</x:v>
      </x:c>
    </x:row>
    <x:row r="1656">
      <x:c r="A1656" s="43" t="n">
        <x:v>1652</x:v>
      </x:c>
      <x:c r="B1656" s="44" t="str">
        <x:v>Not Started</x:v>
      </x:c>
      <x:c r="C1656" s="45" t="n">
        <x:v>40706</x:v>
      </x:c>
      <x:c r="D1656" s="33" t="str">
        <x:v>Law &amp; Order: Criminal Intent</x:v>
      </x:c>
      <x:c r="E1656" s="33" t="str">
        <x:v>Law &amp; Order</x:v>
      </x:c>
      <x:c r="F1656" s="33" t="str">
        <x:v>core</x:v>
      </x:c>
      <x:c r="G1656" s="50" t="n">
        <x:v>10</x:v>
      </x:c>
      <x:c r="H1656" s="50" t="n">
        <x:v>6</x:v>
      </x:c>
      <x:c r="I1656" s="44" t="str">
        <x:v>10.06</x:v>
      </x:c>
      <x:c r="J1656" s="33" t="str">
        <x:v>Cadaver</x:v>
      </x:c>
      <x:c r="K1656" s="33" t="str"/>
      <x:c r="L1656" s="33" t="str"/>
      <x:c r="M1656" s="44" t="str"/>
      <x:c r="N1656" s="50" t="n">
        <x:v>43</x:v>
      </x:c>
      <x:c r="O1656" s="53" t="str">
        <x:v>A millionaire philanthropist is reported missing after announcing the winner of his highly coveted medical research grant. Goren and Eames determine homicide when the investigation reveals the victim's body was switched with a medical cadaver from the very institute he was funding.</x:v>
      </x:c>
      <x:c r="P1656" s="53" t="str">
        <x:v>Core Law &amp; Order franchise</x:v>
      </x:c>
      <x:c r="Q1656" s="17" t="str">
        <x:v>341404</x:v>
      </x:c>
      <x:c r="R1656" s="17" t="str">
        <x:v>tt1893987</x:v>
      </x:c>
      <x:c r="S1656" s="17" t="str">
        <x:v>1216</x:v>
      </x:c>
    </x:row>
    <x:row r="1657">
      <x:c r="A1657" s="43" t="n">
        <x:v>1653</x:v>
      </x:c>
      <x:c r="B1657" s="44" t="str">
        <x:v>Not Started</x:v>
      </x:c>
      <x:c r="C1657" s="45" t="n">
        <x:v>40713</x:v>
      </x:c>
      <x:c r="D1657" s="33" t="str">
        <x:v>In Plain Sight</x:v>
      </x:c>
      <x:c r="E1657" s="33" t="str">
        <x:v>Crossover Adjacent</x:v>
      </x:c>
      <x:c r="F1657" s="33" t="str">
        <x:v>connected</x:v>
      </x:c>
      <x:c r="G1657" s="50" t="n">
        <x:v>4</x:v>
      </x:c>
      <x:c r="H1657" s="50" t="n">
        <x:v>7</x:v>
      </x:c>
      <x:c r="I1657" s="44" t="str">
        <x:v>04.07</x:v>
      </x:c>
      <x:c r="J1657" s="33" t="str">
        <x:v>I'm a Liver Not a Fighter</x:v>
      </x:c>
      <x:c r="K1657" s="33" t="str"/>
      <x:c r="L1657" s="33" t="str"/>
      <x:c r="M1657" s="44" t="str"/>
      <x:c r="N1657" s="50" t="n">
        <x:v>42</x:v>
      </x:c>
      <x:c r="O1657" s="53" t="str">
        <x:v>A terminally ill father wants to reconcile with his children.</x:v>
      </x:c>
      <x:c r="P1657" s="53" t="str">
        <x:v>SVU character crossover / shared Dick Wolf connection</x:v>
      </x:c>
      <x:c r="Q1657" s="17" t="str">
        <x:v>393609</x:v>
      </x:c>
      <x:c r="R1657" s="17" t="str">
        <x:v>tt1919902</x:v>
      </x:c>
      <x:c r="S1657" s="17" t="str">
        <x:v>1219</x:v>
      </x:c>
    </x:row>
    <x:row r="1658">
      <x:c r="A1658" s="43" t="n">
        <x:v>1654</x:v>
      </x:c>
      <x:c r="B1658" s="44" t="str">
        <x:v>Not Started</x:v>
      </x:c>
      <x:c r="C1658" s="45" t="n">
        <x:v>40713</x:v>
      </x:c>
      <x:c r="D1658" s="33" t="str">
        <x:v>Law &amp; Order: Criminal Intent</x:v>
      </x:c>
      <x:c r="E1658" s="33" t="str">
        <x:v>Law &amp; Order</x:v>
      </x:c>
      <x:c r="F1658" s="33" t="str">
        <x:v>core</x:v>
      </x:c>
      <x:c r="G1658" s="50" t="n">
        <x:v>10</x:v>
      </x:c>
      <x:c r="H1658" s="50" t="n">
        <x:v>7</x:v>
      </x:c>
      <x:c r="I1658" s="44" t="str">
        <x:v>10.07</x:v>
      </x:c>
      <x:c r="J1658" s="33" t="str">
        <x:v>Icarus</x:v>
      </x:c>
      <x:c r="K1658" s="33" t="str"/>
      <x:c r="L1658" s="33" t="str"/>
      <x:c r="M1658" s="44" t="str"/>
      <x:c r="N1658" s="50" t="n">
        <x:v>43</x:v>
      </x:c>
      <x:c r="O1658" s="53" t="str">
        <x:v>A sitcom star turned Broadway actor is killed performing a stunt in a controversial and highly technical Broadway musical, and the real drama is trying to figure out who wanted the leading man dead.</x:v>
      </x:c>
      <x:c r="P1658" s="53" t="str">
        <x:v>Core Law &amp; Order franchise</x:v>
      </x:c>
      <x:c r="Q1658" s="17" t="str">
        <x:v>341405</x:v>
      </x:c>
      <x:c r="R1658" s="17" t="str">
        <x:v>tt1940725</x:v>
      </x:c>
      <x:c r="S1658" s="17" t="str">
        <x:v>1218</x:v>
      </x:c>
    </x:row>
    <x:row r="1659">
      <x:c r="A1659" s="43" t="n">
        <x:v>1655</x:v>
      </x:c>
      <x:c r="B1659" s="44" t="str">
        <x:v>Not Started</x:v>
      </x:c>
      <x:c r="C1659" s="45" t="n">
        <x:v>40714</x:v>
      </x:c>
      <x:c r="D1659" s="33" t="str">
        <x:v>Law &amp; Order: LA</x:v>
      </x:c>
      <x:c r="E1659" s="33" t="str">
        <x:v>Law &amp; Order</x:v>
      </x:c>
      <x:c r="F1659" s="33" t="str">
        <x:v>core</x:v>
      </x:c>
      <x:c r="G1659" s="50" t="n">
        <x:v>1</x:v>
      </x:c>
      <x:c r="H1659" s="50" t="n">
        <x:v>20</x:v>
      </x:c>
      <x:c r="I1659" s="44" t="str">
        <x:v>01.20</x:v>
      </x:c>
      <x:c r="J1659" s="33" t="str">
        <x:v>El Sereno</x:v>
      </x:c>
      <x:c r="K1659" s="33" t="str"/>
      <x:c r="L1659" s="33" t="str"/>
      <x:c r="M1659" s="44" t="str"/>
      <x:c r="N1659" s="50" t="n">
        <x:v>43</x:v>
      </x:c>
      <x:c r="O1659" s="53" t="str">
        <x:v>When a horrific mass murder occurs at a primarily Hispanic office, the detectives immediately begin investigating the remaining employees, as well as their clients. After arresting a potential suspect, the case comes to a sudden halt when a claim of racial profiling is made against the unlikeliest of sources. DDA’s Dekker and Stanton are forced to navigate through tricky waters in hopes of proving their case.</x:v>
      </x:c>
      <x:c r="P1659" s="53" t="str">
        <x:v>Law &amp; Order franchise spinoff</x:v>
      </x:c>
      <x:c r="Q1659" s="17" t="str">
        <x:v>774901</x:v>
      </x:c>
      <x:c r="R1659" s="17" t="str">
        <x:v>tt1750604</x:v>
      </x:c>
      <x:c r="S1659" s="17" t="str">
        <x:v>1220</x:v>
      </x:c>
    </x:row>
    <x:row r="1660">
      <x:c r="A1660" s="43" t="n">
        <x:v>1656</x:v>
      </x:c>
      <x:c r="B1660" s="44" t="str">
        <x:v>Not Started</x:v>
      </x:c>
      <x:c r="C1660" s="45" t="n">
        <x:v>40720</x:v>
      </x:c>
      <x:c r="D1660" s="33" t="str">
        <x:v>In Plain Sight</x:v>
      </x:c>
      <x:c r="E1660" s="33" t="str">
        <x:v>Crossover Adjacent</x:v>
      </x:c>
      <x:c r="F1660" s="33" t="str">
        <x:v>connected</x:v>
      </x:c>
      <x:c r="G1660" s="50" t="n">
        <x:v>4</x:v>
      </x:c>
      <x:c r="H1660" s="50" t="n">
        <x:v>8</x:v>
      </x:c>
      <x:c r="I1660" s="44" t="str">
        <x:v>04.08</x:v>
      </x:c>
      <x:c r="J1660" s="33" t="str">
        <x:v>Kumar vs. Kumar</x:v>
      </x:c>
      <x:c r="K1660" s="33" t="str"/>
      <x:c r="L1660" s="33" t="str"/>
      <x:c r="M1660" s="44" t="str"/>
      <x:c r="N1660" s="50" t="n">
        <x:v>42</x:v>
      </x:c>
      <x:c r="O1660" s="53" t="str">
        <x:v>Mary plays marriage councilor in order to mediate a WITSEC divorce. Not only must she reconcile a stubborn witness, but also thousands of years of Hindu tradition, in order to save the case and keep a family out of danger.</x:v>
      </x:c>
      <x:c r="P1660" s="53" t="str">
        <x:v>SVU character crossover / shared Dick Wolf connection</x:v>
      </x:c>
      <x:c r="Q1660" s="17" t="str">
        <x:v>393610</x:v>
      </x:c>
      <x:c r="R1660" s="17" t="str">
        <x:v>tt1910058</x:v>
      </x:c>
      <x:c r="S1660" s="17" t="str">
        <x:v>1222</x:v>
      </x:c>
    </x:row>
    <x:row r="1661">
      <x:c r="A1661" s="43" t="n">
        <x:v>1657</x:v>
      </x:c>
      <x:c r="B1661" s="44" t="str">
        <x:v>Not Started</x:v>
      </x:c>
      <x:c r="C1661" s="45" t="n">
        <x:v>40720</x:v>
      </x:c>
      <x:c r="D1661" s="33" t="str">
        <x:v>Law &amp; Order: Criminal Intent</x:v>
      </x:c>
      <x:c r="E1661" s="33" t="str">
        <x:v>Law &amp; Order</x:v>
      </x:c>
      <x:c r="F1661" s="33" t="str">
        <x:v>core</x:v>
      </x:c>
      <x:c r="G1661" s="50" t="n">
        <x:v>10</x:v>
      </x:c>
      <x:c r="H1661" s="50" t="n">
        <x:v>8</x:v>
      </x:c>
      <x:c r="I1661" s="44" t="str">
        <x:v>10.08</x:v>
      </x:c>
      <x:c r="J1661" s="33" t="str">
        <x:v>To the Boy in the Blue Knit Cap</x:v>
      </x:c>
      <x:c r="K1661" s="33" t="str"/>
      <x:c r="L1661" s="33" t="str"/>
      <x:c r="M1661" s="44" t="str"/>
      <x:c r="N1661" s="50" t="n">
        <x:v>43</x:v>
      </x:c>
      <x:c r="O1661" s="53" t="str">
        <x:v>The launch of a heated lawsuit over the potential theft of a multi-million dollar website leaves two bodies in the company's office. Goren and Eames enter the world of "Kizmate" – a site devoted to connecting people who share fleeting romantic encounters – and investigate its key members to determine if the killings were coincidence or something more...</x:v>
      </x:c>
      <x:c r="P1661" s="53" t="str">
        <x:v>Core Law &amp; Order franchise</x:v>
      </x:c>
      <x:c r="Q1661" s="17" t="str">
        <x:v>341406</x:v>
      </x:c>
      <x:c r="R1661" s="17" t="str">
        <x:v>tt1942450</x:v>
      </x:c>
      <x:c r="S1661" s="17" t="str">
        <x:v>1221</x:v>
      </x:c>
    </x:row>
    <x:row r="1662">
      <x:c r="A1662" s="43" t="n">
        <x:v>1658</x:v>
      </x:c>
      <x:c r="B1662" s="44" t="str">
        <x:v>Not Started</x:v>
      </x:c>
      <x:c r="C1662" s="45" t="n">
        <x:v>40721</x:v>
      </x:c>
      <x:c r="D1662" s="33" t="str">
        <x:v>Law &amp; Order: LA</x:v>
      </x:c>
      <x:c r="E1662" s="33" t="str">
        <x:v>Law &amp; Order</x:v>
      </x:c>
      <x:c r="F1662" s="33" t="str">
        <x:v>core</x:v>
      </x:c>
      <x:c r="G1662" s="50" t="n">
        <x:v>1</x:v>
      </x:c>
      <x:c r="H1662" s="50" t="n">
        <x:v>21</x:v>
      </x:c>
      <x:c r="I1662" s="44" t="str">
        <x:v>01.21</x:v>
      </x:c>
      <x:c r="J1662" s="33" t="str">
        <x:v>Van Nuys</x:v>
      </x:c>
      <x:c r="K1662" s="33" t="str"/>
      <x:c r="L1662" s="33" t="str"/>
      <x:c r="M1662" s="44" t="str"/>
      <x:c r="N1662" s="50" t="n">
        <x:v>43</x:v>
      </x:c>
      <x:c r="O1662" s="53" t="str">
        <x:v>A birthday party turns into a horrific scene after all of the guests are beaten to death by some uninvited visitors. With several clues left behind, the detectives are led to believe it was drug related. However, when they learn one of the guests escaped it leads them to a shocking discovery about the murders. Meanwhile, DDA’s Morales and Price ask for fellow DDA Dekker's help to convict the culprit.</x:v>
      </x:c>
      <x:c r="P1662" s="53" t="str">
        <x:v>Law &amp; Order franchise spinoff</x:v>
      </x:c>
      <x:c r="Q1662" s="17" t="str">
        <x:v>774902</x:v>
      </x:c>
      <x:c r="R1662" s="17" t="str">
        <x:v>tt1875494</x:v>
      </x:c>
      <x:c r="S1662" s="17" t="str">
        <x:v>1223</x:v>
      </x:c>
    </x:row>
    <x:row r="1663">
      <x:c r="A1663" s="43" t="n">
        <x:v>1659</x:v>
      </x:c>
      <x:c r="B1663" s="44" t="str">
        <x:v>Not Started</x:v>
      </x:c>
      <x:c r="C1663" s="45" t="n">
        <x:v>40734</x:v>
      </x:c>
      <x:c r="D1663" s="33" t="str">
        <x:v>In Plain Sight</x:v>
      </x:c>
      <x:c r="E1663" s="33" t="str">
        <x:v>Crossover Adjacent</x:v>
      </x:c>
      <x:c r="F1663" s="33" t="str">
        <x:v>connected</x:v>
      </x:c>
      <x:c r="G1663" s="50" t="n">
        <x:v>4</x:v>
      </x:c>
      <x:c r="H1663" s="50" t="n">
        <x:v>9</x:v>
      </x:c>
      <x:c r="I1663" s="44" t="str">
        <x:v>04.09</x:v>
      </x:c>
      <x:c r="J1663" s="33" t="str">
        <x:v>The Rolling Stones</x:v>
      </x:c>
      <x:c r="K1663" s="33" t="str"/>
      <x:c r="L1663" s="33" t="str"/>
      <x:c r="M1663" s="44" t="str"/>
      <x:c r="N1663" s="50" t="n">
        <x:v>41</x:v>
      </x:c>
      <x:c r="O1663" s="53" t="str">
        <x:v>Mary gets a WITSEC two-fer, when a witness is forced to enter the program after being mistaken for his "evil" twin brother. Not only must she protect the pair from their enemies, but also from each other.</x:v>
      </x:c>
      <x:c r="P1663" s="53" t="str">
        <x:v>SVU character crossover / shared Dick Wolf connection</x:v>
      </x:c>
      <x:c r="Q1663" s="17" t="str">
        <x:v>393611</x:v>
      </x:c>
      <x:c r="R1663" s="17" t="str">
        <x:v>tt1925861</x:v>
      </x:c>
      <x:c r="S1663" s="17" t="str">
        <x:v>1225</x:v>
      </x:c>
    </x:row>
    <x:row r="1664">
      <x:c r="A1664" s="43" t="n">
        <x:v>1660</x:v>
      </x:c>
      <x:c r="B1664" s="44" t="str">
        <x:v>Not Started</x:v>
      </x:c>
      <x:c r="C1664" s="45" t="n">
        <x:v>40734</x:v>
      </x:c>
      <x:c r="D1664" s="33" t="str">
        <x:v>Law &amp; Order: UK</x:v>
      </x:c>
      <x:c r="E1664" s="33" t="str">
        <x:v>Law &amp; Order</x:v>
      </x:c>
      <x:c r="F1664" s="33" t="str">
        <x:v>core</x:v>
      </x:c>
      <x:c r="G1664" s="50" t="n">
        <x:v>5</x:v>
      </x:c>
      <x:c r="H1664" s="50" t="n">
        <x:v>1</x:v>
      </x:c>
      <x:c r="I1664" s="44" t="str">
        <x:v>05.01</x:v>
      </x:c>
      <x:c r="J1664" s="33" t="str">
        <x:v>The Wrong Man</x:v>
      </x:c>
      <x:c r="K1664" s="33" t="str"/>
      <x:c r="L1664" s="33" t="str"/>
      <x:c r="M1664" s="44" t="str"/>
      <x:c r="N1664" s="50" t="n">
        <x:v>48</x:v>
      </x:c>
      <x:c r="O1664" s="53" t="str">
        <x:v>Brought into A&amp;E with flu-like symptoms and leaving in a body bag, Suzanne Morton’s death is treated as suspicious by DS Ronnie Brooks and DS Matt Devlin as they investigate a hospital department which has had three such untimely deaths within six months. With an extremely busy A&amp;E ward the night Suzanne died, can our heroes find the killer before the killer finds their next victim? Senior Crown Prosecutor, Jake Thorne is pulled in opposite directions when the chief suspect in the case claims to have been framed for the murder by others within his department. With a conspiracy of silence permeating the hospital staff, it’s clear that there’s more to this case than meets the eye and only by penetrating the web of professional loyalties can the truth emerge</x:v>
      </x:c>
      <x:c r="P1664" s="53" t="str">
        <x:v>Law &amp; Order format/franchise</x:v>
      </x:c>
      <x:c r="Q1664" s="17" t="str">
        <x:v>392413</x:v>
      </x:c>
      <x:c r="R1664" s="17" t="str">
        <x:v>tt1972016</x:v>
      </x:c>
      <x:c r="S1664" s="17" t="str">
        <x:v>1224</x:v>
      </x:c>
    </x:row>
    <x:row r="1665">
      <x:c r="A1665" s="43" t="n">
        <x:v>1661</x:v>
      </x:c>
      <x:c r="B1665" s="44" t="str">
        <x:v>Not Started</x:v>
      </x:c>
      <x:c r="C1665" s="45" t="n">
        <x:v>40735</x:v>
      </x:c>
      <x:c r="D1665" s="33" t="str">
        <x:v>Law &amp; Order: LA</x:v>
      </x:c>
      <x:c r="E1665" s="33" t="str">
        <x:v>Law &amp; Order</x:v>
      </x:c>
      <x:c r="F1665" s="33" t="str">
        <x:v>core</x:v>
      </x:c>
      <x:c r="G1665" s="50" t="n">
        <x:v>1</x:v>
      </x:c>
      <x:c r="H1665" s="50" t="n">
        <x:v>22</x:v>
      </x:c>
      <x:c r="I1665" s="44" t="str">
        <x:v>01.22</x:v>
      </x:c>
      <x:c r="J1665" s="33" t="str">
        <x:v>Westwood</x:v>
      </x:c>
      <x:c r="K1665" s="33" t="str"/>
      <x:c r="L1665" s="33" t="str"/>
      <x:c r="M1665" s="44" t="str"/>
      <x:c r="N1665" s="50" t="n">
        <x:v>43</x:v>
      </x:c>
      <x:c r="O1665" s="53" t="str">
        <x:v>When Javier Gomez is found dead at UCLA, the detectives learn that protecting his sister Malia, a star soccer player, may have lead to his murder. After speaking with Malia and her boyfriend Eric Kenter, Winters and Jaruszalski are led on a path to uncover the suspect, only to discover the case taking a surprising turn. With the prosecution losing ground, DDA’s Morales and Price are faced with the difficult task of uncovering the truth.</x:v>
      </x:c>
      <x:c r="P1665" s="53" t="str">
        <x:v>Law &amp; Order franchise spinoff</x:v>
      </x:c>
      <x:c r="Q1665" s="17" t="str">
        <x:v>774903</x:v>
      </x:c>
      <x:c r="R1665" s="17" t="str">
        <x:v>tt1925050</x:v>
      </x:c>
      <x:c r="S1665" s="17" t="str">
        <x:v>1226</x:v>
      </x:c>
    </x:row>
    <x:row r="1666">
      <x:c r="A1666" s="43" t="n">
        <x:v>1662</x:v>
      </x:c>
      <x:c r="B1666" s="44" t="str">
        <x:v>Not Started</x:v>
      </x:c>
      <x:c r="C1666" s="45" t="n">
        <x:v>40741</x:v>
      </x:c>
      <x:c r="D1666" s="33" t="str">
        <x:v>In Plain Sight</x:v>
      </x:c>
      <x:c r="E1666" s="33" t="str">
        <x:v>Crossover Adjacent</x:v>
      </x:c>
      <x:c r="F1666" s="33" t="str">
        <x:v>connected</x:v>
      </x:c>
      <x:c r="G1666" s="50" t="n">
        <x:v>4</x:v>
      </x:c>
      <x:c r="H1666" s="50" t="n">
        <x:v>10</x:v>
      </x:c>
      <x:c r="I1666" s="44" t="str">
        <x:v>04.10</x:v>
      </x:c>
      <x:c r="J1666" s="33" t="str">
        <x:v>Girls, Interrupted</x:v>
      </x:c>
      <x:c r="K1666" s="33" t="str"/>
      <x:c r="L1666" s="33" t="str"/>
      <x:c r="M1666" s="44" t="str"/>
      <x:c r="N1666" s="50" t="n">
        <x:v>42</x:v>
      </x:c>
      <x:c r="O1666" s="53" t="str">
        <x:v>Marshall and Stan contend with a rock-star witness and her controlling mother while Mary is away on a WITSEC-mandated road trip.</x:v>
      </x:c>
      <x:c r="P1666" s="53" t="str">
        <x:v>SVU character crossover / shared Dick Wolf connection</x:v>
      </x:c>
      <x:c r="Q1666" s="17" t="str">
        <x:v>393612</x:v>
      </x:c>
      <x:c r="R1666" s="17" t="str">
        <x:v>tt1923214</x:v>
      </x:c>
      <x:c r="S1666" s="17" t="str">
        <x:v>1228</x:v>
      </x:c>
    </x:row>
    <x:row r="1667">
      <x:c r="A1667" s="43" t="n">
        <x:v>1663</x:v>
      </x:c>
      <x:c r="B1667" s="44" t="str">
        <x:v>Not Started</x:v>
      </x:c>
      <x:c r="C1667" s="45" t="n">
        <x:v>40741</x:v>
      </x:c>
      <x:c r="D1667" s="33" t="str">
        <x:v>Law &amp; Order: UK</x:v>
      </x:c>
      <x:c r="E1667" s="33" t="str">
        <x:v>Law &amp; Order</x:v>
      </x:c>
      <x:c r="F1667" s="33" t="str">
        <x:v>core</x:v>
      </x:c>
      <x:c r="G1667" s="50" t="n">
        <x:v>5</x:v>
      </x:c>
      <x:c r="H1667" s="50" t="n">
        <x:v>2</x:v>
      </x:c>
      <x:c r="I1667" s="44" t="str">
        <x:v>05.02</x:v>
      </x:c>
      <x:c r="J1667" s="33" t="str">
        <x:v>Safe</x:v>
      </x:c>
      <x:c r="K1667" s="33" t="str"/>
      <x:c r="L1667" s="33" t="str"/>
      <x:c r="M1667" s="44" t="str"/>
      <x:c r="N1667" s="50" t="n">
        <x:v>48</x:v>
      </x:c>
      <x:c r="O1667" s="53" t="str">
        <x:v>When two year old Ryan Stark goes missing from a high street merry-go-round, his distraught mother, Kayla reports him kidnapped and a massive police hunt is launched to find the missing toddler. In spite of public appeals and additional police manpower, the search throws up more questions than answers. The legal case uncovers a history of dealings with the social services before Ryan went missing, something which alerts our heroes to the possibility that his mother isn’t being entirely truthful. With more than one suspect and little physical evidence, will Ryan’s family ever learn the truth of what happened to their baby boy?</x:v>
      </x:c>
      <x:c r="P1667" s="53" t="str">
        <x:v>Law &amp; Order format/franchise</x:v>
      </x:c>
      <x:c r="Q1667" s="17" t="str">
        <x:v>392414</x:v>
      </x:c>
      <x:c r="R1667" s="17" t="str">
        <x:v>tt1972012</x:v>
      </x:c>
      <x:c r="S1667" s="17" t="str">
        <x:v>1227</x:v>
      </x:c>
    </x:row>
    <x:row r="1668">
      <x:c r="A1668" s="43" t="n">
        <x:v>1664</x:v>
      </x:c>
      <x:c r="B1668" s="44" t="str">
        <x:v>Not Started</x:v>
      </x:c>
      <x:c r="C1668" s="45" t="n">
        <x:v>40748</x:v>
      </x:c>
      <x:c r="D1668" s="33" t="str">
        <x:v>In Plain Sight</x:v>
      </x:c>
      <x:c r="E1668" s="33" t="str">
        <x:v>Crossover Adjacent</x:v>
      </x:c>
      <x:c r="F1668" s="33" t="str">
        <x:v>connected</x:v>
      </x:c>
      <x:c r="G1668" s="50" t="n">
        <x:v>4</x:v>
      </x:c>
      <x:c r="H1668" s="50" t="n">
        <x:v>11</x:v>
      </x:c>
      <x:c r="I1668" s="44" t="str">
        <x:v>04.11</x:v>
      </x:c>
      <x:c r="J1668" s="33" t="str">
        <x:v>Provo-cation</x:v>
      </x:c>
      <x:c r="K1668" s="33" t="str"/>
      <x:c r="L1668" s="33" t="str"/>
      <x:c r="M1668" s="44" t="str"/>
      <x:c r="N1668" s="50" t="n">
        <x:v>43</x:v>
      </x:c>
      <x:c r="O1668" s="53" t="str">
        <x:v>Mary helps protect a guilt-ridden Army veteran; Marshall &amp; Abigail consider the next step.</x:v>
      </x:c>
      <x:c r="P1668" s="53" t="str">
        <x:v>SVU character crossover / shared Dick Wolf connection</x:v>
      </x:c>
      <x:c r="Q1668" s="17" t="str">
        <x:v>393613</x:v>
      </x:c>
      <x:c r="R1668" s="17" t="str">
        <x:v>tt1952400</x:v>
      </x:c>
      <x:c r="S1668" s="17" t="str">
        <x:v>1230</x:v>
      </x:c>
    </x:row>
    <x:row r="1669">
      <x:c r="A1669" s="43" t="n">
        <x:v>1665</x:v>
      </x:c>
      <x:c r="B1669" s="44" t="str">
        <x:v>Not Started</x:v>
      </x:c>
      <x:c r="C1669" s="45" t="n">
        <x:v>40748</x:v>
      </x:c>
      <x:c r="D1669" s="33" t="str">
        <x:v>Law &amp; Order: UK</x:v>
      </x:c>
      <x:c r="E1669" s="33" t="str">
        <x:v>Law &amp; Order</x:v>
      </x:c>
      <x:c r="F1669" s="33" t="str">
        <x:v>core</x:v>
      </x:c>
      <x:c r="G1669" s="50" t="n">
        <x:v>5</x:v>
      </x:c>
      <x:c r="H1669" s="50" t="n">
        <x:v>3</x:v>
      </x:c>
      <x:c r="I1669" s="44" t="str">
        <x:v>05.03</x:v>
      </x:c>
      <x:c r="J1669" s="33" t="str">
        <x:v>Crush</x:v>
      </x:c>
      <x:c r="K1669" s="33" t="str"/>
      <x:c r="L1669" s="33" t="str"/>
      <x:c r="M1669" s="44" t="str"/>
      <x:c r="N1669" s="50" t="n">
        <x:v>48</x:v>
      </x:c>
      <x:c r="O1669" s="53" t="str">
        <x:v>Lying in a pool of blood, call girl Katka Cizek, seems to have only one admirer capable of her murder. A man with her on the night, a man without an alibi, a man with everything to lose were his secret obsession for her revealed. A seemingly cut and dry case, Alesha, given the reins to lead the cross-examination, begins to suspect someone has reason to frame the accused. Dogged in her pursuit of the truth, she unearths a betrayal of such enormity proving there are no winners in this case.</x:v>
      </x:c>
      <x:c r="P1669" s="53" t="str">
        <x:v>Law &amp; Order format/franchise</x:v>
      </x:c>
      <x:c r="Q1669" s="17" t="str">
        <x:v>392415</x:v>
      </x:c>
      <x:c r="R1669" s="17" t="str">
        <x:v>tt1972010</x:v>
      </x:c>
      <x:c r="S1669" s="17" t="str">
        <x:v>1229</x:v>
      </x:c>
    </x:row>
    <x:row r="1670">
      <x:c r="A1670" s="43" t="n">
        <x:v>1666</x:v>
      </x:c>
      <x:c r="B1670" s="44" t="str">
        <x:v>Not Started</x:v>
      </x:c>
      <x:c r="C1670" s="45" t="n">
        <x:v>40755</x:v>
      </x:c>
      <x:c r="D1670" s="33" t="str">
        <x:v>In Plain Sight</x:v>
      </x:c>
      <x:c r="E1670" s="33" t="str">
        <x:v>Crossover Adjacent</x:v>
      </x:c>
      <x:c r="F1670" s="33" t="str">
        <x:v>connected</x:v>
      </x:c>
      <x:c r="G1670" s="50" t="n">
        <x:v>4</x:v>
      </x:c>
      <x:c r="H1670" s="50" t="n">
        <x:v>12</x:v>
      </x:c>
      <x:c r="I1670" s="44" t="str">
        <x:v>04.12</x:v>
      </x:c>
      <x:c r="J1670" s="33" t="str">
        <x:v>A Womb with a View</x:v>
      </x:c>
      <x:c r="K1670" s="33" t="str"/>
      <x:c r="L1670" s="33" t="str"/>
      <x:c r="M1670" s="44" t="str"/>
      <x:c r="N1670" s="50" t="n">
        <x:v>43</x:v>
      </x:c>
      <x:c r="O1670" s="53" t="str">
        <x:v>Mary protects a courtesan from the gangster father of her baby.</x:v>
      </x:c>
      <x:c r="P1670" s="53" t="str">
        <x:v>SVU character crossover / shared Dick Wolf connection</x:v>
      </x:c>
      <x:c r="Q1670" s="17" t="str">
        <x:v>393614</x:v>
      </x:c>
      <x:c r="R1670" s="17" t="str">
        <x:v>tt1952399</x:v>
      </x:c>
      <x:c r="S1670" s="17" t="str">
        <x:v>1232</x:v>
      </x:c>
    </x:row>
    <x:row r="1671">
      <x:c r="A1671" s="43" t="n">
        <x:v>1667</x:v>
      </x:c>
      <x:c r="B1671" s="44" t="str">
        <x:v>Not Started</x:v>
      </x:c>
      <x:c r="C1671" s="45" t="n">
        <x:v>40755</x:v>
      </x:c>
      <x:c r="D1671" s="33" t="str">
        <x:v>Law &amp; Order: UK</x:v>
      </x:c>
      <x:c r="E1671" s="33" t="str">
        <x:v>Law &amp; Order</x:v>
      </x:c>
      <x:c r="F1671" s="33" t="str">
        <x:v>core</x:v>
      </x:c>
      <x:c r="G1671" s="50" t="n">
        <x:v>5</x:v>
      </x:c>
      <x:c r="H1671" s="50" t="n">
        <x:v>4</x:v>
      </x:c>
      <x:c r="I1671" s="44" t="str">
        <x:v>05.04</x:v>
      </x:c>
      <x:c r="J1671" s="33" t="str">
        <x:v>Tick Tock</x:v>
      </x:c>
      <x:c r="K1671" s="33" t="str"/>
      <x:c r="L1671" s="33" t="str"/>
      <x:c r="M1671" s="44" t="str"/>
      <x:c r="N1671" s="50" t="n">
        <x:v>48</x:v>
      </x:c>
      <x:c r="O1671" s="53" t="str">
        <x:v>A night club peppered with bullets. Two victims bleeding out on the floor. The start of a deadly gun rampage through the streets of London. With the media swarming all over the case and a hostage to find, DS Matt Devlin and DS Ronnie Brooks are up against the clock as they try to track down the Bonnie and Clyde duo wreaking havoc on the city streets. Capture is far from closure when defence barrister, Phyllis Gladstone, takes the case on, arguing that one of the pair was more innocent victim than violent killer. Did the defendant act out of fear - beaten and bullied into submission by her partner-in-crime, too terrified to escape and alert the police? With two sides to every story, the team are under pressure to make sure someone is held responsible for a murderous spree that cost five lives.</x:v>
      </x:c>
      <x:c r="P1671" s="53" t="str">
        <x:v>Law &amp; Order format/franchise</x:v>
      </x:c>
      <x:c r="Q1671" s="17" t="str">
        <x:v>392416</x:v>
      </x:c>
      <x:c r="R1671" s="17" t="str">
        <x:v>tt1972017</x:v>
      </x:c>
      <x:c r="S1671" s="17" t="str">
        <x:v>1231</x:v>
      </x:c>
    </x:row>
    <x:row r="1672">
      <x:c r="A1672" s="43" t="n">
        <x:v>1668</x:v>
      </x:c>
      <x:c r="B1672" s="44" t="str">
        <x:v>Not Started</x:v>
      </x:c>
      <x:c r="C1672" s="45" t="n">
        <x:v>40762</x:v>
      </x:c>
      <x:c r="D1672" s="33" t="str">
        <x:v>In Plain Sight</x:v>
      </x:c>
      <x:c r="E1672" s="33" t="str">
        <x:v>Crossover Adjacent</x:v>
      </x:c>
      <x:c r="F1672" s="33" t="str">
        <x:v>connected</x:v>
      </x:c>
      <x:c r="G1672" s="50" t="n">
        <x:v>4</x:v>
      </x:c>
      <x:c r="H1672" s="50" t="n">
        <x:v>13</x:v>
      </x:c>
      <x:c r="I1672" s="44" t="str">
        <x:v>04.13</x:v>
      </x:c>
      <x:c r="J1672" s="33" t="str">
        <x:v>Something Borrowed, Something Blew Up</x:v>
      </x:c>
      <x:c r="K1672" s="33" t="str"/>
      <x:c r="L1672" s="33" t="str"/>
      <x:c r="M1672" s="44" t="str"/>
      <x:c r="N1672" s="50" t="n">
        <x:v>41</x:v>
      </x:c>
      <x:c r="O1672" s="53" t="str">
        <x:v>Mary must protect her least favorite witnesses on the day of her sister's wedding.</x:v>
      </x:c>
      <x:c r="P1672" s="53" t="str">
        <x:v>SVU character crossover / shared Dick Wolf connection</x:v>
      </x:c>
      <x:c r="Q1672" s="17" t="str">
        <x:v>393615</x:v>
      </x:c>
      <x:c r="R1672" s="17" t="str">
        <x:v>tt1971877</x:v>
      </x:c>
      <x:c r="S1672" s="17" t="str">
        <x:v>1234</x:v>
      </x:c>
    </x:row>
    <x:row r="1673">
      <x:c r="A1673" s="43" t="n">
        <x:v>1669</x:v>
      </x:c>
      <x:c r="B1673" s="44" t="str">
        <x:v>Not Started</x:v>
      </x:c>
      <x:c r="C1673" s="45" t="n">
        <x:v>40762</x:v>
      </x:c>
      <x:c r="D1673" s="33" t="str">
        <x:v>Law &amp; Order: UK</x:v>
      </x:c>
      <x:c r="E1673" s="33" t="str">
        <x:v>Law &amp; Order</x:v>
      </x:c>
      <x:c r="F1673" s="33" t="str">
        <x:v>core</x:v>
      </x:c>
      <x:c r="G1673" s="50" t="n">
        <x:v>5</x:v>
      </x:c>
      <x:c r="H1673" s="50" t="n">
        <x:v>5</x:v>
      </x:c>
      <x:c r="I1673" s="44" t="str">
        <x:v>05.05</x:v>
      </x:c>
      <x:c r="J1673" s="33" t="str">
        <x:v>Intent</x:v>
      </x:c>
      <x:c r="K1673" s="33" t="str"/>
      <x:c r="L1673" s="33" t="str"/>
      <x:c r="M1673" s="44" t="str"/>
      <x:c r="N1673" s="50" t="n">
        <x:v>48</x:v>
      </x:c>
      <x:c r="O1673" s="53" t="str">
        <x:v>Stabbed to death while they slept, the killings of David and Elaine Lerner prove a mystery to DS Matt Devlin and DS Ronnie Brooks. Universally loved, there’s not a single lead that points to grievances held or enemies made. The previous owner of the house soon emerges as a much more likely target for attack - Camilla Mallon, a banker embroiled in a hedge fund scandal. Could the brutal murders be a case of mistaken identity? As our Crown Prosecutors navigate this seemingly senseless crime, Jake’s old mentor, Margaret Rumsfield argues the accused should face only manslaughter charges. Without motive, without intent, can our heroes make a murder charge stick?</x:v>
      </x:c>
      <x:c r="P1673" s="53" t="str">
        <x:v>Law &amp; Order format/franchise</x:v>
      </x:c>
      <x:c r="Q1673" s="17" t="str">
        <x:v>392417</x:v>
      </x:c>
      <x:c r="R1673" s="17" t="str">
        <x:v>tt1972013</x:v>
      </x:c>
      <x:c r="S1673" s="17" t="str">
        <x:v>1233</x:v>
      </x:c>
    </x:row>
    <x:row r="1674">
      <x:c r="A1674" s="43" t="n">
        <x:v>1670</x:v>
      </x:c>
      <x:c r="B1674" s="44" t="str">
        <x:v>Not Started</x:v>
      </x:c>
      <x:c r="C1674" s="45" t="n">
        <x:v>40769</x:v>
      </x:c>
      <x:c r="D1674" s="33" t="str">
        <x:v>Law &amp; Order: UK</x:v>
      </x:c>
      <x:c r="E1674" s="33" t="str">
        <x:v>Law &amp; Order</x:v>
      </x:c>
      <x:c r="F1674" s="33" t="str">
        <x:v>core</x:v>
      </x:c>
      <x:c r="G1674" s="50" t="n">
        <x:v>5</x:v>
      </x:c>
      <x:c r="H1674" s="50" t="n">
        <x:v>6</x:v>
      </x:c>
      <x:c r="I1674" s="44" t="str">
        <x:v>05.06</x:v>
      </x:c>
      <x:c r="J1674" s="33" t="str">
        <x:v>Deal</x:v>
      </x:c>
      <x:c r="K1674" s="33" t="str"/>
      <x:c r="L1674" s="33" t="str"/>
      <x:c r="M1674" s="44" t="str"/>
      <x:c r="N1674" s="50" t="n">
        <x:v>48</x:v>
      </x:c>
      <x:c r="O1674" s="53" t="str">
        <x:v>The team investigate, when mother and carer Lia Brown is killed by a stray bullet,what the involvement is of 12-year-old Kaden Blake in her death. Kaden is caught up in the local gang culture, so keeping silent is his only protection. DS Matt Devlin is drawn to this damaged boy, saddened to see a life so doomed by circumstance, and furious that local dealer and gang leader Mark Ellis remains untouchable by the law.</x:v>
      </x:c>
      <x:c r="P1674" s="53" t="str">
        <x:v>Law &amp; Order format/franchise</x:v>
      </x:c>
      <x:c r="Q1674" s="17" t="str">
        <x:v>392418</x:v>
      </x:c>
      <x:c r="R1674" s="17" t="str">
        <x:v>tt1972011</x:v>
      </x:c>
      <x:c r="S1674" s="17" t="str">
        <x:v>1235</x:v>
      </x:c>
    </x:row>
    <x:row r="1675">
      <x:c r="A1675" s="43" t="n">
        <x:v>1671</x:v>
      </x:c>
      <x:c r="B1675" s="44" t="str">
        <x:v>Not Started</x:v>
      </x:c>
      <x:c r="C1675" s="45" t="n">
        <x:v>40807</x:v>
      </x:c>
      <x:c r="D1675" s="33" t="str">
        <x:v>Law &amp; Order: Special Victims Unit</x:v>
      </x:c>
      <x:c r="E1675" s="33" t="str">
        <x:v>Law &amp; Order</x:v>
      </x:c>
      <x:c r="F1675" s="33" t="str">
        <x:v>core</x:v>
      </x:c>
      <x:c r="G1675" s="50" t="n">
        <x:v>13</x:v>
      </x:c>
      <x:c r="H1675" s="50" t="n">
        <x:v>1</x:v>
      </x:c>
      <x:c r="I1675" s="44" t="str">
        <x:v>13.01</x:v>
      </x:c>
      <x:c r="J1675" s="33" t="str">
        <x:v>Scorched Earth</x:v>
      </x:c>
      <x:c r="K1675" s="33" t="str"/>
      <x:c r="L1675" s="33" t="str"/>
      <x:c r="M1675" s="44" t="str"/>
      <x:c r="N1675" s="50" t="n">
        <x:v>44</x:v>
      </x:c>
      <x:c r="O1675" s="53" t="str">
        <x:v>An African immigrant working as a maid accuses an Italian diplomat of rape, but is she really in it just for the money? Meanwhile, Stabler's return remains in doubt after his latest shooting.</x:v>
      </x:c>
      <x:c r="P1675" s="53" t="str">
        <x:v>Core Law &amp; Order franchise</x:v>
      </x:c>
      <x:c r="Q1675" s="17" t="str">
        <x:v>225213</x:v>
      </x:c>
      <x:c r="R1675" s="17" t="str">
        <x:v>tt1989114</x:v>
      </x:c>
      <x:c r="S1675" s="17" t="str">
        <x:v>1236</x:v>
      </x:c>
    </x:row>
    <x:row r="1676">
      <x:c r="A1676" s="43" t="n">
        <x:v>1672</x:v>
      </x:c>
      <x:c r="B1676" s="44" t="str">
        <x:v>Not Started</x:v>
      </x:c>
      <x:c r="C1676" s="45" t="n">
        <x:v>40814</x:v>
      </x:c>
      <x:c r="D1676" s="33" t="str">
        <x:v>Law &amp; Order: Special Victims Unit</x:v>
      </x:c>
      <x:c r="E1676" s="33" t="str">
        <x:v>Law &amp; Order</x:v>
      </x:c>
      <x:c r="F1676" s="33" t="str">
        <x:v>core</x:v>
      </x:c>
      <x:c r="G1676" s="50" t="n">
        <x:v>13</x:v>
      </x:c>
      <x:c r="H1676" s="50" t="n">
        <x:v>2</x:v>
      </x:c>
      <x:c r="I1676" s="44" t="str">
        <x:v>13.02</x:v>
      </x:c>
      <x:c r="J1676" s="33" t="str">
        <x:v>Personal Fouls</x:v>
      </x:c>
      <x:c r="K1676" s="33" t="str"/>
      <x:c r="L1676" s="33" t="str"/>
      <x:c r="M1676" s="44" t="str"/>
      <x:c r="N1676" s="50" t="n">
        <x:v>43</x:v>
      </x:c>
      <x:c r="O1676" s="53" t="str">
        <x:v>SVU investigates an accusation that a revered high school basketball coach sexually abused his players, but they ultimately may need the cooperation of a reluctant pro superstar to make the case.</x:v>
      </x:c>
      <x:c r="P1676" s="53" t="str">
        <x:v>Core Law &amp; Order franchise</x:v>
      </x:c>
      <x:c r="Q1676" s="17" t="str">
        <x:v>225214</x:v>
      </x:c>
      <x:c r="R1676" s="17" t="str">
        <x:v>tt2016572</x:v>
      </x:c>
      <x:c r="S1676" s="17" t="str">
        <x:v>1237</x:v>
      </x:c>
    </x:row>
    <x:row r="1677">
      <x:c r="A1677" s="43" t="n">
        <x:v>1673</x:v>
      </x:c>
      <x:c r="B1677" s="44" t="str">
        <x:v>Not Started</x:v>
      </x:c>
      <x:c r="C1677" s="45" t="n">
        <x:v>40821</x:v>
      </x:c>
      <x:c r="D1677" s="33" t="str">
        <x:v>Law &amp; Order: Special Victims Unit</x:v>
      </x:c>
      <x:c r="E1677" s="33" t="str">
        <x:v>Law &amp; Order</x:v>
      </x:c>
      <x:c r="F1677" s="33" t="str">
        <x:v>core</x:v>
      </x:c>
      <x:c r="G1677" s="50" t="n">
        <x:v>13</x:v>
      </x:c>
      <x:c r="H1677" s="50" t="n">
        <x:v>3</x:v>
      </x:c>
      <x:c r="I1677" s="44" t="str">
        <x:v>13.03</x:v>
      </x:c>
      <x:c r="J1677" s="33" t="str">
        <x:v>Blood Brothers</x:v>
      </x:c>
      <x:c r="K1677" s="33" t="str"/>
      <x:c r="L1677" s="33" t="str"/>
      <x:c r="M1677" s="44" t="str"/>
      <x:c r="N1677" s="50" t="n">
        <x:v>44</x:v>
      </x:c>
      <x:c r="O1677" s="53" t="str">
        <x:v>A pregnant thirteen-year-old girl from Washington Heights claims that the son of an ambassador raped her, but the accused goes missing before SVU can question him.</x:v>
      </x:c>
      <x:c r="P1677" s="53" t="str">
        <x:v>Core Law &amp; Order franchise</x:v>
      </x:c>
      <x:c r="Q1677" s="17" t="str">
        <x:v>225215</x:v>
      </x:c>
      <x:c r="R1677" s="17" t="str">
        <x:v>tt2003617</x:v>
      </x:c>
      <x:c r="S1677" s="17" t="str">
        <x:v>1238</x:v>
      </x:c>
    </x:row>
    <x:row r="1678">
      <x:c r="A1678" s="43" t="n">
        <x:v>1674</x:v>
      </x:c>
      <x:c r="B1678" s="44" t="str">
        <x:v>Not Started</x:v>
      </x:c>
      <x:c r="C1678" s="45" t="n">
        <x:v>40828</x:v>
      </x:c>
      <x:c r="D1678" s="33" t="str">
        <x:v>Law &amp; Order: Special Victims Unit</x:v>
      </x:c>
      <x:c r="E1678" s="33" t="str">
        <x:v>Law &amp; Order</x:v>
      </x:c>
      <x:c r="F1678" s="33" t="str">
        <x:v>core</x:v>
      </x:c>
      <x:c r="G1678" s="50" t="n">
        <x:v>13</x:v>
      </x:c>
      <x:c r="H1678" s="50" t="n">
        <x:v>4</x:v>
      </x:c>
      <x:c r="I1678" s="44" t="str">
        <x:v>13.04</x:v>
      </x:c>
      <x:c r="J1678" s="33" t="str">
        <x:v>Double Strands</x:v>
      </x:c>
      <x:c r="K1678" s="33" t="str"/>
      <x:c r="L1678" s="33" t="str"/>
      <x:c r="M1678" s="44" t="str"/>
      <x:c r="N1678" s="50" t="n">
        <x:v>44</x:v>
      </x:c>
      <x:c r="O1678" s="53" t="str">
        <x:v>Detective Rollins believes that SVU has caught a serial rapist from one of her earlier cases in Georgia, but a passioned request after a suicide attempt leads Amaro to suspect that they may have the wrong person.</x:v>
      </x:c>
      <x:c r="P1678" s="53" t="str">
        <x:v>Core Law &amp; Order franchise</x:v>
      </x:c>
      <x:c r="Q1678" s="17" t="str">
        <x:v>225216</x:v>
      </x:c>
      <x:c r="R1678" s="17" t="str">
        <x:v>tt2001896</x:v>
      </x:c>
      <x:c r="S1678" s="17" t="str">
        <x:v>1239</x:v>
      </x:c>
    </x:row>
    <x:row r="1679">
      <x:c r="A1679" s="43" t="n">
        <x:v>1675</x:v>
      </x:c>
      <x:c r="B1679" s="44" t="str">
        <x:v>Not Started</x:v>
      </x:c>
      <x:c r="C1679" s="45" t="n">
        <x:v>40835</x:v>
      </x:c>
      <x:c r="D1679" s="33" t="str">
        <x:v>Law &amp; Order: Special Victims Unit</x:v>
      </x:c>
      <x:c r="E1679" s="33" t="str">
        <x:v>Law &amp; Order</x:v>
      </x:c>
      <x:c r="F1679" s="33" t="str">
        <x:v>core</x:v>
      </x:c>
      <x:c r="G1679" s="50" t="n">
        <x:v>13</x:v>
      </x:c>
      <x:c r="H1679" s="50" t="n">
        <x:v>5</x:v>
      </x:c>
      <x:c r="I1679" s="44" t="str">
        <x:v>13.05</x:v>
      </x:c>
      <x:c r="J1679" s="33" t="str">
        <x:v>Missing Pieces</x:v>
      </x:c>
      <x:c r="K1679" s="33" t="str"/>
      <x:c r="L1679" s="33" t="str"/>
      <x:c r="M1679" s="44" t="str"/>
      <x:c r="N1679" s="50" t="n">
        <x:v>43</x:v>
      </x:c>
      <x:c r="O1679" s="53" t="str">
        <x:v>Detectives search for a missing baby on Halloween after a young mother from Buffalo tells them her car was stolen while her baby was still in it.</x:v>
      </x:c>
      <x:c r="P1679" s="53" t="str">
        <x:v>Core Law &amp; Order franchise</x:v>
      </x:c>
      <x:c r="Q1679" s="17" t="str">
        <x:v>225217</x:v>
      </x:c>
      <x:c r="R1679" s="17" t="str">
        <x:v>tt2058396</x:v>
      </x:c>
      <x:c r="S1679" s="17" t="str">
        <x:v>1240</x:v>
      </x:c>
    </x:row>
    <x:row r="1680">
      <x:c r="A1680" s="43" t="n">
        <x:v>1676</x:v>
      </x:c>
      <x:c r="B1680" s="44" t="str">
        <x:v>Not Started</x:v>
      </x:c>
      <x:c r="C1680" s="45" t="n">
        <x:v>40849</x:v>
      </x:c>
      <x:c r="D1680" s="33" t="str">
        <x:v>Law &amp; Order: Special Victims Unit</x:v>
      </x:c>
      <x:c r="E1680" s="33" t="str">
        <x:v>Law &amp; Order</x:v>
      </x:c>
      <x:c r="F1680" s="33" t="str">
        <x:v>core</x:v>
      </x:c>
      <x:c r="G1680" s="50" t="n">
        <x:v>13</x:v>
      </x:c>
      <x:c r="H1680" s="50" t="n">
        <x:v>6</x:v>
      </x:c>
      <x:c r="I1680" s="44" t="str">
        <x:v>13.06</x:v>
      </x:c>
      <x:c r="J1680" s="33" t="str">
        <x:v>True Believers</x:v>
      </x:c>
      <x:c r="K1680" s="33" t="str"/>
      <x:c r="L1680" s="33" t="str"/>
      <x:c r="M1680" s="44" t="str"/>
      <x:c r="N1680" s="50" t="n">
        <x:v>44</x:v>
      </x:c>
      <x:c r="O1680" s="53" t="str">
        <x:v>The SVU team works together to investigate the case of a promising music student who was brutally raped at gunpoint.</x:v>
      </x:c>
      <x:c r="P1680" s="53" t="str">
        <x:v>Core Law &amp; Order franchise</x:v>
      </x:c>
      <x:c r="Q1680" s="17" t="str">
        <x:v>225218</x:v>
      </x:c>
      <x:c r="R1680" s="17" t="str">
        <x:v>tt2070250</x:v>
      </x:c>
      <x:c r="S1680" s="17" t="str">
        <x:v>1241</x:v>
      </x:c>
    </x:row>
    <x:row r="1681">
      <x:c r="A1681" s="43" t="n">
        <x:v>1677</x:v>
      </x:c>
      <x:c r="B1681" s="44" t="str">
        <x:v>Not Started</x:v>
      </x:c>
      <x:c r="C1681" s="45" t="n">
        <x:v>40856</x:v>
      </x:c>
      <x:c r="D1681" s="33" t="str">
        <x:v>Law &amp; Order: Special Victims Unit</x:v>
      </x:c>
      <x:c r="E1681" s="33" t="str">
        <x:v>Law &amp; Order</x:v>
      </x:c>
      <x:c r="F1681" s="33" t="str">
        <x:v>core</x:v>
      </x:c>
      <x:c r="G1681" s="50" t="n">
        <x:v>13</x:v>
      </x:c>
      <x:c r="H1681" s="50" t="n">
        <x:v>7</x:v>
      </x:c>
      <x:c r="I1681" s="44" t="str">
        <x:v>13.07</x:v>
      </x:c>
      <x:c r="J1681" s="33" t="str">
        <x:v>Russian Brides</x:v>
      </x:c>
      <x:c r="K1681" s="33" t="str"/>
      <x:c r="L1681" s="33" t="str"/>
      <x:c r="M1681" s="44" t="str"/>
      <x:c r="N1681" s="50" t="n">
        <x:v>44</x:v>
      </x:c>
      <x:c r="O1681" s="53" t="str">
        <x:v>In order to bring down a Russian mobster running an international prostitution/kidnapping ring disguised as a Russian bride website, Cragen steps from behind the desk to go undercover.</x:v>
      </x:c>
      <x:c r="P1681" s="53" t="str">
        <x:v>Core Law &amp; Order franchise</x:v>
      </x:c>
      <x:c r="Q1681" s="17" t="str">
        <x:v>225219</x:v>
      </x:c>
      <x:c r="R1681" s="17" t="str">
        <x:v>tt2092669</x:v>
      </x:c>
      <x:c r="S1681" s="17" t="str">
        <x:v>1242</x:v>
      </x:c>
    </x:row>
    <x:row r="1682">
      <x:c r="A1682" s="43" t="n">
        <x:v>1678</x:v>
      </x:c>
      <x:c r="B1682" s="44" t="str">
        <x:v>Not Started</x:v>
      </x:c>
      <x:c r="C1682" s="45" t="n">
        <x:v>40863</x:v>
      </x:c>
      <x:c r="D1682" s="33" t="str">
        <x:v>Law &amp; Order: Special Victims Unit</x:v>
      </x:c>
      <x:c r="E1682" s="33" t="str">
        <x:v>Law &amp; Order</x:v>
      </x:c>
      <x:c r="F1682" s="33" t="str">
        <x:v>core</x:v>
      </x:c>
      <x:c r="G1682" s="50" t="n">
        <x:v>13</x:v>
      </x:c>
      <x:c r="H1682" s="50" t="n">
        <x:v>8</x:v>
      </x:c>
      <x:c r="I1682" s="44" t="str">
        <x:v>13.08</x:v>
      </x:c>
      <x:c r="J1682" s="33" t="str">
        <x:v>Educated Guess</x:v>
      </x:c>
      <x:c r="K1682" s="33" t="str"/>
      <x:c r="L1682" s="33" t="str"/>
      <x:c r="M1682" s="44" t="str"/>
      <x:c r="N1682" s="50" t="n">
        <x:v>44</x:v>
      </x:c>
      <x:c r="O1682" s="53" t="str">
        <x:v>A patient in a mental hospital claims to have witnessed a sexual assault. However, the supposed victim is a fellow patient who has a history of making rape allegations, but she denies being assaulted this time.</x:v>
      </x:c>
      <x:c r="P1682" s="53" t="str">
        <x:v>Core Law &amp; Order franchise</x:v>
      </x:c>
      <x:c r="Q1682" s="17" t="str">
        <x:v>225220</x:v>
      </x:c>
      <x:c r="R1682" s="17" t="str">
        <x:v>tt2100037</x:v>
      </x:c>
      <x:c r="S1682" s="17" t="str">
        <x:v>1243</x:v>
      </x:c>
    </x:row>
    <x:row r="1683">
      <x:c r="A1683" s="43" t="n">
        <x:v>1679</x:v>
      </x:c>
      <x:c r="B1683" s="44" t="str">
        <x:v>Not Started</x:v>
      </x:c>
      <x:c r="C1683" s="45" t="n">
        <x:v>40877</x:v>
      </x:c>
      <x:c r="D1683" s="33" t="str">
        <x:v>Law &amp; Order: Special Victims Unit</x:v>
      </x:c>
      <x:c r="E1683" s="33" t="str">
        <x:v>Law &amp; Order</x:v>
      </x:c>
      <x:c r="F1683" s="33" t="str">
        <x:v>core</x:v>
      </x:c>
      <x:c r="G1683" s="50" t="n">
        <x:v>13</x:v>
      </x:c>
      <x:c r="H1683" s="50" t="n">
        <x:v>9</x:v>
      </x:c>
      <x:c r="I1683" s="44" t="str">
        <x:v>13.09</x:v>
      </x:c>
      <x:c r="J1683" s="33" t="str">
        <x:v>Lost Traveller</x:v>
      </x:c>
      <x:c r="K1683" s="33" t="str"/>
      <x:c r="L1683" s="33" t="str"/>
      <x:c r="M1683" s="44" t="str"/>
      <x:c r="N1683" s="50" t="n">
        <x:v>44</x:v>
      </x:c>
      <x:c r="O1683" s="53" t="str">
        <x:v>When a Romani boy vanishes on his way home from school, the Special Victims Unit must penetrate his insular community to find the unlikely abductors.</x:v>
      </x:c>
      <x:c r="P1683" s="53" t="str">
        <x:v>Core Law &amp; Order franchise</x:v>
      </x:c>
      <x:c r="Q1683" s="17" t="str">
        <x:v>225221</x:v>
      </x:c>
      <x:c r="R1683" s="17" t="str">
        <x:v>tt2095306</x:v>
      </x:c>
      <x:c r="S1683" s="17" t="str">
        <x:v>1244</x:v>
      </x:c>
    </x:row>
    <x:row r="1684">
      <x:c r="A1684" s="43" t="n">
        <x:v>1680</x:v>
      </x:c>
      <x:c r="B1684" s="44" t="str">
        <x:v>Not Started</x:v>
      </x:c>
      <x:c r="C1684" s="45" t="n">
        <x:v>40884</x:v>
      </x:c>
      <x:c r="D1684" s="33" t="str">
        <x:v>Law &amp; Order: Special Victims Unit</x:v>
      </x:c>
      <x:c r="E1684" s="33" t="str">
        <x:v>Law &amp; Order</x:v>
      </x:c>
      <x:c r="F1684" s="33" t="str">
        <x:v>core</x:v>
      </x:c>
      <x:c r="G1684" s="50" t="n">
        <x:v>13</x:v>
      </x:c>
      <x:c r="H1684" s="50" t="n">
        <x:v>10</x:v>
      </x:c>
      <x:c r="I1684" s="44" t="str">
        <x:v>13.10</x:v>
      </x:c>
      <x:c r="J1684" s="33" t="str">
        <x:v>Spiraling Down</x:v>
      </x:c>
      <x:c r="K1684" s="33" t="str"/>
      <x:c r="L1684" s="33" t="str"/>
      <x:c r="M1684" s="44" t="str"/>
      <x:c r="N1684" s="50" t="n">
        <x:v>44</x:v>
      </x:c>
      <x:c r="O1684" s="53" t="str">
        <x:v>A retired pro quarterback is busted for having sex with a fourteen-year-old prostitute, but he may be suffering from diminished capacity because of all the concussions he had on the field.</x:v>
      </x:c>
      <x:c r="P1684" s="53" t="str">
        <x:v>Core Law &amp; Order franchise</x:v>
      </x:c>
      <x:c r="Q1684" s="17" t="str">
        <x:v>225222</x:v>
      </x:c>
      <x:c r="R1684" s="17" t="str">
        <x:v>tt2110782</x:v>
      </x:c>
      <x:c r="S1684" s="17" t="str">
        <x:v>1245</x:v>
      </x:c>
    </x:row>
    <x:row r="1685">
      <x:c r="A1685" s="43" t="n">
        <x:v>1681</x:v>
      </x:c>
      <x:c r="B1685" s="44" t="str">
        <x:v>Not Started</x:v>
      </x:c>
      <x:c r="C1685" s="45" t="n">
        <x:v>40914</x:v>
      </x:c>
      <x:c r="D1685" s="33" t="str">
        <x:v>Law &amp; Order: UK</x:v>
      </x:c>
      <x:c r="E1685" s="33" t="str">
        <x:v>Law &amp; Order</x:v>
      </x:c>
      <x:c r="F1685" s="33" t="str">
        <x:v>core</x:v>
      </x:c>
      <x:c r="G1685" s="50" t="n">
        <x:v>6</x:v>
      </x:c>
      <x:c r="H1685" s="50" t="n">
        <x:v>1</x:v>
      </x:c>
      <x:c r="I1685" s="44" t="str">
        <x:v>06.01</x:v>
      </x:c>
      <x:c r="J1685" s="33" t="str">
        <x:v>Survivor’s Guilt</x:v>
      </x:c>
      <x:c r="K1685" s="33" t="str"/>
      <x:c r="L1685" s="33" t="str"/>
      <x:c r="M1685" s="44" t="str"/>
      <x:c r="N1685" s="50" t="n">
        <x:v>48</x:v>
      </x:c>
      <x:c r="O1685" s="53" t="str">
        <x:v>A drive-by shooting outside the Old Bailey leaves one police officer dead and another wounded in what appears to be a targeted attack on a witness in an attempted murder trial. However, Ronnie and the team are surprised to learn the gunman was specifically targeting police officers, believing his family victims of a police cover-up. The defense team argues their client has been subjected to racism by the police. Can Jake and Alesha convince the jury that the defendant ought to be tried as a murderer and not a victim?</x:v>
      </x:c>
      <x:c r="P1685" s="53" t="str">
        <x:v>Law &amp; Order format/franchise</x:v>
      </x:c>
      <x:c r="Q1685" s="17" t="str">
        <x:v>392419</x:v>
      </x:c>
      <x:c r="R1685" s="17" t="str">
        <x:v>tt1972015</x:v>
      </x:c>
      <x:c r="S1685" s="17" t="str">
        <x:v>1246</x:v>
      </x:c>
    </x:row>
    <x:row r="1686">
      <x:c r="A1686" s="43" t="n">
        <x:v>1682</x:v>
      </x:c>
      <x:c r="B1686" s="44" t="str">
        <x:v>Not Started</x:v>
      </x:c>
      <x:c r="C1686" s="45" t="n">
        <x:v>40919</x:v>
      </x:c>
      <x:c r="D1686" s="33" t="str">
        <x:v>Law &amp; Order: Special Victims Unit</x:v>
      </x:c>
      <x:c r="E1686" s="33" t="str">
        <x:v>Law &amp; Order</x:v>
      </x:c>
      <x:c r="F1686" s="33" t="str">
        <x:v>core</x:v>
      </x:c>
      <x:c r="G1686" s="50" t="n">
        <x:v>13</x:v>
      </x:c>
      <x:c r="H1686" s="50" t="n">
        <x:v>11</x:v>
      </x:c>
      <x:c r="I1686" s="44" t="str">
        <x:v>13.11</x:v>
      </x:c>
      <x:c r="J1686" s="33" t="str">
        <x:v>Theatre Tricks</x:v>
      </x:c>
      <x:c r="K1686" s="33" t="str"/>
      <x:c r="L1686" s="33" t="str"/>
      <x:c r="M1686" s="44" t="str"/>
      <x:c r="N1686" s="50" t="n">
        <x:v>42</x:v>
      </x:c>
      <x:c r="O1686" s="53" t="str">
        <x:v>SVU tries to figure out who was responsible for the real-life rape of an actress during an interactive theater performance that everybody just assumed was part of the show.</x:v>
      </x:c>
      <x:c r="P1686" s="53" t="str">
        <x:v>Core Law &amp; Order franchise</x:v>
      </x:c>
      <x:c r="Q1686" s="17" t="str">
        <x:v>225223</x:v>
      </x:c>
      <x:c r="R1686" s="17" t="str">
        <x:v>tt2135661</x:v>
      </x:c>
      <x:c r="S1686" s="17" t="str">
        <x:v>1247</x:v>
      </x:c>
    </x:row>
    <x:row r="1687">
      <x:c r="A1687" s="43" t="n">
        <x:v>1683</x:v>
      </x:c>
      <x:c r="B1687" s="44" t="str">
        <x:v>Not Started</x:v>
      </x:c>
      <x:c r="C1687" s="45" t="n">
        <x:v>40921</x:v>
      </x:c>
      <x:c r="D1687" s="33" t="str">
        <x:v>Law &amp; Order: UK</x:v>
      </x:c>
      <x:c r="E1687" s="33" t="str">
        <x:v>Law &amp; Order</x:v>
      </x:c>
      <x:c r="F1687" s="33" t="str">
        <x:v>core</x:v>
      </x:c>
      <x:c r="G1687" s="50" t="n">
        <x:v>6</x:v>
      </x:c>
      <x:c r="H1687" s="50" t="n">
        <x:v>2</x:v>
      </x:c>
      <x:c r="I1687" s="44" t="str">
        <x:v>06.02</x:v>
      </x:c>
      <x:c r="J1687" s="33" t="str">
        <x:v>Immune</x:v>
      </x:c>
      <x:c r="K1687" s="33" t="str"/>
      <x:c r="L1687" s="33" t="str"/>
      <x:c r="M1687" s="44" t="str"/>
      <x:c r="N1687" s="50" t="n">
        <x:v>48</x:v>
      </x:c>
      <x:c r="O1687" s="53" t="str">
        <x:v>A bungled robbery leads to an innocent hero being shot dead and a hostage with a potentially life threatening medical condition being seized by two armed gunmen. It's up to Ronnie and Sam to beat the clock and find the hostage in just ten hours.</x:v>
      </x:c>
      <x:c r="P1687" s="53" t="str">
        <x:v>Law &amp; Order format/franchise</x:v>
      </x:c>
      <x:c r="Q1687" s="17" t="str">
        <x:v>392420</x:v>
      </x:c>
      <x:c r="R1687" s="17" t="str">
        <x:v>tt1987225</x:v>
      </x:c>
      <x:c r="S1687" s="17" t="str">
        <x:v>1248</x:v>
      </x:c>
    </x:row>
    <x:row r="1688">
      <x:c r="A1688" s="43" t="n">
        <x:v>1684</x:v>
      </x:c>
      <x:c r="B1688" s="44" t="str">
        <x:v>Not Started</x:v>
      </x:c>
      <x:c r="C1688" s="45" t="n">
        <x:v>40926</x:v>
      </x:c>
      <x:c r="D1688" s="33" t="str">
        <x:v>Law &amp; Order: Special Victims Unit</x:v>
      </x:c>
      <x:c r="E1688" s="33" t="str">
        <x:v>Law &amp; Order</x:v>
      </x:c>
      <x:c r="F1688" s="33" t="str">
        <x:v>core</x:v>
      </x:c>
      <x:c r="G1688" s="50" t="n">
        <x:v>13</x:v>
      </x:c>
      <x:c r="H1688" s="50" t="n">
        <x:v>12</x:v>
      </x:c>
      <x:c r="I1688" s="44" t="str">
        <x:v>13.12</x:v>
      </x:c>
      <x:c r="J1688" s="33" t="str">
        <x:v>Official Story</x:v>
      </x:c>
      <x:c r="K1688" s="33" t="str"/>
      <x:c r="L1688" s="33" t="str"/>
      <x:c r="M1688" s="44" t="str"/>
      <x:c r="N1688" s="50" t="n">
        <x:v>44</x:v>
      </x:c>
      <x:c r="O1688" s="53" t="str">
        <x:v>Benson and Amaro must work around a resistant victim when the CEO of a military contractor is assaulted.</x:v>
      </x:c>
      <x:c r="P1688" s="53" t="str">
        <x:v>Core Law &amp; Order franchise</x:v>
      </x:c>
      <x:c r="Q1688" s="17" t="str">
        <x:v>225224</x:v>
      </x:c>
      <x:c r="R1688" s="17" t="str">
        <x:v>tt2164129</x:v>
      </x:c>
      <x:c r="S1688" s="17" t="str">
        <x:v>1249</x:v>
      </x:c>
    </x:row>
    <x:row r="1689">
      <x:c r="A1689" s="43" t="n">
        <x:v>1685</x:v>
      </x:c>
      <x:c r="B1689" s="44" t="str">
        <x:v>Not Started</x:v>
      </x:c>
      <x:c r="C1689" s="45" t="n">
        <x:v>40928</x:v>
      </x:c>
      <x:c r="D1689" s="33" t="str">
        <x:v>Law &amp; Order: UK</x:v>
      </x:c>
      <x:c r="E1689" s="33" t="str">
        <x:v>Law &amp; Order</x:v>
      </x:c>
      <x:c r="F1689" s="33" t="str">
        <x:v>core</x:v>
      </x:c>
      <x:c r="G1689" s="50" t="n">
        <x:v>6</x:v>
      </x:c>
      <x:c r="H1689" s="50" t="n">
        <x:v>3</x:v>
      </x:c>
      <x:c r="I1689" s="44" t="str">
        <x:v>06.03</x:v>
      </x:c>
      <x:c r="J1689" s="33" t="str">
        <x:v>Haunted</x:v>
      </x:c>
      <x:c r="K1689" s="33" t="str"/>
      <x:c r="L1689" s="33" t="str"/>
      <x:c r="M1689" s="44" t="str"/>
      <x:c r="N1689" s="50" t="n">
        <x:v>48</x:v>
      </x:c>
      <x:c r="O1689" s="53" t="str">
        <x:v>When a petty criminal makes a deathbed confession to the murder of a teenage girl, Ronnie is left shaken to the core as he is forced to reopen a case he thought he had put to bed fourteen years ago.</x:v>
      </x:c>
      <x:c r="P1689" s="53" t="str">
        <x:v>Law &amp; Order format/franchise</x:v>
      </x:c>
      <x:c r="Q1689" s="17" t="str">
        <x:v>392421</x:v>
      </x:c>
      <x:c r="R1689" s="17" t="str">
        <x:v>tt1987226</x:v>
      </x:c>
      <x:c r="S1689" s="17" t="str">
        <x:v>1250</x:v>
      </x:c>
    </x:row>
    <x:row r="1690">
      <x:c r="A1690" s="43" t="n">
        <x:v>1686</x:v>
      </x:c>
      <x:c r="B1690" s="44" t="str">
        <x:v>Not Started</x:v>
      </x:c>
      <x:c r="C1690" s="45" t="n">
        <x:v>40935</x:v>
      </x:c>
      <x:c r="D1690" s="33" t="str">
        <x:v>Law &amp; Order: UK</x:v>
      </x:c>
      <x:c r="E1690" s="33" t="str">
        <x:v>Law &amp; Order</x:v>
      </x:c>
      <x:c r="F1690" s="33" t="str">
        <x:v>core</x:v>
      </x:c>
      <x:c r="G1690" s="50" t="n">
        <x:v>6</x:v>
      </x:c>
      <x:c r="H1690" s="50" t="n">
        <x:v>4</x:v>
      </x:c>
      <x:c r="I1690" s="44" t="str">
        <x:v>06.04</x:v>
      </x:c>
      <x:c r="J1690" s="33" t="str">
        <x:v>Trial</x:v>
      </x:c>
      <x:c r="K1690" s="33" t="str"/>
      <x:c r="L1690" s="33" t="str"/>
      <x:c r="M1690" s="44" t="str"/>
      <x:c r="N1690" s="50" t="n">
        <x:v>48</x:v>
      </x:c>
      <x:c r="O1690" s="53" t="str">
        <x:v>The murder of an elderly janitor in his home is carried out with such precision and planning that the only evidence the killer leaves is designed to lead the detectives around in circles.</x:v>
      </x:c>
      <x:c r="P1690" s="53" t="str">
        <x:v>Law &amp; Order format/franchise</x:v>
      </x:c>
      <x:c r="Q1690" s="17" t="str">
        <x:v>392422</x:v>
      </x:c>
      <x:c r="R1690" s="17" t="str">
        <x:v>tt1999615</x:v>
      </x:c>
      <x:c r="S1690" s="17" t="str">
        <x:v>1251</x:v>
      </x:c>
    </x:row>
    <x:row r="1691">
      <x:c r="A1691" s="43" t="n">
        <x:v>1687</x:v>
      </x:c>
      <x:c r="B1691" s="44" t="str">
        <x:v>Not Started</x:v>
      </x:c>
      <x:c r="C1691" s="45" t="n">
        <x:v>40942</x:v>
      </x:c>
      <x:c r="D1691" s="33" t="str">
        <x:v>Law &amp; Order: UK</x:v>
      </x:c>
      <x:c r="E1691" s="33" t="str">
        <x:v>Law &amp; Order</x:v>
      </x:c>
      <x:c r="F1691" s="33" t="str">
        <x:v>core</x:v>
      </x:c>
      <x:c r="G1691" s="50" t="n">
        <x:v>6</x:v>
      </x:c>
      <x:c r="H1691" s="50" t="n">
        <x:v>5</x:v>
      </x:c>
      <x:c r="I1691" s="44" t="str">
        <x:v>06.05</x:v>
      </x:c>
      <x:c r="J1691" s="33" t="str">
        <x:v>Line Up</x:v>
      </x:c>
      <x:c r="K1691" s="33" t="str"/>
      <x:c r="L1691" s="33" t="str"/>
      <x:c r="M1691" s="44" t="str"/>
      <x:c r="N1691" s="50" t="n">
        <x:v>48</x:v>
      </x:c>
      <x:c r="O1691" s="53" t="str">
        <x:v>A murder investigation is launched when a concerned citizen alerts the police to a shocking video that is spreading like wildfire on the web, in which a teenage girl is attacked and shot.</x:v>
      </x:c>
      <x:c r="P1691" s="53" t="str">
        <x:v>Law &amp; Order format/franchise</x:v>
      </x:c>
      <x:c r="Q1691" s="17" t="str">
        <x:v>392423</x:v>
      </x:c>
      <x:c r="R1691" s="17" t="str"/>
      <x:c r="S1691" s="17" t="str">
        <x:v>1252</x:v>
      </x:c>
    </x:row>
    <x:row r="1692">
      <x:c r="A1692" s="43" t="n">
        <x:v>1688</x:v>
      </x:c>
      <x:c r="B1692" s="44" t="str">
        <x:v>Not Started</x:v>
      </x:c>
      <x:c r="C1692" s="45" t="n">
        <x:v>40947</x:v>
      </x:c>
      <x:c r="D1692" s="33" t="str">
        <x:v>Law &amp; Order: Special Victims Unit</x:v>
      </x:c>
      <x:c r="E1692" s="33" t="str">
        <x:v>Law &amp; Order</x:v>
      </x:c>
      <x:c r="F1692" s="33" t="str">
        <x:v>core</x:v>
      </x:c>
      <x:c r="G1692" s="50" t="n">
        <x:v>13</x:v>
      </x:c>
      <x:c r="H1692" s="50" t="n">
        <x:v>13</x:v>
      </x:c>
      <x:c r="I1692" s="44" t="str">
        <x:v>13.13</x:v>
      </x:c>
      <x:c r="J1692" s="33" t="str">
        <x:v>Father's Shadow</x:v>
      </x:c>
      <x:c r="K1692" s="33" t="str"/>
      <x:c r="L1692" s="33" t="str"/>
      <x:c r="M1692" s="44" t="str"/>
      <x:c r="N1692" s="50" t="n">
        <x:v>44</x:v>
      </x:c>
      <x:c r="O1692" s="53" t="str">
        <x:v>A nineteen-year-old creates a hostage situation after his father is accused of sexual assault, and Olivia uses her personal experience to help defuse the situation.</x:v>
      </x:c>
      <x:c r="P1692" s="53" t="str">
        <x:v>Core Law &amp; Order franchise</x:v>
      </x:c>
      <x:c r="Q1692" s="17" t="str">
        <x:v>225225</x:v>
      </x:c>
      <x:c r="R1692" s="17" t="str">
        <x:v>tt2187829</x:v>
      </x:c>
      <x:c r="S1692" s="17" t="str">
        <x:v>1253</x:v>
      </x:c>
    </x:row>
    <x:row r="1693">
      <x:c r="A1693" s="43" t="n">
        <x:v>1689</x:v>
      </x:c>
      <x:c r="B1693" s="44" t="str">
        <x:v>Not Started</x:v>
      </x:c>
      <x:c r="C1693" s="45" t="n">
        <x:v>40949</x:v>
      </x:c>
      <x:c r="D1693" s="33" t="str">
        <x:v>Law &amp; Order: UK</x:v>
      </x:c>
      <x:c r="E1693" s="33" t="str">
        <x:v>Law &amp; Order</x:v>
      </x:c>
      <x:c r="F1693" s="33" t="str">
        <x:v>core</x:v>
      </x:c>
      <x:c r="G1693" s="50" t="n">
        <x:v>6</x:v>
      </x:c>
      <x:c r="H1693" s="50" t="n">
        <x:v>6</x:v>
      </x:c>
      <x:c r="I1693" s="44" t="str">
        <x:v>06.06</x:v>
      </x:c>
      <x:c r="J1693" s="33" t="str">
        <x:v>Dawn Till Dusk</x:v>
      </x:c>
      <x:c r="K1693" s="33" t="str"/>
      <x:c r="L1693" s="33" t="str"/>
      <x:c r="M1693" s="44" t="str"/>
      <x:c r="N1693" s="50" t="n">
        <x:v>48</x:v>
      </x:c>
      <x:c r="O1693" s="53" t="str">
        <x:v>Over the course of one long day, the team works on three separate cases, including tracking a serial killer, intervening in a family dispute turned murderous, and disproving an accusation of police intimidation. Will all of the team make it through with their careers intact?</x:v>
      </x:c>
      <x:c r="P1693" s="53" t="str">
        <x:v>Law &amp; Order format/franchise</x:v>
      </x:c>
      <x:c r="Q1693" s="17" t="str">
        <x:v>392424</x:v>
      </x:c>
      <x:c r="R1693" s="17" t="str">
        <x:v>tt1985511</x:v>
      </x:c>
      <x:c r="S1693" s="17" t="str">
        <x:v>1254</x:v>
      </x:c>
    </x:row>
    <x:row r="1694">
      <x:c r="A1694" s="43" t="n">
        <x:v>1690</x:v>
      </x:c>
      <x:c r="B1694" s="44" t="str">
        <x:v>Not Started</x:v>
      </x:c>
      <x:c r="C1694" s="45" t="n">
        <x:v>40954</x:v>
      </x:c>
      <x:c r="D1694" s="33" t="str">
        <x:v>Law &amp; Order: Special Victims Unit</x:v>
      </x:c>
      <x:c r="E1694" s="33" t="str">
        <x:v>Law &amp; Order</x:v>
      </x:c>
      <x:c r="F1694" s="33" t="str">
        <x:v>core</x:v>
      </x:c>
      <x:c r="G1694" s="50" t="n">
        <x:v>13</x:v>
      </x:c>
      <x:c r="H1694" s="50" t="n">
        <x:v>14</x:v>
      </x:c>
      <x:c r="I1694" s="44" t="str">
        <x:v>13.14</x:v>
      </x:c>
      <x:c r="J1694" s="33" t="str">
        <x:v>Home Invasions</x:v>
      </x:c>
      <x:c r="K1694" s="33" t="str"/>
      <x:c r="L1694" s="33" t="str"/>
      <x:c r="M1694" s="44" t="str"/>
      <x:c r="N1694" s="50" t="n">
        <x:v>43</x:v>
      </x:c>
      <x:c r="O1694" s="53" t="str">
        <x:v>After a couple is murdered in their home and their daughter is critically injured, SVU uncovers a number of twisted family secrets, as well as Detective Rollins' gambling addiction.</x:v>
      </x:c>
      <x:c r="P1694" s="53" t="str">
        <x:v>Core Law &amp; Order franchise</x:v>
      </x:c>
      <x:c r="Q1694" s="17" t="str">
        <x:v>225226</x:v>
      </x:c>
      <x:c r="R1694" s="17" t="str">
        <x:v>tt2201765</x:v>
      </x:c>
      <x:c r="S1694" s="17" t="str">
        <x:v>1255</x:v>
      </x:c>
    </x:row>
    <x:row r="1695">
      <x:c r="A1695" s="43" t="n">
        <x:v>1691</x:v>
      </x:c>
      <x:c r="B1695" s="44" t="str">
        <x:v>Not Started</x:v>
      </x:c>
      <x:c r="C1695" s="45" t="n">
        <x:v>40956</x:v>
      </x:c>
      <x:c r="D1695" s="33" t="str">
        <x:v>Law &amp; Order: UK</x:v>
      </x:c>
      <x:c r="E1695" s="33" t="str">
        <x:v>Law &amp; Order</x:v>
      </x:c>
      <x:c r="F1695" s="33" t="str">
        <x:v>core</x:v>
      </x:c>
      <x:c r="G1695" s="50" t="n">
        <x:v>6</x:v>
      </x:c>
      <x:c r="H1695" s="50" t="n">
        <x:v>7</x:v>
      </x:c>
      <x:c r="I1695" s="44" t="str">
        <x:v>06.07</x:v>
      </x:c>
      <x:c r="J1695" s="33" t="str">
        <x:v>Fault Lines</x:v>
      </x:c>
      <x:c r="K1695" s="33" t="str"/>
      <x:c r="L1695" s="33" t="str"/>
      <x:c r="M1695" s="44" t="str"/>
      <x:c r="N1695" s="50" t="n">
        <x:v>48</x:v>
      </x:c>
      <x:c r="O1695" s="53" t="str">
        <x:v>The frenzied stabbing of a police forensic lab technician unsettles the team in a way they never expected when Detective Sam Casey falls for the killer's next intended victim.</x:v>
      </x:c>
      <x:c r="P1695" s="53" t="str">
        <x:v>Law &amp; Order format/franchise</x:v>
      </x:c>
      <x:c r="Q1695" s="17" t="str">
        <x:v>392425</x:v>
      </x:c>
      <x:c r="R1695" s="17" t="str">
        <x:v>tt1985512</x:v>
      </x:c>
      <x:c r="S1695" s="17" t="str">
        <x:v>1256</x:v>
      </x:c>
    </x:row>
    <x:row r="1696">
      <x:c r="A1696" s="43" t="n">
        <x:v>1692</x:v>
      </x:c>
      <x:c r="B1696" s="44" t="str">
        <x:v>Not Started</x:v>
      </x:c>
      <x:c r="C1696" s="45" t="n">
        <x:v>40961</x:v>
      </x:c>
      <x:c r="D1696" s="33" t="str">
        <x:v>Law &amp; Order: Special Victims Unit</x:v>
      </x:c>
      <x:c r="E1696" s="33" t="str">
        <x:v>Law &amp; Order</x:v>
      </x:c>
      <x:c r="F1696" s="33" t="str">
        <x:v>core</x:v>
      </x:c>
      <x:c r="G1696" s="50" t="n">
        <x:v>13</x:v>
      </x:c>
      <x:c r="H1696" s="50" t="n">
        <x:v>15</x:v>
      </x:c>
      <x:c r="I1696" s="44" t="str">
        <x:v>13.15</x:v>
      </x:c>
      <x:c r="J1696" s="33" t="str">
        <x:v>Hunting Ground</x:v>
      </x:c>
      <x:c r="K1696" s="33" t="str"/>
      <x:c r="L1696" s="33" t="str"/>
      <x:c r="M1696" s="44" t="str"/>
      <x:c r="N1696" s="50" t="n">
        <x:v>43</x:v>
      </x:c>
      <x:c r="O1696" s="53" t="str">
        <x:v>Detectives Benson and Amaro lead the search for a serial killer who is targeting young prostitutes.</x:v>
      </x:c>
      <x:c r="P1696" s="53" t="str">
        <x:v>Core Law &amp; Order franchise</x:v>
      </x:c>
      <x:c r="Q1696" s="17" t="str">
        <x:v>225227</x:v>
      </x:c>
      <x:c r="R1696" s="17" t="str">
        <x:v>tt2227847</x:v>
      </x:c>
      <x:c r="S1696" s="17" t="str">
        <x:v>1257</x:v>
      </x:c>
    </x:row>
    <x:row r="1697">
      <x:c r="A1697" s="43" t="n">
        <x:v>1693</x:v>
      </x:c>
      <x:c r="B1697" s="44" t="str">
        <x:v>Not Started</x:v>
      </x:c>
      <x:c r="C1697" s="45" t="n">
        <x:v>40968</x:v>
      </x:c>
      <x:c r="D1697" s="33" t="str">
        <x:v>Law &amp; Order: Special Victims Unit</x:v>
      </x:c>
      <x:c r="E1697" s="33" t="str">
        <x:v>Law &amp; Order</x:v>
      </x:c>
      <x:c r="F1697" s="33" t="str">
        <x:v>core</x:v>
      </x:c>
      <x:c r="G1697" s="50" t="n">
        <x:v>13</x:v>
      </x:c>
      <x:c r="H1697" s="50" t="n">
        <x:v>16</x:v>
      </x:c>
      <x:c r="I1697" s="44" t="str">
        <x:v>13.16</x:v>
      </x:c>
      <x:c r="J1697" s="33" t="str">
        <x:v>Child's Welfare</x:v>
      </x:c>
      <x:c r="K1697" s="33" t="str"/>
      <x:c r="L1697" s="33" t="str"/>
      <x:c r="M1697" s="44" t="str"/>
      <x:c r="N1697" s="50" t="n">
        <x:v>44</x:v>
      </x:c>
      <x:c r="O1697" s="53" t="str">
        <x:v>Detective Benson calls on Bayard Ellis for legal help when her estranged brother gets caught in a child custody battle. Also, Detectives Tutuola and Rollins investigate why a newborn baby is abandoned near a hospital.</x:v>
      </x:c>
      <x:c r="P1697" s="53" t="str">
        <x:v>Core Law &amp; Order franchise</x:v>
      </x:c>
      <x:c r="Q1697" s="17" t="str">
        <x:v>225228</x:v>
      </x:c>
      <x:c r="R1697" s="17" t="str">
        <x:v>tt2227845</x:v>
      </x:c>
      <x:c r="S1697" s="17" t="str">
        <x:v>1258</x:v>
      </x:c>
    </x:row>
    <x:row r="1698">
      <x:c r="A1698" s="43" t="n">
        <x:v>1694</x:v>
      </x:c>
      <x:c r="B1698" s="44" t="str">
        <x:v>Not Started</x:v>
      </x:c>
      <x:c r="C1698" s="45" t="n">
        <x:v>40984</x:v>
      </x:c>
      <x:c r="D1698" s="33" t="str">
        <x:v>In Plain Sight</x:v>
      </x:c>
      <x:c r="E1698" s="33" t="str">
        <x:v>Crossover Adjacent</x:v>
      </x:c>
      <x:c r="F1698" s="33" t="str">
        <x:v>connected</x:v>
      </x:c>
      <x:c r="G1698" s="50" t="n">
        <x:v>5</x:v>
      </x:c>
      <x:c r="H1698" s="50" t="n">
        <x:v>1</x:v>
      </x:c>
      <x:c r="I1698" s="44" t="str">
        <x:v>05.01</x:v>
      </x:c>
      <x:c r="J1698" s="33" t="str">
        <x:v>The Anti-Social Network</x:v>
      </x:c>
      <x:c r="K1698" s="33" t="str"/>
      <x:c r="L1698" s="33" t="str"/>
      <x:c r="M1698" s="44" t="str"/>
      <x:c r="N1698" s="50" t="n">
        <x:v>43</x:v>
      </x:c>
      <x:c r="O1698" s="53" t="str">
        <x:v>Mary sees whether she can balance motherhood with a demanding profession and a dysfunctional home life, or if she will put her baby up for adoption.</x:v>
      </x:c>
      <x:c r="P1698" s="53" t="str">
        <x:v>SVU character crossover / shared Dick Wolf connection</x:v>
      </x:c>
      <x:c r="Q1698" s="17" t="str">
        <x:v>393616</x:v>
      </x:c>
      <x:c r="R1698" s="17" t="str">
        <x:v>tt2286489</x:v>
      </x:c>
      <x:c r="S1698" s="17" t="str">
        <x:v>1259</x:v>
      </x:c>
    </x:row>
    <x:row r="1699">
      <x:c r="A1699" s="43" t="n">
        <x:v>1695</x:v>
      </x:c>
      <x:c r="B1699" s="44" t="str">
        <x:v>Not Started</x:v>
      </x:c>
      <x:c r="C1699" s="45" t="n">
        <x:v>40991</x:v>
      </x:c>
      <x:c r="D1699" s="33" t="str">
        <x:v>In Plain Sight</x:v>
      </x:c>
      <x:c r="E1699" s="33" t="str">
        <x:v>Crossover Adjacent</x:v>
      </x:c>
      <x:c r="F1699" s="33" t="str">
        <x:v>connected</x:v>
      </x:c>
      <x:c r="G1699" s="50" t="n">
        <x:v>5</x:v>
      </x:c>
      <x:c r="H1699" s="50" t="n">
        <x:v>2</x:v>
      </x:c>
      <x:c r="I1699" s="44" t="str">
        <x:v>05.02</x:v>
      </x:c>
      <x:c r="J1699" s="33" t="str">
        <x:v>Four Marshals and a Baby</x:v>
      </x:c>
      <x:c r="K1699" s="33" t="str"/>
      <x:c r="L1699" s="33" t="str"/>
      <x:c r="M1699" s="44" t="str"/>
      <x:c r="N1699" s="50" t="n">
        <x:v>43</x:v>
      </x:c>
      <x:c r="O1699" s="53" t="str">
        <x:v>With Jinx out of town and Mark busy with a last minute business trip, Mary has no choice but to head to work with Norah in tow. But when Mary arrives, Delia points out the obvious: Mary can't be with Norah and a witness at the same time. Meanwhile, Marshall and Abigail are trying to determine whether or not Kristi Owens should enter WITSEC and Associate Director Campbell gives Stan some surprising news about the future of the Albuquerque office.</x:v>
      </x:c>
      <x:c r="P1699" s="53" t="str">
        <x:v>SVU character crossover / shared Dick Wolf connection</x:v>
      </x:c>
      <x:c r="Q1699" s="17" t="str">
        <x:v>393617</x:v>
      </x:c>
      <x:c r="R1699" s="17" t="str">
        <x:v>tt2185939</x:v>
      </x:c>
      <x:c r="S1699" s="17" t="str">
        <x:v>1260</x:v>
      </x:c>
    </x:row>
    <x:row r="1700">
      <x:c r="A1700" s="43" t="n">
        <x:v>1696</x:v>
      </x:c>
      <x:c r="B1700" s="44" t="str">
        <x:v>Not Started</x:v>
      </x:c>
      <x:c r="C1700" s="45" t="n">
        <x:v>40998</x:v>
      </x:c>
      <x:c r="D1700" s="33" t="str">
        <x:v>In Plain Sight</x:v>
      </x:c>
      <x:c r="E1700" s="33" t="str">
        <x:v>Crossover Adjacent</x:v>
      </x:c>
      <x:c r="F1700" s="33" t="str">
        <x:v>connected</x:v>
      </x:c>
      <x:c r="G1700" s="50" t="n">
        <x:v>5</x:v>
      </x:c>
      <x:c r="H1700" s="50" t="n">
        <x:v>3</x:v>
      </x:c>
      <x:c r="I1700" s="44" t="str">
        <x:v>05.03</x:v>
      </x:c>
      <x:c r="J1700" s="33" t="str">
        <x:v>Reservations, I've Got a Few</x:v>
      </x:c>
      <x:c r="K1700" s="33" t="str"/>
      <x:c r="L1700" s="33" t="str"/>
      <x:c r="M1700" s="44" t="str"/>
      <x:c r="N1700" s="50" t="n">
        <x:v>42</x:v>
      </x:c>
      <x:c r="O1700" s="53" t="str">
        <x:v>When Marshall's witness escapes from the WITSEC offices and disappears on an Indian Reservation, Mary and Marshall will need the help of a Native American detective to track him down.</x:v>
      </x:c>
      <x:c r="P1700" s="53" t="str">
        <x:v>SVU character crossover / shared Dick Wolf connection</x:v>
      </x:c>
      <x:c r="Q1700" s="17" t="str">
        <x:v>393618</x:v>
      </x:c>
      <x:c r="R1700" s="17" t="str">
        <x:v>tt2259667</x:v>
      </x:c>
      <x:c r="S1700" s="17" t="str">
        <x:v>1261</x:v>
      </x:c>
    </x:row>
    <x:row r="1701">
      <x:c r="A1701" s="43" t="n">
        <x:v>1697</x:v>
      </x:c>
      <x:c r="B1701" s="44" t="str">
        <x:v>Not Started</x:v>
      </x:c>
      <x:c r="C1701" s="45" t="n">
        <x:v>41005</x:v>
      </x:c>
      <x:c r="D1701" s="33" t="str">
        <x:v>In Plain Sight</x:v>
      </x:c>
      <x:c r="E1701" s="33" t="str">
        <x:v>Crossover Adjacent</x:v>
      </x:c>
      <x:c r="F1701" s="33" t="str">
        <x:v>connected</x:v>
      </x:c>
      <x:c r="G1701" s="50" t="n">
        <x:v>5</x:v>
      </x:c>
      <x:c r="H1701" s="50" t="n">
        <x:v>4</x:v>
      </x:c>
      <x:c r="I1701" s="44" t="str">
        <x:v>05.04</x:v>
      </x:c>
      <x:c r="J1701" s="33" t="str">
        <x:v>The Merry Wives of WITSEC</x:v>
      </x:c>
      <x:c r="K1701" s="33" t="str"/>
      <x:c r="L1701" s="33" t="str"/>
      <x:c r="M1701" s="44" t="str"/>
      <x:c r="N1701" s="50" t="n">
        <x:v>42</x:v>
      </x:c>
      <x:c r="O1701" s="53" t="str">
        <x:v>Mary protects a bigamist not only from his former employer, but also his two wives. In WITSEC, cheating the black market can be dangerous; but cheating on multiple wives is a death sentence.</x:v>
      </x:c>
      <x:c r="P1701" s="53" t="str">
        <x:v>SVU character crossover / shared Dick Wolf connection</x:v>
      </x:c>
      <x:c r="Q1701" s="17" t="str">
        <x:v>393619</x:v>
      </x:c>
      <x:c r="R1701" s="17" t="str">
        <x:v>tt2291301</x:v>
      </x:c>
      <x:c r="S1701" s="17" t="str">
        <x:v>1262</x:v>
      </x:c>
    </x:row>
    <x:row r="1702">
      <x:c r="A1702" s="43" t="n">
        <x:v>1698</x:v>
      </x:c>
      <x:c r="B1702" s="44" t="str">
        <x:v>Not Started</x:v>
      </x:c>
      <x:c r="C1702" s="45" t="n">
        <x:v>41012</x:v>
      </x:c>
      <x:c r="D1702" s="33" t="str">
        <x:v>In Plain Sight</x:v>
      </x:c>
      <x:c r="E1702" s="33" t="str">
        <x:v>Crossover Adjacent</x:v>
      </x:c>
      <x:c r="F1702" s="33" t="str">
        <x:v>connected</x:v>
      </x:c>
      <x:c r="G1702" s="50" t="n">
        <x:v>5</x:v>
      </x:c>
      <x:c r="H1702" s="50" t="n">
        <x:v>5</x:v>
      </x:c>
      <x:c r="I1702" s="44" t="str">
        <x:v>05.05</x:v>
      </x:c>
      <x:c r="J1702" s="33" t="str">
        <x:v>Drag Me to Hell</x:v>
      </x:c>
      <x:c r="K1702" s="33" t="str"/>
      <x:c r="L1702" s="33" t="str"/>
      <x:c r="M1702" s="44" t="str"/>
      <x:c r="N1702" s="50" t="n">
        <x:v>42</x:v>
      </x:c>
      <x:c r="O1702" s="53" t="str">
        <x:v>Even with Joanna babysitting Norah and Brandi addressing her alcohol problems in rehab, things are still chaotic in Mary's life. Douglas Hampton/Harvey, a drag performer who was known as Kandy back in New Orleans, joins the program after accidentally interrupting a drug deal between a club manager and a member of a dangerous drug cartel. The team tells Douglas that he must leave Kandy and his performance act behind, but the frustration of his new life sends him back onto the stage and into the spotlight.</x:v>
      </x:c>
      <x:c r="P1702" s="53" t="str">
        <x:v>SVU character crossover / shared Dick Wolf connection</x:v>
      </x:c>
      <x:c r="Q1702" s="17" t="str">
        <x:v>393620</x:v>
      </x:c>
      <x:c r="R1702" s="17" t="str">
        <x:v>tt2300151</x:v>
      </x:c>
      <x:c r="S1702" s="17" t="str">
        <x:v>1264</x:v>
      </x:c>
    </x:row>
    <x:row r="1703">
      <x:c r="A1703" s="43" t="n">
        <x:v>1699</x:v>
      </x:c>
      <x:c r="B1703" s="44" t="str">
        <x:v>Not Started</x:v>
      </x:c>
      <x:c r="C1703" s="45" t="n">
        <x:v>41017</x:v>
      </x:c>
      <x:c r="D1703" s="33" t="str">
        <x:v>Law &amp; Order: Special Victims Unit</x:v>
      </x:c>
      <x:c r="E1703" s="33" t="str">
        <x:v>Law &amp; Order</x:v>
      </x:c>
      <x:c r="F1703" s="33" t="str">
        <x:v>core</x:v>
      </x:c>
      <x:c r="G1703" s="50" t="n">
        <x:v>13</x:v>
      </x:c>
      <x:c r="H1703" s="50" t="n">
        <x:v>18</x:v>
      </x:c>
      <x:c r="I1703" s="44" t="str">
        <x:v>13.18</x:v>
      </x:c>
      <x:c r="J1703" s="33" t="str">
        <x:v>Valentine's Day</x:v>
      </x:c>
      <x:c r="K1703" s="33" t="str"/>
      <x:c r="L1703" s="33" t="str"/>
      <x:c r="M1703" s="44" t="str"/>
      <x:c r="N1703" s="50" t="n">
        <x:v>43</x:v>
      </x:c>
      <x:c r="O1703" s="53" t="str">
        <x:v>A man witnesses his wife's rape and kidnapping while video chatting with her on his way home from a business trip. The abductors seek a ransom, and the case grows more complex as detectives probe deeper.</x:v>
      </x:c>
      <x:c r="P1703" s="53" t="str">
        <x:v>Core Law &amp; Order franchise</x:v>
      </x:c>
      <x:c r="Q1703" s="17" t="str">
        <x:v>225230</x:v>
      </x:c>
      <x:c r="R1703" s="17" t="str">
        <x:v>tt2256389</x:v>
      </x:c>
      <x:c r="S1703" s="17" t="str">
        <x:v>1265</x:v>
      </x:c>
    </x:row>
    <x:row r="1704">
      <x:c r="A1704" s="43" t="n">
        <x:v>1700</x:v>
      </x:c>
      <x:c r="B1704" s="44" t="str">
        <x:v>Not Started</x:v>
      </x:c>
      <x:c r="C1704" s="45" t="n">
        <x:v>41019</x:v>
      </x:c>
      <x:c r="D1704" s="33" t="str">
        <x:v>In Plain Sight</x:v>
      </x:c>
      <x:c r="E1704" s="33" t="str">
        <x:v>Crossover Adjacent</x:v>
      </x:c>
      <x:c r="F1704" s="33" t="str">
        <x:v>connected</x:v>
      </x:c>
      <x:c r="G1704" s="50" t="n">
        <x:v>5</x:v>
      </x:c>
      <x:c r="H1704" s="50" t="n">
        <x:v>6</x:v>
      </x:c>
      <x:c r="I1704" s="44" t="str">
        <x:v>05.06</x:v>
      </x:c>
      <x:c r="J1704" s="33" t="str">
        <x:v>The Medal of Mary</x:v>
      </x:c>
      <x:c r="K1704" s="33" t="str"/>
      <x:c r="L1704" s="33" t="str"/>
      <x:c r="M1704" s="44" t="str"/>
      <x:c r="N1704" s="50" t="n">
        <x:v>42</x:v>
      </x:c>
      <x:c r="O1704" s="53" t="str">
        <x:v>Mary is still reeling from the flood of emotions stirred-up after having to arrest her father, James, when he unexpectedly showed up on her doorstep after being AWOL for 30 years. Bad goes to worse when Special Agent Robert O'Connor, Mary's "favorite" FBI agent, demands her assistance to get James to provide critical information regarding his old partner-in-crime, Cormack “Sully” Sullivan, one of the FBI's 10 Most Wanted.</x:v>
      </x:c>
      <x:c r="P1704" s="53" t="str">
        <x:v>SVU character crossover / shared Dick Wolf connection</x:v>
      </x:c>
      <x:c r="Q1704" s="17" t="str">
        <x:v>393621</x:v>
      </x:c>
      <x:c r="R1704" s="17" t="str">
        <x:v>tt2279891</x:v>
      </x:c>
      <x:c r="S1704" s="17" t="str">
        <x:v>1266</x:v>
      </x:c>
    </x:row>
    <x:row r="1705">
      <x:c r="A1705" s="43" t="n">
        <x:v>1701</x:v>
      </x:c>
      <x:c r="B1705" s="44" t="str">
        <x:v>Not Started</x:v>
      </x:c>
      <x:c r="C1705" s="45" t="n">
        <x:v>41021</x:v>
      </x:c>
      <x:c r="D1705" s="33" t="str">
        <x:v>Law &amp; Order: Special Victims Unit</x:v>
      </x:c>
      <x:c r="E1705" s="33" t="str">
        <x:v>Law &amp; Order</x:v>
      </x:c>
      <x:c r="F1705" s="33" t="str">
        <x:v>core</x:v>
      </x:c>
      <x:c r="G1705" s="50" t="n">
        <x:v>13</x:v>
      </x:c>
      <x:c r="H1705" s="50" t="n">
        <x:v>17</x:v>
      </x:c>
      <x:c r="I1705" s="44" t="str">
        <x:v>13.17</x:v>
      </x:c>
      <x:c r="J1705" s="33" t="str">
        <x:v>Justice Denied</x:v>
      </x:c>
      <x:c r="K1705" s="33" t="str"/>
      <x:c r="L1705" s="33" t="str"/>
      <x:c r="M1705" s="44" t="str"/>
      <x:c r="N1705" s="50" t="n">
        <x:v>44</x:v>
      </x:c>
      <x:c r="O1705" s="53" t="str">
        <x:v>A closed rape case of Benson's is reopened because of it's similarities to a new case, and the possibility of wrongful imprisonment surfaces. As Benson's work is questioned, tension develops between her, ADA Haden, and Bayard Ellis.</x:v>
      </x:c>
      <x:c r="P1705" s="53" t="str">
        <x:v>Core Law &amp; Order franchise</x:v>
      </x:c>
      <x:c r="Q1705" s="17" t="str">
        <x:v>225229</x:v>
      </x:c>
      <x:c r="R1705" s="17" t="str">
        <x:v>tt2256391</x:v>
      </x:c>
      <x:c r="S1705" s="17" t="str">
        <x:v>1263</x:v>
      </x:c>
    </x:row>
    <x:row r="1706">
      <x:c r="A1706" s="43" t="n">
        <x:v>1702</x:v>
      </x:c>
      <x:c r="B1706" s="44" t="str">
        <x:v>Not Started</x:v>
      </x:c>
      <x:c r="C1706" s="45" t="n">
        <x:v>41024</x:v>
      </x:c>
      <x:c r="D1706" s="33" t="str">
        <x:v>Law &amp; Order: Special Victims Unit</x:v>
      </x:c>
      <x:c r="E1706" s="33" t="str">
        <x:v>Law &amp; Order</x:v>
      </x:c>
      <x:c r="F1706" s="33" t="str">
        <x:v>core</x:v>
      </x:c>
      <x:c r="G1706" s="50" t="n">
        <x:v>13</x:v>
      </x:c>
      <x:c r="H1706" s="50" t="n">
        <x:v>19</x:v>
      </x:c>
      <x:c r="I1706" s="44" t="str">
        <x:v>13.19</x:v>
      </x:c>
      <x:c r="J1706" s="33" t="str">
        <x:v>Street Revenge</x:v>
      </x:c>
      <x:c r="K1706" s="33" t="str"/>
      <x:c r="L1706" s="33" t="str"/>
      <x:c r="M1706" s="44" t="str"/>
      <x:c r="N1706" s="50" t="n">
        <x:v>43</x:v>
      </x:c>
      <x:c r="O1706" s="53" t="str">
        <x:v>The task of find a serial rapist becomes more difficult when a team of neighborhood vigilante "superheroes" starts trying to avenge the crimes.</x:v>
      </x:c>
      <x:c r="P1706" s="53" t="str">
        <x:v>Core Law &amp; Order franchise</x:v>
      </x:c>
      <x:c r="Q1706" s="17" t="str">
        <x:v>225231</x:v>
      </x:c>
      <x:c r="R1706" s="17" t="str">
        <x:v>tt2362369</x:v>
      </x:c>
      <x:c r="S1706" s="17" t="str">
        <x:v>1267</x:v>
      </x:c>
    </x:row>
    <x:row r="1707">
      <x:c r="A1707" s="43" t="n">
        <x:v>1703</x:v>
      </x:c>
      <x:c r="B1707" s="44" t="str">
        <x:v>Not Started</x:v>
      </x:c>
      <x:c r="C1707" s="45" t="n">
        <x:v>41026</x:v>
      </x:c>
      <x:c r="D1707" s="33" t="str">
        <x:v>In Plain Sight</x:v>
      </x:c>
      <x:c r="E1707" s="33" t="str">
        <x:v>Crossover Adjacent</x:v>
      </x:c>
      <x:c r="F1707" s="33" t="str">
        <x:v>connected</x:v>
      </x:c>
      <x:c r="G1707" s="50" t="n">
        <x:v>5</x:v>
      </x:c>
      <x:c r="H1707" s="50" t="n">
        <x:v>7</x:v>
      </x:c>
      <x:c r="I1707" s="44" t="str">
        <x:v>05.07</x:v>
      </x:c>
      <x:c r="J1707" s="33" t="str">
        <x:v>Sacrificial Lam</x:v>
      </x:c>
      <x:c r="K1707" s="33" t="str"/>
      <x:c r="L1707" s="33" t="str"/>
      <x:c r="M1707" s="44" t="str"/>
      <x:c r="N1707" s="50" t="n">
        <x:v>42</x:v>
      </x:c>
      <x:c r="O1707" s="53" t="str">
        <x:v>Having slipped through the fingers of the FBI, James Shannon is on the run again and heading for the border, but first he must stop to take care of a little unfinished business. Agent O'Connor, convinced that she was somehow involved in James' escape, places Mary under investigation, but when he refuses to listen to her suggestions about the possible whereabouts of her father, the manhunt ends in tragedy.</x:v>
      </x:c>
      <x:c r="P1707" s="53" t="str">
        <x:v>SVU character crossover / shared Dick Wolf connection</x:v>
      </x:c>
      <x:c r="Q1707" s="17" t="str">
        <x:v>393622</x:v>
      </x:c>
      <x:c r="R1707" s="17" t="str">
        <x:v>tt2301679</x:v>
      </x:c>
      <x:c r="S1707" s="17" t="str">
        <x:v>1268</x:v>
      </x:c>
    </x:row>
    <x:row r="1708">
      <x:c r="A1708" s="43" t="n">
        <x:v>1704</x:v>
      </x:c>
      <x:c r="B1708" s="44" t="str">
        <x:v>Not Started</x:v>
      </x:c>
      <x:c r="C1708" s="45" t="n">
        <x:v>41031</x:v>
      </x:c>
      <x:c r="D1708" s="33" t="str">
        <x:v>Law &amp; Order: Special Victims Unit</x:v>
      </x:c>
      <x:c r="E1708" s="33" t="str">
        <x:v>Law &amp; Order</x:v>
      </x:c>
      <x:c r="F1708" s="33" t="str">
        <x:v>core</x:v>
      </x:c>
      <x:c r="G1708" s="50" t="n">
        <x:v>13</x:v>
      </x:c>
      <x:c r="H1708" s="50" t="n">
        <x:v>20</x:v>
      </x:c>
      <x:c r="I1708" s="44" t="str">
        <x:v>13.20</x:v>
      </x:c>
      <x:c r="J1708" s="33" t="str">
        <x:v>Father Dearest</x:v>
      </x:c>
      <x:c r="K1708" s="33" t="str"/>
      <x:c r="L1708" s="33" t="str"/>
      <x:c r="M1708" s="44" t="str"/>
      <x:c r="N1708" s="50" t="n">
        <x:v>44</x:v>
      </x:c>
      <x:c r="O1708" s="53" t="str">
        <x:v>Detectives search for a missing teenage girl who vanished while looking for her biological father, an anonymous sperm donor. A puzzling prime suspect who's targeted several young women soon emerges.</x:v>
      </x:c>
      <x:c r="P1708" s="53" t="str">
        <x:v>Core Law &amp; Order franchise</x:v>
      </x:c>
      <x:c r="Q1708" s="17" t="str">
        <x:v>225232</x:v>
      </x:c>
      <x:c r="R1708" s="17" t="str">
        <x:v>tt2354935</x:v>
      </x:c>
      <x:c r="S1708" s="17" t="str">
        <x:v>1269</x:v>
      </x:c>
    </x:row>
    <x:row r="1709">
      <x:c r="A1709" s="43" t="n">
        <x:v>1705</x:v>
      </x:c>
      <x:c r="B1709" s="44" t="str">
        <x:v>Not Started</x:v>
      </x:c>
      <x:c r="C1709" s="45" t="n">
        <x:v>41033</x:v>
      </x:c>
      <x:c r="D1709" s="33" t="str">
        <x:v>In Plain Sight</x:v>
      </x:c>
      <x:c r="E1709" s="33" t="str">
        <x:v>Crossover Adjacent</x:v>
      </x:c>
      <x:c r="F1709" s="33" t="str">
        <x:v>connected</x:v>
      </x:c>
      <x:c r="G1709" s="50" t="n">
        <x:v>5</x:v>
      </x:c>
      <x:c r="H1709" s="50" t="n">
        <x:v>8</x:v>
      </x:c>
      <x:c r="I1709" s="44" t="str">
        <x:v>05.08</x:v>
      </x:c>
      <x:c r="J1709" s="33" t="str">
        <x:v>All's Well That Ends</x:v>
      </x:c>
      <x:c r="K1709" s="33" t="str"/>
      <x:c r="L1709" s="33" t="str"/>
      <x:c r="M1709" s="44" t="str"/>
      <x:c r="N1709" s="50" t="n">
        <x:v>41</x:v>
      </x:c>
      <x:c r="O1709" s="53" t="str">
        <x:v>Series Finale: Drastic changes take place at the Albuquerque WITSEC office. Mary finds herself caught between a witness and an unexpected family reunion.</x:v>
      </x:c>
      <x:c r="P1709" s="53" t="str">
        <x:v>SVU character crossover / shared Dick Wolf connection</x:v>
      </x:c>
      <x:c r="Q1709" s="17" t="str">
        <x:v>393623</x:v>
      </x:c>
      <x:c r="R1709" s="17" t="str">
        <x:v>tt2314501</x:v>
      </x:c>
      <x:c r="S1709" s="17" t="str">
        <x:v>1270</x:v>
      </x:c>
    </x:row>
    <x:row r="1710">
      <x:c r="A1710" s="43" t="n">
        <x:v>1706</x:v>
      </x:c>
      <x:c r="B1710" s="44" t="str">
        <x:v>Not Started</x:v>
      </x:c>
      <x:c r="C1710" s="45" t="n">
        <x:v>41038</x:v>
      </x:c>
      <x:c r="D1710" s="33" t="str">
        <x:v>Law &amp; Order: Special Victims Unit</x:v>
      </x:c>
      <x:c r="E1710" s="33" t="str">
        <x:v>Law &amp; Order</x:v>
      </x:c>
      <x:c r="F1710" s="33" t="str">
        <x:v>core</x:v>
      </x:c>
      <x:c r="G1710" s="50" t="n">
        <x:v>13</x:v>
      </x:c>
      <x:c r="H1710" s="50" t="n">
        <x:v>21</x:v>
      </x:c>
      <x:c r="I1710" s="44" t="str">
        <x:v>13.21</x:v>
      </x:c>
      <x:c r="J1710" s="33" t="str">
        <x:v>Learning Curve</x:v>
      </x:c>
      <x:c r="K1710" s="33" t="str"/>
      <x:c r="L1710" s="33" t="str"/>
      <x:c r="M1710" s="44" t="str"/>
      <x:c r="N1710" s="50" t="n">
        <x:v>44</x:v>
      </x:c>
      <x:c r="O1710" s="53" t="str">
        <x:v>As Fin tries to get justice after his gay son's fiancé is brutally beaten in a hate crime, SVU uncovers a scandal involving a teacher sexually abusing a student at a prep school.</x:v>
      </x:c>
      <x:c r="P1710" s="53" t="str">
        <x:v>Core Law &amp; Order franchise</x:v>
      </x:c>
      <x:c r="Q1710" s="17" t="str">
        <x:v>225233</x:v>
      </x:c>
      <x:c r="R1710" s="17" t="str">
        <x:v>tt2328103</x:v>
      </x:c>
      <x:c r="S1710" s="17" t="str">
        <x:v>1271</x:v>
      </x:c>
    </x:row>
    <x:row r="1711">
      <x:c r="A1711" s="43" t="n">
        <x:v>1707</x:v>
      </x:c>
      <x:c r="B1711" s="44" t="str">
        <x:v>Not Started</x:v>
      </x:c>
      <x:c r="C1711" s="45" t="n">
        <x:v>41045</x:v>
      </x:c>
      <x:c r="D1711" s="33" t="str">
        <x:v>Law &amp; Order: Special Victims Unit</x:v>
      </x:c>
      <x:c r="E1711" s="33" t="str">
        <x:v>Law &amp; Order</x:v>
      </x:c>
      <x:c r="F1711" s="33" t="str">
        <x:v>core</x:v>
      </x:c>
      <x:c r="G1711" s="50" t="n">
        <x:v>13</x:v>
      </x:c>
      <x:c r="H1711" s="50" t="n">
        <x:v>22</x:v>
      </x:c>
      <x:c r="I1711" s="44" t="str">
        <x:v>13.22</x:v>
      </x:c>
      <x:c r="J1711" s="33" t="str">
        <x:v>Strange Beauty</x:v>
      </x:c>
      <x:c r="K1711" s="33" t="str"/>
      <x:c r="L1711" s="33" t="str"/>
      <x:c r="M1711" s="44" t="str"/>
      <x:c r="N1711" s="50" t="n">
        <x:v>44</x:v>
      </x:c>
      <x:c r="O1711" s="53" t="str">
        <x:v>The investigation of the homicide of a young woman who recently had her leg amputated sends SVU into the strange culture of body modification.</x:v>
      </x:c>
      <x:c r="P1711" s="53" t="str">
        <x:v>Core Law &amp; Order franchise</x:v>
      </x:c>
      <x:c r="Q1711" s="17" t="str">
        <x:v>225234</x:v>
      </x:c>
      <x:c r="R1711" s="17" t="str">
        <x:v>tt2384257</x:v>
      </x:c>
      <x:c r="S1711" s="17" t="str">
        <x:v>1272</x:v>
      </x:c>
    </x:row>
    <x:row r="1712">
      <x:c r="A1712" s="43" t="n">
        <x:v>1708</x:v>
      </x:c>
      <x:c r="B1712" s="44" t="str">
        <x:v>Not Started</x:v>
      </x:c>
      <x:c r="C1712" s="45" t="n">
        <x:v>41052</x:v>
      </x:c>
      <x:c r="D1712" s="33" t="str">
        <x:v>Law &amp; Order: Special Victims Unit</x:v>
      </x:c>
      <x:c r="E1712" s="33" t="str">
        <x:v>Law &amp; Order</x:v>
      </x:c>
      <x:c r="F1712" s="33" t="str">
        <x:v>core</x:v>
      </x:c>
      <x:c r="G1712" s="50" t="n">
        <x:v>13</x:v>
      </x:c>
      <x:c r="H1712" s="50" t="n">
        <x:v>23</x:v>
      </x:c>
      <x:c r="I1712" s="44" t="str">
        <x:v>13.23</x:v>
      </x:c>
      <x:c r="J1712" s="33" t="str">
        <x:v>Rhodium Nights</x:v>
      </x:c>
      <x:c r="K1712" s="33" t="str"/>
      <x:c r="L1712" s="33" t="str"/>
      <x:c r="M1712" s="44" t="str"/>
      <x:c r="N1712" s="50" t="n">
        <x:v>44</x:v>
      </x:c>
      <x:c r="O1712" s="53" t="str">
        <x:v>The murder of a prostitute at a bachelor party sends SVU on a dangerous investigation that could lead all the way into the highest reaches of New York power and influence.</x:v>
      </x:c>
      <x:c r="P1712" s="53" t="str">
        <x:v>Core Law &amp; Order franchise</x:v>
      </x:c>
      <x:c r="Q1712" s="17" t="str">
        <x:v>225235</x:v>
      </x:c>
      <x:c r="R1712" s="17" t="str">
        <x:v>tt2387037</x:v>
      </x:c>
      <x:c r="S1712" s="17" t="str">
        <x:v>1273</x:v>
      </x:c>
    </x:row>
    <x:row r="1713">
      <x:c r="A1713" s="43" t="n">
        <x:v>1709</x:v>
      </x:c>
      <x:c r="B1713" s="44" t="str">
        <x:v>Not Started</x:v>
      </x:c>
      <x:c r="C1713" s="45" t="n">
        <x:v>41178</x:v>
      </x:c>
      <x:c r="D1713" s="33" t="str">
        <x:v>Law &amp; Order: Special Victims Unit</x:v>
      </x:c>
      <x:c r="E1713" s="33" t="str">
        <x:v>Law &amp; Order</x:v>
      </x:c>
      <x:c r="F1713" s="33" t="str">
        <x:v>core</x:v>
      </x:c>
      <x:c r="G1713" s="50" t="n">
        <x:v>14</x:v>
      </x:c>
      <x:c r="H1713" s="50" t="n">
        <x:v>1</x:v>
      </x:c>
      <x:c r="I1713" s="44" t="str">
        <x:v>14.01</x:v>
      </x:c>
      <x:c r="J1713" s="33" t="str">
        <x:v>Lost Reputation (1)</x:v>
      </x:c>
      <x:c r="K1713" s="33" t="str"/>
      <x:c r="L1713" s="33" t="str"/>
      <x:c r="M1713" s="44" t="str"/>
      <x:c r="N1713" s="50" t="n">
        <x:v>43</x:v>
      </x:c>
      <x:c r="O1713" s="53" t="str">
        <x:v>The squad reels from the fallout of Capt. Cragen being arrested for the murder of an escort.</x:v>
      </x:c>
      <x:c r="P1713" s="53" t="str">
        <x:v>Core Law &amp; Order franchise</x:v>
      </x:c>
      <x:c r="Q1713" s="17" t="str">
        <x:v>225236</x:v>
      </x:c>
      <x:c r="R1713" s="17" t="str">
        <x:v>tt2357100</x:v>
      </x:c>
      <x:c r="S1713" s="17" t="str">
        <x:v>1274</x:v>
      </x:c>
    </x:row>
    <x:row r="1714">
      <x:c r="A1714" s="43" t="n">
        <x:v>1710</x:v>
      </x:c>
      <x:c r="B1714" s="44" t="str">
        <x:v>Not Started</x:v>
      </x:c>
      <x:c r="C1714" s="45" t="n">
        <x:v>41178</x:v>
      </x:c>
      <x:c r="D1714" s="33" t="str">
        <x:v>Law &amp; Order: Special Victims Unit</x:v>
      </x:c>
      <x:c r="E1714" s="33" t="str">
        <x:v>Law &amp; Order</x:v>
      </x:c>
      <x:c r="F1714" s="33" t="str">
        <x:v>core</x:v>
      </x:c>
      <x:c r="G1714" s="50" t="n">
        <x:v>14</x:v>
      </x:c>
      <x:c r="H1714" s="50" t="n">
        <x:v>2</x:v>
      </x:c>
      <x:c r="I1714" s="44" t="str">
        <x:v>14.02</x:v>
      </x:c>
      <x:c r="J1714" s="33" t="str">
        <x:v>Above Suspicion (2)</x:v>
      </x:c>
      <x:c r="K1714" s="33" t="str"/>
      <x:c r="L1714" s="33" t="str"/>
      <x:c r="M1714" s="44" t="str"/>
      <x:c r="N1714" s="50" t="n">
        <x:v>43</x:v>
      </x:c>
      <x:c r="O1714" s="53" t="str">
        <x:v>Delia continues cleaning house, leaving a wake of accusations, frame-ups, and murders for SVU to work through as they continue their search for evidence to prove Donald Cragen is being framed.</x:v>
      </x:c>
      <x:c r="P1714" s="53" t="str">
        <x:v>Core Law &amp; Order franchise</x:v>
      </x:c>
      <x:c r="Q1714" s="17" t="str">
        <x:v>225237</x:v>
      </x:c>
      <x:c r="R1714" s="17" t="str">
        <x:v>tt2384186</x:v>
      </x:c>
      <x:c r="S1714" s="17" t="str">
        <x:v>1275</x:v>
      </x:c>
    </x:row>
    <x:row r="1715">
      <x:c r="A1715" s="43" t="n">
        <x:v>1711</x:v>
      </x:c>
      <x:c r="B1715" s="44" t="str">
        <x:v>Not Started</x:v>
      </x:c>
      <x:c r="C1715" s="45" t="n">
        <x:v>41192</x:v>
      </x:c>
      <x:c r="D1715" s="33" t="str">
        <x:v>Law &amp; Order: Special Victims Unit</x:v>
      </x:c>
      <x:c r="E1715" s="33" t="str">
        <x:v>Law &amp; Order</x:v>
      </x:c>
      <x:c r="F1715" s="33" t="str">
        <x:v>core</x:v>
      </x:c>
      <x:c r="G1715" s="50" t="n">
        <x:v>14</x:v>
      </x:c>
      <x:c r="H1715" s="50" t="n">
        <x:v>3</x:v>
      </x:c>
      <x:c r="I1715" s="44" t="str">
        <x:v>14.03</x:v>
      </x:c>
      <x:c r="J1715" s="33" t="str">
        <x:v>Twenty-Five Acts</x:v>
      </x:c>
      <x:c r="K1715" s="33" t="str"/>
      <x:c r="L1715" s="33" t="str"/>
      <x:c r="M1715" s="44" t="str"/>
      <x:c r="N1715" s="50" t="n">
        <x:v>43</x:v>
      </x:c>
      <x:c r="O1715" s="53" t="str">
        <x:v>A famous TV host forces himself on the young author of an erotic novel; Detective Amaro uncovers a secret that could damage the author's career and her case.</x:v>
      </x:c>
      <x:c r="P1715" s="53" t="str">
        <x:v>Core Law &amp; Order franchise</x:v>
      </x:c>
      <x:c r="Q1715" s="17" t="str">
        <x:v>225238</x:v>
      </x:c>
      <x:c r="R1715" s="17" t="str">
        <x:v>tt2401380</x:v>
      </x:c>
      <x:c r="S1715" s="17" t="str">
        <x:v>1276</x:v>
      </x:c>
    </x:row>
    <x:row r="1716">
      <x:c r="A1716" s="43" t="n">
        <x:v>1712</x:v>
      </x:c>
      <x:c r="B1716" s="44" t="str">
        <x:v>Not Started</x:v>
      </x:c>
      <x:c r="C1716" s="45" t="n">
        <x:v>41193</x:v>
      </x:c>
      <x:c r="D1716" s="33" t="str">
        <x:v>Chicago Fire</x:v>
      </x:c>
      <x:c r="E1716" s="33" t="str">
        <x:v>One Chicago</x:v>
      </x:c>
      <x:c r="F1716" s="33" t="str">
        <x:v>core</x:v>
      </x:c>
      <x:c r="G1716" s="50" t="n">
        <x:v>1</x:v>
      </x:c>
      <x:c r="H1716" s="50" t="n">
        <x:v>1</x:v>
      </x:c>
      <x:c r="I1716" s="44" t="str">
        <x:v>01.01</x:v>
      </x:c>
      <x:c r="J1716" s="33" t="str">
        <x:v>Pilot</x:v>
      </x:c>
      <x:c r="K1716" s="33" t="str"/>
      <x:c r="L1716" s="33" t="str"/>
      <x:c r="M1716" s="44" t="str"/>
      <x:c r="N1716" s="50" t="n">
        <x:v>43</x:v>
      </x:c>
      <x:c r="O1716" s="53" t="str">
        <x:v>When a fire claims one of their own, there's plenty of guilt and blame to go around. Lt. Matthew Casey, in charge of the Truck, tries to carry on, but butts heads with the brash Lt. Kelly Severide of the Rescue Squad - and each blames the other for their fallen team member. The firehouse also includes: Battalion Chief Wallace Boden, a fireman's fireman who is confronted by important personal decisions; paramedics Gabriela Dawson and Leslie Shay, who share a close bond and team together to face some of the most harrowing situations imaginable; Peter Mills, an academy graduate who is the latest generation in a family of firefighters; and Christopher Herrmann, a seasoned veteran who loses his home to foreclosure and now must uproot his family to move in with his in-laws.</x:v>
      </x:c>
      <x:c r="P1716" s="53" t="str">
        <x:v>Core One Chicago franchise</x:v>
      </x:c>
      <x:c r="Q1716" s="17" t="str">
        <x:v>898398</x:v>
      </x:c>
      <x:c r="R1716" s="17" t="str">
        <x:v>tt2163210</x:v>
      </x:c>
      <x:c r="S1716" s="17" t="str"/>
    </x:row>
    <x:row r="1717">
      <x:c r="A1717" s="43" t="n">
        <x:v>1713</x:v>
      </x:c>
      <x:c r="B1717" s="44" t="str">
        <x:v>Not Started</x:v>
      </x:c>
      <x:c r="C1717" s="45" t="n">
        <x:v>41199</x:v>
      </x:c>
      <x:c r="D1717" s="33" t="str">
        <x:v>Law &amp; Order: Special Victims Unit</x:v>
      </x:c>
      <x:c r="E1717" s="33" t="str">
        <x:v>Law &amp; Order</x:v>
      </x:c>
      <x:c r="F1717" s="33" t="str">
        <x:v>core</x:v>
      </x:c>
      <x:c r="G1717" s="50" t="n">
        <x:v>14</x:v>
      </x:c>
      <x:c r="H1717" s="50" t="n">
        <x:v>4</x:v>
      </x:c>
      <x:c r="I1717" s="44" t="str">
        <x:v>14.04</x:v>
      </x:c>
      <x:c r="J1717" s="33" t="str">
        <x:v>Acceptable Loss</x:v>
      </x:c>
      <x:c r="K1717" s="33" t="str"/>
      <x:c r="L1717" s="33" t="str"/>
      <x:c r="M1717" s="44" t="str"/>
      <x:c r="N1717" s="50" t="n">
        <x:v>43</x:v>
      </x:c>
      <x:c r="O1717" s="53" t="str">
        <x:v>The special victims squad tries to take down a sex-trafficking operation that enslaves young women; when the investigation is halted by Lt. Alexandra Eames, Detective Benson has to get creative.</x:v>
      </x:c>
      <x:c r="P1717" s="53" t="str">
        <x:v>Core Law &amp; Order franchise</x:v>
      </x:c>
      <x:c r="Q1717" s="17" t="str">
        <x:v>225239</x:v>
      </x:c>
      <x:c r="R1717" s="17" t="str">
        <x:v>tt2388722</x:v>
      </x:c>
      <x:c r="S1717" s="17" t="str">
        <x:v>1277</x:v>
      </x:c>
    </x:row>
    <x:row r="1718">
      <x:c r="A1718" s="43" t="n">
        <x:v>1714</x:v>
      </x:c>
      <x:c r="B1718" s="44" t="str">
        <x:v>Not Started</x:v>
      </x:c>
      <x:c r="C1718" s="45" t="n">
        <x:v>41200</x:v>
      </x:c>
      <x:c r="D1718" s="33" t="str">
        <x:v>Chicago Fire</x:v>
      </x:c>
      <x:c r="E1718" s="33" t="str">
        <x:v>One Chicago</x:v>
      </x:c>
      <x:c r="F1718" s="33" t="str">
        <x:v>core</x:v>
      </x:c>
      <x:c r="G1718" s="50" t="n">
        <x:v>1</x:v>
      </x:c>
      <x:c r="H1718" s="50" t="n">
        <x:v>2</x:v>
      </x:c>
      <x:c r="I1718" s="44" t="str">
        <x:v>01.02</x:v>
      </x:c>
      <x:c r="J1718" s="33" t="str">
        <x:v>Mon Amour</x:v>
      </x:c>
      <x:c r="K1718" s="33" t="str"/>
      <x:c r="L1718" s="33" t="str"/>
      <x:c r="M1718" s="44" t="str"/>
      <x:c r="N1718" s="50" t="n">
        <x:v>43</x:v>
      </x:c>
      <x:c r="O1718" s="53" t="str">
        <x:v>Severide is hiding a serious shoulder injury sustained in the fire that killed Andy Darden, and grapples with his guilt as he fights to rescue a construction worker trapped in a building collapse. Adding to the burden, Darden's wife Heather turns on Severide at the annual firefighters' barbecue, blaming him for her husband's death. A call is made to an accident site at Hancock Tower, where two teenagers are pinned in a vehicle trapped beneath the falling debris of a broken window washer's cart. Meanwhile, Casey and Hallie work to figure out their future together.</x:v>
      </x:c>
      <x:c r="P1718" s="53" t="str">
        <x:v>Core One Chicago franchise</x:v>
      </x:c>
      <x:c r="Q1718" s="17" t="str">
        <x:v>898399</x:v>
      </x:c>
      <x:c r="R1718" s="17" t="str">
        <x:v>tt2310894</x:v>
      </x:c>
      <x:c r="S1718" s="17" t="str"/>
    </x:row>
    <x:row r="1719">
      <x:c r="A1719" s="43" t="n">
        <x:v>1715</x:v>
      </x:c>
      <x:c r="B1719" s="44" t="str">
        <x:v>Not Started</x:v>
      </x:c>
      <x:c r="C1719" s="45" t="n">
        <x:v>41206</x:v>
      </x:c>
      <x:c r="D1719" s="33" t="str">
        <x:v>Law &amp; Order: Special Victims Unit</x:v>
      </x:c>
      <x:c r="E1719" s="33" t="str">
        <x:v>Law &amp; Order</x:v>
      </x:c>
      <x:c r="F1719" s="33" t="str">
        <x:v>core</x:v>
      </x:c>
      <x:c r="G1719" s="50" t="n">
        <x:v>14</x:v>
      </x:c>
      <x:c r="H1719" s="50" t="n">
        <x:v>5</x:v>
      </x:c>
      <x:c r="I1719" s="44" t="str">
        <x:v>14.05</x:v>
      </x:c>
      <x:c r="J1719" s="33" t="str">
        <x:v>Manhattan Vigil</x:v>
      </x:c>
      <x:c r="K1719" s="33" t="str"/>
      <x:c r="L1719" s="33" t="str"/>
      <x:c r="M1719" s="44" t="str"/>
      <x:c r="N1719" s="50" t="n">
        <x:v>43</x:v>
      </x:c>
      <x:c r="O1719" s="53" t="str">
        <x:v>The kidnapping of a young boy reminds Cragen, Munch and Benson of a unsolved case from thirteen years ago.</x:v>
      </x:c>
      <x:c r="P1719" s="53" t="str">
        <x:v>Core Law &amp; Order franchise</x:v>
      </x:c>
      <x:c r="Q1719" s="17" t="str">
        <x:v>225240</x:v>
      </x:c>
      <x:c r="R1719" s="17" t="str">
        <x:v>tt2408430</x:v>
      </x:c>
      <x:c r="S1719" s="17" t="str">
        <x:v>1278</x:v>
      </x:c>
    </x:row>
    <x:row r="1720">
      <x:c r="A1720" s="43" t="n">
        <x:v>1716</x:v>
      </x:c>
      <x:c r="B1720" s="44" t="str">
        <x:v>Not Started</x:v>
      </x:c>
      <x:c r="C1720" s="45" t="n">
        <x:v>41207</x:v>
      </x:c>
      <x:c r="D1720" s="33" t="str">
        <x:v>Chicago Fire</x:v>
      </x:c>
      <x:c r="E1720" s="33" t="str">
        <x:v>One Chicago</x:v>
      </x:c>
      <x:c r="F1720" s="33" t="str">
        <x:v>core</x:v>
      </x:c>
      <x:c r="G1720" s="50" t="n">
        <x:v>1</x:v>
      </x:c>
      <x:c r="H1720" s="50" t="n">
        <x:v>3</x:v>
      </x:c>
      <x:c r="I1720" s="44" t="str">
        <x:v>01.03</x:v>
      </x:c>
      <x:c r="J1720" s="33" t="str">
        <x:v>Professional Courtesy</x:v>
      </x:c>
      <x:c r="K1720" s="33" t="str"/>
      <x:c r="L1720" s="33" t="str"/>
      <x:c r="M1720" s="44" t="str"/>
      <x:c r="N1720" s="50" t="n">
        <x:v>44</x:v>
      </x:c>
      <x:c r="O1720" s="53" t="str">
        <x:v>Casey faces pressure to cover for a cop's son, who was responsible for a drunken-driving accident that left a teenager paralyzed. Meanwhile, Severide ignores his doctor's warnings that his neck injury may never heal if he doesn't seek treatment; and Mills must choose between working at the fire department full-time or helping his mom with her restaurant.</x:v>
      </x:c>
      <x:c r="P1720" s="53" t="str">
        <x:v>Core One Chicago franchise</x:v>
      </x:c>
      <x:c r="Q1720" s="17" t="str">
        <x:v>898400</x:v>
      </x:c>
      <x:c r="R1720" s="17" t="str">
        <x:v>tt2312872</x:v>
      </x:c>
      <x:c r="S1720" s="17" t="str"/>
    </x:row>
    <x:row r="1721">
      <x:c r="A1721" s="43" t="n">
        <x:v>1717</x:v>
      </x:c>
      <x:c r="B1721" s="44" t="str">
        <x:v>Not Started</x:v>
      </x:c>
      <x:c r="C1721" s="45" t="n">
        <x:v>41213</x:v>
      </x:c>
      <x:c r="D1721" s="33" t="str">
        <x:v>Law &amp; Order: Special Victims Unit</x:v>
      </x:c>
      <x:c r="E1721" s="33" t="str">
        <x:v>Law &amp; Order</x:v>
      </x:c>
      <x:c r="F1721" s="33" t="str">
        <x:v>core</x:v>
      </x:c>
      <x:c r="G1721" s="50" t="n">
        <x:v>14</x:v>
      </x:c>
      <x:c r="H1721" s="50" t="n">
        <x:v>6</x:v>
      </x:c>
      <x:c r="I1721" s="44" t="str">
        <x:v>14.06</x:v>
      </x:c>
      <x:c r="J1721" s="33" t="str">
        <x:v>Friending Emily</x:v>
      </x:c>
      <x:c r="K1721" s="33" t="str"/>
      <x:c r="L1721" s="33" t="str"/>
      <x:c r="M1721" s="44" t="str"/>
      <x:c r="N1721" s="50" t="n">
        <x:v>43</x:v>
      </x:c>
      <x:c r="O1721" s="53" t="str">
        <x:v>The investigation into a girl's disappearance leads to a high-tech kidnapper who uses the Internet to cover his tracks; Rollins reconnects with her sister.</x:v>
      </x:c>
      <x:c r="P1721" s="53" t="str">
        <x:v>Core Law &amp; Order franchise</x:v>
      </x:c>
      <x:c r="Q1721" s="17" t="str">
        <x:v>225241</x:v>
      </x:c>
      <x:c r="R1721" s="17" t="str">
        <x:v>tt2452938</x:v>
      </x:c>
      <x:c r="S1721" s="17" t="str">
        <x:v>1279</x:v>
      </x:c>
    </x:row>
    <x:row r="1722">
      <x:c r="A1722" s="43" t="n">
        <x:v>1718</x:v>
      </x:c>
      <x:c r="B1722" s="44" t="str">
        <x:v>Not Started</x:v>
      </x:c>
      <x:c r="C1722" s="45" t="n">
        <x:v>41214</x:v>
      </x:c>
      <x:c r="D1722" s="33" t="str">
        <x:v>Chicago Fire</x:v>
      </x:c>
      <x:c r="E1722" s="33" t="str">
        <x:v>One Chicago</x:v>
      </x:c>
      <x:c r="F1722" s="33" t="str">
        <x:v>core</x:v>
      </x:c>
      <x:c r="G1722" s="50" t="n">
        <x:v>1</x:v>
      </x:c>
      <x:c r="H1722" s="50" t="n">
        <x:v>4</x:v>
      </x:c>
      <x:c r="I1722" s="44" t="str">
        <x:v>01.04</x:v>
      </x:c>
      <x:c r="J1722" s="33" t="str">
        <x:v>One Minute</x:v>
      </x:c>
      <x:c r="K1722" s="33" t="str"/>
      <x:c r="L1722" s="33" t="str"/>
      <x:c r="M1722" s="44" t="str"/>
      <x:c r="N1722" s="50" t="n">
        <x:v>44</x:v>
      </x:c>
      <x:c r="O1722" s="53" t="str">
        <x:v>Chief Boden is accused of leaving a homeless man to die in a warehouse fire after ordering his men to evacuate the scene, creating negative press and bad feeling within the department. Meanwhile, Lieutenant Severide helps an elderly woman facing some neighborhood problems. Detective Voight ramps up his intimidation tactics aimed at Casey in an attempt to discourage him from testifying against his son. Shay is forced to revisit her heartbreak over her ex-girlfriend Clarice, when she finds herself face-to-face with the ex and her husband during a call. Hermann’s temper flares during a rescue call at a Halloween block party.</x:v>
      </x:c>
      <x:c r="P1722" s="53" t="str">
        <x:v>Core One Chicago franchise</x:v>
      </x:c>
      <x:c r="Q1722" s="17" t="str">
        <x:v>898401</x:v>
      </x:c>
      <x:c r="R1722" s="17" t="str">
        <x:v>tt2373952</x:v>
      </x:c>
      <x:c r="S1722" s="17" t="str"/>
    </x:row>
    <x:row r="1723">
      <x:c r="A1723" s="43" t="n">
        <x:v>1719</x:v>
      </x:c>
      <x:c r="B1723" s="44" t="str">
        <x:v>Not Started</x:v>
      </x:c>
      <x:c r="C1723" s="45" t="n">
        <x:v>41221</x:v>
      </x:c>
      <x:c r="D1723" s="33" t="str">
        <x:v>Chicago Fire</x:v>
      </x:c>
      <x:c r="E1723" s="33" t="str">
        <x:v>One Chicago</x:v>
      </x:c>
      <x:c r="F1723" s="33" t="str">
        <x:v>core</x:v>
      </x:c>
      <x:c r="G1723" s="50" t="n">
        <x:v>1</x:v>
      </x:c>
      <x:c r="H1723" s="50" t="n">
        <x:v>5</x:v>
      </x:c>
      <x:c r="I1723" s="44" t="str">
        <x:v>01.05</x:v>
      </x:c>
      <x:c r="J1723" s="33" t="str">
        <x:v>Hanging On</x:v>
      </x:c>
      <x:c r="K1723" s="33" t="str"/>
      <x:c r="L1723" s="33" t="str"/>
      <x:c r="M1723" s="44" t="str"/>
      <x:c r="N1723" s="50" t="n">
        <x:v>43</x:v>
      </x:c>
      <x:c r="O1723" s="53" t="str">
        <x:v>Casey confronts Detective Voight about his harassing tactics, vowing never to back down, and ends up paying the price for his decision. Dawson faces disciplinary action for her on-the-job conduct. Meanwhile, Severide finds his arm failing him during a rescue at a construction accident, and reaches out to Anna, an old flame and pharmaceutical rep, hoping she might be able to help alleviate his injury problems.</x:v>
      </x:c>
      <x:c r="P1723" s="53" t="str">
        <x:v>Core One Chicago franchise</x:v>
      </x:c>
      <x:c r="Q1723" s="17" t="str">
        <x:v>898402</x:v>
      </x:c>
      <x:c r="R1723" s="17" t="str">
        <x:v>tt2379540</x:v>
      </x:c>
      <x:c r="S1723" s="17" t="str"/>
    </x:row>
    <x:row r="1724">
      <x:c r="A1724" s="43" t="n">
        <x:v>1720</x:v>
      </x:c>
      <x:c r="B1724" s="44" t="str">
        <x:v>Not Started</x:v>
      </x:c>
      <x:c r="C1724" s="45" t="n">
        <x:v>41227</x:v>
      </x:c>
      <x:c r="D1724" s="33" t="str">
        <x:v>Law &amp; Order: Special Victims Unit</x:v>
      </x:c>
      <x:c r="E1724" s="33" t="str">
        <x:v>Law &amp; Order</x:v>
      </x:c>
      <x:c r="F1724" s="33" t="str">
        <x:v>core</x:v>
      </x:c>
      <x:c r="G1724" s="50" t="n">
        <x:v>14</x:v>
      </x:c>
      <x:c r="H1724" s="50" t="n">
        <x:v>7</x:v>
      </x:c>
      <x:c r="I1724" s="44" t="str">
        <x:v>14.07</x:v>
      </x:c>
      <x:c r="J1724" s="33" t="str">
        <x:v>Vanity's Bonfire</x:v>
      </x:c>
      <x:c r="K1724" s="33" t="str"/>
      <x:c r="L1724" s="33" t="str"/>
      <x:c r="M1724" s="44" t="str"/>
      <x:c r="N1724" s="50" t="n">
        <x:v>43</x:v>
      </x:c>
      <x:c r="O1724" s="53" t="str">
        <x:v>When a woman claims that the baby she kidnapped is hers with a respected legal expert, the investigation changes the lives of two families.</x:v>
      </x:c>
      <x:c r="P1724" s="53" t="str">
        <x:v>Core Law &amp; Order franchise</x:v>
      </x:c>
      <x:c r="Q1724" s="17" t="str">
        <x:v>225242</x:v>
      </x:c>
      <x:c r="R1724" s="17" t="str">
        <x:v>tt2440978</x:v>
      </x:c>
      <x:c r="S1724" s="17" t="str">
        <x:v>1280</x:v>
      </x:c>
    </x:row>
    <x:row r="1725">
      <x:c r="A1725" s="43" t="n">
        <x:v>1721</x:v>
      </x:c>
      <x:c r="B1725" s="44" t="str">
        <x:v>Not Started</x:v>
      </x:c>
      <x:c r="C1725" s="45" t="n">
        <x:v>41228</x:v>
      </x:c>
      <x:c r="D1725" s="33" t="str">
        <x:v>Chicago Fire</x:v>
      </x:c>
      <x:c r="E1725" s="33" t="str">
        <x:v>One Chicago</x:v>
      </x:c>
      <x:c r="F1725" s="33" t="str">
        <x:v>core</x:v>
      </x:c>
      <x:c r="G1725" s="50" t="n">
        <x:v>1</x:v>
      </x:c>
      <x:c r="H1725" s="50" t="n">
        <x:v>6</x:v>
      </x:c>
      <x:c r="I1725" s="44" t="str">
        <x:v>01.06</x:v>
      </x:c>
      <x:c r="J1725" s="33" t="str">
        <x:v>Rear View Mirror</x:v>
      </x:c>
      <x:c r="K1725" s="33" t="str"/>
      <x:c r="L1725" s="33" t="str"/>
      <x:c r="M1725" s="44" t="str"/>
      <x:c r="N1725" s="50" t="n">
        <x:v>43</x:v>
      </x:c>
      <x:c r="O1725" s="53" t="str">
        <x:v>Facing suspension, Dawson gets a hand from the same girl she saved through the procedures that landed her in front of the disciplinary board. Lieutenant Casey finds his fuse shortening as Detective Voight stops at nothing to get him to retract his statement. However, when Casey lays his life on the line during an apartment fire, he may have unknowingly caught the break he was needing.</x:v>
      </x:c>
      <x:c r="P1725" s="53" t="str">
        <x:v>Core One Chicago franchise</x:v>
      </x:c>
      <x:c r="Q1725" s="17" t="str">
        <x:v>898403</x:v>
      </x:c>
      <x:c r="R1725" s="17" t="str">
        <x:v>tt2402782</x:v>
      </x:c>
      <x:c r="S1725" s="17" t="str"/>
    </x:row>
    <x:row r="1726">
      <x:c r="A1726" s="43" t="n">
        <x:v>1722</x:v>
      </x:c>
      <x:c r="B1726" s="44" t="str">
        <x:v>Not Started</x:v>
      </x:c>
      <x:c r="C1726" s="45" t="n">
        <x:v>41234</x:v>
      </x:c>
      <x:c r="D1726" s="33" t="str">
        <x:v>Law &amp; Order: Special Victims Unit</x:v>
      </x:c>
      <x:c r="E1726" s="33" t="str">
        <x:v>Law &amp; Order</x:v>
      </x:c>
      <x:c r="F1726" s="33" t="str">
        <x:v>core</x:v>
      </x:c>
      <x:c r="G1726" s="50" t="n">
        <x:v>14</x:v>
      </x:c>
      <x:c r="H1726" s="50" t="n">
        <x:v>8</x:v>
      </x:c>
      <x:c r="I1726" s="44" t="str">
        <x:v>14.08</x:v>
      </x:c>
      <x:c r="J1726" s="33" t="str">
        <x:v>Lessons Learned</x:v>
      </x:c>
      <x:c r="K1726" s="33" t="str"/>
      <x:c r="L1726" s="33" t="str"/>
      <x:c r="M1726" s="44" t="str"/>
      <x:c r="N1726" s="50" t="n">
        <x:v>43</x:v>
      </x:c>
      <x:c r="O1726" s="53" t="str">
        <x:v>As the detectives investigate reports of sexual abuse at an elite private school, decades of secrets are exposed.</x:v>
      </x:c>
      <x:c r="P1726" s="53" t="str">
        <x:v>Core Law &amp; Order franchise</x:v>
      </x:c>
      <x:c r="Q1726" s="17" t="str">
        <x:v>225243</x:v>
      </x:c>
      <x:c r="R1726" s="17" t="str">
        <x:v>tt2495436</x:v>
      </x:c>
      <x:c r="S1726" s="17" t="str">
        <x:v>1281</x:v>
      </x:c>
    </x:row>
    <x:row r="1727">
      <x:c r="A1727" s="43" t="n">
        <x:v>1723</x:v>
      </x:c>
      <x:c r="B1727" s="44" t="str">
        <x:v>Not Started</x:v>
      </x:c>
      <x:c r="C1727" s="45" t="n">
        <x:v>41235</x:v>
      </x:c>
      <x:c r="D1727" s="33" t="str">
        <x:v>Chicago Fire</x:v>
      </x:c>
      <x:c r="E1727" s="33" t="str">
        <x:v>One Chicago</x:v>
      </x:c>
      <x:c r="F1727" s="33" t="str">
        <x:v>core</x:v>
      </x:c>
      <x:c r="G1727" s="50" t="n">
        <x:v>1</x:v>
      </x:c>
      <x:c r="H1727" s="50" t="n">
        <x:v>7</x:v>
      </x:c>
      <x:c r="I1727" s="44" t="str">
        <x:v>01.07</x:v>
      </x:c>
      <x:c r="J1727" s="33" t="str">
        <x:v>Two Families</x:v>
      </x:c>
      <x:c r="K1727" s="33" t="str"/>
      <x:c r="L1727" s="33" t="str"/>
      <x:c r="M1727" s="44" t="str"/>
      <x:c r="N1727" s="50" t="n">
        <x:v>43</x:v>
      </x:c>
      <x:c r="O1727" s="53" t="str">
        <x:v>Everyone in the firehouse is ordered to take a drug test after a call to a daycare center exposes them to a makeshift meth lab, and Severide stalls, not wanting his injury, or the painkillers he takes, to be discovered. Meanwhile, Truck and Squad find themselves pinned down by gunfire while trying to help the victim of a gang shooting, and a deep-fried turkey fire grows from small to explosive when a garage catches fire. Elsewhere, Dawson saves a bleeding man and Casey delivers a baby on the scene of a massive car pileup on the freeway.</x:v>
      </x:c>
      <x:c r="P1727" s="53" t="str">
        <x:v>Core One Chicago franchise</x:v>
      </x:c>
      <x:c r="Q1727" s="17" t="str">
        <x:v>898404</x:v>
      </x:c>
      <x:c r="R1727" s="17" t="str">
        <x:v>tt2416020</x:v>
      </x:c>
      <x:c r="S1727" s="17" t="str"/>
    </x:row>
    <x:row r="1728">
      <x:c r="A1728" s="43" t="n">
        <x:v>1724</x:v>
      </x:c>
      <x:c r="B1728" s="44" t="str">
        <x:v>Not Started</x:v>
      </x:c>
      <x:c r="C1728" s="45" t="n">
        <x:v>41248</x:v>
      </x:c>
      <x:c r="D1728" s="33" t="str">
        <x:v>Law &amp; Order: Special Victims Unit</x:v>
      </x:c>
      <x:c r="E1728" s="33" t="str">
        <x:v>Law &amp; Order</x:v>
      </x:c>
      <x:c r="F1728" s="33" t="str">
        <x:v>core</x:v>
      </x:c>
      <x:c r="G1728" s="50" t="n">
        <x:v>14</x:v>
      </x:c>
      <x:c r="H1728" s="50" t="n">
        <x:v>9</x:v>
      </x:c>
      <x:c r="I1728" s="44" t="str">
        <x:v>14.09</x:v>
      </x:c>
      <x:c r="J1728" s="33" t="str">
        <x:v>Dreams Deferred</x:v>
      </x:c>
      <x:c r="K1728" s="33" t="str"/>
      <x:c r="L1728" s="33" t="str"/>
      <x:c r="M1728" s="44" t="str"/>
      <x:c r="N1728" s="50" t="n">
        <x:v>43</x:v>
      </x:c>
      <x:c r="O1728" s="53" t="str">
        <x:v>A man goes on a killing spree, but he has links to a prostitute that Benson encountered in an earlier investigation, so the FBI contacts SVU for information.</x:v>
      </x:c>
      <x:c r="P1728" s="53" t="str">
        <x:v>Core Law &amp; Order franchise</x:v>
      </x:c>
      <x:c r="Q1728" s="17" t="str">
        <x:v>225244</x:v>
      </x:c>
      <x:c r="R1728" s="17" t="str">
        <x:v>tt2501606</x:v>
      </x:c>
      <x:c r="S1728" s="17" t="str">
        <x:v>1282</x:v>
      </x:c>
    </x:row>
    <x:row r="1729">
      <x:c r="A1729" s="43" t="n">
        <x:v>1725</x:v>
      </x:c>
      <x:c r="B1729" s="44" t="str">
        <x:v>Not Started</x:v>
      </x:c>
      <x:c r="C1729" s="45" t="n">
        <x:v>41249</x:v>
      </x:c>
      <x:c r="D1729" s="33" t="str">
        <x:v>Chicago Fire</x:v>
      </x:c>
      <x:c r="E1729" s="33" t="str">
        <x:v>One Chicago</x:v>
      </x:c>
      <x:c r="F1729" s="33" t="str">
        <x:v>core</x:v>
      </x:c>
      <x:c r="G1729" s="50" t="n">
        <x:v>1</x:v>
      </x:c>
      <x:c r="H1729" s="50" t="n">
        <x:v>8</x:v>
      </x:c>
      <x:c r="I1729" s="44" t="str">
        <x:v>01.08</x:v>
      </x:c>
      <x:c r="J1729" s="33" t="str">
        <x:v>Leaving the Station</x:v>
      </x:c>
      <x:c r="K1729" s="33" t="str"/>
      <x:c r="L1729" s="33" t="str"/>
      <x:c r="M1729" s="44" t="str"/>
      <x:c r="N1729" s="50" t="n">
        <x:v>44</x:v>
      </x:c>
      <x:c r="O1729" s="53" t="str">
        <x:v>At the site of a train accident, Peter Mills becomes deeply upset when he observes the dead body of a young victim. Unable to shake his emotional distress about the event, he questions his future as a firefighter. Dawson and Shay save a 6-year-old girl whose mother is abusing her – but their confrontation leads the woman to resort to dire actions. Meanwhile, Severide aggravates his injury while rescuing a heart attack victim and Shay sends Clarice, her married, pregnant ex-girlfriend, back home to her husband.</x:v>
      </x:c>
      <x:c r="P1729" s="53" t="str">
        <x:v>Core One Chicago franchise</x:v>
      </x:c>
      <x:c r="Q1729" s="17" t="str">
        <x:v>898405</x:v>
      </x:c>
      <x:c r="R1729" s="17" t="str">
        <x:v>tt2479680</x:v>
      </x:c>
      <x:c r="S1729" s="17" t="str"/>
    </x:row>
    <x:row r="1730">
      <x:c r="A1730" s="43" t="n">
        <x:v>1726</x:v>
      </x:c>
      <x:c r="B1730" s="44" t="str">
        <x:v>Not Started</x:v>
      </x:c>
      <x:c r="C1730" s="45" t="n">
        <x:v>41256</x:v>
      </x:c>
      <x:c r="D1730" s="33" t="str">
        <x:v>Chicago Fire</x:v>
      </x:c>
      <x:c r="E1730" s="33" t="str">
        <x:v>One Chicago</x:v>
      </x:c>
      <x:c r="F1730" s="33" t="str">
        <x:v>core</x:v>
      </x:c>
      <x:c r="G1730" s="50" t="n">
        <x:v>1</x:v>
      </x:c>
      <x:c r="H1730" s="50" t="n">
        <x:v>9</x:v>
      </x:c>
      <x:c r="I1730" s="44" t="str">
        <x:v>01.09</x:v>
      </x:c>
      <x:c r="J1730" s="33" t="str">
        <x:v>It Ain't Easy</x:v>
      </x:c>
      <x:c r="K1730" s="33" t="str"/>
      <x:c r="L1730" s="33" t="str"/>
      <x:c r="M1730" s="44" t="str"/>
      <x:c r="N1730" s="50" t="n">
        <x:v>43</x:v>
      </x:c>
      <x:c r="O1730" s="53" t="str">
        <x:v>After he's injured in a terrible fire at an auto machine shop, Jose Vargas is forced to go on disability and leave his life as a firefighter behind - a task he finds incredibly difficult. Chief Boden tries to help a suspected teenage firebug. Also, Severide receives an enticing invitation from Renee, a woman who he saved from a car crash incident involving live electrical wires. Meanwhile, Cruz tries to save his younger brother Leon from the gang he is involved with.</x:v>
      </x:c>
      <x:c r="P1730" s="53" t="str">
        <x:v>Core One Chicago franchise</x:v>
      </x:c>
      <x:c r="Q1730" s="17" t="str">
        <x:v>898406</x:v>
      </x:c>
      <x:c r="R1730" s="17" t="str">
        <x:v>tt2533198</x:v>
      </x:c>
      <x:c r="S1730" s="17" t="str"/>
    </x:row>
    <x:row r="1731">
      <x:c r="A1731" s="43" t="n">
        <x:v>1727</x:v>
      </x:c>
      <x:c r="B1731" s="44" t="str">
        <x:v>Not Started</x:v>
      </x:c>
      <x:c r="C1731" s="45" t="n">
        <x:v>41263</x:v>
      </x:c>
      <x:c r="D1731" s="33" t="str">
        <x:v>Chicago Fire</x:v>
      </x:c>
      <x:c r="E1731" s="33" t="str">
        <x:v>One Chicago</x:v>
      </x:c>
      <x:c r="F1731" s="33" t="str">
        <x:v>core</x:v>
      </x:c>
      <x:c r="G1731" s="50" t="n">
        <x:v>1</x:v>
      </x:c>
      <x:c r="H1731" s="50" t="n">
        <x:v>10</x:v>
      </x:c>
      <x:c r="I1731" s="44" t="str">
        <x:v>01.10</x:v>
      </x:c>
      <x:c r="J1731" s="33" t="str">
        <x:v>Merry Christmas, Etc.</x:v>
      </x:c>
      <x:c r="K1731" s="33" t="str"/>
      <x:c r="L1731" s="33" t="str"/>
      <x:c r="M1731" s="44" t="str"/>
      <x:c r="N1731" s="50" t="n">
        <x:v>43</x:v>
      </x:c>
      <x:c r="O1731" s="53" t="str">
        <x:v>After putting out a kitchen fire in an upscale townhouse, Casey, Herrmann, Mouch, Cruz, Otis and Mills find themselves accused of stealing a $50,000 diamond necklace from the home, touching off an internal investigation. Cruz’s brother Leon is caught in the middle of an escalating gang war, leaving Cruz to make a desperate choice to save him. Meanwhile, Dawson invites Casey to her cousin’s fancy Christmas party, and a frustrated Shay has reached her limit with Severide.</x:v>
      </x:c>
      <x:c r="P1731" s="53" t="str">
        <x:v>Core One Chicago franchise</x:v>
      </x:c>
      <x:c r="Q1731" s="17" t="str">
        <x:v>898407</x:v>
      </x:c>
      <x:c r="R1731" s="17" t="str">
        <x:v>tt2509264</x:v>
      </x:c>
      <x:c r="S1731" s="17" t="str"/>
    </x:row>
    <x:row r="1732">
      <x:c r="A1732" s="43" t="n">
        <x:v>1728</x:v>
      </x:c>
      <x:c r="B1732" s="44" t="str">
        <x:v>Not Started</x:v>
      </x:c>
      <x:c r="C1732" s="45" t="n">
        <x:v>41276</x:v>
      </x:c>
      <x:c r="D1732" s="33" t="str">
        <x:v>Law &amp; Order: Special Victims Unit</x:v>
      </x:c>
      <x:c r="E1732" s="33" t="str">
        <x:v>Law &amp; Order</x:v>
      </x:c>
      <x:c r="F1732" s="33" t="str">
        <x:v>core</x:v>
      </x:c>
      <x:c r="G1732" s="50" t="n">
        <x:v>14</x:v>
      </x:c>
      <x:c r="H1732" s="50" t="n">
        <x:v>10</x:v>
      </x:c>
      <x:c r="I1732" s="44" t="str">
        <x:v>14.10</x:v>
      </x:c>
      <x:c r="J1732" s="33" t="str">
        <x:v>Presumed Guilty</x:v>
      </x:c>
      <x:c r="K1732" s="33" t="str"/>
      <x:c r="L1732" s="33" t="str"/>
      <x:c r="M1732" s="44" t="str"/>
      <x:c r="N1732" s="50" t="n">
        <x:v>43</x:v>
      </x:c>
      <x:c r="O1732" s="53" t="str">
        <x:v>Holiday celebrations are interrupted when Detective Tutuola's ex-brother-in-law is arrested for attacking a priest; during the investigation, a church scandal is uncovered.</x:v>
      </x:c>
      <x:c r="P1732" s="53" t="str">
        <x:v>Core Law &amp; Order franchise</x:v>
      </x:c>
      <x:c r="Q1732" s="17" t="str">
        <x:v>225245</x:v>
      </x:c>
      <x:c r="R1732" s="17" t="str">
        <x:v>tt2576028</x:v>
      </x:c>
      <x:c r="S1732" s="17" t="str">
        <x:v>1283</x:v>
      </x:c>
    </x:row>
    <x:row r="1733">
      <x:c r="A1733" s="43" t="n">
        <x:v>1729</x:v>
      </x:c>
      <x:c r="B1733" s="44" t="str">
        <x:v>Not Started</x:v>
      </x:c>
      <x:c r="C1733" s="45" t="n">
        <x:v>41277</x:v>
      </x:c>
      <x:c r="D1733" s="33" t="str">
        <x:v>Chicago Fire</x:v>
      </x:c>
      <x:c r="E1733" s="33" t="str">
        <x:v>One Chicago</x:v>
      </x:c>
      <x:c r="F1733" s="33" t="str">
        <x:v>core</x:v>
      </x:c>
      <x:c r="G1733" s="50" t="n">
        <x:v>1</x:v>
      </x:c>
      <x:c r="H1733" s="50" t="n">
        <x:v>11</x:v>
      </x:c>
      <x:c r="I1733" s="44" t="str">
        <x:v>01.11</x:v>
      </x:c>
      <x:c r="J1733" s="33" t="str">
        <x:v>God Has Spoken</x:v>
      </x:c>
      <x:c r="K1733" s="33" t="str"/>
      <x:c r="L1733" s="33" t="str"/>
      <x:c r="M1733" s="44" t="str"/>
      <x:c r="N1733" s="50" t="n">
        <x:v>43</x:v>
      </x:c>
      <x:c r="O1733" s="53" t="str">
        <x:v>Eaten up by his guilt over Flaco’s death in the fire, Cruz goes to Casey to confess. While Shay recovers from a head injury sustained in the ambulance crash, Severide asks Dawson for her help in dealing with his own injury. Casey is caught in the middle of a family conflict between his mother and sister. Elsewhere, Herrmann finds a business deal hard to stomach.</x:v>
      </x:c>
      <x:c r="P1733" s="53" t="str">
        <x:v>Core One Chicago franchise</x:v>
      </x:c>
      <x:c r="Q1733" s="17" t="str">
        <x:v>898408</x:v>
      </x:c>
      <x:c r="R1733" s="17" t="str">
        <x:v>tt2579706</x:v>
      </x:c>
      <x:c r="S1733" s="17" t="str"/>
    </x:row>
    <x:row r="1734">
      <x:c r="A1734" s="43" t="n">
        <x:v>1730</x:v>
      </x:c>
      <x:c r="B1734" s="44" t="str">
        <x:v>Not Started</x:v>
      </x:c>
      <x:c r="C1734" s="45" t="n">
        <x:v>41283</x:v>
      </x:c>
      <x:c r="D1734" s="33" t="str">
        <x:v>Law &amp; Order: Special Victims Unit</x:v>
      </x:c>
      <x:c r="E1734" s="33" t="str">
        <x:v>Law &amp; Order</x:v>
      </x:c>
      <x:c r="F1734" s="33" t="str">
        <x:v>core</x:v>
      </x:c>
      <x:c r="G1734" s="50" t="n">
        <x:v>14</x:v>
      </x:c>
      <x:c r="H1734" s="50" t="n">
        <x:v>11</x:v>
      </x:c>
      <x:c r="I1734" s="44" t="str">
        <x:v>14.11</x:v>
      </x:c>
      <x:c r="J1734" s="33" t="str">
        <x:v>Beautiful Frame</x:v>
      </x:c>
      <x:c r="K1734" s="33" t="str"/>
      <x:c r="L1734" s="33" t="str"/>
      <x:c r="M1734" s="44" t="str"/>
      <x:c r="N1734" s="50" t="n">
        <x:v>43</x:v>
      </x:c>
      <x:c r="O1734" s="53" t="str">
        <x:v>When a rape victim is arrested for murder in Suffolk County, Detective Benson questions the case and finds enough evidence for District Attorney Barba to charge a different suspect in Manhattan.</x:v>
      </x:c>
      <x:c r="P1734" s="53" t="str">
        <x:v>Core Law &amp; Order franchise</x:v>
      </x:c>
      <x:c r="Q1734" s="17" t="str">
        <x:v>225246</x:v>
      </x:c>
      <x:c r="R1734" s="17" t="str">
        <x:v>tt2587590</x:v>
      </x:c>
      <x:c r="S1734" s="17" t="str">
        <x:v>1284</x:v>
      </x:c>
    </x:row>
    <x:row r="1735">
      <x:c r="A1735" s="43" t="n">
        <x:v>1731</x:v>
      </x:c>
      <x:c r="B1735" s="44" t="str">
        <x:v>Not Started</x:v>
      </x:c>
      <x:c r="C1735" s="45" t="n">
        <x:v>41284</x:v>
      </x:c>
      <x:c r="D1735" s="33" t="str">
        <x:v>Chicago Fire</x:v>
      </x:c>
      <x:c r="E1735" s="33" t="str">
        <x:v>One Chicago</x:v>
      </x:c>
      <x:c r="F1735" s="33" t="str">
        <x:v>core</x:v>
      </x:c>
      <x:c r="G1735" s="50" t="n">
        <x:v>1</x:v>
      </x:c>
      <x:c r="H1735" s="50" t="n">
        <x:v>12</x:v>
      </x:c>
      <x:c r="I1735" s="44" t="str">
        <x:v>01.12</x:v>
      </x:c>
      <x:c r="J1735" s="33" t="str">
        <x:v>Under the Knife</x:v>
      </x:c>
      <x:c r="K1735" s="33" t="str"/>
      <x:c r="L1735" s="33" t="str"/>
      <x:c r="M1735" s="44" t="str"/>
      <x:c r="N1735" s="50" t="n">
        <x:v>43</x:v>
      </x:c>
      <x:c r="O1735" s="53" t="str">
        <x:v>Severide finally addresses Chief Boden about his injury and makes some important personal decisions about his future. Meanwhile, Casey struggles with family matters and Dawson takes matters into her own hands when she discovers a young girl who is the sole survivor at the scene of a rescue call.</x:v>
      </x:c>
      <x:c r="P1735" s="53" t="str">
        <x:v>Core One Chicago franchise</x:v>
      </x:c>
      <x:c r="Q1735" s="17" t="str">
        <x:v>898409</x:v>
      </x:c>
      <x:c r="R1735" s="17" t="str">
        <x:v>tt2581270</x:v>
      </x:c>
      <x:c r="S1735" s="17" t="str"/>
    </x:row>
    <x:row r="1736">
      <x:c r="A1736" s="43" t="n">
        <x:v>1732</x:v>
      </x:c>
      <x:c r="B1736" s="44" t="str">
        <x:v>Not Started</x:v>
      </x:c>
      <x:c r="C1736" s="45" t="n">
        <x:v>41304</x:v>
      </x:c>
      <x:c r="D1736" s="33" t="str">
        <x:v>Law &amp; Order: Special Victims Unit</x:v>
      </x:c>
      <x:c r="E1736" s="33" t="str">
        <x:v>Law &amp; Order</x:v>
      </x:c>
      <x:c r="F1736" s="33" t="str">
        <x:v>core</x:v>
      </x:c>
      <x:c r="G1736" s="50" t="n">
        <x:v>14</x:v>
      </x:c>
      <x:c r="H1736" s="50" t="n">
        <x:v>12</x:v>
      </x:c>
      <x:c r="I1736" s="44" t="str">
        <x:v>14.12</x:v>
      </x:c>
      <x:c r="J1736" s="33" t="str">
        <x:v>Criminal Hatred</x:v>
      </x:c>
      <x:c r="K1736" s="33" t="str"/>
      <x:c r="L1736" s="33" t="str"/>
      <x:c r="M1736" s="44" t="str"/>
      <x:c r="N1736" s="50" t="n">
        <x:v>43</x:v>
      </x:c>
      <x:c r="O1736" s="53" t="str">
        <x:v>The detectives go under cover to arrest a man who brutally attacks other men; a deceptively tough defense attorney complicates ADA Barba's case.</x:v>
      </x:c>
      <x:c r="P1736" s="53" t="str">
        <x:v>Core Law &amp; Order franchise</x:v>
      </x:c>
      <x:c r="Q1736" s="17" t="str">
        <x:v>225247</x:v>
      </x:c>
      <x:c r="R1736" s="17" t="str">
        <x:v>tt2628024</x:v>
      </x:c>
      <x:c r="S1736" s="17" t="str">
        <x:v>1285</x:v>
      </x:c>
    </x:row>
    <x:row r="1737">
      <x:c r="A1737" s="43" t="n">
        <x:v>1733</x:v>
      </x:c>
      <x:c r="B1737" s="44" t="str">
        <x:v>Not Started</x:v>
      </x:c>
      <x:c r="C1737" s="45" t="n">
        <x:v>41305</x:v>
      </x:c>
      <x:c r="D1737" s="33" t="str">
        <x:v>Chicago Fire</x:v>
      </x:c>
      <x:c r="E1737" s="33" t="str">
        <x:v>One Chicago</x:v>
      </x:c>
      <x:c r="F1737" s="33" t="str">
        <x:v>core</x:v>
      </x:c>
      <x:c r="G1737" s="50" t="n">
        <x:v>1</x:v>
      </x:c>
      <x:c r="H1737" s="50" t="n">
        <x:v>13</x:v>
      </x:c>
      <x:c r="I1737" s="44" t="str">
        <x:v>01.13</x:v>
      </x:c>
      <x:c r="J1737" s="33" t="str">
        <x:v>Warm and Dead</x:v>
      </x:c>
      <x:c r="K1737" s="33" t="str"/>
      <x:c r="L1737" s="33" t="str"/>
      <x:c r="M1737" s="44" t="str"/>
      <x:c r="N1737" s="50" t="n">
        <x:v>43</x:v>
      </x:c>
      <x:c r="O1737" s="53" t="str">
        <x:v>A troubled Chief Boden goes to the police when a man dies in a hardware store fire set by Ernie, the troubled teenage firebug he’s been trying to help, and his Uncle Ray. Meanwhile, Severide decides on his future and reaches out to his father. Elsewhere, Otis finds camaraderie when he fills in for a few shifts at the slowest firehouse in the city, and makes a decision of his own, while Dawson and Shay find themselves in a bad predicament during a call to a tenement.</x:v>
      </x:c>
      <x:c r="P1737" s="53" t="str">
        <x:v>Core One Chicago franchise</x:v>
      </x:c>
      <x:c r="Q1737" s="17" t="str">
        <x:v>898410</x:v>
      </x:c>
      <x:c r="R1737" s="17" t="str">
        <x:v>tt2609418</x:v>
      </x:c>
      <x:c r="S1737" s="17" t="str"/>
    </x:row>
    <x:row r="1738">
      <x:c r="A1738" s="43" t="n">
        <x:v>1734</x:v>
      </x:c>
      <x:c r="B1738" s="44" t="str">
        <x:v>Not Started</x:v>
      </x:c>
      <x:c r="C1738" s="45" t="n">
        <x:v>41311</x:v>
      </x:c>
      <x:c r="D1738" s="33" t="str">
        <x:v>Law &amp; Order: Special Victims Unit</x:v>
      </x:c>
      <x:c r="E1738" s="33" t="str">
        <x:v>Law &amp; Order</x:v>
      </x:c>
      <x:c r="F1738" s="33" t="str">
        <x:v>core</x:v>
      </x:c>
      <x:c r="G1738" s="50" t="n">
        <x:v>14</x:v>
      </x:c>
      <x:c r="H1738" s="50" t="n">
        <x:v>13</x:v>
      </x:c>
      <x:c r="I1738" s="44" t="str">
        <x:v>14.13</x:v>
      </x:c>
      <x:c r="J1738" s="33" t="str">
        <x:v>Monster's Legacy</x:v>
      </x:c>
      <x:c r="K1738" s="33" t="str"/>
      <x:c r="L1738" s="33" t="str"/>
      <x:c r="M1738" s="44" t="str"/>
      <x:c r="N1738" s="50" t="n">
        <x:v>43</x:v>
      </x:c>
      <x:c r="O1738" s="53" t="str">
        <x:v>When a janitor violently attacks a coach, the SVU team connects the janitor's behavior to a history of sexual abuse; the detectives find more victims of the same predator.</x:v>
      </x:c>
      <x:c r="P1738" s="53" t="str">
        <x:v>Core Law &amp; Order franchise</x:v>
      </x:c>
      <x:c r="Q1738" s="17" t="str">
        <x:v>225248</x:v>
      </x:c>
      <x:c r="R1738" s="17" t="str">
        <x:v>tt2658680</x:v>
      </x:c>
      <x:c r="S1738" s="17" t="str">
        <x:v>1286</x:v>
      </x:c>
    </x:row>
    <x:row r="1739">
      <x:c r="A1739" s="43" t="n">
        <x:v>1735</x:v>
      </x:c>
      <x:c r="B1739" s="44" t="str">
        <x:v>Not Started</x:v>
      </x:c>
      <x:c r="C1739" s="45" t="n">
        <x:v>41312</x:v>
      </x:c>
      <x:c r="D1739" s="33" t="str">
        <x:v>Chicago Fire</x:v>
      </x:c>
      <x:c r="E1739" s="33" t="str">
        <x:v>One Chicago</x:v>
      </x:c>
      <x:c r="F1739" s="33" t="str">
        <x:v>core</x:v>
      </x:c>
      <x:c r="G1739" s="50" t="n">
        <x:v>1</x:v>
      </x:c>
      <x:c r="H1739" s="50" t="n">
        <x:v>14</x:v>
      </x:c>
      <x:c r="I1739" s="44" t="str">
        <x:v>01.14</x:v>
      </x:c>
      <x:c r="J1739" s="33" t="str">
        <x:v>A Little Taste</x:v>
      </x:c>
      <x:c r="K1739" s="33" t="str"/>
      <x:c r="L1739" s="33" t="str"/>
      <x:c r="M1739" s="44" t="str"/>
      <x:c r="N1739" s="50" t="n">
        <x:v>43</x:v>
      </x:c>
      <x:c r="O1739" s="53" t="str">
        <x:v>Severide finds that he shares a familiar past with Eric Whaley, the Lieutenant who was brought into the firehouse to help out. Dawson lets Shay in on her secret, while Casey deals with family issues. Meanwhile, a bad batch of heroin on the streets has Boden and the team scrambling, while Clarice and Shay find they have a new problem to overcome.</x:v>
      </x:c>
      <x:c r="P1739" s="53" t="str">
        <x:v>Core One Chicago franchise</x:v>
      </x:c>
      <x:c r="Q1739" s="17" t="str">
        <x:v>898411</x:v>
      </x:c>
      <x:c r="R1739" s="17" t="str">
        <x:v>tt2639730</x:v>
      </x:c>
      <x:c r="S1739" s="17" t="str"/>
    </x:row>
    <x:row r="1740">
      <x:c r="A1740" s="43" t="n">
        <x:v>1736</x:v>
      </x:c>
      <x:c r="B1740" s="44" t="str">
        <x:v>Not Started</x:v>
      </x:c>
      <x:c r="C1740" s="45" t="n">
        <x:v>41318</x:v>
      </x:c>
      <x:c r="D1740" s="33" t="str">
        <x:v>Law &amp; Order: Special Victims Unit</x:v>
      </x:c>
      <x:c r="E1740" s="33" t="str">
        <x:v>Law &amp; Order</x:v>
      </x:c>
      <x:c r="F1740" s="33" t="str">
        <x:v>core</x:v>
      </x:c>
      <x:c r="G1740" s="50" t="n">
        <x:v>14</x:v>
      </x:c>
      <x:c r="H1740" s="50" t="n">
        <x:v>14</x:v>
      </x:c>
      <x:c r="I1740" s="44" t="str">
        <x:v>14.14</x:v>
      </x:c>
      <x:c r="J1740" s="33" t="str">
        <x:v>Secrets Exhumed</x:v>
      </x:c>
      <x:c r="K1740" s="33" t="str"/>
      <x:c r="L1740" s="33" t="str"/>
      <x:c r="M1740" s="44" t="str"/>
      <x:c r="N1740" s="50" t="n">
        <x:v>43</x:v>
      </x:c>
      <x:c r="O1740" s="53" t="str">
        <x:v>FBI Agent Dana Lewis partners with SVU when she thinks a 25-year-old rape-murder case in New York is connected to multiple unsolved cases across the country; as Lewis doggedly pursues her suspect, Benson and Amaro question his guilt.</x:v>
      </x:c>
      <x:c r="P1740" s="53" t="str">
        <x:v>Core Law &amp; Order franchise</x:v>
      </x:c>
      <x:c r="Q1740" s="17" t="str">
        <x:v>225249</x:v>
      </x:c>
      <x:c r="R1740" s="17" t="str">
        <x:v>tt2639358</x:v>
      </x:c>
      <x:c r="S1740" s="17" t="str">
        <x:v>1287</x:v>
      </x:c>
    </x:row>
    <x:row r="1741">
      <x:c r="A1741" s="43" t="n">
        <x:v>1737</x:v>
      </x:c>
      <x:c r="B1741" s="44" t="str">
        <x:v>Not Started</x:v>
      </x:c>
      <x:c r="C1741" s="45" t="n">
        <x:v>41319</x:v>
      </x:c>
      <x:c r="D1741" s="33" t="str">
        <x:v>Chicago Fire</x:v>
      </x:c>
      <x:c r="E1741" s="33" t="str">
        <x:v>One Chicago</x:v>
      </x:c>
      <x:c r="F1741" s="33" t="str">
        <x:v>core</x:v>
      </x:c>
      <x:c r="G1741" s="50" t="n">
        <x:v>1</x:v>
      </x:c>
      <x:c r="H1741" s="50" t="n">
        <x:v>15</x:v>
      </x:c>
      <x:c r="I1741" s="44" t="str">
        <x:v>01.15</x:v>
      </x:c>
      <x:c r="J1741" s="33" t="str">
        <x:v>Nazdarovya!</x:v>
      </x:c>
      <x:c r="K1741" s="33" t="str"/>
      <x:c r="L1741" s="33" t="str"/>
      <x:c r="M1741" s="44" t="str"/>
      <x:c r="N1741" s="50" t="n">
        <x:v>43</x:v>
      </x:c>
      <x:c r="O1741" s="53" t="str">
        <x:v>Dawson attempts to help her brother Antonio unravel the details of his drugs-and-gang investigation, and goes behind his back in turning to an unlikely source for assistance. Casey and his mother, Nancy struggle with their new relationship. Meanwhile, as a favor to Lieutenant Whaley, Severide visits someone important from his past, while Herrmann and Otis learn some hard truths about their "silent partner" in the bar.</x:v>
      </x:c>
      <x:c r="P1741" s="53" t="str">
        <x:v>Core One Chicago franchise</x:v>
      </x:c>
      <x:c r="Q1741" s="17" t="str">
        <x:v>898412</x:v>
      </x:c>
      <x:c r="R1741" s="17" t="str">
        <x:v>tt2638200</x:v>
      </x:c>
      <x:c r="S1741" s="17" t="str"/>
    </x:row>
    <x:row r="1742">
      <x:c r="A1742" s="43" t="n">
        <x:v>1738</x:v>
      </x:c>
      <x:c r="B1742" s="44" t="str">
        <x:v>Not Started</x:v>
      </x:c>
      <x:c r="C1742" s="45" t="n">
        <x:v>41325</x:v>
      </x:c>
      <x:c r="D1742" s="33" t="str">
        <x:v>Law &amp; Order: Special Victims Unit</x:v>
      </x:c>
      <x:c r="E1742" s="33" t="str">
        <x:v>Law &amp; Order</x:v>
      </x:c>
      <x:c r="F1742" s="33" t="str">
        <x:v>core</x:v>
      </x:c>
      <x:c r="G1742" s="50" t="n">
        <x:v>14</x:v>
      </x:c>
      <x:c r="H1742" s="50" t="n">
        <x:v>15</x:v>
      </x:c>
      <x:c r="I1742" s="44" t="str">
        <x:v>14.15</x:v>
      </x:c>
      <x:c r="J1742" s="33" t="str">
        <x:v>Deadly Ambition</x:v>
      </x:c>
      <x:c r="K1742" s="33" t="str"/>
      <x:c r="L1742" s="33" t="str"/>
      <x:c r="M1742" s="44" t="str"/>
      <x:c r="N1742" s="50" t="n">
        <x:v>43</x:v>
      </x:c>
      <x:c r="O1742" s="53" t="str">
        <x:v>The SVU squad tries to keep Detective Rollins' sister safe from her abusive boyfriend when she turns up beaten and pregnant; when Rollins is forced to take drastic action, an internal affairs investigation begins.</x:v>
      </x:c>
      <x:c r="P1742" s="53" t="str">
        <x:v>Core Law &amp; Order franchise</x:v>
      </x:c>
      <x:c r="Q1742" s="17" t="str">
        <x:v>225250</x:v>
      </x:c>
      <x:c r="R1742" s="17" t="str">
        <x:v>tt2672002</x:v>
      </x:c>
      <x:c r="S1742" s="17" t="str">
        <x:v>1288</x:v>
      </x:c>
    </x:row>
    <x:row r="1743">
      <x:c r="A1743" s="43" t="n">
        <x:v>1739</x:v>
      </x:c>
      <x:c r="B1743" s="44" t="str">
        <x:v>Not Started</x:v>
      </x:c>
      <x:c r="C1743" s="45" t="n">
        <x:v>41326</x:v>
      </x:c>
      <x:c r="D1743" s="33" t="str">
        <x:v>Chicago Fire</x:v>
      </x:c>
      <x:c r="E1743" s="33" t="str">
        <x:v>One Chicago</x:v>
      </x:c>
      <x:c r="F1743" s="33" t="str">
        <x:v>core</x:v>
      </x:c>
      <x:c r="G1743" s="50" t="n">
        <x:v>1</x:v>
      </x:c>
      <x:c r="H1743" s="50" t="n">
        <x:v>16</x:v>
      </x:c>
      <x:c r="I1743" s="44" t="str">
        <x:v>01.16</x:v>
      </x:c>
      <x:c r="J1743" s="33" t="str">
        <x:v>Viral</x:v>
      </x:c>
      <x:c r="K1743" s="33" t="str"/>
      <x:c r="L1743" s="33" t="str"/>
      <x:c r="M1743" s="44" t="str"/>
      <x:c r="N1743" s="50" t="n">
        <x:v>43</x:v>
      </x:c>
      <x:c r="O1743" s="53" t="str">
        <x:v>The anguish that haunts Cruz over his previous actions boils over, as he puts himself and his fellow firefighters in jeopardy. Casey and his sister Christie try to solve their issues with their mother and each other. Meanwhile, Severide reaches out again to an important person from his past as a favor to Lieutenant Whaley and the squad gains new perspective after assisting the bomb squad on an extremely dangerous call.</x:v>
      </x:c>
      <x:c r="P1743" s="53" t="str">
        <x:v>Core One Chicago franchise</x:v>
      </x:c>
      <x:c r="Q1743" s="17" t="str">
        <x:v>898413</x:v>
      </x:c>
      <x:c r="R1743" s="17" t="str">
        <x:v>tt2664004</x:v>
      </x:c>
      <x:c r="S1743" s="17" t="str"/>
    </x:row>
    <x:row r="1744">
      <x:c r="A1744" s="43" t="n">
        <x:v>1740</x:v>
      </x:c>
      <x:c r="B1744" s="44" t="str">
        <x:v>Not Started</x:v>
      </x:c>
      <x:c r="C1744" s="45" t="n">
        <x:v>41332</x:v>
      </x:c>
      <x:c r="D1744" s="33" t="str">
        <x:v>Law &amp; Order: Special Victims Unit</x:v>
      </x:c>
      <x:c r="E1744" s="33" t="str">
        <x:v>Law &amp; Order</x:v>
      </x:c>
      <x:c r="F1744" s="33" t="str">
        <x:v>core</x:v>
      </x:c>
      <x:c r="G1744" s="50" t="n">
        <x:v>14</x:v>
      </x:c>
      <x:c r="H1744" s="50" t="n">
        <x:v>16</x:v>
      </x:c>
      <x:c r="I1744" s="44" t="str">
        <x:v>14.16</x:v>
      </x:c>
      <x:c r="J1744" s="33" t="str">
        <x:v>Funny Valentine</x:v>
      </x:c>
      <x:c r="K1744" s="33" t="str"/>
      <x:c r="L1744" s="33" t="str"/>
      <x:c r="M1744" s="44" t="str"/>
      <x:c r="N1744" s="50" t="n">
        <x:v>43</x:v>
      </x:c>
      <x:c r="O1744" s="53" t="str">
        <x:v>A promising singer is beaten by her boyfriend, a famous hip-hop star, but she refuses to help ADA Barba build his case; the defendant and his attorney turn the case into a media circus.</x:v>
      </x:c>
      <x:c r="P1744" s="53" t="str">
        <x:v>Core Law &amp; Order franchise</x:v>
      </x:c>
      <x:c r="Q1744" s="17" t="str">
        <x:v>225251</x:v>
      </x:c>
      <x:c r="R1744" s="17" t="str">
        <x:v>tt2699330</x:v>
      </x:c>
      <x:c r="S1744" s="17" t="str">
        <x:v>1289</x:v>
      </x:c>
    </x:row>
    <x:row r="1745">
      <x:c r="A1745" s="43" t="n">
        <x:v>1741</x:v>
      </x:c>
      <x:c r="B1745" s="44" t="str">
        <x:v>Not Started</x:v>
      </x:c>
      <x:c r="C1745" s="45" t="n">
        <x:v>41333</x:v>
      </x:c>
      <x:c r="D1745" s="33" t="str">
        <x:v>Chicago Fire</x:v>
      </x:c>
      <x:c r="E1745" s="33" t="str">
        <x:v>One Chicago</x:v>
      </x:c>
      <x:c r="F1745" s="33" t="str">
        <x:v>core</x:v>
      </x:c>
      <x:c r="G1745" s="50" t="n">
        <x:v>1</x:v>
      </x:c>
      <x:c r="H1745" s="50" t="n">
        <x:v>17</x:v>
      </x:c>
      <x:c r="I1745" s="44" t="str">
        <x:v>01.17</x:v>
      </x:c>
      <x:c r="J1745" s="33" t="str">
        <x:v>Better to Lie</x:v>
      </x:c>
      <x:c r="K1745" s="33" t="str"/>
      <x:c r="L1745" s="33" t="str"/>
      <x:c r="M1745" s="44" t="str"/>
      <x:c r="N1745" s="50" t="n">
        <x:v>43</x:v>
      </x:c>
      <x:c r="O1745" s="53" t="str">
        <x:v>Old emotional wounds are opened when Lieutenant Severide’s father Bennie comes to town and clashes with Chief Boden over the death of their former colleague. Mills helps a distraught driver who caused an accident and Shay makes a decision about her future with Clarice. Meanwhile, Herrmann, Otis and Dawson get to the bottom of a mystery about their bar.</x:v>
      </x:c>
      <x:c r="P1745" s="53" t="str">
        <x:v>Core One Chicago franchise</x:v>
      </x:c>
      <x:c r="Q1745" s="17" t="str">
        <x:v>898414</x:v>
      </x:c>
      <x:c r="R1745" s="17" t="str">
        <x:v>tt2690598</x:v>
      </x:c>
      <x:c r="S1745" s="17" t="str"/>
    </x:row>
    <x:row r="1746">
      <x:c r="A1746" s="43" t="n">
        <x:v>1742</x:v>
      </x:c>
      <x:c r="B1746" s="44" t="str">
        <x:v>Not Started</x:v>
      </x:c>
      <x:c r="C1746" s="45" t="n">
        <x:v>41353</x:v>
      </x:c>
      <x:c r="D1746" s="33" t="str">
        <x:v>Law &amp; Order: Special Victims Unit</x:v>
      </x:c>
      <x:c r="E1746" s="33" t="str">
        <x:v>Law &amp; Order</x:v>
      </x:c>
      <x:c r="F1746" s="33" t="str">
        <x:v>core</x:v>
      </x:c>
      <x:c r="G1746" s="50" t="n">
        <x:v>14</x:v>
      </x:c>
      <x:c r="H1746" s="50" t="n">
        <x:v>17</x:v>
      </x:c>
      <x:c r="I1746" s="44" t="str">
        <x:v>14.17</x:v>
      </x:c>
      <x:c r="J1746" s="33" t="str">
        <x:v>Undercover Blue</x:v>
      </x:c>
      <x:c r="K1746" s="33" t="str"/>
      <x:c r="L1746" s="33" t="str"/>
      <x:c r="M1746" s="44" t="str"/>
      <x:c r="N1746" s="50" t="n">
        <x:v>43</x:v>
      </x:c>
      <x:c r="O1746" s="53" t="str">
        <x:v>A woman claims that Brian Cassidy raped her while he was working under cover; when Cassidy and his lawyer utilize surprising defense methods, Detective Amaro is affected.</x:v>
      </x:c>
      <x:c r="P1746" s="53" t="str">
        <x:v>Core Law &amp; Order franchise</x:v>
      </x:c>
      <x:c r="Q1746" s="17" t="str">
        <x:v>225252</x:v>
      </x:c>
      <x:c r="R1746" s="17" t="str">
        <x:v>tt2741872</x:v>
      </x:c>
      <x:c r="S1746" s="17" t="str">
        <x:v>1290</x:v>
      </x:c>
    </x:row>
    <x:row r="1747">
      <x:c r="A1747" s="43" t="n">
        <x:v>1743</x:v>
      </x:c>
      <x:c r="B1747" s="44" t="str">
        <x:v>Not Started</x:v>
      </x:c>
      <x:c r="C1747" s="45" t="n">
        <x:v>41354</x:v>
      </x:c>
      <x:c r="D1747" s="33" t="str">
        <x:v>Chicago Fire</x:v>
      </x:c>
      <x:c r="E1747" s="33" t="str">
        <x:v>One Chicago</x:v>
      </x:c>
      <x:c r="F1747" s="33" t="str">
        <x:v>core</x:v>
      </x:c>
      <x:c r="G1747" s="50" t="n">
        <x:v>1</x:v>
      </x:c>
      <x:c r="H1747" s="50" t="n">
        <x:v>18</x:v>
      </x:c>
      <x:c r="I1747" s="44" t="str">
        <x:v>01.18</x:v>
      </x:c>
      <x:c r="J1747" s="33" t="str">
        <x:v>Fireworks</x:v>
      </x:c>
      <x:c r="K1747" s="33" t="str"/>
      <x:c r="L1747" s="33" t="str"/>
      <x:c r="M1747" s="44" t="str"/>
      <x:c r="N1747" s="50" t="n">
        <x:v>43</x:v>
      </x:c>
      <x:c r="O1747" s="53" t="str">
        <x:v>With tensions still running high between Chief Boden and Bennie Severide, things boil over when Mills confronts Bennie about the fire that killed his father. Meanwhile, Severide, Casey and Bennie uncover the truth behind two mysterious diner fires and Shay takes a new direction with her plan to have a baby.</x:v>
      </x:c>
      <x:c r="P1747" s="53" t="str">
        <x:v>Core One Chicago franchise</x:v>
      </x:c>
      <x:c r="Q1747" s="17" t="str">
        <x:v>898415</x:v>
      </x:c>
      <x:c r="R1747" s="17" t="str">
        <x:v>tt2735448</x:v>
      </x:c>
      <x:c r="S1747" s="17" t="str"/>
    </x:row>
    <x:row r="1748">
      <x:c r="A1748" s="43" t="n">
        <x:v>1744</x:v>
      </x:c>
      <x:c r="B1748" s="44" t="str">
        <x:v>Not Started</x:v>
      </x:c>
      <x:c r="C1748" s="45" t="n">
        <x:v>41360</x:v>
      </x:c>
      <x:c r="D1748" s="33" t="str">
        <x:v>Law &amp; Order: Special Victims Unit</x:v>
      </x:c>
      <x:c r="E1748" s="33" t="str">
        <x:v>Law &amp; Order</x:v>
      </x:c>
      <x:c r="F1748" s="33" t="str">
        <x:v>core</x:v>
      </x:c>
      <x:c r="G1748" s="50" t="n">
        <x:v>14</x:v>
      </x:c>
      <x:c r="H1748" s="50" t="n">
        <x:v>18</x:v>
      </x:c>
      <x:c r="I1748" s="44" t="str">
        <x:v>14.18</x:v>
      </x:c>
      <x:c r="J1748" s="33" t="str">
        <x:v>Legitimate Rape</x:v>
      </x:c>
      <x:c r="K1748" s="33" t="str"/>
      <x:c r="L1748" s="33" t="str"/>
      <x:c r="M1748" s="44" t="str"/>
      <x:c r="N1748" s="50" t="n">
        <x:v>43</x:v>
      </x:c>
      <x:c r="O1748" s="53" t="str">
        <x:v>A popular sports reporter accuses a cameraman of rape and stalking; when the victim learns she is pregnant as a result of the rape, the defense employs controversial tactics in hope of gaining favor with the jury.</x:v>
      </x:c>
      <x:c r="P1748" s="53" t="str">
        <x:v>Core Law &amp; Order franchise</x:v>
      </x:c>
      <x:c r="Q1748" s="17" t="str">
        <x:v>225253</x:v>
      </x:c>
      <x:c r="R1748" s="17" t="str">
        <x:v>tt2739518</x:v>
      </x:c>
      <x:c r="S1748" s="17" t="str">
        <x:v>1291</x:v>
      </x:c>
    </x:row>
    <x:row r="1749">
      <x:c r="A1749" s="43" t="n">
        <x:v>1745</x:v>
      </x:c>
      <x:c r="B1749" s="44" t="str">
        <x:v>Not Started</x:v>
      </x:c>
      <x:c r="C1749" s="45" t="n">
        <x:v>41361</x:v>
      </x:c>
      <x:c r="D1749" s="33" t="str">
        <x:v>Chicago Fire</x:v>
      </x:c>
      <x:c r="E1749" s="33" t="str">
        <x:v>One Chicago</x:v>
      </x:c>
      <x:c r="F1749" s="33" t="str">
        <x:v>core</x:v>
      </x:c>
      <x:c r="G1749" s="50" t="n">
        <x:v>1</x:v>
      </x:c>
      <x:c r="H1749" s="50" t="n">
        <x:v>19</x:v>
      </x:c>
      <x:c r="I1749" s="44" t="str">
        <x:v>01.19</x:v>
      </x:c>
      <x:c r="J1749" s="33" t="str">
        <x:v>A Coffin That Small</x:v>
      </x:c>
      <x:c r="K1749" s="33" t="str"/>
      <x:c r="L1749" s="33" t="str"/>
      <x:c r="M1749" s="44" t="str"/>
      <x:c r="N1749" s="50" t="n">
        <x:v>42</x:v>
      </x:c>
      <x:c r="O1749" s="53" t="str">
        <x:v>Tragedy strikes when a rescue attempt at a tenement building proves unsuccessful, leaving the men and women of firehouse 51 affected by the loss of the victim. Severide's decision to put Mills on the fast track to move from Truck to Squad doesn't sit well with some of the others and tension mounts between Severide and Casey over Heather Darden. Shay and Dawson are forced to deal with a junkie's crazy behavior while on a call and Shay considers a different way to have a family. Meanwhile, the team draws the ire of local drug dealers who threaten the peace and safety of the neighborhood and firehouse.</x:v>
      </x:c>
      <x:c r="P1749" s="53" t="str">
        <x:v>Core One Chicago franchise</x:v>
      </x:c>
      <x:c r="Q1749" s="17" t="str">
        <x:v>898416</x:v>
      </x:c>
      <x:c r="R1749" s="17" t="str">
        <x:v>tt2772138</x:v>
      </x:c>
      <x:c r="S1749" s="17" t="str"/>
    </x:row>
    <x:row r="1750">
      <x:c r="A1750" s="43" t="n">
        <x:v>1746</x:v>
      </x:c>
      <x:c r="B1750" s="44" t="str">
        <x:v>Not Started</x:v>
      </x:c>
      <x:c r="C1750" s="45" t="n">
        <x:v>41367</x:v>
      </x:c>
      <x:c r="D1750" s="33" t="str">
        <x:v>Law &amp; Order: Special Victims Unit</x:v>
      </x:c>
      <x:c r="E1750" s="33" t="str">
        <x:v>Law &amp; Order</x:v>
      </x:c>
      <x:c r="F1750" s="33" t="str">
        <x:v>core</x:v>
      </x:c>
      <x:c r="G1750" s="50" t="n">
        <x:v>14</x:v>
      </x:c>
      <x:c r="H1750" s="50" t="n">
        <x:v>19</x:v>
      </x:c>
      <x:c r="I1750" s="44" t="str">
        <x:v>14.19</x:v>
      </x:c>
      <x:c r="J1750" s="33" t="str">
        <x:v>Born Psychopath</x:v>
      </x:c>
      <x:c r="K1750" s="33" t="str"/>
      <x:c r="L1750" s="33" t="str"/>
      <x:c r="M1750" s="44" t="str"/>
      <x:c r="N1750" s="50" t="n">
        <x:v>43</x:v>
      </x:c>
      <x:c r="O1750" s="53" t="str">
        <x:v>The SVU detectives investigate after a school nurse notices multiple injuries on a young girl; Detective Amaro tries to bond with his recently discovered son.</x:v>
      </x:c>
      <x:c r="P1750" s="53" t="str">
        <x:v>Core Law &amp; Order franchise</x:v>
      </x:c>
      <x:c r="Q1750" s="17" t="str">
        <x:v>225254</x:v>
      </x:c>
      <x:c r="R1750" s="17" t="str">
        <x:v>tt2760466</x:v>
      </x:c>
      <x:c r="S1750" s="17" t="str">
        <x:v>1292</x:v>
      </x:c>
    </x:row>
    <x:row r="1751">
      <x:c r="A1751" s="43" t="n">
        <x:v>1747</x:v>
      </x:c>
      <x:c r="B1751" s="44" t="str">
        <x:v>Not Started</x:v>
      </x:c>
      <x:c r="C1751" s="45" t="n">
        <x:v>41368</x:v>
      </x:c>
      <x:c r="D1751" s="33" t="str">
        <x:v>Chicago Fire</x:v>
      </x:c>
      <x:c r="E1751" s="33" t="str">
        <x:v>One Chicago</x:v>
      </x:c>
      <x:c r="F1751" s="33" t="str">
        <x:v>core</x:v>
      </x:c>
      <x:c r="G1751" s="50" t="n">
        <x:v>1</x:v>
      </x:c>
      <x:c r="H1751" s="50" t="n">
        <x:v>20</x:v>
      </x:c>
      <x:c r="I1751" s="44" t="str">
        <x:v>01.20</x:v>
      </x:c>
      <x:c r="J1751" s="33" t="str">
        <x:v>Ambition</x:v>
      </x:c>
      <x:c r="K1751" s="33" t="str"/>
      <x:c r="L1751" s="33" t="str"/>
      <x:c r="M1751" s="44" t="str"/>
      <x:c r="N1751" s="50" t="n">
        <x:v>43</x:v>
      </x:c>
      <x:c r="O1751" s="53" t="str">
        <x:v>Mills finds himself the target of resentment from some colleagues when Severide supports his desire to join Squad. Tara, a paramedic candidate, joins Dawson and Shay on the job for a few shifts. Meanwhile, Shay comes to the aid of Cindy Herrmann, who suffers from pregnancy complications while her husband Christopher is out of town. Elsewhere, Dawson and Casey draw closer as the grand opening of Molly’s draws near, and Casey receives a surprise visit.</x:v>
      </x:c>
      <x:c r="P1751" s="53" t="str">
        <x:v>Core One Chicago franchise</x:v>
      </x:c>
      <x:c r="Q1751" s="17" t="str">
        <x:v>898417</x:v>
      </x:c>
      <x:c r="R1751" s="17" t="str">
        <x:v>tt2789826</x:v>
      </x:c>
      <x:c r="S1751" s="17" t="str"/>
    </x:row>
    <x:row r="1752">
      <x:c r="A1752" s="43" t="n">
        <x:v>1748</x:v>
      </x:c>
      <x:c r="B1752" s="44" t="str">
        <x:v>Not Started</x:v>
      </x:c>
      <x:c r="C1752" s="45" t="n">
        <x:v>41388</x:v>
      </x:c>
      <x:c r="D1752" s="33" t="str">
        <x:v>Law &amp; Order: Special Victims Unit</x:v>
      </x:c>
      <x:c r="E1752" s="33" t="str">
        <x:v>Law &amp; Order</x:v>
      </x:c>
      <x:c r="F1752" s="33" t="str">
        <x:v>core</x:v>
      </x:c>
      <x:c r="G1752" s="50" t="n">
        <x:v>14</x:v>
      </x:c>
      <x:c r="H1752" s="50" t="n">
        <x:v>20</x:v>
      </x:c>
      <x:c r="I1752" s="44" t="str">
        <x:v>14.20</x:v>
      </x:c>
      <x:c r="J1752" s="33" t="str">
        <x:v>Girl Dishonored</x:v>
      </x:c>
      <x:c r="K1752" s="33" t="str"/>
      <x:c r="L1752" s="33" t="str"/>
      <x:c r="M1752" s="44" t="str"/>
      <x:c r="N1752" s="50" t="n">
        <x:v>43</x:v>
      </x:c>
      <x:c r="O1752" s="53" t="str">
        <x:v>As the SVU detectives investigate the alleged rape of a sorority pledge, drunken students, and conflicting accounts complicate matters.</x:v>
      </x:c>
      <x:c r="P1752" s="53" t="str">
        <x:v>Core Law &amp; Order franchise</x:v>
      </x:c>
      <x:c r="Q1752" s="17" t="str">
        <x:v>225255</x:v>
      </x:c>
      <x:c r="R1752" s="17" t="str">
        <x:v>tt2787898</x:v>
      </x:c>
      <x:c r="S1752" s="17" t="str">
        <x:v>1293</x:v>
      </x:c>
    </x:row>
    <x:row r="1753">
      <x:c r="A1753" s="43" t="n">
        <x:v>1749</x:v>
      </x:c>
      <x:c r="B1753" s="44" t="str">
        <x:v>Not Started</x:v>
      </x:c>
      <x:c r="C1753" s="45" t="n">
        <x:v>41395</x:v>
      </x:c>
      <x:c r="D1753" s="33" t="str">
        <x:v>Law &amp; Order: Special Victims Unit</x:v>
      </x:c>
      <x:c r="E1753" s="33" t="str">
        <x:v>Law &amp; Order</x:v>
      </x:c>
      <x:c r="F1753" s="33" t="str">
        <x:v>core</x:v>
      </x:c>
      <x:c r="G1753" s="50" t="n">
        <x:v>14</x:v>
      </x:c>
      <x:c r="H1753" s="50" t="n">
        <x:v>21</x:v>
      </x:c>
      <x:c r="I1753" s="44" t="str">
        <x:v>14.21</x:v>
      </x:c>
      <x:c r="J1753" s="33" t="str">
        <x:v>Traumatic Wound</x:v>
      </x:c>
      <x:c r="K1753" s="33" t="str"/>
      <x:c r="L1753" s="33" t="str"/>
      <x:c r="M1753" s="44" t="str"/>
      <x:c r="N1753" s="50" t="n">
        <x:v>43</x:v>
      </x:c>
      <x:c r="O1753" s="53" t="str">
        <x:v>When a concert turns into a mob scene, a teenager is brutally assaulted; Detective Amaro ends up defending the prime suspect's reputation.</x:v>
      </x:c>
      <x:c r="P1753" s="53" t="str">
        <x:v>Core Law &amp; Order franchise</x:v>
      </x:c>
      <x:c r="Q1753" s="17" t="str">
        <x:v>225256</x:v>
      </x:c>
      <x:c r="R1753" s="17" t="str">
        <x:v>tt2835036</x:v>
      </x:c>
      <x:c r="S1753" s="17" t="str">
        <x:v>1294</x:v>
      </x:c>
    </x:row>
    <x:row r="1754">
      <x:c r="A1754" s="43" t="n">
        <x:v>1750</x:v>
      </x:c>
      <x:c r="B1754" s="44" t="str">
        <x:v>Not Started</x:v>
      </x:c>
      <x:c r="C1754" s="45" t="n">
        <x:v>41396</x:v>
      </x:c>
      <x:c r="D1754" s="33" t="str">
        <x:v>Chicago Fire</x:v>
      </x:c>
      <x:c r="E1754" s="33" t="str">
        <x:v>One Chicago</x:v>
      </x:c>
      <x:c r="F1754" s="33" t="str">
        <x:v>core</x:v>
      </x:c>
      <x:c r="G1754" s="50" t="n">
        <x:v>1</x:v>
      </x:c>
      <x:c r="H1754" s="50" t="n">
        <x:v>21</x:v>
      </x:c>
      <x:c r="I1754" s="44" t="str">
        <x:v>01.21</x:v>
      </x:c>
      <x:c r="J1754" s="33" t="str">
        <x:v>Retaliation Hit</x:v>
      </x:c>
      <x:c r="K1754" s="33" t="str"/>
      <x:c r="L1754" s="33" t="str"/>
      <x:c r="M1754" s="44" t="str"/>
      <x:c r="N1754" s="50" t="n">
        <x:v>43</x:v>
      </x:c>
      <x:c r="O1754" s="53" t="str">
        <x:v>Accused of sexual misconduct by a former paramedic candidate, Severide faces potentially dire consequences and fights for his survival both within the Chicago Fire Department and the legal system. Detective Voight returns, looking to collect on the favor that Dawson owes him for helping her brother, Antonio. Casey falls back into old patterns in his personal life, while Dawson, Herrmann and Otis become the proud owners of a real neighborhood bar as Molly's prepares for its grand opening.</x:v>
      </x:c>
      <x:c r="P1754" s="53" t="str">
        <x:v>Core One Chicago franchise</x:v>
      </x:c>
      <x:c r="Q1754" s="17" t="str">
        <x:v>898418</x:v>
      </x:c>
      <x:c r="R1754" s="17" t="str">
        <x:v>tt2801894</x:v>
      </x:c>
      <x:c r="S1754" s="17" t="str"/>
    </x:row>
    <x:row r="1755">
      <x:c r="A1755" s="43" t="n">
        <x:v>1751</x:v>
      </x:c>
      <x:c r="B1755" s="44" t="str">
        <x:v>Not Started</x:v>
      </x:c>
      <x:c r="C1755" s="45" t="n">
        <x:v>41402</x:v>
      </x:c>
      <x:c r="D1755" s="33" t="str">
        <x:v>Law &amp; Order: Special Victims Unit</x:v>
      </x:c>
      <x:c r="E1755" s="33" t="str">
        <x:v>Law &amp; Order</x:v>
      </x:c>
      <x:c r="F1755" s="33" t="str">
        <x:v>core</x:v>
      </x:c>
      <x:c r="G1755" s="50" t="n">
        <x:v>14</x:v>
      </x:c>
      <x:c r="H1755" s="50" t="n">
        <x:v>22</x:v>
      </x:c>
      <x:c r="I1755" s="44" t="str">
        <x:v>14.22</x:v>
      </x:c>
      <x:c r="J1755" s="33" t="str">
        <x:v>Poisoned Motive</x:v>
      </x:c>
      <x:c r="K1755" s="33" t="str"/>
      <x:c r="L1755" s="33" t="str"/>
      <x:c r="M1755" s="44" t="str"/>
      <x:c r="N1755" s="50" t="n">
        <x:v>43</x:v>
      </x:c>
      <x:c r="O1755" s="53" t="str">
        <x:v>When two sniper attacks on the NYPD link to Detective Tutuola's past as a narcotics officer, he reconnects with his former partner in hope of finding a motive.</x:v>
      </x:c>
      <x:c r="P1755" s="53" t="str">
        <x:v>Core Law &amp; Order franchise</x:v>
      </x:c>
      <x:c r="Q1755" s="17" t="str">
        <x:v>225257</x:v>
      </x:c>
      <x:c r="R1755" s="17" t="str">
        <x:v>tt2855090</x:v>
      </x:c>
      <x:c r="S1755" s="17" t="str">
        <x:v>1295</x:v>
      </x:c>
    </x:row>
    <x:row r="1756">
      <x:c r="A1756" s="43" t="n">
        <x:v>1752</x:v>
      </x:c>
      <x:c r="B1756" s="44" t="str">
        <x:v>Not Started</x:v>
      </x:c>
      <x:c r="C1756" s="45" t="n">
        <x:v>41403</x:v>
      </x:c>
      <x:c r="D1756" s="33" t="str">
        <x:v>Chicago Fire</x:v>
      </x:c>
      <x:c r="E1756" s="33" t="str">
        <x:v>One Chicago</x:v>
      </x:c>
      <x:c r="F1756" s="33" t="str">
        <x:v>core</x:v>
      </x:c>
      <x:c r="G1756" s="50" t="n">
        <x:v>1</x:v>
      </x:c>
      <x:c r="H1756" s="50" t="n">
        <x:v>22</x:v>
      </x:c>
      <x:c r="I1756" s="44" t="str">
        <x:v>01.22</x:v>
      </x:c>
      <x:c r="J1756" s="33" t="str">
        <x:v>Leaders Lead</x:v>
      </x:c>
      <x:c r="K1756" s="33" t="str"/>
      <x:c r="L1756" s="33" t="str"/>
      <x:c r="M1756" s="44" t="str"/>
      <x:c r="N1756" s="50" t="n">
        <x:v>43</x:v>
      </x:c>
      <x:c r="O1756" s="53" t="str">
        <x:v>A frustrated Severide, turns to an unlikely ally to resolve his current dilemma. Casey begins to find satisfaction in his personal life, while Mills and Dawson face personal challenges. Meanwhile, the squad is called to the scene of a harrowing apartment building collapse.</x:v>
      </x:c>
      <x:c r="P1756" s="53" t="str">
        <x:v>Core One Chicago franchise</x:v>
      </x:c>
      <x:c r="Q1756" s="17" t="str">
        <x:v>898419</x:v>
      </x:c>
      <x:c r="R1756" s="17" t="str">
        <x:v>tt2801896</x:v>
      </x:c>
      <x:c r="S1756" s="17" t="str"/>
    </x:row>
    <x:row r="1757">
      <x:c r="A1757" s="43" t="n">
        <x:v>1753</x:v>
      </x:c>
      <x:c r="B1757" s="44" t="str">
        <x:v>Not Started</x:v>
      </x:c>
      <x:c r="C1757" s="45" t="n">
        <x:v>41409</x:v>
      </x:c>
      <x:c r="D1757" s="33" t="str">
        <x:v>Law &amp; Order: Special Victims Unit</x:v>
      </x:c>
      <x:c r="E1757" s="33" t="str">
        <x:v>Law &amp; Order</x:v>
      </x:c>
      <x:c r="F1757" s="33" t="str">
        <x:v>core</x:v>
      </x:c>
      <x:c r="G1757" s="50" t="n">
        <x:v>14</x:v>
      </x:c>
      <x:c r="H1757" s="50" t="n">
        <x:v>23</x:v>
      </x:c>
      <x:c r="I1757" s="44" t="str">
        <x:v>14.23</x:v>
      </x:c>
      <x:c r="J1757" s="33" t="str">
        <x:v>Brief Interlude</x:v>
      </x:c>
      <x:c r="K1757" s="33" t="str"/>
      <x:c r="L1757" s="33" t="str"/>
      <x:c r="M1757" s="44" t="str"/>
      <x:c r="N1757" s="50" t="n">
        <x:v>43</x:v>
      </x:c>
      <x:c r="O1757" s="53" t="str">
        <x:v>The investigation into how a comatose woman ended up in a river near the mayor's home reveals the victim's unexpected wild side.</x:v>
      </x:c>
      <x:c r="P1757" s="53" t="str">
        <x:v>Core Law &amp; Order franchise</x:v>
      </x:c>
      <x:c r="Q1757" s="17" t="str">
        <x:v>225258</x:v>
      </x:c>
      <x:c r="R1757" s="17" t="str">
        <x:v>tt2872940</x:v>
      </x:c>
      <x:c r="S1757" s="17" t="str">
        <x:v>1296</x:v>
      </x:c>
    </x:row>
    <x:row r="1758">
      <x:c r="A1758" s="43" t="n">
        <x:v>1754</x:v>
      </x:c>
      <x:c r="B1758" s="44" t="str">
        <x:v>Not Started</x:v>
      </x:c>
      <x:c r="C1758" s="45" t="n">
        <x:v>41410</x:v>
      </x:c>
      <x:c r="D1758" s="33" t="str">
        <x:v>Chicago Fire</x:v>
      </x:c>
      <x:c r="E1758" s="33" t="str">
        <x:v>One Chicago</x:v>
      </x:c>
      <x:c r="F1758" s="33" t="str">
        <x:v>core</x:v>
      </x:c>
      <x:c r="G1758" s="50" t="n">
        <x:v>1</x:v>
      </x:c>
      <x:c r="H1758" s="50" t="n">
        <x:v>23</x:v>
      </x:c>
      <x:c r="I1758" s="44" t="str">
        <x:v>01.23</x:v>
      </x:c>
      <x:c r="J1758" s="33" t="str">
        <x:v>Let Her Go</x:v>
      </x:c>
      <x:c r="K1758" s="33" t="str">
        <x:v>Backdoor pilot</x:v>
      </x:c>
      <x:c r="L1758" s="33" t="str">
        <x:v>Chicago P.D. launch</x:v>
      </x:c>
      <x:c r="M1758" s="44" t="str"/>
      <x:c r="N1758" s="50" t="n">
        <x:v>43</x:v>
      </x:c>
      <x:c r="O1758" s="53" t="str">
        <x:v>Events force Lieutenant Casey to team up with the Intelligence Unit, now run by Voight, who doesn’t appear to have changed his crooked ways after his stint in prison. Shay's excitement at the prospect of becoming a parent grows, while Mills and Dawson face some personal challenges. Meanwhile, the house comes together to support the opening of Molly's.</x:v>
      </x:c>
      <x:c r="P1758" s="53" t="str">
        <x:v>Core One Chicago franchise</x:v>
      </x:c>
      <x:c r="Q1758" s="17" t="str">
        <x:v>898420</x:v>
      </x:c>
      <x:c r="R1758" s="17" t="str">
        <x:v>tt2801898</x:v>
      </x:c>
      <x:c r="S1758" s="17" t="str">
        <x:v>https://one-chicago-fbi.fandom.com/wiki/Crossovers_and_Milestones</x:v>
      </x:c>
    </x:row>
    <x:row r="1759">
      <x:c r="A1759" s="43" t="n">
        <x:v>1755</x:v>
      </x:c>
      <x:c r="B1759" s="44" t="str">
        <x:v>Not Started</x:v>
      </x:c>
      <x:c r="C1759" s="45" t="n">
        <x:v>41416</x:v>
      </x:c>
      <x:c r="D1759" s="33" t="str">
        <x:v>Law &amp; Order: Special Victims Unit</x:v>
      </x:c>
      <x:c r="E1759" s="33" t="str">
        <x:v>Law &amp; Order</x:v>
      </x:c>
      <x:c r="F1759" s="33" t="str">
        <x:v>core</x:v>
      </x:c>
      <x:c r="G1759" s="50" t="n">
        <x:v>14</x:v>
      </x:c>
      <x:c r="H1759" s="50" t="n">
        <x:v>24</x:v>
      </x:c>
      <x:c r="I1759" s="44" t="str">
        <x:v>14.24</x:v>
      </x:c>
      <x:c r="J1759" s="33" t="str">
        <x:v>Her Negotiation</x:v>
      </x:c>
      <x:c r="K1759" s="33" t="str"/>
      <x:c r="L1759" s="33" t="str"/>
      <x:c r="M1759" s="44" t="str"/>
      <x:c r="N1759" s="50" t="n">
        <x:v>43</x:v>
      </x:c>
      <x:c r="O1759" s="53" t="str">
        <x:v>The detectives uncover a shocking theory as they work to learn the identity of a man Rollins arrested for exposing himself in the park.</x:v>
      </x:c>
      <x:c r="P1759" s="53" t="str">
        <x:v>Core Law &amp; Order franchise</x:v>
      </x:c>
      <x:c r="Q1759" s="17" t="str">
        <x:v>225259</x:v>
      </x:c>
      <x:c r="R1759" s="17" t="str">
        <x:v>tt2894568</x:v>
      </x:c>
      <x:c r="S1759" s="17" t="str">
        <x:v>1297</x:v>
      </x:c>
    </x:row>
    <x:row r="1760">
      <x:c r="A1760" s="43" t="n">
        <x:v>1756</x:v>
      </x:c>
      <x:c r="B1760" s="44" t="str">
        <x:v>Not Started</x:v>
      </x:c>
      <x:c r="C1760" s="45" t="n">
        <x:v>41417</x:v>
      </x:c>
      <x:c r="D1760" s="33" t="str">
        <x:v>Chicago Fire</x:v>
      </x:c>
      <x:c r="E1760" s="33" t="str">
        <x:v>One Chicago</x:v>
      </x:c>
      <x:c r="F1760" s="33" t="str">
        <x:v>core</x:v>
      </x:c>
      <x:c r="G1760" s="50" t="n">
        <x:v>1</x:v>
      </x:c>
      <x:c r="H1760" s="50" t="n">
        <x:v>24</x:v>
      </x:c>
      <x:c r="I1760" s="44" t="str">
        <x:v>01.24</x:v>
      </x:c>
      <x:c r="J1760" s="33" t="str">
        <x:v>A Hell of a Ride</x:v>
      </x:c>
      <x:c r="K1760" s="33" t="str"/>
      <x:c r="L1760" s="33" t="str"/>
      <x:c r="M1760" s="44" t="str"/>
      <x:c r="N1760" s="50" t="n">
        <x:v>43</x:v>
      </x:c>
      <x:c r="O1760" s="53" t="str">
        <x:v>When a call comes in from the Cook County jail, the squad steps into a volatile predicament and are tasked with trying to defuse an escalating situation. Shay remains hopeful about her baby dreams and Hermann's wife Cindy goes into labor with their fifth child. Meanwhile, Mills and Dawson face key decisions in their personal lives.</x:v>
      </x:c>
      <x:c r="P1760" s="53" t="str">
        <x:v>Core One Chicago franchise</x:v>
      </x:c>
      <x:c r="Q1760" s="17" t="str">
        <x:v>898421</x:v>
      </x:c>
      <x:c r="R1760" s="17" t="str">
        <x:v>tt2801900</x:v>
      </x:c>
      <x:c r="S1760" s="17" t="str"/>
    </x:row>
    <x:row r="1761">
      <x:c r="A1761" s="43" t="n">
        <x:v>1757</x:v>
      </x:c>
      <x:c r="B1761" s="44" t="str">
        <x:v>Not Started</x:v>
      </x:c>
      <x:c r="C1761" s="45" t="n">
        <x:v>41469</x:v>
      </x:c>
      <x:c r="D1761" s="33" t="str">
        <x:v>Law &amp; Order: UK</x:v>
      </x:c>
      <x:c r="E1761" s="33" t="str">
        <x:v>Law &amp; Order</x:v>
      </x:c>
      <x:c r="F1761" s="33" t="str">
        <x:v>core</x:v>
      </x:c>
      <x:c r="G1761" s="50" t="n">
        <x:v>7</x:v>
      </x:c>
      <x:c r="H1761" s="50" t="n">
        <x:v>1</x:v>
      </x:c>
      <x:c r="I1761" s="44" t="str">
        <x:v>07.01</x:v>
      </x:c>
      <x:c r="J1761" s="33" t="str">
        <x:v>Tracks</x:v>
      </x:c>
      <x:c r="K1761" s="33" t="str"/>
      <x:c r="L1761" s="33" t="str"/>
      <x:c r="M1761" s="44" t="str"/>
      <x:c r="N1761" s="50" t="n">
        <x:v>48</x:v>
      </x:c>
      <x:c r="O1761" s="53" t="str">
        <x:v>A suicidal man kills several people when he causes a catastrophic train crash, and Sam struggles to cope after one of the young victims dies in his arms.</x:v>
      </x:c>
      <x:c r="P1761" s="53" t="str">
        <x:v>Law &amp; Order format/franchise</x:v>
      </x:c>
      <x:c r="Q1761" s="17" t="str">
        <x:v>392426</x:v>
      </x:c>
      <x:c r="R1761" s="17" t="str">
        <x:v>tt2370714</x:v>
      </x:c>
      <x:c r="S1761" s="17" t="str">
        <x:v>1298</x:v>
      </x:c>
    </x:row>
    <x:row r="1762">
      <x:c r="A1762" s="43" t="n">
        <x:v>1758</x:v>
      </x:c>
      <x:c r="B1762" s="44" t="str">
        <x:v>Not Started</x:v>
      </x:c>
      <x:c r="C1762" s="45" t="n">
        <x:v>41476</x:v>
      </x:c>
      <x:c r="D1762" s="33" t="str">
        <x:v>Law &amp; Order: UK</x:v>
      </x:c>
      <x:c r="E1762" s="33" t="str">
        <x:v>Law &amp; Order</x:v>
      </x:c>
      <x:c r="F1762" s="33" t="str">
        <x:v>core</x:v>
      </x:c>
      <x:c r="G1762" s="50" t="n">
        <x:v>7</x:v>
      </x:c>
      <x:c r="H1762" s="50" t="n">
        <x:v>2</x:v>
      </x:c>
      <x:c r="I1762" s="44" t="str">
        <x:v>07.02</x:v>
      </x:c>
      <x:c r="J1762" s="33" t="str">
        <x:v>Tremors</x:v>
      </x:c>
      <x:c r="K1762" s="33" t="str"/>
      <x:c r="L1762" s="33" t="str"/>
      <x:c r="M1762" s="44" t="str"/>
      <x:c r="N1762" s="50" t="n">
        <x:v>48</x:v>
      </x:c>
      <x:c r="O1762" s="53" t="str">
        <x:v>When a person is found dead in the cells, Sam becomes the main suspect, leaving Ronnie and Wes facing a race against time for them to get their hands on the real culprit.</x:v>
      </x:c>
      <x:c r="P1762" s="53" t="str">
        <x:v>Law &amp; Order format/franchise</x:v>
      </x:c>
      <x:c r="Q1762" s="17" t="str">
        <x:v>392427</x:v>
      </x:c>
      <x:c r="R1762" s="17" t="str">
        <x:v>tt2420866</x:v>
      </x:c>
      <x:c r="S1762" s="17" t="str">
        <x:v>1299</x:v>
      </x:c>
    </x:row>
    <x:row r="1763">
      <x:c r="A1763" s="43" t="n">
        <x:v>1759</x:v>
      </x:c>
      <x:c r="B1763" s="44" t="str">
        <x:v>Not Started</x:v>
      </x:c>
      <x:c r="C1763" s="45" t="n">
        <x:v>41483</x:v>
      </x:c>
      <x:c r="D1763" s="33" t="str">
        <x:v>Law &amp; Order: UK</x:v>
      </x:c>
      <x:c r="E1763" s="33" t="str">
        <x:v>Law &amp; Order</x:v>
      </x:c>
      <x:c r="F1763" s="33" t="str">
        <x:v>core</x:v>
      </x:c>
      <x:c r="G1763" s="50" t="n">
        <x:v>7</x:v>
      </x:c>
      <x:c r="H1763" s="50" t="n">
        <x:v>3</x:v>
      </x:c>
      <x:c r="I1763" s="44" t="str">
        <x:v>07.03</x:v>
      </x:c>
      <x:c r="J1763" s="33" t="str">
        <x:v>Paternal</x:v>
      </x:c>
      <x:c r="K1763" s="33" t="str"/>
      <x:c r="L1763" s="33" t="str"/>
      <x:c r="M1763" s="44" t="str"/>
      <x:c r="N1763" s="50" t="n">
        <x:v>48</x:v>
      </x:c>
      <x:c r="O1763" s="53" t="str">
        <x:v>A man is found dead in a hotel room owing his ex-wife thousands of pounds in child support. The child's grandfather is the only suspect, but is the case that easily solved?</x:v>
      </x:c>
      <x:c r="P1763" s="53" t="str">
        <x:v>Law &amp; Order format/franchise</x:v>
      </x:c>
      <x:c r="Q1763" s="17" t="str">
        <x:v>392428</x:v>
      </x:c>
      <x:c r="R1763" s="17" t="str">
        <x:v>tt2610384</x:v>
      </x:c>
      <x:c r="S1763" s="17" t="str">
        <x:v>1300</x:v>
      </x:c>
    </x:row>
    <x:row r="1764">
      <x:c r="A1764" s="43" t="n">
        <x:v>1760</x:v>
      </x:c>
      <x:c r="B1764" s="44" t="str">
        <x:v>Not Started</x:v>
      </x:c>
      <x:c r="C1764" s="45" t="n">
        <x:v>41490</x:v>
      </x:c>
      <x:c r="D1764" s="33" t="str">
        <x:v>Law &amp; Order: UK</x:v>
      </x:c>
      <x:c r="E1764" s="33" t="str">
        <x:v>Law &amp; Order</x:v>
      </x:c>
      <x:c r="F1764" s="33" t="str">
        <x:v>core</x:v>
      </x:c>
      <x:c r="G1764" s="50" t="n">
        <x:v>7</x:v>
      </x:c>
      <x:c r="H1764" s="50" t="n">
        <x:v>4</x:v>
      </x:c>
      <x:c r="I1764" s="44" t="str">
        <x:v>07.04</x:v>
      </x:c>
      <x:c r="J1764" s="33" t="str">
        <x:v>Fatherly Love</x:v>
      </x:c>
      <x:c r="K1764" s="33" t="str"/>
      <x:c r="L1764" s="33" t="str"/>
      <x:c r="M1764" s="44" t="str"/>
      <x:c r="N1764" s="50" t="n">
        <x:v>48</x:v>
      </x:c>
      <x:c r="O1764" s="53" t="str">
        <x:v>When the body of a woman is pulled from the Thames after her car is found in suspicious circumstances, the victim's abusive ex-husband seems to be the prime suspect.</x:v>
      </x:c>
      <x:c r="P1764" s="53" t="str">
        <x:v>Law &amp; Order format/franchise</x:v>
      </x:c>
      <x:c r="Q1764" s="17" t="str">
        <x:v>392429</x:v>
      </x:c>
      <x:c r="R1764" s="17" t="str">
        <x:v>tt2610390</x:v>
      </x:c>
      <x:c r="S1764" s="17" t="str">
        <x:v>1301</x:v>
      </x:c>
    </x:row>
    <x:row r="1765">
      <x:c r="A1765" s="43" t="n">
        <x:v>1761</x:v>
      </x:c>
      <x:c r="B1765" s="44" t="str">
        <x:v>Not Started</x:v>
      </x:c>
      <x:c r="C1765" s="45" t="n">
        <x:v>41497</x:v>
      </x:c>
      <x:c r="D1765" s="33" t="str">
        <x:v>Law &amp; Order: UK</x:v>
      </x:c>
      <x:c r="E1765" s="33" t="str">
        <x:v>Law &amp; Order</x:v>
      </x:c>
      <x:c r="F1765" s="33" t="str">
        <x:v>core</x:v>
      </x:c>
      <x:c r="G1765" s="50" t="n">
        <x:v>7</x:v>
      </x:c>
      <x:c r="H1765" s="50" t="n">
        <x:v>5</x:v>
      </x:c>
      <x:c r="I1765" s="44" t="str">
        <x:v>07.05</x:v>
      </x:c>
      <x:c r="J1765" s="33" t="str">
        <x:v>Mortal</x:v>
      </x:c>
      <x:c r="K1765" s="33" t="str"/>
      <x:c r="L1765" s="33" t="str"/>
      <x:c r="M1765" s="44" t="str"/>
      <x:c r="N1765" s="50" t="n">
        <x:v>48</x:v>
      </x:c>
      <x:c r="O1765" s="53" t="str">
        <x:v>Following the suspect death of an old woman, Ronnie and Sam are lead to believe that the old woman's carer was to blame.</x:v>
      </x:c>
      <x:c r="P1765" s="53" t="str">
        <x:v>Law &amp; Order format/franchise</x:v>
      </x:c>
      <x:c r="Q1765" s="17" t="str">
        <x:v>392430</x:v>
      </x:c>
      <x:c r="R1765" s="17" t="str">
        <x:v>tt3009114</x:v>
      </x:c>
      <x:c r="S1765" s="17" t="str">
        <x:v>1302</x:v>
      </x:c>
    </x:row>
    <x:row r="1766">
      <x:c r="A1766" s="43" t="n">
        <x:v>1762</x:v>
      </x:c>
      <x:c r="B1766" s="44" t="str">
        <x:v>Not Started</x:v>
      </x:c>
      <x:c r="C1766" s="45" t="n">
        <x:v>41504</x:v>
      </x:c>
      <x:c r="D1766" s="33" t="str">
        <x:v>Law &amp; Order: UK</x:v>
      </x:c>
      <x:c r="E1766" s="33" t="str">
        <x:v>Law &amp; Order</x:v>
      </x:c>
      <x:c r="F1766" s="33" t="str">
        <x:v>core</x:v>
      </x:c>
      <x:c r="G1766" s="50" t="n">
        <x:v>7</x:v>
      </x:c>
      <x:c r="H1766" s="50" t="n">
        <x:v>6</x:v>
      </x:c>
      <x:c r="I1766" s="44" t="str">
        <x:v>07.06</x:v>
      </x:c>
      <x:c r="J1766" s="33" t="str">
        <x:v>Dependant</x:v>
      </x:c>
      <x:c r="K1766" s="33" t="str"/>
      <x:c r="L1766" s="33" t="str"/>
      <x:c r="M1766" s="44" t="str"/>
      <x:c r="N1766" s="50" t="n">
        <x:v>48</x:v>
      </x:c>
      <x:c r="O1766" s="53" t="str">
        <x:v>A gay father is found beaten to death and the son that he adopted with his partner is missing. In a race against time, Ronnie and Sam go on the hunt for the missing boy.</x:v>
      </x:c>
      <x:c r="P1766" s="53" t="str">
        <x:v>Law &amp; Order format/franchise</x:v>
      </x:c>
      <x:c r="Q1766" s="17" t="str">
        <x:v>392431</x:v>
      </x:c>
      <x:c r="R1766" s="17" t="str">
        <x:v>tt3009154</x:v>
      </x:c>
      <x:c r="S1766" s="17" t="str">
        <x:v>1303</x:v>
      </x:c>
    </x:row>
    <x:row r="1767">
      <x:c r="A1767" s="43" t="n">
        <x:v>1763</x:v>
      </x:c>
      <x:c r="B1767" s="44" t="str">
        <x:v>Not Started</x:v>
      </x:c>
      <x:c r="C1767" s="45" t="n">
        <x:v>41521</x:v>
      </x:c>
      <x:c r="D1767" s="33" t="str">
        <x:v>Cold Justice</x:v>
      </x:c>
      <x:c r="E1767" s="33" t="str">
        <x:v>Crossover Adjacent</x:v>
      </x:c>
      <x:c r="F1767" s="33" t="str">
        <x:v>complete</x:v>
      </x:c>
      <x:c r="G1767" s="50" t="n">
        <x:v>1</x:v>
      </x:c>
      <x:c r="H1767" s="50" t="n">
        <x:v>1</x:v>
      </x:c>
      <x:c r="I1767" s="44" t="str">
        <x:v>01.01</x:v>
      </x:c>
      <x:c r="J1767" s="33" t="str">
        <x:v>Small Town Suicide? (Cuero, TX)</x:v>
      </x:c>
      <x:c r="K1767" s="33" t="str"/>
      <x:c r="L1767" s="33" t="str"/>
      <x:c r="M1767" s="44" t="str"/>
      <x:c r="N1767" s="50" t="n">
        <x:v>42</x:v>
      </x:c>
      <x:c r="O1767" s="53" t="str">
        <x:v>Kelly and Yolanda travel to Cuero, TX, as they look to reopen a 2001 cold case and hope to discover if Pam Shelly was killed or if she committed suicide.</x:v>
      </x:c>
      <x:c r="P1767" s="53" t="str">
        <x:v>Wolf Entertainment unscripted true-crime series</x:v>
      </x:c>
      <x:c r="Q1767" s="17" t="str">
        <x:v>957952</x:v>
      </x:c>
      <x:c r="R1767" s="17" t="str">
        <x:v>tt3233230</x:v>
      </x:c>
      <x:c r="S1767" s="17" t="str"/>
    </x:row>
    <x:row r="1768">
      <x:c r="A1768" s="43" t="n">
        <x:v>1764</x:v>
      </x:c>
      <x:c r="B1768" s="44" t="str">
        <x:v>Not Started</x:v>
      </x:c>
      <x:c r="C1768" s="45" t="n">
        <x:v>41528</x:v>
      </x:c>
      <x:c r="D1768" s="33" t="str">
        <x:v>Cold Justice</x:v>
      </x:c>
      <x:c r="E1768" s="33" t="str">
        <x:v>Crossover Adjacent</x:v>
      </x:c>
      <x:c r="F1768" s="33" t="str">
        <x:v>complete</x:v>
      </x:c>
      <x:c r="G1768" s="50" t="n">
        <x:v>1</x:v>
      </x:c>
      <x:c r="H1768" s="50" t="n">
        <x:v>2</x:v>
      </x:c>
      <x:c r="I1768" s="44" t="str">
        <x:v>01.02</x:v>
      </x:c>
      <x:c r="J1768" s="33" t="str">
        <x:v>Mother (Morehouse Parish, LA)</x:v>
      </x:c>
      <x:c r="K1768" s="33" t="str"/>
      <x:c r="L1768" s="33" t="str"/>
      <x:c r="M1768" s="44" t="str"/>
      <x:c r="N1768" s="50" t="n">
        <x:v>42</x:v>
      </x:c>
      <x:c r="O1768" s="53" t="str">
        <x:v>Kelly and Yolanda travel to Morehouse Parish, LA, as they look to reopen a 2006 cold case and hope to discover new clues that help solve the murder of an active church member in the community.</x:v>
      </x:c>
      <x:c r="P1768" s="53" t="str">
        <x:v>Wolf Entertainment unscripted true-crime series</x:v>
      </x:c>
      <x:c r="Q1768" s="17" t="str">
        <x:v>957953</x:v>
      </x:c>
      <x:c r="R1768" s="17" t="str">
        <x:v>tt3233226</x:v>
      </x:c>
      <x:c r="S1768" s="17" t="str"/>
    </x:row>
    <x:row r="1769">
      <x:c r="A1769" s="43" t="n">
        <x:v>1765</x:v>
      </x:c>
      <x:c r="B1769" s="44" t="str">
        <x:v>Not Started</x:v>
      </x:c>
      <x:c r="C1769" s="45" t="n">
        <x:v>41535</x:v>
      </x:c>
      <x:c r="D1769" s="33" t="str">
        <x:v>Cold Justice</x:v>
      </x:c>
      <x:c r="E1769" s="33" t="str">
        <x:v>Crossover Adjacent</x:v>
      </x:c>
      <x:c r="F1769" s="33" t="str">
        <x:v>complete</x:v>
      </x:c>
      <x:c r="G1769" s="50" t="n">
        <x:v>1</x:v>
      </x:c>
      <x:c r="H1769" s="50" t="n">
        <x:v>3</x:v>
      </x:c>
      <x:c r="I1769" s="44" t="str">
        <x:v>01.03</x:v>
      </x:c>
      <x:c r="J1769" s="33" t="str">
        <x:v>Home Town Hero (Palacios, TX)</x:v>
      </x:c>
      <x:c r="K1769" s="33" t="str"/>
      <x:c r="L1769" s="33" t="str"/>
      <x:c r="M1769" s="44" t="str"/>
      <x:c r="N1769" s="50" t="n">
        <x:v>42</x:v>
      </x:c>
      <x:c r="O1769" s="53" t="str">
        <x:v>Kelly and Yolanda head to Palacios, TX, to look for new clues in the 1982 murder of a successful agricultural business owner.</x:v>
      </x:c>
      <x:c r="P1769" s="53" t="str">
        <x:v>Wolf Entertainment unscripted true-crime series</x:v>
      </x:c>
      <x:c r="Q1769" s="17" t="str">
        <x:v>957954</x:v>
      </x:c>
      <x:c r="R1769" s="17" t="str">
        <x:v>tt3233232</x:v>
      </x:c>
      <x:c r="S1769" s="17" t="str"/>
    </x:row>
    <x:row r="1770">
      <x:c r="A1770" s="43" t="n">
        <x:v>1766</x:v>
      </x:c>
      <x:c r="B1770" s="44" t="str">
        <x:v>Not Started</x:v>
      </x:c>
      <x:c r="C1770" s="45" t="n">
        <x:v>41542</x:v>
      </x:c>
      <x:c r="D1770" s="33" t="str">
        <x:v>Cold Justice</x:v>
      </x:c>
      <x:c r="E1770" s="33" t="str">
        <x:v>Crossover Adjacent</x:v>
      </x:c>
      <x:c r="F1770" s="33" t="str">
        <x:v>complete</x:v>
      </x:c>
      <x:c r="G1770" s="50" t="n">
        <x:v>1</x:v>
      </x:c>
      <x:c r="H1770" s="50" t="n">
        <x:v>4</x:v>
      </x:c>
      <x:c r="I1770" s="44" t="str">
        <x:v>01.04</x:v>
      </x:c>
      <x:c r="J1770" s="33" t="str">
        <x:v>Hit and Run (Globe, AZ)</x:v>
      </x:c>
      <x:c r="K1770" s="33" t="str"/>
      <x:c r="L1770" s="33" t="str"/>
      <x:c r="M1770" s="44" t="str"/>
      <x:c r="N1770" s="50" t="n">
        <x:v>42</x:v>
      </x:c>
      <x:c r="O1770" s="53" t="str">
        <x:v>Kelly and Yolanda travel to Globe, AZ, to search for clues about an apparent 1988 hit-and-run that may have been the result of a teenage dispute.</x:v>
      </x:c>
      <x:c r="P1770" s="53" t="str">
        <x:v>Wolf Entertainment unscripted true-crime series</x:v>
      </x:c>
      <x:c r="Q1770" s="17" t="str">
        <x:v>957955</x:v>
      </x:c>
      <x:c r="R1770" s="17" t="str">
        <x:v>tt3233234</x:v>
      </x:c>
      <x:c r="S1770" s="17" t="str"/>
    </x:row>
    <x:row r="1771">
      <x:c r="A1771" s="43" t="n">
        <x:v>1767</x:v>
      </x:c>
      <x:c r="B1771" s="44" t="str">
        <x:v>Not Started</x:v>
      </x:c>
      <x:c r="C1771" s="45" t="n">
        <x:v>41542</x:v>
      </x:c>
      <x:c r="D1771" s="33" t="str">
        <x:v>Chicago Fire</x:v>
      </x:c>
      <x:c r="E1771" s="33" t="str">
        <x:v>One Chicago</x:v>
      </x:c>
      <x:c r="F1771" s="33" t="str">
        <x:v>core</x:v>
      </x:c>
      <x:c r="G1771" s="50" t="n">
        <x:v>2</x:v>
      </x:c>
      <x:c r="H1771" s="50" t="n">
        <x:v>1</x:v>
      </x:c>
      <x:c r="I1771" s="44" t="str">
        <x:v>02.01</x:v>
      </x:c>
      <x:c r="J1771" s="33" t="str">
        <x:v>A Problem House</x:v>
      </x:c>
      <x:c r="K1771" s="33" t="str"/>
      <x:c r="L1771" s="33" t="str"/>
      <x:c r="M1771" s="44" t="str"/>
      <x:c r="N1771" s="50" t="n">
        <x:v>43</x:v>
      </x:c>
      <x:c r="O1771" s="53" t="str">
        <x:v>An arsonist targets Lt. Severide. Meanwhile, Station 51 is under scrutiny by Gail McLeod, a financial consultant for the city who is deciding if any firehouses should be closed. Mouch receives a visit from his Japanese girlfriend, Lt. Casey "celebrates the one-year anniversary of Andy's death, and Shay suspects Severide's paternity.</x:v>
      </x:c>
      <x:c r="P1771" s="53" t="str">
        <x:v>Core One Chicago franchise</x:v>
      </x:c>
      <x:c r="Q1771" s="17" t="str">
        <x:v>898422</x:v>
      </x:c>
      <x:c r="R1771" s="17" t="str">
        <x:v>tt2876042</x:v>
      </x:c>
      <x:c r="S1771" s="17" t="str"/>
    </x:row>
    <x:row r="1772">
      <x:c r="A1772" s="43" t="n">
        <x:v>1768</x:v>
      </x:c>
      <x:c r="B1772" s="44" t="str">
        <x:v>Not Started</x:v>
      </x:c>
      <x:c r="C1772" s="45" t="n">
        <x:v>41542</x:v>
      </x:c>
      <x:c r="D1772" s="33" t="str">
        <x:v>Law &amp; Order: Special Victims Unit</x:v>
      </x:c>
      <x:c r="E1772" s="33" t="str">
        <x:v>Law &amp; Order</x:v>
      </x:c>
      <x:c r="F1772" s="33" t="str">
        <x:v>core</x:v>
      </x:c>
      <x:c r="G1772" s="50" t="n">
        <x:v>15</x:v>
      </x:c>
      <x:c r="H1772" s="50" t="n">
        <x:v>1</x:v>
      </x:c>
      <x:c r="I1772" s="44" t="str">
        <x:v>15.01</x:v>
      </x:c>
      <x:c r="J1772" s="33" t="str">
        <x:v>Surrender Benson</x:v>
      </x:c>
      <x:c r="K1772" s="33" t="str"/>
      <x:c r="L1772" s="33" t="str"/>
      <x:c r="M1772" s="44" t="str"/>
      <x:c r="N1772" s="50" t="n">
        <x:v>43</x:v>
      </x:c>
      <x:c r="O1772" s="53" t="str">
        <x:v>The SVU squad searches for Detective Benson and her abductor.</x:v>
      </x:c>
      <x:c r="P1772" s="53" t="str">
        <x:v>Core Law &amp; Order franchise</x:v>
      </x:c>
      <x:c r="Q1772" s="17" t="str">
        <x:v>225260</x:v>
      </x:c>
      <x:c r="R1772" s="17" t="str">
        <x:v>tt2876044</x:v>
      </x:c>
      <x:c r="S1772" s="17" t="str">
        <x:v>1304</x:v>
      </x:c>
    </x:row>
    <x:row r="1773">
      <x:c r="A1773" s="43" t="n">
        <x:v>1769</x:v>
      </x:c>
      <x:c r="B1773" s="44" t="str">
        <x:v>Not Started</x:v>
      </x:c>
      <x:c r="C1773" s="45" t="n">
        <x:v>41542</x:v>
      </x:c>
      <x:c r="D1773" s="33" t="str">
        <x:v>Law &amp; Order: Special Victims Unit</x:v>
      </x:c>
      <x:c r="E1773" s="33" t="str">
        <x:v>Law &amp; Order</x:v>
      </x:c>
      <x:c r="F1773" s="33" t="str">
        <x:v>core</x:v>
      </x:c>
      <x:c r="G1773" s="50" t="n">
        <x:v>15</x:v>
      </x:c>
      <x:c r="H1773" s="50" t="n">
        <x:v>2</x:v>
      </x:c>
      <x:c r="I1773" s="44" t="str">
        <x:v>15.02</x:v>
      </x:c>
      <x:c r="J1773" s="33" t="str">
        <x:v>Imprisoned Lives</x:v>
      </x:c>
      <x:c r="K1773" s="33" t="str"/>
      <x:c r="L1773" s="33" t="str"/>
      <x:c r="M1773" s="44" t="str"/>
      <x:c r="N1773" s="50" t="n">
        <x:v>43</x:v>
      </x:c>
      <x:c r="O1773" s="53" t="str">
        <x:v>When a young boy is abandoned, the squad discovers more victims waiting to be rescued.</x:v>
      </x:c>
      <x:c r="P1773" s="53" t="str">
        <x:v>Core Law &amp; Order franchise</x:v>
      </x:c>
      <x:c r="Q1773" s="17" t="str">
        <x:v>225261</x:v>
      </x:c>
      <x:c r="R1773" s="17" t="str">
        <x:v>tt3172740</x:v>
      </x:c>
      <x:c r="S1773" s="17" t="str">
        <x:v>1305</x:v>
      </x:c>
    </x:row>
    <x:row r="1774">
      <x:c r="A1774" s="43" t="n">
        <x:v>1770</x:v>
      </x:c>
      <x:c r="B1774" s="44" t="str">
        <x:v>Not Started</x:v>
      </x:c>
      <x:c r="C1774" s="45" t="n">
        <x:v>41549</x:v>
      </x:c>
      <x:c r="D1774" s="33" t="str">
        <x:v>Cold Justice</x:v>
      </x:c>
      <x:c r="E1774" s="33" t="str">
        <x:v>Crossover Adjacent</x:v>
      </x:c>
      <x:c r="F1774" s="33" t="str">
        <x:v>complete</x:v>
      </x:c>
      <x:c r="G1774" s="50" t="n">
        <x:v>1</x:v>
      </x:c>
      <x:c r="H1774" s="50" t="n">
        <x:v>5</x:v>
      </x:c>
      <x:c r="I1774" s="44" t="str">
        <x:v>01.05</x:v>
      </x:c>
      <x:c r="J1774" s="33" t="str">
        <x:v>Hiding in Plain Sight (Dickson County, TN)</x:v>
      </x:c>
      <x:c r="K1774" s="33" t="str"/>
      <x:c r="L1774" s="33" t="str"/>
      <x:c r="M1774" s="44" t="str"/>
      <x:c r="N1774" s="50" t="n">
        <x:v>42</x:v>
      </x:c>
      <x:c r="O1774" s="53" t="str">
        <x:v>Kelly and Yolanda head to Dickson County, TN, to look for new clues that may help solve the 1998 murder of a likeable grocery story owner.</x:v>
      </x:c>
      <x:c r="P1774" s="53" t="str">
        <x:v>Wolf Entertainment unscripted true-crime series</x:v>
      </x:c>
      <x:c r="Q1774" s="17" t="str">
        <x:v>957956</x:v>
      </x:c>
      <x:c r="R1774" s="17" t="str">
        <x:v>tt3265924</x:v>
      </x:c>
      <x:c r="S1774" s="17" t="str"/>
    </x:row>
    <x:row r="1775">
      <x:c r="A1775" s="43" t="n">
        <x:v>1771</x:v>
      </x:c>
      <x:c r="B1775" s="44" t="str">
        <x:v>Not Started</x:v>
      </x:c>
      <x:c r="C1775" s="45" t="n">
        <x:v>41549</x:v>
      </x:c>
      <x:c r="D1775" s="33" t="str">
        <x:v>Chicago Fire</x:v>
      </x:c>
      <x:c r="E1775" s="33" t="str">
        <x:v>One Chicago</x:v>
      </x:c>
      <x:c r="F1775" s="33" t="str">
        <x:v>core</x:v>
      </x:c>
      <x:c r="G1775" s="50" t="n">
        <x:v>2</x:v>
      </x:c>
      <x:c r="H1775" s="50" t="n">
        <x:v>2</x:v>
      </x:c>
      <x:c r="I1775" s="44" t="str">
        <x:v>02.02</x:v>
      </x:c>
      <x:c r="J1775" s="33" t="str">
        <x:v>Prove It</x:v>
      </x:c>
      <x:c r="K1775" s="33" t="str"/>
      <x:c r="L1775" s="33" t="str"/>
      <x:c r="M1775" s="44" t="str"/>
      <x:c r="N1775" s="50" t="n">
        <x:v>43</x:v>
      </x:c>
      <x:c r="O1775" s="53" t="str">
        <x:v>In the wake of Heather's incident, Lt. Casey is having a hard time handling his newfound responsibilities. Lt. Severide is on edge dreading the next attack from the firehouse's arsonist. Meanwhile, with Renee back from her mother's, Severide knows he has to confront her about his paternity suspicions. Elsewhere, Mouch begins his campaign for union president and Shay and Dawson feel that they need to get out more.</x:v>
      </x:c>
      <x:c r="P1775" s="53" t="str">
        <x:v>Core One Chicago franchise</x:v>
      </x:c>
      <x:c r="Q1775" s="17" t="str">
        <x:v>898423</x:v>
      </x:c>
      <x:c r="R1775" s="17" t="str">
        <x:v>tt3168156</x:v>
      </x:c>
      <x:c r="S1775" s="17" t="str"/>
    </x:row>
    <x:row r="1776">
      <x:c r="A1776" s="43" t="n">
        <x:v>1772</x:v>
      </x:c>
      <x:c r="B1776" s="44" t="str">
        <x:v>Not Started</x:v>
      </x:c>
      <x:c r="C1776" s="45" t="n">
        <x:v>41549</x:v>
      </x:c>
      <x:c r="D1776" s="33" t="str">
        <x:v>Law &amp; Order: Special Victims Unit</x:v>
      </x:c>
      <x:c r="E1776" s="33" t="str">
        <x:v>Law &amp; Order</x:v>
      </x:c>
      <x:c r="F1776" s="33" t="str">
        <x:v>core</x:v>
      </x:c>
      <x:c r="G1776" s="50" t="n">
        <x:v>15</x:v>
      </x:c>
      <x:c r="H1776" s="50" t="n">
        <x:v>3</x:v>
      </x:c>
      <x:c r="I1776" s="44" t="str">
        <x:v>15.03</x:v>
      </x:c>
      <x:c r="J1776" s="33" t="str">
        <x:v>American Tragedy</x:v>
      </x:c>
      <x:c r="K1776" s="33" t="str"/>
      <x:c r="L1776" s="33" t="str"/>
      <x:c r="M1776" s="44" t="str"/>
      <x:c r="N1776" s="50" t="n">
        <x:v>43</x:v>
      </x:c>
      <x:c r="O1776" s="53" t="str">
        <x:v>As a series of rapes on the Upper West Side puts the city on edge, a celebrity chef fears she is the next victim when someone follows her home; Detective Benson has a hard time overcoming her traumatic ordeal.</x:v>
      </x:c>
      <x:c r="P1776" s="53" t="str">
        <x:v>Core Law &amp; Order franchise</x:v>
      </x:c>
      <x:c r="Q1776" s="17" t="str">
        <x:v>225262</x:v>
      </x:c>
      <x:c r="R1776" s="17" t="str">
        <x:v>tt3186484</x:v>
      </x:c>
      <x:c r="S1776" s="17" t="str">
        <x:v>1306</x:v>
      </x:c>
    </x:row>
    <x:row r="1777">
      <x:c r="A1777" s="43" t="n">
        <x:v>1773</x:v>
      </x:c>
      <x:c r="B1777" s="44" t="str">
        <x:v>Not Started</x:v>
      </x:c>
      <x:c r="C1777" s="45" t="n">
        <x:v>41556</x:v>
      </x:c>
      <x:c r="D1777" s="33" t="str">
        <x:v>Cold Justice</x:v>
      </x:c>
      <x:c r="E1777" s="33" t="str">
        <x:v>Crossover Adjacent</x:v>
      </x:c>
      <x:c r="F1777" s="33" t="str">
        <x:v>complete</x:v>
      </x:c>
      <x:c r="G1777" s="50" t="n">
        <x:v>1</x:v>
      </x:c>
      <x:c r="H1777" s="50" t="n">
        <x:v>6</x:v>
      </x:c>
      <x:c r="I1777" s="44" t="str">
        <x:v>01.06</x:v>
      </x:c>
      <x:c r="J1777" s="33" t="str">
        <x:v>Small Town Tragedy (Thatcher, AZ)</x:v>
      </x:c>
      <x:c r="K1777" s="33" t="str"/>
      <x:c r="L1777" s="33" t="str"/>
      <x:c r="M1777" s="44" t="str"/>
      <x:c r="N1777" s="50" t="n">
        <x:v>42</x:v>
      </x:c>
      <x:c r="O1777" s="53" t="str">
        <x:v>Kelly and Yolanda travel to Thatcher, AZ, to look for clues that may lead to resolution in the 1995 murder of a mother of two young children.</x:v>
      </x:c>
      <x:c r="P1777" s="53" t="str">
        <x:v>Wolf Entertainment unscripted true-crime series</x:v>
      </x:c>
      <x:c r="Q1777" s="17" t="str">
        <x:v>957957</x:v>
      </x:c>
      <x:c r="R1777" s="17" t="str">
        <x:v>tt3219100</x:v>
      </x:c>
      <x:c r="S1777" s="17" t="str"/>
    </x:row>
    <x:row r="1778">
      <x:c r="A1778" s="43" t="n">
        <x:v>1774</x:v>
      </x:c>
      <x:c r="B1778" s="44" t="str">
        <x:v>Not Started</x:v>
      </x:c>
      <x:c r="C1778" s="45" t="n">
        <x:v>41556</x:v>
      </x:c>
      <x:c r="D1778" s="33" t="str">
        <x:v>Chicago Fire</x:v>
      </x:c>
      <x:c r="E1778" s="33" t="str">
        <x:v>One Chicago</x:v>
      </x:c>
      <x:c r="F1778" s="33" t="str">
        <x:v>core</x:v>
      </x:c>
      <x:c r="G1778" s="50" t="n">
        <x:v>2</x:v>
      </x:c>
      <x:c r="H1778" s="50" t="n">
        <x:v>3</x:v>
      </x:c>
      <x:c r="I1778" s="44" t="str">
        <x:v>02.03</x:v>
      </x:c>
      <x:c r="J1778" s="33" t="str">
        <x:v>Defcon 1</x:v>
      </x:c>
      <x:c r="K1778" s="33" t="str"/>
      <x:c r="L1778" s="33" t="str"/>
      <x:c r="M1778" s="44" t="str"/>
      <x:c r="N1778" s="50" t="n">
        <x:v>42</x:v>
      </x:c>
      <x:c r="O1778" s="53" t="str">
        <x:v>Lt. Severide has his strong ideas on who the serial arsonist is, but first needs to find proof to back up his suspicions. Meanwhile, Lt. Casey adjusts to his new lifestyle in the wake of recent events and Molly's bar is failing, much to the dismay of owners Hermann, Dawson and Otis. Elsewhere, Dawson goes out on a date with Jay Halstead, one of the bar regulars, and Mouch's campaign trail starts to get on track with the aid of Isabella, an old friend of Dawson's.</x:v>
      </x:c>
      <x:c r="P1778" s="53" t="str">
        <x:v>Core One Chicago franchise</x:v>
      </x:c>
      <x:c r="Q1778" s="17" t="str">
        <x:v>898424</x:v>
      </x:c>
      <x:c r="R1778" s="17" t="str">
        <x:v>tt3168160</x:v>
      </x:c>
      <x:c r="S1778" s="17" t="str"/>
    </x:row>
    <x:row r="1779">
      <x:c r="A1779" s="43" t="n">
        <x:v>1775</x:v>
      </x:c>
      <x:c r="B1779" s="44" t="str">
        <x:v>Not Started</x:v>
      </x:c>
      <x:c r="C1779" s="45" t="n">
        <x:v>41556</x:v>
      </x:c>
      <x:c r="D1779" s="33" t="str">
        <x:v>Law &amp; Order: Special Victims Unit</x:v>
      </x:c>
      <x:c r="E1779" s="33" t="str">
        <x:v>Law &amp; Order</x:v>
      </x:c>
      <x:c r="F1779" s="33" t="str">
        <x:v>core</x:v>
      </x:c>
      <x:c r="G1779" s="50" t="n">
        <x:v>15</x:v>
      </x:c>
      <x:c r="H1779" s="50" t="n">
        <x:v>4</x:v>
      </x:c>
      <x:c r="I1779" s="44" t="str">
        <x:v>15.04</x:v>
      </x:c>
      <x:c r="J1779" s="33" t="str">
        <x:v>Internal Affairs</x:v>
      </x:c>
      <x:c r="K1779" s="33" t="str"/>
      <x:c r="L1779" s="33" t="str"/>
      <x:c r="M1779" s="44" t="str"/>
      <x:c r="N1779" s="50" t="n">
        <x:v>43</x:v>
      </x:c>
      <x:c r="O1779" s="53" t="str">
        <x:v>When Officer Michael Groves ends up in a psych ward after leveling accusations at the 12th Precinct, Internal Affairs asks the team to help investigate.</x:v>
      </x:c>
      <x:c r="P1779" s="53" t="str">
        <x:v>Core Law &amp; Order franchise</x:v>
      </x:c>
      <x:c r="Q1779" s="17" t="str">
        <x:v>225263</x:v>
      </x:c>
      <x:c r="R1779" s="17" t="str">
        <x:v>tt3205454</x:v>
      </x:c>
      <x:c r="S1779" s="17" t="str">
        <x:v>1307</x:v>
      </x:c>
    </x:row>
    <x:row r="1780">
      <x:c r="A1780" s="43" t="n">
        <x:v>1776</x:v>
      </x:c>
      <x:c r="B1780" s="44" t="str">
        <x:v>Not Started</x:v>
      </x:c>
      <x:c r="C1780" s="45" t="n">
        <x:v>41563</x:v>
      </x:c>
      <x:c r="D1780" s="33" t="str">
        <x:v>Cold Justice</x:v>
      </x:c>
      <x:c r="E1780" s="33" t="str">
        <x:v>Crossover Adjacent</x:v>
      </x:c>
      <x:c r="F1780" s="33" t="str">
        <x:v>complete</x:v>
      </x:c>
      <x:c r="G1780" s="50" t="n">
        <x:v>1</x:v>
      </x:c>
      <x:c r="H1780" s="50" t="n">
        <x:v>7</x:v>
      </x:c>
      <x:c r="I1780" s="44" t="str">
        <x:v>01.07</x:v>
      </x:c>
      <x:c r="J1780" s="33" t="str">
        <x:v>Hatchet (Sandusky County, OH)</x:v>
      </x:c>
      <x:c r="K1780" s="33" t="str"/>
      <x:c r="L1780" s="33" t="str"/>
      <x:c r="M1780" s="44" t="str"/>
      <x:c r="N1780" s="50" t="n">
        <x:v>42</x:v>
      </x:c>
      <x:c r="O1780" s="53" t="str">
        <x:v>Kelly and Yolanda travel to Sandusky County, OH, to search for new information that may help solve the 1988 murder of a 49-year-old mother of six, who was killed with a hatchet.</x:v>
      </x:c>
      <x:c r="P1780" s="53" t="str">
        <x:v>Wolf Entertainment unscripted true-crime series</x:v>
      </x:c>
      <x:c r="Q1780" s="17" t="str">
        <x:v>957958</x:v>
      </x:c>
      <x:c r="R1780" s="17" t="str">
        <x:v>tt3219102</x:v>
      </x:c>
      <x:c r="S1780" s="17" t="str"/>
    </x:row>
    <x:row r="1781">
      <x:c r="A1781" s="43" t="n">
        <x:v>1777</x:v>
      </x:c>
      <x:c r="B1781" s="44" t="str">
        <x:v>Not Started</x:v>
      </x:c>
      <x:c r="C1781" s="45" t="n">
        <x:v>41563</x:v>
      </x:c>
      <x:c r="D1781" s="33" t="str">
        <x:v>Chicago Fire</x:v>
      </x:c>
      <x:c r="E1781" s="33" t="str">
        <x:v>One Chicago</x:v>
      </x:c>
      <x:c r="F1781" s="33" t="str">
        <x:v>core</x:v>
      </x:c>
      <x:c r="G1781" s="50" t="n">
        <x:v>2</x:v>
      </x:c>
      <x:c r="H1781" s="50" t="n">
        <x:v>4</x:v>
      </x:c>
      <x:c r="I1781" s="44" t="str">
        <x:v>02.04</x:v>
      </x:c>
      <x:c r="J1781" s="33" t="str">
        <x:v>A Nuisance Call</x:v>
      </x:c>
      <x:c r="K1781" s="33" t="str"/>
      <x:c r="L1781" s="33" t="str"/>
      <x:c r="M1781" s="44" t="str"/>
      <x:c r="N1781" s="50" t="n">
        <x:v>43</x:v>
      </x:c>
      <x:c r="O1781" s="53" t="str">
        <x:v>Lieutenant Severide is anxious to implicate the serial arsonist, while Dawson and Shay get a shock on a routine call. Meanwhile, suspicions continue to point to Clarke as the mole inside the firehouse and Molly's falls deeper into the red. Elsewhere, Mouch campaigns for union president, with the aid of Isabella, and Boden butts heads with Gail McLeod.</x:v>
      </x:c>
      <x:c r="P1781" s="53" t="str">
        <x:v>Core One Chicago franchise</x:v>
      </x:c>
      <x:c r="Q1781" s="17" t="str">
        <x:v>898425</x:v>
      </x:c>
      <x:c r="R1781" s="17" t="str">
        <x:v>tt3168162</x:v>
      </x:c>
      <x:c r="S1781" s="17" t="str"/>
    </x:row>
    <x:row r="1782">
      <x:c r="A1782" s="43" t="n">
        <x:v>1778</x:v>
      </x:c>
      <x:c r="B1782" s="44" t="str">
        <x:v>Not Started</x:v>
      </x:c>
      <x:c r="C1782" s="45" t="n">
        <x:v>41563</x:v>
      </x:c>
      <x:c r="D1782" s="33" t="str">
        <x:v>Law &amp; Order: Special Victims Unit</x:v>
      </x:c>
      <x:c r="E1782" s="33" t="str">
        <x:v>Law &amp; Order</x:v>
      </x:c>
      <x:c r="F1782" s="33" t="str">
        <x:v>core</x:v>
      </x:c>
      <x:c r="G1782" s="50" t="n">
        <x:v>15</x:v>
      </x:c>
      <x:c r="H1782" s="50" t="n">
        <x:v>5</x:v>
      </x:c>
      <x:c r="I1782" s="44" t="str">
        <x:v>15.05</x:v>
      </x:c>
      <x:c r="J1782" s="33" t="str">
        <x:v>Wonderland Story</x:v>
      </x:c>
      <x:c r="K1782" s="33" t="str"/>
      <x:c r="L1782" s="33" t="str"/>
      <x:c r="M1782" s="44" t="str"/>
      <x:c r="N1782" s="50" t="n">
        <x:v>43</x:v>
      </x:c>
      <x:c r="O1782" s="53" t="str">
        <x:v>Investigation into the suspected rape of a woman Benson helped earlier leads to a cybermogul. The team bids farewell to Munch.</x:v>
      </x:c>
      <x:c r="P1782" s="53" t="str">
        <x:v>Core Law &amp; Order franchise</x:v>
      </x:c>
      <x:c r="Q1782" s="17" t="str">
        <x:v>225264</x:v>
      </x:c>
      <x:c r="R1782" s="17" t="str">
        <x:v>tt3219646</x:v>
      </x:c>
      <x:c r="S1782" s="17" t="str">
        <x:v>1308</x:v>
      </x:c>
    </x:row>
    <x:row r="1783">
      <x:c r="A1783" s="43" t="n">
        <x:v>1779</x:v>
      </x:c>
      <x:c r="B1783" s="44" t="str">
        <x:v>Not Started</x:v>
      </x:c>
      <x:c r="C1783" s="45" t="n">
        <x:v>41570</x:v>
      </x:c>
      <x:c r="D1783" s="33" t="str">
        <x:v>Cold Justice</x:v>
      </x:c>
      <x:c r="E1783" s="33" t="str">
        <x:v>Crossover Adjacent</x:v>
      </x:c>
      <x:c r="F1783" s="33" t="str">
        <x:v>complete</x:v>
      </x:c>
      <x:c r="G1783" s="50" t="n">
        <x:v>1</x:v>
      </x:c>
      <x:c r="H1783" s="50" t="n">
        <x:v>8</x:v>
      </x:c>
      <x:c r="I1783" s="44" t="str">
        <x:v>01.08</x:v>
      </x:c>
      <x:c r="J1783" s="33" t="str">
        <x:v>Blind Love (Gaines County, TX)</x:v>
      </x:c>
      <x:c r="K1783" s="33" t="str"/>
      <x:c r="L1783" s="33" t="str"/>
      <x:c r="M1783" s="44" t="str"/>
      <x:c r="N1783" s="50" t="n">
        <x:v>42</x:v>
      </x:c>
      <x:c r="O1783" s="53" t="str">
        <x:v>Kelly and Yolanda head to Gaines County, TX, to search for new clues to help solve the 2008 murder of well-liked feed plant worker.</x:v>
      </x:c>
      <x:c r="P1783" s="53" t="str">
        <x:v>Wolf Entertainment unscripted true-crime series</x:v>
      </x:c>
      <x:c r="Q1783" s="17" t="str">
        <x:v>957959</x:v>
      </x:c>
      <x:c r="R1783" s="17" t="str">
        <x:v>tt3219104</x:v>
      </x:c>
      <x:c r="S1783" s="17" t="str"/>
    </x:row>
    <x:row r="1784">
      <x:c r="A1784" s="43" t="n">
        <x:v>1780</x:v>
      </x:c>
      <x:c r="B1784" s="44" t="str">
        <x:v>Not Started</x:v>
      </x:c>
      <x:c r="C1784" s="45" t="n">
        <x:v>41570</x:v>
      </x:c>
      <x:c r="D1784" s="33" t="str">
        <x:v>Chicago Fire</x:v>
      </x:c>
      <x:c r="E1784" s="33" t="str">
        <x:v>One Chicago</x:v>
      </x:c>
      <x:c r="F1784" s="33" t="str">
        <x:v>core</x:v>
      </x:c>
      <x:c r="G1784" s="50" t="n">
        <x:v>2</x:v>
      </x:c>
      <x:c r="H1784" s="50" t="n">
        <x:v>5</x:v>
      </x:c>
      <x:c r="I1784" s="44" t="str">
        <x:v>02.05</x:v>
      </x:c>
      <x:c r="J1784" s="33" t="str">
        <x:v>A Power Move</x:v>
      </x:c>
      <x:c r="K1784" s="33" t="str"/>
      <x:c r="L1784" s="33" t="str"/>
      <x:c r="M1784" s="44" t="str"/>
      <x:c r="N1784" s="50" t="n">
        <x:v>43</x:v>
      </x:c>
      <x:c r="O1784" s="53" t="str">
        <x:v>Boden's future with Firehouse 51 is on the line and McLeod keeps on him about his past wrongdoings, pushing him toward an early retirement. With Boden considering his options, McLeod calls on an unlikely candidate to potentially replace him as Chief. Meanwhile, it becomes clearer who the mole inside the firehouse is and everyone takes measures to make their disdain for him known. Meanwhile, Shay's social life is in full bloom and Arthur continues to take money from the struggling Molly's.</x:v>
      </x:c>
      <x:c r="P1784" s="53" t="str">
        <x:v>Core One Chicago franchise</x:v>
      </x:c>
      <x:c r="Q1784" s="17" t="str">
        <x:v>898426</x:v>
      </x:c>
      <x:c r="R1784" s="17" t="str">
        <x:v>tt3168158</x:v>
      </x:c>
      <x:c r="S1784" s="17" t="str"/>
    </x:row>
    <x:row r="1785">
      <x:c r="A1785" s="43" t="n">
        <x:v>1781</x:v>
      </x:c>
      <x:c r="B1785" s="44" t="str">
        <x:v>Not Started</x:v>
      </x:c>
      <x:c r="C1785" s="45" t="n">
        <x:v>41570</x:v>
      </x:c>
      <x:c r="D1785" s="33" t="str">
        <x:v>Law &amp; Order: Special Victims Unit</x:v>
      </x:c>
      <x:c r="E1785" s="33" t="str">
        <x:v>Law &amp; Order</x:v>
      </x:c>
      <x:c r="F1785" s="33" t="str">
        <x:v>core</x:v>
      </x:c>
      <x:c r="G1785" s="50" t="n">
        <x:v>15</x:v>
      </x:c>
      <x:c r="H1785" s="50" t="n">
        <x:v>6</x:v>
      </x:c>
      <x:c r="I1785" s="44" t="str">
        <x:v>15.06</x:v>
      </x:c>
      <x:c r="J1785" s="33" t="str">
        <x:v>October Surprise</x:v>
      </x:c>
      <x:c r="K1785" s="33" t="str"/>
      <x:c r="L1785" s="33" t="str"/>
      <x:c r="M1785" s="44" t="str"/>
      <x:c r="N1785" s="50" t="n">
        <x:v>43</x:v>
      </x:c>
      <x:c r="O1785" s="53" t="str">
        <x:v>ADA Barba finds that a friend -- with a connection to a mayoral candidate front runner -- is accused of rape.</x:v>
      </x:c>
      <x:c r="P1785" s="53" t="str">
        <x:v>Core Law &amp; Order franchise</x:v>
      </x:c>
      <x:c r="Q1785" s="17" t="str">
        <x:v>225265</x:v>
      </x:c>
      <x:c r="R1785" s="17" t="str">
        <x:v>tt3250412</x:v>
      </x:c>
      <x:c r="S1785" s="17" t="str">
        <x:v>1309</x:v>
      </x:c>
    </x:row>
    <x:row r="1786">
      <x:c r="A1786" s="43" t="n">
        <x:v>1782</x:v>
      </x:c>
      <x:c r="B1786" s="44" t="str">
        <x:v>Not Started</x:v>
      </x:c>
      <x:c r="C1786" s="45" t="n">
        <x:v>41584</x:v>
      </x:c>
      <x:c r="D1786" s="33" t="str">
        <x:v>Law &amp; Order: Special Victims Unit</x:v>
      </x:c>
      <x:c r="E1786" s="33" t="str">
        <x:v>Law &amp; Order</x:v>
      </x:c>
      <x:c r="F1786" s="33" t="str">
        <x:v>core</x:v>
      </x:c>
      <x:c r="G1786" s="50" t="n">
        <x:v>15</x:v>
      </x:c>
      <x:c r="H1786" s="50" t="n">
        <x:v>7</x:v>
      </x:c>
      <x:c r="I1786" s="44" t="str">
        <x:v>15.07</x:v>
      </x:c>
      <x:c r="J1786" s="33" t="str">
        <x:v>Dissonant Voices</x:v>
      </x:c>
      <x:c r="K1786" s="33" t="str"/>
      <x:c r="L1786" s="33" t="str"/>
      <x:c r="M1786" s="44" t="str"/>
      <x:c r="N1786" s="50" t="n">
        <x:v>43</x:v>
      </x:c>
      <x:c r="O1786" s="53" t="str">
        <x:v>A four-year-old student makes claims of sexual abuse against a singing coach and popular TV personality.</x:v>
      </x:c>
      <x:c r="P1786" s="53" t="str">
        <x:v>Core Law &amp; Order franchise</x:v>
      </x:c>
      <x:c r="Q1786" s="17" t="str">
        <x:v>225266</x:v>
      </x:c>
      <x:c r="R1786" s="17" t="str">
        <x:v>tt3255192</x:v>
      </x:c>
      <x:c r="S1786" s="17" t="str">
        <x:v>1310</x:v>
      </x:c>
    </x:row>
    <x:row r="1787">
      <x:c r="A1787" s="43" t="n">
        <x:v>1783</x:v>
      </x:c>
      <x:c r="B1787" s="44" t="str">
        <x:v>Not Started</x:v>
      </x:c>
      <x:c r="C1787" s="45" t="n">
        <x:v>41591</x:v>
      </x:c>
      <x:c r="D1787" s="33" t="str">
        <x:v>Chicago Fire</x:v>
      </x:c>
      <x:c r="E1787" s="33" t="str">
        <x:v>One Chicago</x:v>
      </x:c>
      <x:c r="F1787" s="33" t="str">
        <x:v>core</x:v>
      </x:c>
      <x:c r="G1787" s="50" t="n">
        <x:v>2</x:v>
      </x:c>
      <x:c r="H1787" s="50" t="n">
        <x:v>6</x:v>
      </x:c>
      <x:c r="I1787" s="44" t="str">
        <x:v>02.06</x:v>
      </x:c>
      <x:c r="J1787" s="33" t="str">
        <x:v>Joyriding</x:v>
      </x:c>
      <x:c r="K1787" s="33" t="str"/>
      <x:c r="L1787" s="33" t="str"/>
      <x:c r="M1787" s="44" t="str"/>
      <x:c r="N1787" s="50" t="n">
        <x:v>43</x:v>
      </x:c>
      <x:c r="O1787" s="53" t="str">
        <x:v>While out on a jog, Severide comes across a secluded and empty construction site and encounters a young boy who has been trapped in a backhoe loader and is in dire need of assistance. Boden and McLeod continue to butt heads about the future of the firehouse and Boden breaks news about his future to Casey. Meanwhile, it's election day for the union presidency and Mouch and Greg Sullivan have a debate on Otis' podcast. With rival bar Game Day's future in peril, the finger is being pointed at Molly's.</x:v>
      </x:c>
      <x:c r="P1787" s="53" t="str">
        <x:v>Core One Chicago franchise</x:v>
      </x:c>
      <x:c r="Q1787" s="17" t="str">
        <x:v>898427</x:v>
      </x:c>
      <x:c r="R1787" s="17" t="str">
        <x:v>tt3168164</x:v>
      </x:c>
      <x:c r="S1787" s="17" t="str"/>
    </x:row>
    <x:row r="1788">
      <x:c r="A1788" s="43" t="n">
        <x:v>1784</x:v>
      </x:c>
      <x:c r="B1788" s="44" t="str">
        <x:v>Not Started</x:v>
      </x:c>
      <x:c r="C1788" s="45" t="n">
        <x:v>41591</x:v>
      </x:c>
      <x:c r="D1788" s="33" t="str">
        <x:v>Law &amp; Order: Special Victims Unit</x:v>
      </x:c>
      <x:c r="E1788" s="33" t="str">
        <x:v>Law &amp; Order</x:v>
      </x:c>
      <x:c r="F1788" s="33" t="str">
        <x:v>core</x:v>
      </x:c>
      <x:c r="G1788" s="50" t="n">
        <x:v>15</x:v>
      </x:c>
      <x:c r="H1788" s="50" t="n">
        <x:v>8</x:v>
      </x:c>
      <x:c r="I1788" s="44" t="str">
        <x:v>15.08</x:v>
      </x:c>
      <x:c r="J1788" s="33" t="str">
        <x:v>Military Justice</x:v>
      </x:c>
      <x:c r="K1788" s="33" t="str"/>
      <x:c r="L1788" s="33" t="str"/>
      <x:c r="M1788" s="44" t="str"/>
      <x:c r="N1788" s="50" t="n">
        <x:v>43</x:v>
      </x:c>
      <x:c r="O1788" s="53" t="str">
        <x:v>A military officer who was gang raped refuses to cooperate with the SVU for fear of damage to her reputation; Amaro asks his ex to help dig up information on the case.</x:v>
      </x:c>
      <x:c r="P1788" s="53" t="str">
        <x:v>Core Law &amp; Order franchise</x:v>
      </x:c>
      <x:c r="Q1788" s="17" t="str">
        <x:v>225267</x:v>
      </x:c>
      <x:c r="R1788" s="17" t="str">
        <x:v>tt3272042</x:v>
      </x:c>
      <x:c r="S1788" s="17" t="str">
        <x:v>1311</x:v>
      </x:c>
    </x:row>
    <x:row r="1789">
      <x:c r="A1789" s="43" t="n">
        <x:v>1785</x:v>
      </x:c>
      <x:c r="B1789" s="44" t="str">
        <x:v>Not Started</x:v>
      </x:c>
      <x:c r="C1789" s="45" t="n">
        <x:v>41598</x:v>
      </x:c>
      <x:c r="D1789" s="33" t="str">
        <x:v>Chicago Fire</x:v>
      </x:c>
      <x:c r="E1789" s="33" t="str">
        <x:v>One Chicago</x:v>
      </x:c>
      <x:c r="F1789" s="33" t="str">
        <x:v>core</x:v>
      </x:c>
      <x:c r="G1789" s="50" t="n">
        <x:v>2</x:v>
      </x:c>
      <x:c r="H1789" s="50" t="n">
        <x:v>7</x:v>
      </x:c>
      <x:c r="I1789" s="44" t="str">
        <x:v>02.07</x:v>
      </x:c>
      <x:c r="J1789" s="33" t="str">
        <x:v>No Regrets</x:v>
      </x:c>
      <x:c r="K1789" s="33" t="str"/>
      <x:c r="L1789" s="33" t="str"/>
      <x:c r="M1789" s="44" t="str"/>
      <x:c r="N1789" s="50" t="n">
        <x:v>43</x:v>
      </x:c>
      <x:c r="O1789" s="53" t="str">
        <x:v>When a tanker collides into a commuter train that subsequently crashes into a warehouse, the firehouse is called to the horrific scene that tests everyone to the limits as life and death hangs in the balance. With the ultimatum in place for him or the firehouse, Boden is tasked with making life-changing decisions regarding his future. Severide learns more about Katie, the young woman he saw with his father. Meanwhile, Shay and Dawson are still at odds and Casey’s responsibility of being a surrogate father takes a sharp turn.</x:v>
      </x:c>
      <x:c r="P1789" s="53" t="str">
        <x:v>Core One Chicago franchise</x:v>
      </x:c>
      <x:c r="Q1789" s="17" t="str">
        <x:v>898428</x:v>
      </x:c>
      <x:c r="R1789" s="17" t="str">
        <x:v>tt3168166</x:v>
      </x:c>
      <x:c r="S1789" s="17" t="str"/>
    </x:row>
    <x:row r="1790">
      <x:c r="A1790" s="43" t="n">
        <x:v>1786</x:v>
      </x:c>
      <x:c r="B1790" s="44" t="str">
        <x:v>Not Started</x:v>
      </x:c>
      <x:c r="C1790" s="45" t="n">
        <x:v>41598</x:v>
      </x:c>
      <x:c r="D1790" s="33" t="str">
        <x:v>Law &amp; Order: Special Victims Unit</x:v>
      </x:c>
      <x:c r="E1790" s="33" t="str">
        <x:v>Law &amp; Order</x:v>
      </x:c>
      <x:c r="F1790" s="33" t="str">
        <x:v>core</x:v>
      </x:c>
      <x:c r="G1790" s="50" t="n">
        <x:v>15</x:v>
      </x:c>
      <x:c r="H1790" s="50" t="n">
        <x:v>9</x:v>
      </x:c>
      <x:c r="I1790" s="44" t="str">
        <x:v>15.09</x:v>
      </x:c>
      <x:c r="J1790" s="33" t="str">
        <x:v>Rapist Anonymous</x:v>
      </x:c>
      <x:c r="K1790" s="33" t="str"/>
      <x:c r="L1790" s="33" t="str"/>
      <x:c r="M1790" s="44" t="str"/>
      <x:c r="N1790" s="50" t="n">
        <x:v>43</x:v>
      </x:c>
      <x:c r="O1790" s="53" t="str">
        <x:v>When Rollins tries to help a friend press rape charges against her lover, she finds herself thrust into the middle of the case.</x:v>
      </x:c>
      <x:c r="P1790" s="53" t="str">
        <x:v>Core Law &amp; Order franchise</x:v>
      </x:c>
      <x:c r="Q1790" s="17" t="str">
        <x:v>225268</x:v>
      </x:c>
      <x:c r="R1790" s="17" t="str">
        <x:v>tt3305432</x:v>
      </x:c>
      <x:c r="S1790" s="17" t="str">
        <x:v>1312</x:v>
      </x:c>
    </x:row>
    <x:row r="1791">
      <x:c r="A1791" s="43" t="n">
        <x:v>1787</x:v>
      </x:c>
      <x:c r="B1791" s="44" t="str">
        <x:v>Not Started</x:v>
      </x:c>
      <x:c r="C1791" s="45" t="n">
        <x:v>41605</x:v>
      </x:c>
      <x:c r="D1791" s="33" t="str">
        <x:v>Chicago Fire</x:v>
      </x:c>
      <x:c r="E1791" s="33" t="str">
        <x:v>One Chicago</x:v>
      </x:c>
      <x:c r="F1791" s="33" t="str">
        <x:v>core</x:v>
      </x:c>
      <x:c r="G1791" s="50" t="n">
        <x:v>2</x:v>
      </x:c>
      <x:c r="H1791" s="50" t="n">
        <x:v>8</x:v>
      </x:c>
      <x:c r="I1791" s="44" t="str">
        <x:v>02.08</x:v>
      </x:c>
      <x:c r="J1791" s="33" t="str">
        <x:v>Rhymes with Shout</x:v>
      </x:c>
      <x:c r="K1791" s="33" t="str"/>
      <x:c r="L1791" s="33" t="str"/>
      <x:c r="M1791" s="44" t="str"/>
      <x:c r="N1791" s="50" t="n">
        <x:v>43</x:v>
      </x:c>
      <x:c r="O1791" s="53" t="str">
        <x:v>When the shooting of a young girl happens in their neighborhood, Cruz and his brother, Leon are forced to think about the gang they have tried to escape. The battle between Chief Boden and McLeod continues to escalate and Isabella convinces Mills to dress up for a fancy gala. Meanwhile, Lt. Casey is sad Dawson won't be coming by as much now that his parental duties are over, Shay is fed up with the firehouse and digs in deeper with Devon and Zoya's visa is expiring, prompting her to come up with an idea.</x:v>
      </x:c>
      <x:c r="P1791" s="53" t="str">
        <x:v>Core One Chicago franchise</x:v>
      </x:c>
      <x:c r="Q1791" s="17" t="str">
        <x:v>898429</x:v>
      </x:c>
      <x:c r="R1791" s="17" t="str">
        <x:v>tt3168170</x:v>
      </x:c>
      <x:c r="S1791" s="17" t="str"/>
    </x:row>
    <x:row r="1792">
      <x:c r="A1792" s="43" t="n">
        <x:v>1788</x:v>
      </x:c>
      <x:c r="B1792" s="44" t="str">
        <x:v>Not Started</x:v>
      </x:c>
      <x:c r="C1792" s="45" t="n">
        <x:v>41612</x:v>
      </x:c>
      <x:c r="D1792" s="33" t="str">
        <x:v>Chicago Fire</x:v>
      </x:c>
      <x:c r="E1792" s="33" t="str">
        <x:v>One Chicago</x:v>
      </x:c>
      <x:c r="F1792" s="33" t="str">
        <x:v>core</x:v>
      </x:c>
      <x:c r="G1792" s="50" t="n">
        <x:v>2</x:v>
      </x:c>
      <x:c r="H1792" s="50" t="n">
        <x:v>9</x:v>
      </x:c>
      <x:c r="I1792" s="44" t="str">
        <x:v>02.09</x:v>
      </x:c>
      <x:c r="J1792" s="33" t="str">
        <x:v>You Will Hurt Him</x:v>
      </x:c>
      <x:c r="K1792" s="33" t="str"/>
      <x:c r="L1792" s="33" t="str"/>
      <x:c r="M1792" s="44" t="str"/>
      <x:c r="N1792" s="50" t="n">
        <x:v>42</x:v>
      </x:c>
      <x:c r="O1792" s="53" t="str">
        <x:v>Chief Boden prepares to counterattack McLeod in a final effort to save the firehouse from closure and the romance between Dawson and Casey escalates. Leon is making progress in the gang murder investigation, but Cruz cannot stand being left in the dark by Voight, fearing for his brother's safety. Meanwhile, Severide and Katie bond to make up for lost time and Otis feels uncomfortable living with Severide and Shay after Devon's latest escapade.</x:v>
      </x:c>
      <x:c r="P1792" s="53" t="str">
        <x:v>Core One Chicago franchise</x:v>
      </x:c>
      <x:c r="Q1792" s="17" t="str">
        <x:v>898430</x:v>
      </x:c>
      <x:c r="R1792" s="17" t="str">
        <x:v>tt3168172</x:v>
      </x:c>
      <x:c r="S1792" s="17" t="str"/>
    </x:row>
    <x:row r="1793">
      <x:c r="A1793" s="43" t="n">
        <x:v>1789</x:v>
      </x:c>
      <x:c r="B1793" s="44" t="str">
        <x:v>Not Started</x:v>
      </x:c>
      <x:c r="C1793" s="45" t="n">
        <x:v>41619</x:v>
      </x:c>
      <x:c r="D1793" s="33" t="str">
        <x:v>Chicago Fire</x:v>
      </x:c>
      <x:c r="E1793" s="33" t="str">
        <x:v>One Chicago</x:v>
      </x:c>
      <x:c r="F1793" s="33" t="str">
        <x:v>core</x:v>
      </x:c>
      <x:c r="G1793" s="50" t="n">
        <x:v>2</x:v>
      </x:c>
      <x:c r="H1793" s="50" t="n">
        <x:v>10</x:v>
      </x:c>
      <x:c r="I1793" s="44" t="str">
        <x:v>02.10</x:v>
      </x:c>
      <x:c r="J1793" s="33" t="str">
        <x:v>Not Like This</x:v>
      </x:c>
      <x:c r="K1793" s="33" t="str"/>
      <x:c r="L1793" s="33" t="str"/>
      <x:c r="M1793" s="44" t="str"/>
      <x:c r="N1793" s="50" t="n">
        <x:v>42</x:v>
      </x:c>
      <x:c r="O1793" s="53" t="str">
        <x:v>All seems lost with firehouse 51 on the verge of closing its’ doors, thanks in no small part to Gail McLeod, but Chief Boden and the rest of the house refuse to allow themselves to sit by and let it happen. An emergency call to an apartment structure fire tests everyone’s limits and puts the squad in harm’s way. Meanwhile, Dawson receives some life-changing news and union president Greg Sullivan makes headlines, which has an immediate impact on Mouch.</x:v>
      </x:c>
      <x:c r="P1793" s="53" t="str">
        <x:v>Core One Chicago franchise</x:v>
      </x:c>
      <x:c r="Q1793" s="17" t="str">
        <x:v>898431</x:v>
      </x:c>
      <x:c r="R1793" s="17" t="str">
        <x:v>tt3168168</x:v>
      </x:c>
      <x:c r="S1793" s="17" t="str"/>
    </x:row>
    <x:row r="1794">
      <x:c r="A1794" s="43" t="n">
        <x:v>1790</x:v>
      </x:c>
      <x:c r="B1794" s="44" t="str">
        <x:v>Not Started</x:v>
      </x:c>
      <x:c r="C1794" s="45" t="n">
        <x:v>41647</x:v>
      </x:c>
      <x:c r="D1794" s="33" t="str">
        <x:v>Chicago Fire</x:v>
      </x:c>
      <x:c r="E1794" s="33" t="str">
        <x:v>One Chicago</x:v>
      </x:c>
      <x:c r="F1794" s="33" t="str">
        <x:v>core</x:v>
      </x:c>
      <x:c r="G1794" s="50" t="n">
        <x:v>2</x:v>
      </x:c>
      <x:c r="H1794" s="50" t="n">
        <x:v>11</x:v>
      </x:c>
      <x:c r="I1794" s="44" t="str">
        <x:v>02.11</x:v>
      </x:c>
      <x:c r="J1794" s="33" t="str">
        <x:v>Shoved in My Face</x:v>
      </x:c>
      <x:c r="K1794" s="33" t="str"/>
      <x:c r="L1794" s="33" t="str"/>
      <x:c r="M1794" s="44" t="str"/>
      <x:c r="N1794" s="50" t="n">
        <x:v>43</x:v>
      </x:c>
      <x:c r="O1794" s="53" t="str">
        <x:v>Lt. Casey returns to work at Firehouse 51 after nearly being killed in a building collapse and Shay meets Allison Rafferty, her new partner, who is friendly to everyone except her. Dawson begins her rigorous training at the Chicago Fire Academy, while Lt. Severide prepares for his stint as instructor. Meanwhile, Clarke stubbornly does not speak with the police about the murder in which he is the prime suspect and the future of Molly’s looks bleaker than ever.</x:v>
      </x:c>
      <x:c r="P1794" s="53" t="str">
        <x:v>Core One Chicago franchise</x:v>
      </x:c>
      <x:c r="Q1794" s="17" t="str">
        <x:v>898432</x:v>
      </x:c>
      <x:c r="R1794" s="17" t="str">
        <x:v>tt3375142</x:v>
      </x:c>
      <x:c r="S1794" s="17" t="str"/>
    </x:row>
    <x:row r="1795">
      <x:c r="A1795" s="43" t="n">
        <x:v>1791</x:v>
      </x:c>
      <x:c r="B1795" s="44" t="str">
        <x:v>Not Started</x:v>
      </x:c>
      <x:c r="C1795" s="45" t="n">
        <x:v>41647</x:v>
      </x:c>
      <x:c r="D1795" s="33" t="str">
        <x:v>Law &amp; Order: Special Victims Unit</x:v>
      </x:c>
      <x:c r="E1795" s="33" t="str">
        <x:v>Law &amp; Order</x:v>
      </x:c>
      <x:c r="F1795" s="33" t="str">
        <x:v>core</x:v>
      </x:c>
      <x:c r="G1795" s="50" t="n">
        <x:v>15</x:v>
      </x:c>
      <x:c r="H1795" s="50" t="n">
        <x:v>10</x:v>
      </x:c>
      <x:c r="I1795" s="44" t="str">
        <x:v>15.10</x:v>
      </x:c>
      <x:c r="J1795" s="33" t="str">
        <x:v>Psycho/Therapist</x:v>
      </x:c>
      <x:c r="K1795" s="33" t="str"/>
      <x:c r="L1795" s="33" t="str"/>
      <x:c r="M1795" s="44" t="str"/>
      <x:c r="N1795" s="50" t="n">
        <x:v>43</x:v>
      </x:c>
      <x:c r="O1795" s="53" t="str">
        <x:v>When Detective Benson faces Lewis in the courtroom, the stress causes setbacks in her recovery; Benson is forced to reveal secrets.</x:v>
      </x:c>
      <x:c r="P1795" s="53" t="str">
        <x:v>Core Law &amp; Order franchise</x:v>
      </x:c>
      <x:c r="Q1795" s="17" t="str">
        <x:v>225269</x:v>
      </x:c>
      <x:c r="R1795" s="17" t="str">
        <x:v>tt3409876</x:v>
      </x:c>
      <x:c r="S1795" s="17" t="str">
        <x:v>1313</x:v>
      </x:c>
    </x:row>
    <x:row r="1796">
      <x:c r="A1796" s="43" t="n">
        <x:v>1792</x:v>
      </x:c>
      <x:c r="B1796" s="44" t="str">
        <x:v>Not Started</x:v>
      </x:c>
      <x:c r="C1796" s="45" t="n">
        <x:v>41648</x:v>
      </x:c>
      <x:c r="D1796" s="33" t="str">
        <x:v>Chicago P.D.</x:v>
      </x:c>
      <x:c r="E1796" s="33" t="str">
        <x:v>One Chicago</x:v>
      </x:c>
      <x:c r="F1796" s="33" t="str">
        <x:v>core</x:v>
      </x:c>
      <x:c r="G1796" s="50" t="n">
        <x:v>1</x:v>
      </x:c>
      <x:c r="H1796" s="50" t="n">
        <x:v>1</x:v>
      </x:c>
      <x:c r="I1796" s="44" t="str">
        <x:v>01.01</x:v>
      </x:c>
      <x:c r="J1796" s="33" t="str">
        <x:v>Stepping Stone</x:v>
      </x:c>
      <x:c r="K1796" s="33" t="str"/>
      <x:c r="L1796" s="33" t="str"/>
      <x:c r="M1796" s="44" t="str"/>
      <x:c r="N1796" s="50" t="n">
        <x:v>43</x:v>
      </x:c>
      <x:c r="O1796" s="53" t="str">
        <x:v>After a slew of brutal slayings, District 21, led by Sergeant Hank Voight go after a Columbian drug cartel cleaning house in Chicago. They discover D’Anthony who proves to be an asset in the investigation. At District, complicated histories and unit rivalries surface which could end up costing them one of their own. Meanwhile, Rookie Kyle Ruzek is pulled from the police academy by Olinski to join the team.</x:v>
      </x:c>
      <x:c r="P1796" s="53" t="str">
        <x:v>Core One Chicago franchise; crossovers with SVU/FBI</x:v>
      </x:c>
      <x:c r="Q1796" s="17" t="str">
        <x:v>958006</x:v>
      </x:c>
      <x:c r="R1796" s="17" t="str">
        <x:v>tt2911444</x:v>
      </x:c>
      <x:c r="S1796" s="17" t="str"/>
    </x:row>
    <x:row r="1797">
      <x:c r="A1797" s="43" t="n">
        <x:v>1793</x:v>
      </x:c>
      <x:c r="B1797" s="44" t="str">
        <x:v>Not Started</x:v>
      </x:c>
      <x:c r="C1797" s="45" t="n">
        <x:v>41654</x:v>
      </x:c>
      <x:c r="D1797" s="33" t="str">
        <x:v>Chicago Fire</x:v>
      </x:c>
      <x:c r="E1797" s="33" t="str">
        <x:v>One Chicago</x:v>
      </x:c>
      <x:c r="F1797" s="33" t="str">
        <x:v>core</x:v>
      </x:c>
      <x:c r="G1797" s="50" t="n">
        <x:v>2</x:v>
      </x:c>
      <x:c r="H1797" s="50" t="n">
        <x:v>12</x:v>
      </x:c>
      <x:c r="I1797" s="44" t="str">
        <x:v>02.12</x:v>
      </x:c>
      <x:c r="J1797" s="33" t="str">
        <x:v>Out with a Bang</x:v>
      </x:c>
      <x:c r="K1797" s="33" t="str"/>
      <x:c r="L1797" s="33" t="str"/>
      <x:c r="M1797" s="44" t="str"/>
      <x:c r="N1797" s="50" t="n">
        <x:v>43</x:v>
      </x:c>
      <x:c r="O1797" s="53" t="str">
        <x:v>Lieutenant Casey tries to convince himself and everyone around him that he is one hundred percent healthy following his near-death incident in the line of duty. Shay, not wanting to delve into the emotionally traumatic incident, continues to elude a lawyer who wants to speak with her about Daryl’s suicide. Meanwhile, Otis and Katie bond over board games, Boden helps out a woman with a negligent landlord and Dawson notices fellow recruit Rebecca Jones undertaking some interesting test-taking techniques at the Academy.</x:v>
      </x:c>
      <x:c r="P1797" s="53" t="str">
        <x:v>Core One Chicago franchise</x:v>
      </x:c>
      <x:c r="Q1797" s="17" t="str">
        <x:v>898433</x:v>
      </x:c>
      <x:c r="R1797" s="17" t="str">
        <x:v>tt3418236</x:v>
      </x:c>
      <x:c r="S1797" s="17" t="str"/>
    </x:row>
    <x:row r="1798">
      <x:c r="A1798" s="43" t="n">
        <x:v>1794</x:v>
      </x:c>
      <x:c r="B1798" s="44" t="str">
        <x:v>Not Started</x:v>
      </x:c>
      <x:c r="C1798" s="45" t="n">
        <x:v>41654</x:v>
      </x:c>
      <x:c r="D1798" s="33" t="str">
        <x:v>Law &amp; Order: Special Victims Unit</x:v>
      </x:c>
      <x:c r="E1798" s="33" t="str">
        <x:v>Law &amp; Order</x:v>
      </x:c>
      <x:c r="F1798" s="33" t="str">
        <x:v>core</x:v>
      </x:c>
      <x:c r="G1798" s="50" t="n">
        <x:v>15</x:v>
      </x:c>
      <x:c r="H1798" s="50" t="n">
        <x:v>11</x:v>
      </x:c>
      <x:c r="I1798" s="44" t="str">
        <x:v>15.11</x:v>
      </x:c>
      <x:c r="J1798" s="33" t="str">
        <x:v>Amaro's One-Eighty</x:v>
      </x:c>
      <x:c r="K1798" s="33" t="str"/>
      <x:c r="L1798" s="33" t="str"/>
      <x:c r="M1798" s="44" t="str"/>
      <x:c r="N1798" s="50" t="n">
        <x:v>43</x:v>
      </x:c>
      <x:c r="O1798" s="53" t="str">
        <x:v>When a suspect is gravely injured and the case becomes a public spectacle, Amaro's badge is on the line; Cragen surprises everyone with an announcement.</x:v>
      </x:c>
      <x:c r="P1798" s="53" t="str">
        <x:v>Core Law &amp; Order franchise</x:v>
      </x:c>
      <x:c r="Q1798" s="17" t="str">
        <x:v>225270</x:v>
      </x:c>
      <x:c r="R1798" s="17" t="str">
        <x:v>tt3409878</x:v>
      </x:c>
      <x:c r="S1798" s="17" t="str">
        <x:v>1314</x:v>
      </x:c>
    </x:row>
    <x:row r="1799">
      <x:c r="A1799" s="43" t="n">
        <x:v>1795</x:v>
      </x:c>
      <x:c r="B1799" s="44" t="str">
        <x:v>Not Started</x:v>
      </x:c>
      <x:c r="C1799" s="45" t="n">
        <x:v>41655</x:v>
      </x:c>
      <x:c r="D1799" s="33" t="str">
        <x:v>Chicago P.D.</x:v>
      </x:c>
      <x:c r="E1799" s="33" t="str">
        <x:v>One Chicago</x:v>
      </x:c>
      <x:c r="F1799" s="33" t="str">
        <x:v>core</x:v>
      </x:c>
      <x:c r="G1799" s="50" t="n">
        <x:v>1</x:v>
      </x:c>
      <x:c r="H1799" s="50" t="n">
        <x:v>2</x:v>
      </x:c>
      <x:c r="I1799" s="44" t="str">
        <x:v>01.02</x:v>
      </x:c>
      <x:c r="J1799" s="33" t="str">
        <x:v>Wrong Side of the Bars</x:v>
      </x:c>
      <x:c r="K1799" s="33" t="str"/>
      <x:c r="L1799" s="33" t="str"/>
      <x:c r="M1799" s="44" t="str"/>
      <x:c r="N1799" s="50" t="n">
        <x:v>45</x:v>
      </x:c>
      <x:c r="O1799" s="53" t="str">
        <x:v>Antonio’s son was kidnapped and he has a feeling the Columbian drug gang is to blame. Pulpo, the Columbian gang leader, is being held in jail and suggests his release may trigger the release of Diego. During the investigation, Halstead learns some new information about Lindsay. Voight offers Antonio a new approach to get information on Diego’s whereabouts.</x:v>
      </x:c>
      <x:c r="P1799" s="53" t="str">
        <x:v>Core One Chicago franchise; crossovers with SVU/FBI</x:v>
      </x:c>
      <x:c r="Q1799" s="17" t="str">
        <x:v>958007</x:v>
      </x:c>
      <x:c r="R1799" s="17" t="str">
        <x:v>tt3184316</x:v>
      </x:c>
      <x:c r="S1799" s="17" t="str"/>
    </x:row>
    <x:row r="1800">
      <x:c r="A1800" s="43" t="n">
        <x:v>1796</x:v>
      </x:c>
      <x:c r="B1800" s="44" t="str">
        <x:v>Not Started</x:v>
      </x:c>
      <x:c r="C1800" s="45" t="n">
        <x:v>41657</x:v>
      </x:c>
      <x:c r="D1800" s="33" t="str">
        <x:v>Cold Justice</x:v>
      </x:c>
      <x:c r="E1800" s="33" t="str">
        <x:v>Crossover Adjacent</x:v>
      </x:c>
      <x:c r="F1800" s="33" t="str">
        <x:v>complete</x:v>
      </x:c>
      <x:c r="G1800" s="50" t="n">
        <x:v>2</x:v>
      </x:c>
      <x:c r="H1800" s="50" t="n">
        <x:v>1</x:v>
      </x:c>
      <x:c r="I1800" s="44" t="str">
        <x:v>02.01</x:v>
      </x:c>
      <x:c r="J1800" s="33" t="str">
        <x:v>Gone (Altus, OK)</x:v>
      </x:c>
      <x:c r="K1800" s="33" t="str"/>
      <x:c r="L1800" s="33" t="str"/>
      <x:c r="M1800" s="44" t="str"/>
      <x:c r="N1800" s="50" t="n">
        <x:v>42</x:v>
      </x:c>
      <x:c r="O1800" s="53" t="str">
        <x:v>Season 2 begins with investigators Kelly and Yolanda landing in Oklahoma to unearth clues in the 2001 vanishing of a mother of two.</x:v>
      </x:c>
      <x:c r="P1800" s="53" t="str">
        <x:v>Wolf Entertainment unscripted true-crime series</x:v>
      </x:c>
      <x:c r="Q1800" s="17" t="str">
        <x:v>957960</x:v>
      </x:c>
      <x:c r="R1800" s="17" t="str">
        <x:v>tt3491386</x:v>
      </x:c>
      <x:c r="S1800" s="17" t="str"/>
    </x:row>
    <x:row r="1801">
      <x:c r="A1801" s="43" t="n">
        <x:v>1797</x:v>
      </x:c>
      <x:c r="B1801" s="44" t="str">
        <x:v>Not Started</x:v>
      </x:c>
      <x:c r="C1801" s="45" t="n">
        <x:v>41661</x:v>
      </x:c>
      <x:c r="D1801" s="33" t="str">
        <x:v>Chicago Fire</x:v>
      </x:c>
      <x:c r="E1801" s="33" t="str">
        <x:v>One Chicago</x:v>
      </x:c>
      <x:c r="F1801" s="33" t="str">
        <x:v>core</x:v>
      </x:c>
      <x:c r="G1801" s="50" t="n">
        <x:v>2</x:v>
      </x:c>
      <x:c r="H1801" s="50" t="n">
        <x:v>13</x:v>
      </x:c>
      <x:c r="I1801" s="44" t="str">
        <x:v>02.13</x:v>
      </x:c>
      <x:c r="J1801" s="33" t="str">
        <x:v>Tonight's the Night</x:v>
      </x:c>
      <x:c r="K1801" s="33" t="str"/>
      <x:c r="L1801" s="33" t="str"/>
      <x:c r="M1801" s="44" t="str"/>
      <x:c r="N1801" s="50" t="n">
        <x:v>43</x:v>
      </x:c>
      <x:c r="O1801" s="53" t="str">
        <x:v>When a drunk driver knocks down a transformer, the entire neighborhood is left without power on a frigid Chicago night and members of Firehouse 51 step up to lend their much needed help. While many from the community ride out the night at the station, in the midst of such close quarters, romances speed up and tempers flare. Meanwhile, Casey continues to lie to both himself and Dawson about his condition and the stakeholders in Molly's bicker about the bar's direction.</x:v>
      </x:c>
      <x:c r="P1801" s="53" t="str">
        <x:v>Core One Chicago franchise</x:v>
      </x:c>
      <x:c r="Q1801" s="17" t="str">
        <x:v>898434</x:v>
      </x:c>
      <x:c r="R1801" s="17" t="str">
        <x:v>tt3418234</x:v>
      </x:c>
      <x:c r="S1801" s="17" t="str"/>
    </x:row>
    <x:row r="1802">
      <x:c r="A1802" s="43" t="n">
        <x:v>1798</x:v>
      </x:c>
      <x:c r="B1802" s="44" t="str">
        <x:v>Not Started</x:v>
      </x:c>
      <x:c r="C1802" s="45" t="n">
        <x:v>41661</x:v>
      </x:c>
      <x:c r="D1802" s="33" t="str">
        <x:v>Law &amp; Order: Special Victims Unit</x:v>
      </x:c>
      <x:c r="E1802" s="33" t="str">
        <x:v>Law &amp; Order</x:v>
      </x:c>
      <x:c r="F1802" s="33" t="str">
        <x:v>core</x:v>
      </x:c>
      <x:c r="G1802" s="50" t="n">
        <x:v>15</x:v>
      </x:c>
      <x:c r="H1802" s="50" t="n">
        <x:v>12</x:v>
      </x:c>
      <x:c r="I1802" s="44" t="str">
        <x:v>15.12</x:v>
      </x:c>
      <x:c r="J1802" s="33" t="str">
        <x:v>Jersey Breakdown</x:v>
      </x:c>
      <x:c r="K1802" s="33" t="str"/>
      <x:c r="L1802" s="33" t="str"/>
      <x:c r="M1802" s="44" t="str"/>
      <x:c r="N1802" s="50" t="n">
        <x:v>43</x:v>
      </x:c>
      <x:c r="O1802" s="53" t="str">
        <x:v>When an underage runaway is found beaten and raped, the SVU team works with federal prosecutor Connie Rubirosa; ADA Barba suspects a cover-up when he fails to get the help he needs from Jersey law enforcement.</x:v>
      </x:c>
      <x:c r="P1802" s="53" t="str">
        <x:v>Core Law &amp; Order franchise</x:v>
      </x:c>
      <x:c r="Q1802" s="17" t="str">
        <x:v>225271</x:v>
      </x:c>
      <x:c r="R1802" s="17" t="str">
        <x:v>tt3409880</x:v>
      </x:c>
      <x:c r="S1802" s="17" t="str">
        <x:v>1315</x:v>
      </x:c>
    </x:row>
    <x:row r="1803">
      <x:c r="A1803" s="43" t="n">
        <x:v>1799</x:v>
      </x:c>
      <x:c r="B1803" s="44" t="str">
        <x:v>Not Started</x:v>
      </x:c>
      <x:c r="C1803" s="45" t="n">
        <x:v>41662</x:v>
      </x:c>
      <x:c r="D1803" s="33" t="str">
        <x:v>Chicago P.D.</x:v>
      </x:c>
      <x:c r="E1803" s="33" t="str">
        <x:v>One Chicago</x:v>
      </x:c>
      <x:c r="F1803" s="33" t="str">
        <x:v>core</x:v>
      </x:c>
      <x:c r="G1803" s="50" t="n">
        <x:v>1</x:v>
      </x:c>
      <x:c r="H1803" s="50" t="n">
        <x:v>3</x:v>
      </x:c>
      <x:c r="I1803" s="44" t="str">
        <x:v>01.03</x:v>
      </x:c>
      <x:c r="J1803" s="33" t="str">
        <x:v>Chin Check</x:v>
      </x:c>
      <x:c r="K1803" s="33" t="str"/>
      <x:c r="L1803" s="33" t="str"/>
      <x:c r="M1803" s="44" t="str"/>
      <x:c r="N1803" s="50" t="n">
        <x:v>45</x:v>
      </x:c>
      <x:c r="O1803" s="53" t="str">
        <x:v>Voight and team head to a house that’s been associated with a number of top gangs. Events at the search result in Ruzek, being encouraged to seek some counseling which may have lasting repercussions professionally and personally. Meanwhile Halstead’s temper rises when he comes in contact with some unwelcomed people from his past.</x:v>
      </x:c>
      <x:c r="P1803" s="53" t="str">
        <x:v>Core One Chicago franchise; crossovers with SVU/FBI</x:v>
      </x:c>
      <x:c r="Q1803" s="17" t="str">
        <x:v>958008</x:v>
      </x:c>
      <x:c r="R1803" s="17" t="str">
        <x:v>tt3237690</x:v>
      </x:c>
      <x:c r="S1803" s="17" t="str"/>
    </x:row>
    <x:row r="1804">
      <x:c r="A1804" s="43" t="n">
        <x:v>1800</x:v>
      </x:c>
      <x:c r="B1804" s="44" t="str">
        <x:v>Not Started</x:v>
      </x:c>
      <x:c r="C1804" s="45" t="n">
        <x:v>41664</x:v>
      </x:c>
      <x:c r="D1804" s="33" t="str">
        <x:v>Cold Justice</x:v>
      </x:c>
      <x:c r="E1804" s="33" t="str">
        <x:v>Crossover Adjacent</x:v>
      </x:c>
      <x:c r="F1804" s="33" t="str">
        <x:v>complete</x:v>
      </x:c>
      <x:c r="G1804" s="50" t="n">
        <x:v>2</x:v>
      </x:c>
      <x:c r="H1804" s="50" t="n">
        <x:v>2</x:v>
      </x:c>
      <x:c r="I1804" s="44" t="str">
        <x:v>02.02</x:v>
      </x:c>
      <x:c r="J1804" s="33" t="str">
        <x:v>A Monster Among Us (Camp Hill, AL)</x:v>
      </x:c>
      <x:c r="K1804" s="33" t="str"/>
      <x:c r="L1804" s="33" t="str"/>
      <x:c r="M1804" s="44" t="str"/>
      <x:c r="N1804" s="50" t="n">
        <x:v>42</x:v>
      </x:c>
      <x:c r="O1804" s="53" t="str">
        <x:v>Kelly and Yolanda journey to Alabama to investigate a 2005 murder.</x:v>
      </x:c>
      <x:c r="P1804" s="53" t="str">
        <x:v>Wolf Entertainment unscripted true-crime series</x:v>
      </x:c>
      <x:c r="Q1804" s="17" t="str">
        <x:v>957961</x:v>
      </x:c>
      <x:c r="R1804" s="17" t="str">
        <x:v>tt3491388</x:v>
      </x:c>
      <x:c r="S1804" s="17" t="str"/>
    </x:row>
    <x:row r="1805">
      <x:c r="A1805" s="43" t="n">
        <x:v>1801</x:v>
      </x:c>
      <x:c r="B1805" s="44" t="str">
        <x:v>Not Started</x:v>
      </x:c>
      <x:c r="C1805" s="45" t="n">
        <x:v>41668</x:v>
      </x:c>
      <x:c r="D1805" s="33" t="str">
        <x:v>Law &amp; Order: Special Victims Unit</x:v>
      </x:c>
      <x:c r="E1805" s="33" t="str">
        <x:v>Law &amp; Order</x:v>
      </x:c>
      <x:c r="F1805" s="33" t="str">
        <x:v>core</x:v>
      </x:c>
      <x:c r="G1805" s="50" t="n">
        <x:v>15</x:v>
      </x:c>
      <x:c r="H1805" s="50" t="n">
        <x:v>13</x:v>
      </x:c>
      <x:c r="I1805" s="44" t="str">
        <x:v>15.13</x:v>
      </x:c>
      <x:c r="J1805" s="33" t="str">
        <x:v>Betrayal's Climax</x:v>
      </x:c>
      <x:c r="K1805" s="33" t="str"/>
      <x:c r="L1805" s="33" t="str"/>
      <x:c r="M1805" s="44" t="str"/>
      <x:c r="N1805" s="50" t="n">
        <x:v>43</x:v>
      </x:c>
      <x:c r="O1805" s="53" t="str">
        <x:v>Amaro suspects the boyfriend of a missing girl is involved with a gang; Benson becomes the SVU's new sergeant.</x:v>
      </x:c>
      <x:c r="P1805" s="53" t="str">
        <x:v>Core Law &amp; Order franchise</x:v>
      </x:c>
      <x:c r="Q1805" s="17" t="str">
        <x:v>225272</x:v>
      </x:c>
      <x:c r="R1805" s="17" t="str">
        <x:v>tt3436110</x:v>
      </x:c>
      <x:c r="S1805" s="17" t="str">
        <x:v>1316</x:v>
      </x:c>
    </x:row>
    <x:row r="1806">
      <x:c r="A1806" s="43" t="n">
        <x:v>1802</x:v>
      </x:c>
      <x:c r="B1806" s="44" t="str">
        <x:v>Not Started</x:v>
      </x:c>
      <x:c r="C1806" s="45" t="n">
        <x:v>41669</x:v>
      </x:c>
      <x:c r="D1806" s="33" t="str">
        <x:v>Chicago P.D.</x:v>
      </x:c>
      <x:c r="E1806" s="33" t="str">
        <x:v>One Chicago</x:v>
      </x:c>
      <x:c r="F1806" s="33" t="str">
        <x:v>core</x:v>
      </x:c>
      <x:c r="G1806" s="50" t="n">
        <x:v>1</x:v>
      </x:c>
      <x:c r="H1806" s="50" t="n">
        <x:v>4</x:v>
      </x:c>
      <x:c r="I1806" s="44" t="str">
        <x:v>01.04</x:v>
      </x:c>
      <x:c r="J1806" s="33" t="str">
        <x:v>Now Is Always Temporary</x:v>
      </x:c>
      <x:c r="K1806" s="33" t="str"/>
      <x:c r="L1806" s="33" t="str"/>
      <x:c r="M1806" s="44" t="str"/>
      <x:c r="N1806" s="50" t="n">
        <x:v>45</x:v>
      </x:c>
      <x:c r="O1806" s="53" t="str">
        <x:v>More is learned about Halstead’s dislike of the Rodiger family and it’s family relationships all around as Olinsky shows a paternal side with his daughter Lexi in an attempt to protect her and as Voight’s trying to help his son who has recently been released from jail. Meanwhile the Intelligence Unit investigates a counterfeiting operation after discovering some high end cloth-like paper. Sergeant Platt sends Atwater and Burgess to arrest a hoarder where they discover more than just clutter.</x:v>
      </x:c>
      <x:c r="P1806" s="53" t="str">
        <x:v>Core One Chicago franchise; crossovers with SVU/FBI</x:v>
      </x:c>
      <x:c r="Q1806" s="17" t="str">
        <x:v>958009</x:v>
      </x:c>
      <x:c r="R1806" s="17" t="str">
        <x:v>tt3271548</x:v>
      </x:c>
      <x:c r="S1806" s="17" t="str"/>
    </x:row>
    <x:row r="1807">
      <x:c r="A1807" s="43" t="n">
        <x:v>1803</x:v>
      </x:c>
      <x:c r="B1807" s="44" t="str">
        <x:v>Not Started</x:v>
      </x:c>
      <x:c r="C1807" s="45" t="n">
        <x:v>41671</x:v>
      </x:c>
      <x:c r="D1807" s="33" t="str">
        <x:v>Cold Justice</x:v>
      </x:c>
      <x:c r="E1807" s="33" t="str">
        <x:v>Crossover Adjacent</x:v>
      </x:c>
      <x:c r="F1807" s="33" t="str">
        <x:v>complete</x:v>
      </x:c>
      <x:c r="G1807" s="50" t="n">
        <x:v>2</x:v>
      </x:c>
      <x:c r="H1807" s="50" t="n">
        <x:v>3</x:v>
      </x:c>
      <x:c r="I1807" s="44" t="str">
        <x:v>02.03</x:v>
      </x:c>
      <x:c r="J1807" s="33" t="str">
        <x:v>High School Sweethearts (La Porte, TX)</x:v>
      </x:c>
      <x:c r="K1807" s="33" t="str"/>
      <x:c r="L1807" s="33" t="str"/>
      <x:c r="M1807" s="44" t="str"/>
      <x:c r="N1807" s="50" t="n">
        <x:v>42</x:v>
      </x:c>
      <x:c r="O1807" s="53" t="str">
        <x:v>Kelly and Yolanda travel to small-town Texas to probe the 2007 double murder of a married couple.</x:v>
      </x:c>
      <x:c r="P1807" s="53" t="str">
        <x:v>Wolf Entertainment unscripted true-crime series</x:v>
      </x:c>
      <x:c r="Q1807" s="17" t="str">
        <x:v>957962</x:v>
      </x:c>
      <x:c r="R1807" s="17" t="str">
        <x:v>tt3551878</x:v>
      </x:c>
      <x:c r="S1807" s="17" t="str"/>
    </x:row>
    <x:row r="1808">
      <x:c r="A1808" s="43" t="n">
        <x:v>1804</x:v>
      </x:c>
      <x:c r="B1808" s="44" t="str">
        <x:v>Not Started</x:v>
      </x:c>
      <x:c r="C1808" s="45" t="n">
        <x:v>41675</x:v>
      </x:c>
      <x:c r="D1808" s="33" t="str">
        <x:v>Law &amp; Order: Special Victims Unit</x:v>
      </x:c>
      <x:c r="E1808" s="33" t="str">
        <x:v>Law &amp; Order</x:v>
      </x:c>
      <x:c r="F1808" s="33" t="str">
        <x:v>core</x:v>
      </x:c>
      <x:c r="G1808" s="50" t="n">
        <x:v>15</x:v>
      </x:c>
      <x:c r="H1808" s="50" t="n">
        <x:v>14</x:v>
      </x:c>
      <x:c r="I1808" s="44" t="str">
        <x:v>15.14</x:v>
      </x:c>
      <x:c r="J1808" s="33" t="str">
        <x:v>Wednesday's Child</x:v>
      </x:c>
      <x:c r="K1808" s="33" t="str"/>
      <x:c r="L1808" s="33" t="str"/>
      <x:c r="M1808" s="44" t="str"/>
      <x:c r="N1808" s="50" t="n">
        <x:v>43</x:v>
      </x:c>
      <x:c r="O1808" s="53" t="str">
        <x:v>The already frantic search for a missing diabetic boy becomes more urgent when he is spotted with a couple known for child endangerment and pornography.</x:v>
      </x:c>
      <x:c r="P1808" s="53" t="str">
        <x:v>Core Law &amp; Order franchise</x:v>
      </x:c>
      <x:c r="Q1808" s="17" t="str">
        <x:v>225273</x:v>
      </x:c>
      <x:c r="R1808" s="17" t="str">
        <x:v>tt3436112</x:v>
      </x:c>
      <x:c r="S1808" s="17" t="str">
        <x:v>1317</x:v>
      </x:c>
    </x:row>
    <x:row r="1809">
      <x:c r="A1809" s="43" t="n">
        <x:v>1805</x:v>
      </x:c>
      <x:c r="B1809" s="44" t="str">
        <x:v>Not Started</x:v>
      </x:c>
      <x:c r="C1809" s="45" t="n">
        <x:v>41676</x:v>
      </x:c>
      <x:c r="D1809" s="33" t="str">
        <x:v>Chicago P.D.</x:v>
      </x:c>
      <x:c r="E1809" s="33" t="str">
        <x:v>One Chicago</x:v>
      </x:c>
      <x:c r="F1809" s="33" t="str">
        <x:v>core</x:v>
      </x:c>
      <x:c r="G1809" s="50" t="n">
        <x:v>1</x:v>
      </x:c>
      <x:c r="H1809" s="50" t="n">
        <x:v>5</x:v>
      </x:c>
      <x:c r="I1809" s="44" t="str">
        <x:v>01.05</x:v>
      </x:c>
      <x:c r="J1809" s="33" t="str">
        <x:v>Thirty Balloons</x:v>
      </x:c>
      <x:c r="K1809" s="33" t="str"/>
      <x:c r="L1809" s="33" t="str"/>
      <x:c r="M1809" s="44" t="str"/>
      <x:c r="N1809" s="50" t="n">
        <x:v>45</x:v>
      </x:c>
      <x:c r="O1809" s="53" t="str">
        <x:v>Atwater and Burgess are given a new patrol car, but are challenged with keeping it brand new. A run in with a psychotic woman leads the Intelligence Unit to discover a drug smuggling operation which has put several girl’s lives in peril. Voight’s overprotective act with Lindsay leads her right where he doesn’t want as she also helps to keep Justin out of trouble. Meanwhile on stakeout, things get tense between Olinsky and Ruzek as Olinski tries to teach him the finer points of surveillance.</x:v>
      </x:c>
      <x:c r="P1809" s="53" t="str">
        <x:v>Core One Chicago franchise; crossovers with SVU/FBI</x:v>
      </x:c>
      <x:c r="Q1809" s="17" t="str">
        <x:v>958010</x:v>
      </x:c>
      <x:c r="R1809" s="17" t="str">
        <x:v>tt3271562</x:v>
      </x:c>
      <x:c r="S1809" s="17" t="str"/>
    </x:row>
    <x:row r="1810">
      <x:c r="A1810" s="43" t="n">
        <x:v>1806</x:v>
      </x:c>
      <x:c r="B1810" s="44" t="str">
        <x:v>Not Started</x:v>
      </x:c>
      <x:c r="C1810" s="45" t="n">
        <x:v>41678</x:v>
      </x:c>
      <x:c r="D1810" s="33" t="str">
        <x:v>Cold Justice</x:v>
      </x:c>
      <x:c r="E1810" s="33" t="str">
        <x:v>Crossover Adjacent</x:v>
      </x:c>
      <x:c r="F1810" s="33" t="str">
        <x:v>complete</x:v>
      </x:c>
      <x:c r="G1810" s="50" t="n">
        <x:v>2</x:v>
      </x:c>
      <x:c r="H1810" s="50" t="n">
        <x:v>4</x:v>
      </x:c>
      <x:c r="I1810" s="44" t="str">
        <x:v>02.04</x:v>
      </x:c>
      <x:c r="J1810" s="33" t="str">
        <x:v>First Love (Cottonwood, AZ)</x:v>
      </x:c>
      <x:c r="K1810" s="33" t="str"/>
      <x:c r="L1810" s="33" t="str"/>
      <x:c r="M1810" s="44" t="str"/>
      <x:c r="N1810" s="50" t="n">
        <x:v>42</x:v>
      </x:c>
      <x:c r="O1810" s="53" t="str">
        <x:v>The 1997 murder of a teen in small-town Arizona is probed.</x:v>
      </x:c>
      <x:c r="P1810" s="53" t="str">
        <x:v>Wolf Entertainment unscripted true-crime series</x:v>
      </x:c>
      <x:c r="Q1810" s="17" t="str">
        <x:v>957963</x:v>
      </x:c>
      <x:c r="R1810" s="17" t="str">
        <x:v>tt3543194</x:v>
      </x:c>
      <x:c r="S1810" s="17" t="str"/>
    </x:row>
    <x:row r="1811">
      <x:c r="A1811" s="43" t="n">
        <x:v>1807</x:v>
      </x:c>
      <x:c r="B1811" s="44" t="str">
        <x:v>Not Started</x:v>
      </x:c>
      <x:c r="C1811" s="45" t="n">
        <x:v>41682</x:v>
      </x:c>
      <x:c r="D1811" s="33" t="str">
        <x:v>Chicago Fire</x:v>
      </x:c>
      <x:c r="E1811" s="33" t="str">
        <x:v>One Chicago</x:v>
      </x:c>
      <x:c r="F1811" s="33" t="str">
        <x:v>core</x:v>
      </x:c>
      <x:c r="G1811" s="50" t="n">
        <x:v>0</x:v>
      </x:c>
      <x:c r="H1811" s="50" t="n">
        <x:v>1</x:v>
      </x:c>
      <x:c r="I1811" s="44" t="str">
        <x:v>S00.01</x:v>
      </x:c>
      <x:c r="J1811" s="33" t="str">
        <x:v>I Am a Firefighter</x:v>
      </x:c>
      <x:c r="K1811" s="33" t="str"/>
      <x:c r="L1811" s="33" t="str"/>
      <x:c r="M1811" s="44" t="str"/>
      <x:c r="N1811" s="50" t="n">
        <x:v>42</x:v>
      </x:c>
      <x:c r="O1811" s="53" t="str">
        <x:v>An emergency puts Dawson's firefighting skills to the ultimate test in this four-part digital series.</x:v>
      </x:c>
      <x:c r="P1811" s="53" t="str">
        <x:v>Core One Chicago franchise</x:v>
      </x:c>
      <x:c r="Q1811" s="17" t="str">
        <x:v>5340196</x:v>
      </x:c>
      <x:c r="R1811" s="17" t="str"/>
      <x:c r="S1811" s="17" t="str"/>
    </x:row>
    <x:row r="1812">
      <x:c r="A1812" s="43" t="n">
        <x:v>1808</x:v>
      </x:c>
      <x:c r="B1812" s="44" t="str">
        <x:v>Not Started</x:v>
      </x:c>
      <x:c r="C1812" s="45" t="n">
        <x:v>41685</x:v>
      </x:c>
      <x:c r="D1812" s="33" t="str">
        <x:v>Cold Justice</x:v>
      </x:c>
      <x:c r="E1812" s="33" t="str">
        <x:v>Crossover Adjacent</x:v>
      </x:c>
      <x:c r="F1812" s="33" t="str">
        <x:v>complete</x:v>
      </x:c>
      <x:c r="G1812" s="50" t="n">
        <x:v>2</x:v>
      </x:c>
      <x:c r="H1812" s="50" t="n">
        <x:v>5</x:v>
      </x:c>
      <x:c r="I1812" s="44" t="str">
        <x:v>02.05</x:v>
      </x:c>
      <x:c r="J1812" s="33" t="str">
        <x:v>He Said, She Said (Vigo County, IN)</x:v>
      </x:c>
      <x:c r="K1812" s="33" t="str"/>
      <x:c r="L1812" s="33" t="str"/>
      <x:c r="M1812" s="44" t="str"/>
      <x:c r="N1812" s="50" t="n">
        <x:v>42</x:v>
      </x:c>
      <x:c r="O1812" s="53" t="str">
        <x:v>The 1998 slaying of a 19-year-old girl is investigated.</x:v>
      </x:c>
      <x:c r="P1812" s="53" t="str">
        <x:v>Wolf Entertainment unscripted true-crime series</x:v>
      </x:c>
      <x:c r="Q1812" s="17" t="str">
        <x:v>957964</x:v>
      </x:c>
      <x:c r="R1812" s="17" t="str">
        <x:v>tt3599974</x:v>
      </x:c>
      <x:c r="S1812" s="17" t="str"/>
    </x:row>
    <x:row r="1813">
      <x:c r="A1813" s="43" t="n">
        <x:v>1809</x:v>
      </x:c>
      <x:c r="B1813" s="44" t="str">
        <x:v>Not Started</x:v>
      </x:c>
      <x:c r="C1813" s="45" t="n">
        <x:v>41692</x:v>
      </x:c>
      <x:c r="D1813" s="33" t="str">
        <x:v>Cold Justice</x:v>
      </x:c>
      <x:c r="E1813" s="33" t="str">
        <x:v>Crossover Adjacent</x:v>
      </x:c>
      <x:c r="F1813" s="33" t="str">
        <x:v>complete</x:v>
      </x:c>
      <x:c r="G1813" s="50" t="n">
        <x:v>2</x:v>
      </x:c>
      <x:c r="H1813" s="50" t="n">
        <x:v>6</x:v>
      </x:c>
      <x:c r="I1813" s="44" t="str">
        <x:v>02.06</x:v>
      </x:c>
      <x:c r="J1813" s="33" t="str">
        <x:v>Ambush (Malvern, AR)</x:v>
      </x:c>
      <x:c r="K1813" s="33" t="str"/>
      <x:c r="L1813" s="33" t="str"/>
      <x:c r="M1813" s="44" t="str"/>
      <x:c r="N1813" s="50" t="n">
        <x:v>42</x:v>
      </x:c>
      <x:c r="O1813" s="53" t="str">
        <x:v>A 2002 double murder in small-town Arkansas is investigated.</x:v>
      </x:c>
      <x:c r="P1813" s="53" t="str">
        <x:v>Wolf Entertainment unscripted true-crime series</x:v>
      </x:c>
      <x:c r="Q1813" s="17" t="str">
        <x:v>957965</x:v>
      </x:c>
      <x:c r="R1813" s="17" t="str">
        <x:v>tt3601310</x:v>
      </x:c>
      <x:c r="S1813" s="17" t="str"/>
    </x:row>
    <x:row r="1814">
      <x:c r="A1814" s="43" t="n">
        <x:v>1810</x:v>
      </x:c>
      <x:c r="B1814" s="44" t="str">
        <x:v>Not Started</x:v>
      </x:c>
      <x:c r="C1814" s="45" t="n">
        <x:v>41696</x:v>
      </x:c>
      <x:c r="D1814" s="33" t="str">
        <x:v>Chicago Fire</x:v>
      </x:c>
      <x:c r="E1814" s="33" t="str">
        <x:v>One Chicago</x:v>
      </x:c>
      <x:c r="F1814" s="33" t="str">
        <x:v>core</x:v>
      </x:c>
      <x:c r="G1814" s="50" t="n">
        <x:v>2</x:v>
      </x:c>
      <x:c r="H1814" s="50" t="n">
        <x:v>14</x:v>
      </x:c>
      <x:c r="I1814" s="44" t="str">
        <x:v>02.14</x:v>
      </x:c>
      <x:c r="J1814" s="33" t="str">
        <x:v>Virgin Skin</x:v>
      </x:c>
      <x:c r="K1814" s="33" t="str"/>
      <x:c r="L1814" s="33" t="str"/>
      <x:c r="M1814" s="44" t="str"/>
      <x:c r="N1814" s="50" t="n">
        <x:v>43</x:v>
      </x:c>
      <x:c r="O1814" s="53" t="str">
        <x:v>Severide feels sidelined as he leaves Detective Lindsay and the Intelligence Unit to do their job and locate his sister Katie. Shay gets an unusual tip from Chicago Blackhawk players Brent Seabrook and Duncan Keith, who makes friends with Clarke and stop by Molly’s. Meanwhile, Casey learns more about his head injuries after another close call and Dawson pushes hard to pass the physical test at the Academy.</x:v>
      </x:c>
      <x:c r="P1814" s="53" t="str">
        <x:v>Core One Chicago franchise</x:v>
      </x:c>
      <x:c r="Q1814" s="17" t="str">
        <x:v>898435</x:v>
      </x:c>
      <x:c r="R1814" s="17" t="str">
        <x:v>tt3418238</x:v>
      </x:c>
      <x:c r="S1814" s="17" t="str"/>
    </x:row>
    <x:row r="1815">
      <x:c r="A1815" s="43" t="n">
        <x:v>1811</x:v>
      </x:c>
      <x:c r="B1815" s="44" t="str">
        <x:v>Not Started</x:v>
      </x:c>
      <x:c r="C1815" s="45" t="n">
        <x:v>41696</x:v>
      </x:c>
      <x:c r="D1815" s="33" t="str">
        <x:v>Law &amp; Order: Special Victims Unit</x:v>
      </x:c>
      <x:c r="E1815" s="33" t="str">
        <x:v>Law &amp; Order</x:v>
      </x:c>
      <x:c r="F1815" s="33" t="str">
        <x:v>core</x:v>
      </x:c>
      <x:c r="G1815" s="50" t="n">
        <x:v>15</x:v>
      </x:c>
      <x:c r="H1815" s="50" t="n">
        <x:v>15</x:v>
      </x:c>
      <x:c r="I1815" s="44" t="str">
        <x:v>15.15</x:v>
      </x:c>
      <x:c r="J1815" s="33" t="str">
        <x:v>Comic Perversion (I)</x:v>
      </x:c>
      <x:c r="K1815" s="33" t="str">
        <x:v>Crossover</x:v>
      </x:c>
      <x:c r="L1815" s="33" t="str">
        <x:v>Comic Perversion / Conventions</x:v>
      </x:c>
      <x:c r="M1815" s="44" t="str">
        <x:v>1/2</x:v>
      </x:c>
      <x:c r="N1815" s="50" t="n">
        <x:v>43</x:v>
      </x:c>
      <x:c r="O1815" s="53" t="str">
        <x:v>Popular comedian Josh Galloway is faced with student protestors after a set at Tompkins Square University. Though Barba can't arrest him for speaking his mind, he charges the SVU to find proof that Galloway's actions reflect his words. Meanwhile, a detective from Chicago seeks help from the NYPD.
The crossover continues on Chicago P.D. S1E06 Conventions (II).</x:v>
      </x:c>
      <x:c r="P1815" s="53" t="str">
        <x:v>Core Law &amp; Order franchise</x:v>
      </x:c>
      <x:c r="Q1815" s="17" t="str">
        <x:v>225274</x:v>
      </x:c>
      <x:c r="R1815" s="17" t="str">
        <x:v>tt3494020</x:v>
      </x:c>
      <x:c r="S1815" s="17" t="str">
        <x:v>https://one-chicago-fbi.fandom.com/wiki/Crossovers_and_Milestones</x:v>
      </x:c>
    </x:row>
    <x:row r="1816">
      <x:c r="A1816" s="43" t="n">
        <x:v>1812</x:v>
      </x:c>
      <x:c r="B1816" s="44" t="str">
        <x:v>Not Started</x:v>
      </x:c>
      <x:c r="C1816" s="45" t="n">
        <x:v>41697</x:v>
      </x:c>
      <x:c r="D1816" s="33" t="str">
        <x:v>Chicago P.D.</x:v>
      </x:c>
      <x:c r="E1816" s="33" t="str">
        <x:v>One Chicago</x:v>
      </x:c>
      <x:c r="F1816" s="33" t="str">
        <x:v>core</x:v>
      </x:c>
      <x:c r="G1816" s="50" t="n">
        <x:v>1</x:v>
      </x:c>
      <x:c r="H1816" s="50" t="n">
        <x:v>6</x:v>
      </x:c>
      <x:c r="I1816" s="44" t="str">
        <x:v>01.06</x:v>
      </x:c>
      <x:c r="J1816" s="33" t="str">
        <x:v>Conventions (II)</x:v>
      </x:c>
      <x:c r="K1816" s="33" t="str">
        <x:v>Crossover</x:v>
      </x:c>
      <x:c r="L1816" s="33" t="str">
        <x:v>Comic Perversion / Conventions</x:v>
      </x:c>
      <x:c r="M1816" s="44" t="str">
        <x:v>2/2</x:v>
      </x:c>
      <x:c r="N1816" s="50" t="n">
        <x:v>44</x:v>
      </x:c>
      <x:c r="O1816" s="53" t="str">
        <x:v>Voight and Antonio enlist the help of agents at the Special Victims Unit in New York, Fin and Rollins, to help track down the culprit of a series of rape/murders. Burgess has an opportunity to prove herself to Intelligence. Elsewhere Lindsay enlists the help of Halstead to act as her date for her high school reunion to get back at an old rival.
The crossover starts on Law &amp; Order: Special Victims Unit S15E15 Comic Perversion (I).</x:v>
      </x:c>
      <x:c r="P1816" s="53" t="str">
        <x:v>Core One Chicago franchise; crossovers with SVU/FBI</x:v>
      </x:c>
      <x:c r="Q1816" s="17" t="str">
        <x:v>958011</x:v>
      </x:c>
      <x:c r="R1816" s="17" t="str">
        <x:v>tt3315250</x:v>
      </x:c>
      <x:c r="S1816" s="17" t="str">
        <x:v>https://one-chicago-fbi.fandom.com/wiki/Crossovers_and_Milestones</x:v>
      </x:c>
    </x:row>
    <x:row r="1817">
      <x:c r="A1817" s="43" t="n">
        <x:v>1813</x:v>
      </x:c>
      <x:c r="B1817" s="44" t="str">
        <x:v>Not Started</x:v>
      </x:c>
      <x:c r="C1817" s="45" t="n">
        <x:v>41699</x:v>
      </x:c>
      <x:c r="D1817" s="33" t="str">
        <x:v>Cold Justice</x:v>
      </x:c>
      <x:c r="E1817" s="33" t="str">
        <x:v>Crossover Adjacent</x:v>
      </x:c>
      <x:c r="F1817" s="33" t="str">
        <x:v>complete</x:v>
      </x:c>
      <x:c r="G1817" s="50" t="n">
        <x:v>2</x:v>
      </x:c>
      <x:c r="H1817" s="50" t="n">
        <x:v>7</x:v>
      </x:c>
      <x:c r="I1817" s="44" t="str">
        <x:v>02.07</x:v>
      </x:c>
      <x:c r="J1817" s="33" t="str">
        <x:v>Single Working Mom (Galatin, TN)</x:v>
      </x:c>
      <x:c r="K1817" s="33" t="str"/>
      <x:c r="L1817" s="33" t="str"/>
      <x:c r="M1817" s="44" t="str"/>
      <x:c r="N1817" s="50" t="n">
        <x:v>42</x:v>
      </x:c>
      <x:c r="O1817" s="53" t="str">
        <x:v>The 2010 slaying of a single mother is investigated.</x:v>
      </x:c>
      <x:c r="P1817" s="53" t="str">
        <x:v>Wolf Entertainment unscripted true-crime series</x:v>
      </x:c>
      <x:c r="Q1817" s="17" t="str">
        <x:v>957966</x:v>
      </x:c>
      <x:c r="R1817" s="17" t="str">
        <x:v>tt3601314</x:v>
      </x:c>
      <x:c r="S1817" s="17" t="str"/>
    </x:row>
    <x:row r="1818">
      <x:c r="A1818" s="43" t="n">
        <x:v>1814</x:v>
      </x:c>
      <x:c r="B1818" s="44" t="str">
        <x:v>Not Started</x:v>
      </x:c>
      <x:c r="C1818" s="45" t="n">
        <x:v>41703</x:v>
      </x:c>
      <x:c r="D1818" s="33" t="str">
        <x:v>Chicago Fire</x:v>
      </x:c>
      <x:c r="E1818" s="33" t="str">
        <x:v>One Chicago</x:v>
      </x:c>
      <x:c r="F1818" s="33" t="str">
        <x:v>core</x:v>
      </x:c>
      <x:c r="G1818" s="50" t="n">
        <x:v>2</x:v>
      </x:c>
      <x:c r="H1818" s="50" t="n">
        <x:v>15</x:v>
      </x:c>
      <x:c r="I1818" s="44" t="str">
        <x:v>02.15</x:v>
      </x:c>
      <x:c r="J1818" s="33" t="str">
        <x:v>Keep Your Mouth Shut</x:v>
      </x:c>
      <x:c r="K1818" s="33" t="str"/>
      <x:c r="L1818" s="33" t="str"/>
      <x:c r="M1818" s="44" t="str"/>
      <x:c r="N1818" s="50" t="n">
        <x:v>43</x:v>
      </x:c>
      <x:c r="O1818" s="53" t="str">
        <x:v>Severide is getting impatient with the police as Vince Keeler walks free. Meanwhile, the house pulls out all the stops to save a girl trapped inside a donation bin, Mouch learns that Boden’s secretary Connie is not someone to mess with and the squad and truck are called to a serious high rise fire inside a 20-story downtown office building.</x:v>
      </x:c>
      <x:c r="P1818" s="53" t="str">
        <x:v>Core One Chicago franchise</x:v>
      </x:c>
      <x:c r="Q1818" s="17" t="str">
        <x:v>898436</x:v>
      </x:c>
      <x:c r="R1818" s="17" t="str">
        <x:v>tt3418242</x:v>
      </x:c>
      <x:c r="S1818" s="17" t="str"/>
    </x:row>
    <x:row r="1819">
      <x:c r="A1819" s="43" t="n">
        <x:v>1815</x:v>
      </x:c>
      <x:c r="B1819" s="44" t="str">
        <x:v>Not Started</x:v>
      </x:c>
      <x:c r="C1819" s="45" t="n">
        <x:v>41703</x:v>
      </x:c>
      <x:c r="D1819" s="33" t="str">
        <x:v>Law &amp; Order: Special Victims Unit</x:v>
      </x:c>
      <x:c r="E1819" s="33" t="str">
        <x:v>Law &amp; Order</x:v>
      </x:c>
      <x:c r="F1819" s="33" t="str">
        <x:v>core</x:v>
      </x:c>
      <x:c r="G1819" s="50" t="n">
        <x:v>15</x:v>
      </x:c>
      <x:c r="H1819" s="50" t="n">
        <x:v>16</x:v>
      </x:c>
      <x:c r="I1819" s="44" t="str">
        <x:v>15.16</x:v>
      </x:c>
      <x:c r="J1819" s="33" t="str">
        <x:v>Gridiron Soldier</x:v>
      </x:c>
      <x:c r="K1819" s="33" t="str"/>
      <x:c r="L1819" s="33" t="str"/>
      <x:c r="M1819" s="44" t="str"/>
      <x:c r="N1819" s="50" t="n">
        <x:v>43</x:v>
      </x:c>
      <x:c r="O1819" s="53" t="str">
        <x:v>Detective Rollins is contacted by a hometown friend when his son, a high school football star, goes missing in New York; Rollins seeks help with her escalating problems.</x:v>
      </x:c>
      <x:c r="P1819" s="53" t="str">
        <x:v>Core Law &amp; Order franchise</x:v>
      </x:c>
      <x:c r="Q1819" s="17" t="str">
        <x:v>225275</x:v>
      </x:c>
      <x:c r="R1819" s="17" t="str">
        <x:v>tt3508744</x:v>
      </x:c>
      <x:c r="S1819" s="17" t="str">
        <x:v>1319</x:v>
      </x:c>
    </x:row>
    <x:row r="1820">
      <x:c r="A1820" s="43" t="n">
        <x:v>1816</x:v>
      </x:c>
      <x:c r="B1820" s="44" t="str">
        <x:v>Not Started</x:v>
      </x:c>
      <x:c r="C1820" s="45" t="n">
        <x:v>41704</x:v>
      </x:c>
      <x:c r="D1820" s="33" t="str">
        <x:v>Chicago P.D.</x:v>
      </x:c>
      <x:c r="E1820" s="33" t="str">
        <x:v>One Chicago</x:v>
      </x:c>
      <x:c r="F1820" s="33" t="str">
        <x:v>core</x:v>
      </x:c>
      <x:c r="G1820" s="50" t="n">
        <x:v>1</x:v>
      </x:c>
      <x:c r="H1820" s="50" t="n">
        <x:v>7</x:v>
      </x:c>
      <x:c r="I1820" s="44" t="str">
        <x:v>01.07</x:v>
      </x:c>
      <x:c r="J1820" s="33" t="str">
        <x:v>The Price We Pay</x:v>
      </x:c>
      <x:c r="K1820" s="33" t="str"/>
      <x:c r="L1820" s="33" t="str"/>
      <x:c r="M1820" s="44" t="str"/>
      <x:c r="N1820" s="50" t="n">
        <x:v>44</x:v>
      </x:c>
      <x:c r="O1820" s="53" t="str">
        <x:v>Voight's son may be involved with the Fitori murder case, intensifying tension between Antonio and Voight; Ruzek helps Burgess get retribution.</x:v>
      </x:c>
      <x:c r="P1820" s="53" t="str">
        <x:v>Core One Chicago franchise; crossovers with SVU/FBI</x:v>
      </x:c>
      <x:c r="Q1820" s="17" t="str">
        <x:v>958012</x:v>
      </x:c>
      <x:c r="R1820" s="17" t="str">
        <x:v>tt3334246</x:v>
      </x:c>
      <x:c r="S1820" s="17" t="str"/>
    </x:row>
    <x:row r="1821">
      <x:c r="A1821" s="43" t="n">
        <x:v>1817</x:v>
      </x:c>
      <x:c r="B1821" s="44" t="str">
        <x:v>Not Started</x:v>
      </x:c>
      <x:c r="C1821" s="45" t="n">
        <x:v>41706</x:v>
      </x:c>
      <x:c r="D1821" s="33" t="str">
        <x:v>Cold Justice</x:v>
      </x:c>
      <x:c r="E1821" s="33" t="str">
        <x:v>Crossover Adjacent</x:v>
      </x:c>
      <x:c r="F1821" s="33" t="str">
        <x:v>complete</x:v>
      </x:c>
      <x:c r="G1821" s="50" t="n">
        <x:v>2</x:v>
      </x:c>
      <x:c r="H1821" s="50" t="n">
        <x:v>8</x:v>
      </x:c>
      <x:c r="I1821" s="44" t="str">
        <x:v>02.08</x:v>
      </x:c>
      <x:c r="J1821" s="33" t="str">
        <x:v>Billy Goat Hill (Chattanooga, TN)</x:v>
      </x:c>
      <x:c r="K1821" s="33" t="str"/>
      <x:c r="L1821" s="33" t="str"/>
      <x:c r="M1821" s="44" t="str"/>
      <x:c r="N1821" s="50" t="n">
        <x:v>42</x:v>
      </x:c>
      <x:c r="O1821" s="53" t="str">
        <x:v>The 1997 murder of a mother of two is investigated.</x:v>
      </x:c>
      <x:c r="P1821" s="53" t="str">
        <x:v>Wolf Entertainment unscripted true-crime series</x:v>
      </x:c>
      <x:c r="Q1821" s="17" t="str">
        <x:v>957967</x:v>
      </x:c>
      <x:c r="R1821" s="17" t="str">
        <x:v>tt3601316</x:v>
      </x:c>
      <x:c r="S1821" s="17" t="str"/>
    </x:row>
    <x:row r="1822">
      <x:c r="A1822" s="43" t="n">
        <x:v>1818</x:v>
      </x:c>
      <x:c r="B1822" s="44" t="str">
        <x:v>Not Started</x:v>
      </x:c>
      <x:c r="C1822" s="45" t="n">
        <x:v>41710</x:v>
      </x:c>
      <x:c r="D1822" s="33" t="str">
        <x:v>Chicago Fire</x:v>
      </x:c>
      <x:c r="E1822" s="33" t="str">
        <x:v>One Chicago</x:v>
      </x:c>
      <x:c r="F1822" s="33" t="str">
        <x:v>core</x:v>
      </x:c>
      <x:c r="G1822" s="50" t="n">
        <x:v>2</x:v>
      </x:c>
      <x:c r="H1822" s="50" t="n">
        <x:v>16</x:v>
      </x:c>
      <x:c r="I1822" s="44" t="str">
        <x:v>02.16</x:v>
      </x:c>
      <x:c r="J1822" s="33" t="str">
        <x:v>A Rocket Blasting Off</x:v>
      </x:c>
      <x:c r="K1822" s="33" t="str"/>
      <x:c r="L1822" s="33" t="str"/>
      <x:c r="M1822" s="44" t="str"/>
      <x:c r="N1822" s="50" t="n">
        <x:v>43</x:v>
      </x:c>
      <x:c r="O1822" s="53" t="str">
        <x:v>Lt. Severide hits the top of the list as Det. Lindsay starts calling in suspects with the clearest motives to make the guy who kidnapped Katie disappear. Meanwhile, Jones is still having trouble fitting in as word of her disruptions reach the fire department’s headquarters. Elsewhere, Herrmann celebrates his twentieth anniversary with his wife, but no one supports his idea on the gift he intends to give.</x:v>
      </x:c>
      <x:c r="P1822" s="53" t="str">
        <x:v>Core One Chicago franchise</x:v>
      </x:c>
      <x:c r="Q1822" s="17" t="str">
        <x:v>898437</x:v>
      </x:c>
      <x:c r="R1822" s="17" t="str">
        <x:v>tt3418240</x:v>
      </x:c>
      <x:c r="S1822" s="17" t="str"/>
    </x:row>
    <x:row r="1823">
      <x:c r="A1823" s="43" t="n">
        <x:v>1819</x:v>
      </x:c>
      <x:c r="B1823" s="44" t="str">
        <x:v>Not Started</x:v>
      </x:c>
      <x:c r="C1823" s="45" t="n">
        <x:v>41710</x:v>
      </x:c>
      <x:c r="D1823" s="33" t="str">
        <x:v>Law &amp; Order: UK</x:v>
      </x:c>
      <x:c r="E1823" s="33" t="str">
        <x:v>Law &amp; Order</x:v>
      </x:c>
      <x:c r="F1823" s="33" t="str">
        <x:v>core</x:v>
      </x:c>
      <x:c r="G1823" s="50" t="n">
        <x:v>8</x:v>
      </x:c>
      <x:c r="H1823" s="50" t="n">
        <x:v>1</x:v>
      </x:c>
      <x:c r="I1823" s="44" t="str">
        <x:v>08.01</x:v>
      </x:c>
      <x:c r="J1823" s="33" t="str">
        <x:v>Flaw</x:v>
      </x:c>
      <x:c r="K1823" s="33" t="str"/>
      <x:c r="L1823" s="33" t="str"/>
      <x:c r="M1823" s="44" t="str"/>
      <x:c r="N1823" s="50" t="n">
        <x:v>48</x:v>
      </x:c>
      <x:c r="O1823" s="53" t="str">
        <x:v>Ronnie and new partner Joe Hawkins, who has come from the child protection unit, investigate a gruesome double murder where the victims' hands and teeth were removed.</x:v>
      </x:c>
      <x:c r="P1823" s="53" t="str">
        <x:v>Law &amp; Order format/franchise</x:v>
      </x:c>
      <x:c r="Q1823" s="17" t="str">
        <x:v>1595609</x:v>
      </x:c>
      <x:c r="R1823" s="17" t="str">
        <x:v>tt2772214</x:v>
      </x:c>
      <x:c r="S1823" s="17" t="str">
        <x:v>1321</x:v>
      </x:c>
    </x:row>
    <x:row r="1824">
      <x:c r="A1824" s="43" t="n">
        <x:v>1820</x:v>
      </x:c>
      <x:c r="B1824" s="44" t="str">
        <x:v>Not Started</x:v>
      </x:c>
      <x:c r="C1824" s="45" t="n">
        <x:v>41710</x:v>
      </x:c>
      <x:c r="D1824" s="33" t="str">
        <x:v>Law &amp; Order: Special Victims Unit</x:v>
      </x:c>
      <x:c r="E1824" s="33" t="str">
        <x:v>Law &amp; Order</x:v>
      </x:c>
      <x:c r="F1824" s="33" t="str">
        <x:v>core</x:v>
      </x:c>
      <x:c r="G1824" s="50" t="n">
        <x:v>15</x:v>
      </x:c>
      <x:c r="H1824" s="50" t="n">
        <x:v>17</x:v>
      </x:c>
      <x:c r="I1824" s="44" t="str">
        <x:v>15.17</x:v>
      </x:c>
      <x:c r="J1824" s="33" t="str">
        <x:v>Gambler's Fallacy</x:v>
      </x:c>
      <x:c r="K1824" s="33" t="str"/>
      <x:c r="L1824" s="33" t="str"/>
      <x:c r="M1824" s="44" t="str"/>
      <x:c r="N1824" s="50" t="n">
        <x:v>43</x:v>
      </x:c>
      <x:c r="O1824" s="53" t="str">
        <x:v>When Rollins strikes a deal with the managers of a gambling club in order to protect her job, she ends up drawing the suspicion of Benson and Tutuola.</x:v>
      </x:c>
      <x:c r="P1824" s="53" t="str">
        <x:v>Core Law &amp; Order franchise</x:v>
      </x:c>
      <x:c r="Q1824" s="17" t="str">
        <x:v>225276</x:v>
      </x:c>
      <x:c r="R1824" s="17" t="str">
        <x:v>tt3508746</x:v>
      </x:c>
      <x:c r="S1824" s="17" t="str">
        <x:v>1320</x:v>
      </x:c>
    </x:row>
    <x:row r="1825">
      <x:c r="A1825" s="43" t="n">
        <x:v>1821</x:v>
      </x:c>
      <x:c r="B1825" s="44" t="str">
        <x:v>Not Started</x:v>
      </x:c>
      <x:c r="C1825" s="45" t="n">
        <x:v>41711</x:v>
      </x:c>
      <x:c r="D1825" s="33" t="str">
        <x:v>Chicago P.D.</x:v>
      </x:c>
      <x:c r="E1825" s="33" t="str">
        <x:v>One Chicago</x:v>
      </x:c>
      <x:c r="F1825" s="33" t="str">
        <x:v>core</x:v>
      </x:c>
      <x:c r="G1825" s="50" t="n">
        <x:v>1</x:v>
      </x:c>
      <x:c r="H1825" s="50" t="n">
        <x:v>8</x:v>
      </x:c>
      <x:c r="I1825" s="44" t="str">
        <x:v>01.08</x:v>
      </x:c>
      <x:c r="J1825" s="33" t="str">
        <x:v>Different Mistakes</x:v>
      </x:c>
      <x:c r="K1825" s="33" t="str"/>
      <x:c r="L1825" s="33" t="str"/>
      <x:c r="M1825" s="44" t="str"/>
      <x:c r="N1825" s="50" t="n">
        <x:v>44</x:v>
      </x:c>
      <x:c r="O1825" s="53" t="str">
        <x:v>Voight is assigned a new Internal Affairs handler, Stillwell who proves to be suspicious of Voight’s actions. During an investigation involving a gambling ring Voight is forced to work with his former partner from the Gang Unit, Shi. At the same time Halsted remains fixated on Lonnie Rodiger and enlists Jin’s help to gather more information. Meanwhile, Ruzek’s inflated ego leads Olinsky to take him down a peg and offer a great opportunity to Atwater.</x:v>
      </x:c>
      <x:c r="P1825" s="53" t="str">
        <x:v>Core One Chicago franchise; crossovers with SVU/FBI</x:v>
      </x:c>
      <x:c r="Q1825" s="17" t="str">
        <x:v>958013</x:v>
      </x:c>
      <x:c r="R1825" s="17" t="str">
        <x:v>tt3591616</x:v>
      </x:c>
      <x:c r="S1825" s="17" t="str"/>
    </x:row>
    <x:row r="1826">
      <x:c r="A1826" s="43" t="n">
        <x:v>1822</x:v>
      </x:c>
      <x:c r="B1826" s="44" t="str">
        <x:v>Not Started</x:v>
      </x:c>
      <x:c r="C1826" s="45" t="n">
        <x:v>41713</x:v>
      </x:c>
      <x:c r="D1826" s="33" t="str">
        <x:v>Cold Justice</x:v>
      </x:c>
      <x:c r="E1826" s="33" t="str">
        <x:v>Crossover Adjacent</x:v>
      </x:c>
      <x:c r="F1826" s="33" t="str">
        <x:v>complete</x:v>
      </x:c>
      <x:c r="G1826" s="50" t="n">
        <x:v>2</x:v>
      </x:c>
      <x:c r="H1826" s="50" t="n">
        <x:v>9</x:v>
      </x:c>
      <x:c r="I1826" s="44" t="str">
        <x:v>02.09</x:v>
      </x:c>
      <x:c r="J1826" s="33" t="str">
        <x:v>Lady in the Box (Aurora, CO)</x:v>
      </x:c>
      <x:c r="K1826" s="33" t="str"/>
      <x:c r="L1826" s="33" t="str"/>
      <x:c r="M1826" s="44" t="str"/>
      <x:c r="N1826" s="50" t="n">
        <x:v>42</x:v>
      </x:c>
      <x:c r="O1826" s="53" t="str">
        <x:v>Siegler and McClary head to Aurora, Colo.</x:v>
      </x:c>
      <x:c r="P1826" s="53" t="str">
        <x:v>Wolf Entertainment unscripted true-crime series</x:v>
      </x:c>
      <x:c r="Q1826" s="17" t="str">
        <x:v>957968</x:v>
      </x:c>
      <x:c r="R1826" s="17" t="str">
        <x:v>tt3601320</x:v>
      </x:c>
      <x:c r="S1826" s="17" t="str"/>
    </x:row>
    <x:row r="1827">
      <x:c r="A1827" s="43" t="n">
        <x:v>1823</x:v>
      </x:c>
      <x:c r="B1827" s="44" t="str">
        <x:v>Not Started</x:v>
      </x:c>
      <x:c r="C1827" s="45" t="n">
        <x:v>41717</x:v>
      </x:c>
      <x:c r="D1827" s="33" t="str">
        <x:v>Chicago Fire</x:v>
      </x:c>
      <x:c r="E1827" s="33" t="str">
        <x:v>One Chicago</x:v>
      </x:c>
      <x:c r="F1827" s="33" t="str">
        <x:v>core</x:v>
      </x:c>
      <x:c r="G1827" s="50" t="n">
        <x:v>2</x:v>
      </x:c>
      <x:c r="H1827" s="50" t="n">
        <x:v>17</x:v>
      </x:c>
      <x:c r="I1827" s="44" t="str">
        <x:v>02.17</x:v>
      </x:c>
      <x:c r="J1827" s="33" t="str">
        <x:v>When Things Got Rough</x:v>
      </x:c>
      <x:c r="K1827" s="33" t="str"/>
      <x:c r="L1827" s="33" t="str"/>
      <x:c r="M1827" s="44" t="str"/>
      <x:c r="N1827" s="50" t="n">
        <x:v>43</x:v>
      </x:c>
      <x:c r="O1827" s="53" t="str">
        <x:v>Lt. Severide is reminded of his own past by a man he saves from a car accident and feels compelled to help him. Elsewhere, Lt. Casey and Chief Boden grapple with how to dock Jones per her father’s orders. Meanwhile, Mouch and Dawson have troubles with the opposite sex and an emotional call to duty creates ripples throughout Firehouse 51.</x:v>
      </x:c>
      <x:c r="P1827" s="53" t="str">
        <x:v>Core One Chicago franchise</x:v>
      </x:c>
      <x:c r="Q1827" s="17" t="str">
        <x:v>898438</x:v>
      </x:c>
      <x:c r="R1827" s="17" t="str">
        <x:v>tt3557146</x:v>
      </x:c>
      <x:c r="S1827" s="17" t="str"/>
    </x:row>
    <x:row r="1828">
      <x:c r="A1828" s="43" t="n">
        <x:v>1824</x:v>
      </x:c>
      <x:c r="B1828" s="44" t="str">
        <x:v>Not Started</x:v>
      </x:c>
      <x:c r="C1828" s="45" t="n">
        <x:v>41717</x:v>
      </x:c>
      <x:c r="D1828" s="33" t="str">
        <x:v>Law &amp; Order: UK</x:v>
      </x:c>
      <x:c r="E1828" s="33" t="str">
        <x:v>Law &amp; Order</x:v>
      </x:c>
      <x:c r="F1828" s="33" t="str">
        <x:v>core</x:v>
      </x:c>
      <x:c r="G1828" s="50" t="n">
        <x:v>8</x:v>
      </x:c>
      <x:c r="H1828" s="50" t="n">
        <x:v>2</x:v>
      </x:c>
      <x:c r="I1828" s="44" t="str">
        <x:v>08.02</x:v>
      </x:c>
      <x:c r="J1828" s="33" t="str">
        <x:v>Safe from Harm</x:v>
      </x:c>
      <x:c r="K1828" s="33" t="str"/>
      <x:c r="L1828" s="33" t="str"/>
      <x:c r="M1828" s="44" t="str"/>
      <x:c r="N1828" s="50" t="n">
        <x:v>48</x:v>
      </x:c>
      <x:c r="O1828" s="53" t="str">
        <x:v>Philip Gardner, a psychiatrist specialising in troubled adolescents, is stabbed to death and Ronnie initially believes that one of his clients is the culprit.</x:v>
      </x:c>
      <x:c r="P1828" s="53" t="str">
        <x:v>Law &amp; Order format/franchise</x:v>
      </x:c>
      <x:c r="Q1828" s="17" t="str">
        <x:v>1595610</x:v>
      </x:c>
      <x:c r="R1828" s="17" t="str">
        <x:v>tt3358424</x:v>
      </x:c>
      <x:c r="S1828" s="17" t="str">
        <x:v>1323</x:v>
      </x:c>
    </x:row>
    <x:row r="1829">
      <x:c r="A1829" s="43" t="n">
        <x:v>1825</x:v>
      </x:c>
      <x:c r="B1829" s="44" t="str">
        <x:v>Not Started</x:v>
      </x:c>
      <x:c r="C1829" s="45" t="n">
        <x:v>41717</x:v>
      </x:c>
      <x:c r="D1829" s="33" t="str">
        <x:v>Law &amp; Order: Special Victims Unit</x:v>
      </x:c>
      <x:c r="E1829" s="33" t="str">
        <x:v>Law &amp; Order</x:v>
      </x:c>
      <x:c r="F1829" s="33" t="str">
        <x:v>core</x:v>
      </x:c>
      <x:c r="G1829" s="50" t="n">
        <x:v>15</x:v>
      </x:c>
      <x:c r="H1829" s="50" t="n">
        <x:v>18</x:v>
      </x:c>
      <x:c r="I1829" s="44" t="str">
        <x:v>15.18</x:v>
      </x:c>
      <x:c r="J1829" s="33" t="str">
        <x:v>Criminal Stories</x:v>
      </x:c>
      <x:c r="K1829" s="33" t="str"/>
      <x:c r="L1829" s="33" t="str"/>
      <x:c r="M1829" s="44" t="str"/>
      <x:c r="N1829" s="50" t="n">
        <x:v>43</x:v>
      </x:c>
      <x:c r="O1829" s="53" t="str">
        <x:v>A columnist who has been given access to the squad for a story declares a hate crime case a hoax, leaving the victim under media scrutiny and Benson fighting to get the case back on solid ground.</x:v>
      </x:c>
      <x:c r="P1829" s="53" t="str">
        <x:v>Core Law &amp; Order franchise</x:v>
      </x:c>
      <x:c r="Q1829" s="17" t="str">
        <x:v>225277</x:v>
      </x:c>
      <x:c r="R1829" s="17" t="str">
        <x:v>tt3508748</x:v>
      </x:c>
      <x:c r="S1829" s="17" t="str">
        <x:v>1322</x:v>
      </x:c>
    </x:row>
    <x:row r="1830">
      <x:c r="A1830" s="43" t="n">
        <x:v>1826</x:v>
      </x:c>
      <x:c r="B1830" s="44" t="str">
        <x:v>Not Started</x:v>
      </x:c>
      <x:c r="C1830" s="45" t="n">
        <x:v>41718</x:v>
      </x:c>
      <x:c r="D1830" s="33" t="str">
        <x:v>Chicago P.D.</x:v>
      </x:c>
      <x:c r="E1830" s="33" t="str">
        <x:v>One Chicago</x:v>
      </x:c>
      <x:c r="F1830" s="33" t="str">
        <x:v>core</x:v>
      </x:c>
      <x:c r="G1830" s="50" t="n">
        <x:v>1</x:v>
      </x:c>
      <x:c r="H1830" s="50" t="n">
        <x:v>9</x:v>
      </x:c>
      <x:c r="I1830" s="44" t="str">
        <x:v>01.09</x:v>
      </x:c>
      <x:c r="J1830" s="33" t="str">
        <x:v>A Material Witness</x:v>
      </x:c>
      <x:c r="K1830" s="33" t="str"/>
      <x:c r="L1830" s="33" t="str"/>
      <x:c r="M1830" s="44" t="str"/>
      <x:c r="N1830" s="50" t="n">
        <x:v>44</x:v>
      </x:c>
      <x:c r="O1830" s="53" t="str">
        <x:v>In responding to a call Atwater and Burgess discover a gunshot victim and the only witness is Lexi Olinsky. The shooting is tied to a Latin gang. To protect Olinsky’s daughter, Voight takes the case from the Gang Unit. Ruzek pulls up Burgess to help with an undercover mission that he hopes will help solve the case. Jon Seda, Sophia Bush, Jesse Lee Soffer, and Archie Kao also star.</x:v>
      </x:c>
      <x:c r="P1830" s="53" t="str">
        <x:v>Core One Chicago franchise; crossovers with SVU/FBI</x:v>
      </x:c>
      <x:c r="Q1830" s="17" t="str">
        <x:v>958014</x:v>
      </x:c>
      <x:c r="R1830" s="17" t="str">
        <x:v>tt3591624</x:v>
      </x:c>
      <x:c r="S1830" s="17" t="str"/>
    </x:row>
    <x:row r="1831">
      <x:c r="A1831" s="43" t="n">
        <x:v>1827</x:v>
      </x:c>
      <x:c r="B1831" s="44" t="str">
        <x:v>Not Started</x:v>
      </x:c>
      <x:c r="C1831" s="45" t="n">
        <x:v>41724</x:v>
      </x:c>
      <x:c r="D1831" s="33" t="str">
        <x:v>Law &amp; Order: UK</x:v>
      </x:c>
      <x:c r="E1831" s="33" t="str">
        <x:v>Law &amp; Order</x:v>
      </x:c>
      <x:c r="F1831" s="33" t="str">
        <x:v>core</x:v>
      </x:c>
      <x:c r="G1831" s="50" t="n">
        <x:v>8</x:v>
      </x:c>
      <x:c r="H1831" s="50" t="n">
        <x:v>3</x:v>
      </x:c>
      <x:c r="I1831" s="44" t="str">
        <x:v>08.03</x:v>
      </x:c>
      <x:c r="J1831" s="33" t="str">
        <x:v>I Predict a Riot</x:v>
      </x:c>
      <x:c r="K1831" s="33" t="str"/>
      <x:c r="L1831" s="33" t="str"/>
      <x:c r="M1831" s="44" t="str"/>
      <x:c r="N1831" s="50" t="n">
        <x:v>48</x:v>
      </x:c>
      <x:c r="O1831" s="53" t="str">
        <x:v>When a car is pulled from a river with a skeleton in its boot the pathologist reckons both have been there for a quarter of a century and eventually the dead man is shown to be Taylor Kane, one of the first black undercover officers, who disappeared at the time of the Brixton riots.</x:v>
      </x:c>
      <x:c r="P1831" s="53" t="str">
        <x:v>Law &amp; Order format/franchise</x:v>
      </x:c>
      <x:c r="Q1831" s="17" t="str">
        <x:v>1595611</x:v>
      </x:c>
      <x:c r="R1831" s="17" t="str">
        <x:v>tt2793500</x:v>
      </x:c>
      <x:c r="S1831" s="17" t="str">
        <x:v>1324</x:v>
      </x:c>
    </x:row>
    <x:row r="1832">
      <x:c r="A1832" s="43" t="n">
        <x:v>1828</x:v>
      </x:c>
      <x:c r="B1832" s="44" t="str">
        <x:v>Not Started</x:v>
      </x:c>
      <x:c r="C1832" s="45" t="n">
        <x:v>41727</x:v>
      </x:c>
      <x:c r="D1832" s="33" t="str">
        <x:v>Cold Justice</x:v>
      </x:c>
      <x:c r="E1832" s="33" t="str">
        <x:v>Crossover Adjacent</x:v>
      </x:c>
      <x:c r="F1832" s="33" t="str">
        <x:v>complete</x:v>
      </x:c>
      <x:c r="G1832" s="50" t="n">
        <x:v>2</x:v>
      </x:c>
      <x:c r="H1832" s="50" t="n">
        <x:v>10</x:v>
      </x:c>
      <x:c r="I1832" s="44" t="str">
        <x:v>02.10</x:v>
      </x:c>
      <x:c r="J1832" s="33" t="str">
        <x:v>Copper Dollar Ranch (Jasper, IA)</x:v>
      </x:c>
      <x:c r="K1832" s="33" t="str"/>
      <x:c r="L1832" s="33" t="str"/>
      <x:c r="M1832" s="44" t="str"/>
      <x:c r="N1832" s="50" t="n">
        <x:v>42</x:v>
      </x:c>
      <x:c r="O1832" s="53" t="str">
        <x:v>Kelly and Yolanda land in Iowa to investigate a 1983 double murder.</x:v>
      </x:c>
      <x:c r="P1832" s="53" t="str">
        <x:v>Wolf Entertainment unscripted true-crime series</x:v>
      </x:c>
      <x:c r="Q1832" s="17" t="str">
        <x:v>957969</x:v>
      </x:c>
      <x:c r="R1832" s="17" t="str">
        <x:v>tt3601322</x:v>
      </x:c>
      <x:c r="S1832" s="17" t="str"/>
    </x:row>
    <x:row r="1833">
      <x:c r="A1833" s="43" t="n">
        <x:v>1829</x:v>
      </x:c>
      <x:c r="B1833" s="44" t="str">
        <x:v>Not Started</x:v>
      </x:c>
      <x:c r="C1833" s="45" t="n">
        <x:v>41731</x:v>
      </x:c>
      <x:c r="D1833" s="33" t="str">
        <x:v>Law &amp; Order: UK</x:v>
      </x:c>
      <x:c r="E1833" s="33" t="str">
        <x:v>Law &amp; Order</x:v>
      </x:c>
      <x:c r="F1833" s="33" t="str">
        <x:v>core</x:v>
      </x:c>
      <x:c r="G1833" s="50" t="n">
        <x:v>8</x:v>
      </x:c>
      <x:c r="H1833" s="50" t="n">
        <x:v>4</x:v>
      </x:c>
      <x:c r="I1833" s="44" t="str">
        <x:v>08.04</x:v>
      </x:c>
      <x:c r="J1833" s="33" t="str">
        <x:v>Pride</x:v>
      </x:c>
      <x:c r="K1833" s="33" t="str"/>
      <x:c r="L1833" s="33" t="str"/>
      <x:c r="M1833" s="44" t="str"/>
      <x:c r="N1833" s="50" t="n">
        <x:v>48</x:v>
      </x:c>
      <x:c r="O1833" s="53" t="str">
        <x:v>Unemployed family man Neil Lester is battered to death with a paper-weight in his own home, having convinced his wife that he has been working for the past nine months</x:v>
      </x:c>
      <x:c r="P1833" s="53" t="str">
        <x:v>Law &amp; Order format/franchise</x:v>
      </x:c>
      <x:c r="Q1833" s="17" t="str">
        <x:v>1595612</x:v>
      </x:c>
      <x:c r="R1833" s="17" t="str">
        <x:v>tt3486018</x:v>
      </x:c>
      <x:c r="S1833" s="17" t="str">
        <x:v>1326</x:v>
      </x:c>
    </x:row>
    <x:row r="1834">
      <x:c r="A1834" s="43" t="n">
        <x:v>1830</x:v>
      </x:c>
      <x:c r="B1834" s="44" t="str">
        <x:v>Not Started</x:v>
      </x:c>
      <x:c r="C1834" s="45" t="n">
        <x:v>41731</x:v>
      </x:c>
      <x:c r="D1834" s="33" t="str">
        <x:v>Law &amp; Order: Special Victims Unit</x:v>
      </x:c>
      <x:c r="E1834" s="33" t="str">
        <x:v>Law &amp; Order</x:v>
      </x:c>
      <x:c r="F1834" s="33" t="str">
        <x:v>core</x:v>
      </x:c>
      <x:c r="G1834" s="50" t="n">
        <x:v>15</x:v>
      </x:c>
      <x:c r="H1834" s="50" t="n">
        <x:v>19</x:v>
      </x:c>
      <x:c r="I1834" s="44" t="str">
        <x:v>15.19</x:v>
      </x:c>
      <x:c r="J1834" s="33" t="str">
        <x:v>Downloaded Child</x:v>
      </x:c>
      <x:c r="K1834" s="33" t="str"/>
      <x:c r="L1834" s="33" t="str"/>
      <x:c r="M1834" s="44" t="str"/>
      <x:c r="N1834" s="50" t="n">
        <x:v>43</x:v>
      </x:c>
      <x:c r="O1834" s="53" t="str">
        <x:v>After a single mom is arrested for leaving her young daughter alone for days, Sgt. Benson suspects the woman may have been abused in her own childhood.</x:v>
      </x:c>
      <x:c r="P1834" s="53" t="str">
        <x:v>Core Law &amp; Order franchise</x:v>
      </x:c>
      <x:c r="Q1834" s="17" t="str">
        <x:v>225278</x:v>
      </x:c>
      <x:c r="R1834" s="17" t="str">
        <x:v>tt3599556</x:v>
      </x:c>
      <x:c r="S1834" s="17" t="str">
        <x:v>1325</x:v>
      </x:c>
    </x:row>
    <x:row r="1835">
      <x:c r="A1835" s="43" t="n">
        <x:v>1831</x:v>
      </x:c>
      <x:c r="B1835" s="44" t="str">
        <x:v>Not Started</x:v>
      </x:c>
      <x:c r="C1835" s="45" t="n">
        <x:v>41732</x:v>
      </x:c>
      <x:c r="D1835" s="33" t="str">
        <x:v>Chicago P.D.</x:v>
      </x:c>
      <x:c r="E1835" s="33" t="str">
        <x:v>One Chicago</x:v>
      </x:c>
      <x:c r="F1835" s="33" t="str">
        <x:v>core</x:v>
      </x:c>
      <x:c r="G1835" s="50" t="n">
        <x:v>1</x:v>
      </x:c>
      <x:c r="H1835" s="50" t="n">
        <x:v>10</x:v>
      </x:c>
      <x:c r="I1835" s="44" t="str">
        <x:v>01.10</x:v>
      </x:c>
      <x:c r="J1835" s="33" t="str">
        <x:v>At Least It's Justice</x:v>
      </x:c>
      <x:c r="K1835" s="33" t="str"/>
      <x:c r="L1835" s="33" t="str"/>
      <x:c r="M1835" s="44" t="str"/>
      <x:c r="N1835" s="50" t="n">
        <x:v>45</x:v>
      </x:c>
      <x:c r="O1835" s="53" t="str">
        <x:v>Halstead's badge is revoked when Lonnie Rodiger is found dead; Severide and Clarke find Dr. Elliot's torso; Sumner tries to prove herself; Lindsay shares a moment with Severide.</x:v>
      </x:c>
      <x:c r="P1835" s="53" t="str">
        <x:v>Core One Chicago franchise; crossovers with SVU/FBI</x:v>
      </x:c>
      <x:c r="Q1835" s="17" t="str">
        <x:v>958015</x:v>
      </x:c>
      <x:c r="R1835" s="17" t="str">
        <x:v>tt3591628</x:v>
      </x:c>
      <x:c r="S1835" s="17" t="str"/>
    </x:row>
    <x:row r="1836">
      <x:c r="A1836" s="43" t="n">
        <x:v>1832</x:v>
      </x:c>
      <x:c r="B1836" s="44" t="str">
        <x:v>Not Started</x:v>
      </x:c>
      <x:c r="C1836" s="45" t="n">
        <x:v>41738</x:v>
      </x:c>
      <x:c r="D1836" s="33" t="str">
        <x:v>Chicago Fire</x:v>
      </x:c>
      <x:c r="E1836" s="33" t="str">
        <x:v>One Chicago</x:v>
      </x:c>
      <x:c r="F1836" s="33" t="str">
        <x:v>core</x:v>
      </x:c>
      <x:c r="G1836" s="50" t="n">
        <x:v>2</x:v>
      </x:c>
      <x:c r="H1836" s="50" t="n">
        <x:v>18</x:v>
      </x:c>
      <x:c r="I1836" s="44" t="str">
        <x:v>02.18</x:v>
      </x:c>
      <x:c r="J1836" s="33" t="str">
        <x:v>Until Your Feet Leave the Ground</x:v>
      </x:c>
      <x:c r="K1836" s="33" t="str"/>
      <x:c r="L1836" s="33" t="str"/>
      <x:c r="M1836" s="44" t="str"/>
      <x:c r="N1836" s="50" t="n">
        <x:v>42</x:v>
      </x:c>
      <x:c r="O1836" s="53" t="str">
        <x:v>Lt. Severide sticks his neck out for Dave Bloom, a fellow firefighter from Denver who is troubled by addiction. Elsewhere, Dawson and Shay leave town for a "girl's weekend" at a cabin in the woods. Meanwhile Jones struggles with the knowledge that her father is pressuring Chief Boden about her career path and Mouch's internet dating profile gets an upgrade with the help of Mills and the guys.</x:v>
      </x:c>
      <x:c r="P1836" s="53" t="str">
        <x:v>Core One Chicago franchise</x:v>
      </x:c>
      <x:c r="Q1836" s="17" t="str">
        <x:v>898439</x:v>
      </x:c>
      <x:c r="R1836" s="17" t="str">
        <x:v>tt3557150</x:v>
      </x:c>
      <x:c r="S1836" s="17" t="str"/>
    </x:row>
    <x:row r="1837">
      <x:c r="A1837" s="43" t="n">
        <x:v>1833</x:v>
      </x:c>
      <x:c r="B1837" s="44" t="str">
        <x:v>Not Started</x:v>
      </x:c>
      <x:c r="C1837" s="45" t="n">
        <x:v>41738</x:v>
      </x:c>
      <x:c r="D1837" s="33" t="str">
        <x:v>Law &amp; Order: UK</x:v>
      </x:c>
      <x:c r="E1837" s="33" t="str">
        <x:v>Law &amp; Order</x:v>
      </x:c>
      <x:c r="F1837" s="33" t="str">
        <x:v>core</x:v>
      </x:c>
      <x:c r="G1837" s="50" t="n">
        <x:v>8</x:v>
      </x:c>
      <x:c r="H1837" s="50" t="n">
        <x:v>5</x:v>
      </x:c>
      <x:c r="I1837" s="44" t="str">
        <x:v>08.05</x:v>
      </x:c>
      <x:c r="J1837" s="33" t="str">
        <x:v>Customs</x:v>
      </x:c>
      <x:c r="K1837" s="33" t="str"/>
      <x:c r="L1837" s="33" t="str"/>
      <x:c r="M1837" s="44" t="str"/>
      <x:c r="N1837" s="50" t="n">
        <x:v>48</x:v>
      </x:c>
      <x:c r="O1837" s="53" t="str">
        <x:v>The body of elderly businesswoman Ranya Habib is found at a suicide spot but foul play is suspected after a neighbour tells Ronnie he heard her arguing with somebody.</x:v>
      </x:c>
      <x:c r="P1837" s="53" t="str">
        <x:v>Law &amp; Order format/franchise</x:v>
      </x:c>
      <x:c r="Q1837" s="17" t="str">
        <x:v>1595613</x:v>
      </x:c>
      <x:c r="R1837" s="17" t="str">
        <x:v>tt3433762</x:v>
      </x:c>
      <x:c r="S1837" s="17" t="str">
        <x:v>1328</x:v>
      </x:c>
    </x:row>
    <x:row r="1838">
      <x:c r="A1838" s="43" t="n">
        <x:v>1834</x:v>
      </x:c>
      <x:c r="B1838" s="44" t="str">
        <x:v>Not Started</x:v>
      </x:c>
      <x:c r="C1838" s="45" t="n">
        <x:v>41738</x:v>
      </x:c>
      <x:c r="D1838" s="33" t="str">
        <x:v>Law &amp; Order: Special Victims Unit</x:v>
      </x:c>
      <x:c r="E1838" s="33" t="str">
        <x:v>Law &amp; Order</x:v>
      </x:c>
      <x:c r="F1838" s="33" t="str">
        <x:v>core</x:v>
      </x:c>
      <x:c r="G1838" s="50" t="n">
        <x:v>15</x:v>
      </x:c>
      <x:c r="H1838" s="50" t="n">
        <x:v>20</x:v>
      </x:c>
      <x:c r="I1838" s="44" t="str">
        <x:v>15.20</x:v>
      </x:c>
      <x:c r="J1838" s="33" t="str">
        <x:v>Beast's Obsession</x:v>
      </x:c>
      <x:c r="K1838" s="33" t="str"/>
      <x:c r="L1838" s="33" t="str"/>
      <x:c r="M1838" s="44" t="str"/>
      <x:c r="N1838" s="50" t="n">
        <x:v>43</x:v>
      </x:c>
      <x:c r="O1838" s="53" t="str">
        <x:v>Benson is assigned a 24/7 security detail when William Lewis escapes from prison and starts killing again; Benson must decide how much she is willing to sacrifice to save a child's life.</x:v>
      </x:c>
      <x:c r="P1838" s="53" t="str">
        <x:v>Core Law &amp; Order franchise</x:v>
      </x:c>
      <x:c r="Q1838" s="17" t="str">
        <x:v>225279</x:v>
      </x:c>
      <x:c r="R1838" s="17" t="str">
        <x:v>tt3599560</x:v>
      </x:c>
      <x:c r="S1838" s="17" t="str">
        <x:v>1327</x:v>
      </x:c>
    </x:row>
    <x:row r="1839">
      <x:c r="A1839" s="43" t="n">
        <x:v>1835</x:v>
      </x:c>
      <x:c r="B1839" s="44" t="str">
        <x:v>Not Started</x:v>
      </x:c>
      <x:c r="C1839" s="45" t="n">
        <x:v>41739</x:v>
      </x:c>
      <x:c r="D1839" s="33" t="str">
        <x:v>Chicago P.D.</x:v>
      </x:c>
      <x:c r="E1839" s="33" t="str">
        <x:v>One Chicago</x:v>
      </x:c>
      <x:c r="F1839" s="33" t="str">
        <x:v>core</x:v>
      </x:c>
      <x:c r="G1839" s="50" t="n">
        <x:v>1</x:v>
      </x:c>
      <x:c r="H1839" s="50" t="n">
        <x:v>11</x:v>
      </x:c>
      <x:c r="I1839" s="44" t="str">
        <x:v>01.11</x:v>
      </x:c>
      <x:c r="J1839" s="33" t="str">
        <x:v>Turn the Light Off</x:v>
      </x:c>
      <x:c r="K1839" s="33" t="str"/>
      <x:c r="L1839" s="33" t="str"/>
      <x:c r="M1839" s="44" t="str"/>
      <x:c r="N1839" s="50" t="n">
        <x:v>45</x:v>
      </x:c>
      <x:c r="O1839" s="53" t="str">
        <x:v>Voight and the team discover a massacre, eight million in cash stolen and two wounded men in a clearing house. During questioning, one guy, Perko, provides some intel that is key to the case and leads Antonio to realize that two gangs were involved. Burgess steps up to help the unit and prove herself to Voight. Meanwhile, a softer light is cast on Platt when she enlists the help of Ruzek.</x:v>
      </x:c>
      <x:c r="P1839" s="53" t="str">
        <x:v>Core One Chicago franchise; crossovers with SVU/FBI</x:v>
      </x:c>
      <x:c r="Q1839" s="17" t="str">
        <x:v>958016</x:v>
      </x:c>
      <x:c r="R1839" s="17" t="str">
        <x:v>tt3625368</x:v>
      </x:c>
      <x:c r="S1839" s="17" t="str"/>
    </x:row>
    <x:row r="1840">
      <x:c r="A1840" s="43" t="n">
        <x:v>1836</x:v>
      </x:c>
      <x:c r="B1840" s="44" t="str">
        <x:v>Not Started</x:v>
      </x:c>
      <x:c r="C1840" s="45" t="n">
        <x:v>41745</x:v>
      </x:c>
      <x:c r="D1840" s="33" t="str">
        <x:v>Chicago Fire</x:v>
      </x:c>
      <x:c r="E1840" s="33" t="str">
        <x:v>One Chicago</x:v>
      </x:c>
      <x:c r="F1840" s="33" t="str">
        <x:v>core</x:v>
      </x:c>
      <x:c r="G1840" s="50" t="n">
        <x:v>2</x:v>
      </x:c>
      <x:c r="H1840" s="50" t="n">
        <x:v>19</x:v>
      </x:c>
      <x:c r="I1840" s="44" t="str">
        <x:v>02.19</x:v>
      </x:c>
      <x:c r="J1840" s="33" t="str">
        <x:v>A Heavy Weight</x:v>
      </x:c>
      <x:c r="K1840" s="33" t="str"/>
      <x:c r="L1840" s="33" t="str"/>
      <x:c r="M1840" s="44" t="str"/>
      <x:c r="N1840" s="50" t="n">
        <x:v>43</x:v>
      </x:c>
      <x:c r="O1840" s="53" t="str">
        <x:v>A suicide note is delivered to a surprised Dawson and Lt. Severide digs deeper into Bloom’s dark past. Elsewhere, Chief Boden learns shocking news, and with the help of Shay, Lt. Casey goes on the search for a life-changing item.</x:v>
      </x:c>
      <x:c r="P1840" s="53" t="str">
        <x:v>Core One Chicago franchise</x:v>
      </x:c>
      <x:c r="Q1840" s="17" t="str">
        <x:v>898440</x:v>
      </x:c>
      <x:c r="R1840" s="17" t="str">
        <x:v>tt3557148</x:v>
      </x:c>
      <x:c r="S1840" s="17" t="str"/>
    </x:row>
    <x:row r="1841">
      <x:c r="A1841" s="43" t="n">
        <x:v>1837</x:v>
      </x:c>
      <x:c r="B1841" s="44" t="str">
        <x:v>Not Started</x:v>
      </x:c>
      <x:c r="C1841" s="45" t="n">
        <x:v>41745</x:v>
      </x:c>
      <x:c r="D1841" s="33" t="str">
        <x:v>Law &amp; Order: UK</x:v>
      </x:c>
      <x:c r="E1841" s="33" t="str">
        <x:v>Law &amp; Order</x:v>
      </x:c>
      <x:c r="F1841" s="33" t="str">
        <x:v>core</x:v>
      </x:c>
      <x:c r="G1841" s="50" t="n">
        <x:v>8</x:v>
      </x:c>
      <x:c r="H1841" s="50" t="n">
        <x:v>6</x:v>
      </x:c>
      <x:c r="I1841" s="44" t="str">
        <x:v>08.06</x:v>
      </x:c>
      <x:c r="J1841" s="33" t="str">
        <x:v>Bad Romance</x:v>
      </x:c>
      <x:c r="K1841" s="33" t="str"/>
      <x:c r="L1841" s="33" t="str"/>
      <x:c r="M1841" s="44" t="str"/>
      <x:c r="N1841" s="50" t="n">
        <x:v>48</x:v>
      </x:c>
      <x:c r="O1841" s="53" t="str">
        <x:v>Maids find blood-stained sheets but no body in a hotel room, booked with a credit card stolen from businessman Charles Hutton by Rufus Barton, a school classmate and secret lover of Hutton's daughter Georgia.</x:v>
      </x:c>
      <x:c r="P1841" s="53" t="str">
        <x:v>Law &amp; Order format/franchise</x:v>
      </x:c>
      <x:c r="Q1841" s="17" t="str">
        <x:v>1595614</x:v>
      </x:c>
      <x:c r="R1841" s="17" t="str">
        <x:v>tt3433766</x:v>
      </x:c>
      <x:c r="S1841" s="17" t="str">
        <x:v>1329</x:v>
      </x:c>
    </x:row>
    <x:row r="1842">
      <x:c r="A1842" s="43" t="n">
        <x:v>1838</x:v>
      </x:c>
      <x:c r="B1842" s="44" t="str">
        <x:v>Not Started</x:v>
      </x:c>
      <x:c r="C1842" s="45" t="n">
        <x:v>41752</x:v>
      </x:c>
      <x:c r="D1842" s="33" t="str">
        <x:v>Law &amp; Order: UK</x:v>
      </x:c>
      <x:c r="E1842" s="33" t="str">
        <x:v>Law &amp; Order</x:v>
      </x:c>
      <x:c r="F1842" s="33" t="str">
        <x:v>core</x:v>
      </x:c>
      <x:c r="G1842" s="50" t="n">
        <x:v>8</x:v>
      </x:c>
      <x:c r="H1842" s="50" t="n">
        <x:v>7</x:v>
      </x:c>
      <x:c r="I1842" s="44" t="str">
        <x:v>08.07</x:v>
      </x:c>
      <x:c r="J1842" s="33" t="str">
        <x:v>Hard Stop</x:v>
      </x:c>
      <x:c r="K1842" s="33" t="str"/>
      <x:c r="L1842" s="33" t="str"/>
      <x:c r="M1842" s="44" t="str"/>
      <x:c r="N1842" s="50" t="n">
        <x:v>48</x:v>
      </x:c>
      <x:c r="O1842" s="53" t="str">
        <x:v>When a spate of shootings claims one of Ronnie and Joe's own, Wes Leyton, the pair are left with a race against time as the next target the shooter has in his cross-hairs is CPS boss Henry Sharpe.</x:v>
      </x:c>
      <x:c r="P1842" s="53" t="str">
        <x:v>Law &amp; Order format/franchise</x:v>
      </x:c>
      <x:c r="Q1842" s="17" t="str">
        <x:v>1595615</x:v>
      </x:c>
      <x:c r="R1842" s="17" t="str">
        <x:v>tt3659856</x:v>
      </x:c>
      <x:c r="S1842" s="17" t="str">
        <x:v>1330</x:v>
      </x:c>
    </x:row>
    <x:row r="1843">
      <x:c r="A1843" s="43" t="n">
        <x:v>1839</x:v>
      </x:c>
      <x:c r="B1843" s="44" t="str">
        <x:v>Not Started</x:v>
      </x:c>
      <x:c r="C1843" s="45" t="n">
        <x:v>41759</x:v>
      </x:c>
      <x:c r="D1843" s="33" t="str">
        <x:v>Chicago Fire</x:v>
      </x:c>
      <x:c r="E1843" s="33" t="str">
        <x:v>One Chicago</x:v>
      </x:c>
      <x:c r="F1843" s="33" t="str">
        <x:v>core</x:v>
      </x:c>
      <x:c r="G1843" s="50" t="n">
        <x:v>2</x:v>
      </x:c>
      <x:c r="H1843" s="50" t="n">
        <x:v>20</x:v>
      </x:c>
      <x:c r="I1843" s="44" t="str">
        <x:v>02.20</x:v>
      </x:c>
      <x:c r="J1843" s="33" t="str">
        <x:v>A Dark Day (I)</x:v>
      </x:c>
      <x:c r="K1843" s="33" t="str">
        <x:v>Crossover</x:v>
      </x:c>
      <x:c r="L1843" s="33" t="str">
        <x:v>A Dark Day / 8:30 PM</x:v>
      </x:c>
      <x:c r="M1843" s="44" t="str">
        <x:v>1/2</x:v>
      </x:c>
      <x:c r="N1843" s="50" t="n">
        <x:v>42</x:v>
      </x:c>
      <x:c r="O1843" s="53" t="str">
        <x:v>Lt. Casey and Dawson volunteer to help at a charity run at Chicago Medical when a massive explosion sends Chicago into chaos. With one of their own missing in the blast, the firehouse is tested like never before.
The crossover continues on Chicago P.D. S01E12 8:30 PM (II)</x:v>
      </x:c>
      <x:c r="P1843" s="53" t="str">
        <x:v>Core One Chicago franchise</x:v>
      </x:c>
      <x:c r="Q1843" s="17" t="str">
        <x:v>898441</x:v>
      </x:c>
      <x:c r="R1843" s="17" t="str">
        <x:v>tt3557152</x:v>
      </x:c>
      <x:c r="S1843" s="17" t="str">
        <x:v>https://one-chicago-fbi.fandom.com/wiki/Crossovers_and_Milestones</x:v>
      </x:c>
    </x:row>
    <x:row r="1844">
      <x:c r="A1844" s="43" t="n">
        <x:v>1840</x:v>
      </x:c>
      <x:c r="B1844" s="44" t="str">
        <x:v>Not Started</x:v>
      </x:c>
      <x:c r="C1844" s="45" t="n">
        <x:v>41759</x:v>
      </x:c>
      <x:c r="D1844" s="33" t="str">
        <x:v>Law &amp; Order: Special Victims Unit</x:v>
      </x:c>
      <x:c r="E1844" s="33" t="str">
        <x:v>Law &amp; Order</x:v>
      </x:c>
      <x:c r="F1844" s="33" t="str">
        <x:v>core</x:v>
      </x:c>
      <x:c r="G1844" s="50" t="n">
        <x:v>15</x:v>
      </x:c>
      <x:c r="H1844" s="50" t="n">
        <x:v>21</x:v>
      </x:c>
      <x:c r="I1844" s="44" t="str">
        <x:v>15.21</x:v>
      </x:c>
      <x:c r="J1844" s="33" t="str">
        <x:v>Post-Mortem Blues</x:v>
      </x:c>
      <x:c r="K1844" s="33" t="str"/>
      <x:c r="L1844" s="33" t="str"/>
      <x:c r="M1844" s="44" t="str"/>
      <x:c r="N1844" s="50" t="n">
        <x:v>43</x:v>
      </x:c>
      <x:c r="O1844" s="53" t="str">
        <x:v>Olivia Benson is investigated by Internal Affairs after William Lewis' death; as pressure mounts, Olivia has to choose between her convictions and her badge.</x:v>
      </x:c>
      <x:c r="P1844" s="53" t="str">
        <x:v>Core Law &amp; Order franchise</x:v>
      </x:c>
      <x:c r="Q1844" s="17" t="str">
        <x:v>225280</x:v>
      </x:c>
      <x:c r="R1844" s="17" t="str">
        <x:v>tt3599562</x:v>
      </x:c>
      <x:c r="S1844" s="17" t="str">
        <x:v>1331</x:v>
      </x:c>
    </x:row>
    <x:row r="1845">
      <x:c r="A1845" s="43" t="n">
        <x:v>1841</x:v>
      </x:c>
      <x:c r="B1845" s="44" t="str">
        <x:v>Not Started</x:v>
      </x:c>
      <x:c r="C1845" s="45" t="n">
        <x:v>41760</x:v>
      </x:c>
      <x:c r="D1845" s="33" t="str">
        <x:v>Chicago P.D.</x:v>
      </x:c>
      <x:c r="E1845" s="33" t="str">
        <x:v>One Chicago</x:v>
      </x:c>
      <x:c r="F1845" s="33" t="str">
        <x:v>core</x:v>
      </x:c>
      <x:c r="G1845" s="50" t="n">
        <x:v>1</x:v>
      </x:c>
      <x:c r="H1845" s="50" t="n">
        <x:v>12</x:v>
      </x:c>
      <x:c r="I1845" s="44" t="str">
        <x:v>01.12</x:v>
      </x:c>
      <x:c r="J1845" s="33" t="str">
        <x:v>8:30 PM (II)</x:v>
      </x:c>
      <x:c r="K1845" s="33" t="str">
        <x:v>Crossover</x:v>
      </x:c>
      <x:c r="L1845" s="33" t="str">
        <x:v>A Dark Day / 8:30 PM</x:v>
      </x:c>
      <x:c r="M1845" s="44" t="str">
        <x:v>2/2</x:v>
      </x:c>
      <x:c r="N1845" s="50" t="n">
        <x:v>45</x:v>
      </x:c>
      <x:c r="O1845" s="53" t="str">
        <x:v>The Intelligence Unit works to find the bombers. Even with government agencies in the mix, Voight and his team work the case from their own angles and connections. Lindsay and Antonio question doctors who handled the transplant surgery for an Ambassador from Syria, but no clues emerge. Olinsky gets some solid intel and the team work from there. It’s a race against time as they realize there may be additional bombs targeted to detonate. Meanwhile Burgess sits vigil for her niece whose life hangs in the balance.
The crossover starts on Chicago Fire S02E20 A Dark Day (I).</x:v>
      </x:c>
      <x:c r="P1845" s="53" t="str">
        <x:v>Core One Chicago franchise; crossovers with SVU/FBI</x:v>
      </x:c>
      <x:c r="Q1845" s="17" t="str">
        <x:v>958017</x:v>
      </x:c>
      <x:c r="R1845" s="17" t="str">
        <x:v>tt3625370</x:v>
      </x:c>
      <x:c r="S1845" s="17" t="str">
        <x:v>https://one-chicago-fbi.fandom.com/wiki/Crossovers_and_Milestones</x:v>
      </x:c>
    </x:row>
    <x:row r="1846">
      <x:c r="A1846" s="43" t="n">
        <x:v>1842</x:v>
      </x:c>
      <x:c r="B1846" s="44" t="str">
        <x:v>Not Started</x:v>
      </x:c>
      <x:c r="C1846" s="45" t="n">
        <x:v>41766</x:v>
      </x:c>
      <x:c r="D1846" s="33" t="str">
        <x:v>Chicago Fire</x:v>
      </x:c>
      <x:c r="E1846" s="33" t="str">
        <x:v>One Chicago</x:v>
      </x:c>
      <x:c r="F1846" s="33" t="str">
        <x:v>core</x:v>
      </x:c>
      <x:c r="G1846" s="50" t="n">
        <x:v>2</x:v>
      </x:c>
      <x:c r="H1846" s="50" t="n">
        <x:v>21</x:v>
      </x:c>
      <x:c r="I1846" s="44" t="str">
        <x:v>02.21</x:v>
      </x:c>
      <x:c r="J1846" s="33" t="str">
        <x:v>One More Shot</x:v>
      </x:c>
      <x:c r="K1846" s="33" t="str"/>
      <x:c r="L1846" s="33" t="str"/>
      <x:c r="M1846" s="44" t="str"/>
      <x:c r="N1846" s="50" t="n">
        <x:v>42</x:v>
      </x:c>
      <x:c r="O1846" s="53" t="str">
        <x:v>With everyone’s support, Dawson makes final preparations to retake the fireman’s exam, but a call to the field may throw a major wrench into her plans. Elsewhere, Lt. Casey  has an important matter to discuss with Antonio. Meanwhile, Lt. Severide and the firehouse welcome Rick Newhouse , the latest addition to the squad, Shay  gets an uninvited surprise guest and Chief Boden makes a bold move.</x:v>
      </x:c>
      <x:c r="P1846" s="53" t="str">
        <x:v>Core One Chicago franchise</x:v>
      </x:c>
      <x:c r="Q1846" s="17" t="str">
        <x:v>898442</x:v>
      </x:c>
      <x:c r="R1846" s="17" t="str">
        <x:v>tt3557156</x:v>
      </x:c>
      <x:c r="S1846" s="17" t="str"/>
    </x:row>
    <x:row r="1847">
      <x:c r="A1847" s="43" t="n">
        <x:v>1843</x:v>
      </x:c>
      <x:c r="B1847" s="44" t="str">
        <x:v>Not Started</x:v>
      </x:c>
      <x:c r="C1847" s="45" t="n">
        <x:v>41766</x:v>
      </x:c>
      <x:c r="D1847" s="33" t="str">
        <x:v>Law &amp; Order: Special Victims Unit</x:v>
      </x:c>
      <x:c r="E1847" s="33" t="str">
        <x:v>Law &amp; Order</x:v>
      </x:c>
      <x:c r="F1847" s="33" t="str">
        <x:v>core</x:v>
      </x:c>
      <x:c r="G1847" s="50" t="n">
        <x:v>15</x:v>
      </x:c>
      <x:c r="H1847" s="50" t="n">
        <x:v>22</x:v>
      </x:c>
      <x:c r="I1847" s="44" t="str">
        <x:v>15.22</x:v>
      </x:c>
      <x:c r="J1847" s="33" t="str">
        <x:v>Reasonable Doubt</x:v>
      </x:c>
      <x:c r="K1847" s="33" t="str"/>
      <x:c r="L1847" s="33" t="str"/>
      <x:c r="M1847" s="44" t="str"/>
      <x:c r="N1847" s="50" t="n">
        <x:v>43</x:v>
      </x:c>
      <x:c r="O1847" s="53" t="str">
        <x:v>Benson and Murphy question a television producer when he is accused of molesting his daughter; Benson strives to discover the truth as accusations fly in the media.</x:v>
      </x:c>
      <x:c r="P1847" s="53" t="str">
        <x:v>Core Law &amp; Order franchise</x:v>
      </x:c>
      <x:c r="Q1847" s="17" t="str">
        <x:v>225281</x:v>
      </x:c>
      <x:c r="R1847" s="17" t="str">
        <x:v>tt3599558</x:v>
      </x:c>
      <x:c r="S1847" s="17" t="str">
        <x:v>1332</x:v>
      </x:c>
    </x:row>
    <x:row r="1848">
      <x:c r="A1848" s="43" t="n">
        <x:v>1844</x:v>
      </x:c>
      <x:c r="B1848" s="44" t="str">
        <x:v>Not Started</x:v>
      </x:c>
      <x:c r="C1848" s="45" t="n">
        <x:v>41767</x:v>
      </x:c>
      <x:c r="D1848" s="33" t="str">
        <x:v>Chicago P.D.</x:v>
      </x:c>
      <x:c r="E1848" s="33" t="str">
        <x:v>One Chicago</x:v>
      </x:c>
      <x:c r="F1848" s="33" t="str">
        <x:v>core</x:v>
      </x:c>
      <x:c r="G1848" s="50" t="n">
        <x:v>1</x:v>
      </x:c>
      <x:c r="H1848" s="50" t="n">
        <x:v>13</x:v>
      </x:c>
      <x:c r="I1848" s="44" t="str">
        <x:v>01.13</x:v>
      </x:c>
      <x:c r="J1848" s="33" t="str">
        <x:v>My Way</x:v>
      </x:c>
      <x:c r="K1848" s="33" t="str"/>
      <x:c r="L1848" s="33" t="str"/>
      <x:c r="M1848" s="44" t="str"/>
      <x:c r="N1848" s="50" t="n">
        <x:v>44</x:v>
      </x:c>
      <x:c r="O1848" s="53" t="str">
        <x:v>Commander Perry notifies the Intelligence unit that Pulpo has been released to help track down a dangerous cartel leader. This doesn’t sit well with our team as he kidnapped one of their own and no love is lost between sides. Meanwhile, Ruzek gets some difficult news as a blast from Lindsay’s past comes back, giving us a glimpse at where she came from. Voight reminds her that she’s come too far to screw it up. At the same time we learn something about Jin that is bound to be a problem.</x:v>
      </x:c>
      <x:c r="P1848" s="53" t="str">
        <x:v>Core One Chicago franchise; crossovers with SVU/FBI</x:v>
      </x:c>
      <x:c r="Q1848" s="17" t="str">
        <x:v>958018</x:v>
      </x:c>
      <x:c r="R1848" s="17" t="str">
        <x:v>tt3625372</x:v>
      </x:c>
      <x:c r="S1848" s="17" t="str"/>
    </x:row>
    <x:row r="1849">
      <x:c r="A1849" s="43" t="n">
        <x:v>1845</x:v>
      </x:c>
      <x:c r="B1849" s="44" t="str">
        <x:v>Not Started</x:v>
      </x:c>
      <x:c r="C1849" s="45" t="n">
        <x:v>41773</x:v>
      </x:c>
      <x:c r="D1849" s="33" t="str">
        <x:v>Chicago Fire</x:v>
      </x:c>
      <x:c r="E1849" s="33" t="str">
        <x:v>One Chicago</x:v>
      </x:c>
      <x:c r="F1849" s="33" t="str">
        <x:v>core</x:v>
      </x:c>
      <x:c r="G1849" s="50" t="n">
        <x:v>2</x:v>
      </x:c>
      <x:c r="H1849" s="50" t="n">
        <x:v>22</x:v>
      </x:c>
      <x:c r="I1849" s="44" t="str">
        <x:v>02.22</x:v>
      </x:c>
      <x:c r="J1849" s="33" t="str">
        <x:v>Real Never Waits</x:v>
      </x:c>
      <x:c r="K1849" s="33" t="str"/>
      <x:c r="L1849" s="33" t="str"/>
      <x:c r="M1849" s="44" t="str"/>
      <x:c r="N1849" s="50" t="n">
        <x:v>42</x:v>
      </x:c>
      <x:c r="O1849" s="53" t="str">
        <x:v>A fire at a boarding school leaves Lt. Severide  shaken and wondering if he could have done more. Meanwhile, with the firehouse in full support of Dawson  as she retakes the fireman’s exam, Lt. Casey attempts some political maneuverings on her behalf. Elsewhere, Mills  looks for answers about his father’s mysterious past and Chief Boden’s  grand plans take a detour.</x:v>
      </x:c>
      <x:c r="P1849" s="53" t="str">
        <x:v>Core One Chicago franchise</x:v>
      </x:c>
      <x:c r="Q1849" s="17" t="str">
        <x:v>898443</x:v>
      </x:c>
      <x:c r="R1849" s="17" t="str">
        <x:v>tt3557154</x:v>
      </x:c>
      <x:c r="S1849" s="17" t="str"/>
    </x:row>
    <x:row r="1850">
      <x:c r="A1850" s="43" t="n">
        <x:v>1846</x:v>
      </x:c>
      <x:c r="B1850" s="44" t="str">
        <x:v>Not Started</x:v>
      </x:c>
      <x:c r="C1850" s="45" t="n">
        <x:v>41773</x:v>
      </x:c>
      <x:c r="D1850" s="33" t="str">
        <x:v>Law &amp; Order: Special Victims Unit</x:v>
      </x:c>
      <x:c r="E1850" s="33" t="str">
        <x:v>Law &amp; Order</x:v>
      </x:c>
      <x:c r="F1850" s="33" t="str">
        <x:v>core</x:v>
      </x:c>
      <x:c r="G1850" s="50" t="n">
        <x:v>15</x:v>
      </x:c>
      <x:c r="H1850" s="50" t="n">
        <x:v>23</x:v>
      </x:c>
      <x:c r="I1850" s="44" t="str">
        <x:v>15.23</x:v>
      </x:c>
      <x:c r="J1850" s="33" t="str">
        <x:v>Thought Criminal</x:v>
      </x:c>
      <x:c r="K1850" s="33" t="str"/>
      <x:c r="L1850" s="33" t="str"/>
      <x:c r="M1850" s="44" t="str"/>
      <x:c r="N1850" s="50" t="n">
        <x:v>43</x:v>
      </x:c>
      <x:c r="O1850" s="53" t="str">
        <x:v>Taking an active approach to catching sex offenders, the team targets a photographer with a secret life whose fantasies may have crossed into reality.</x:v>
      </x:c>
      <x:c r="P1850" s="53" t="str">
        <x:v>Core Law &amp; Order franchise</x:v>
      </x:c>
      <x:c r="Q1850" s="17" t="str">
        <x:v>225282</x:v>
      </x:c>
      <x:c r="R1850" s="17" t="str">
        <x:v>tt3673434</x:v>
      </x:c>
      <x:c r="S1850" s="17" t="str">
        <x:v>1333</x:v>
      </x:c>
    </x:row>
    <x:row r="1851">
      <x:c r="A1851" s="43" t="n">
        <x:v>1847</x:v>
      </x:c>
      <x:c r="B1851" s="44" t="str">
        <x:v>Not Started</x:v>
      </x:c>
      <x:c r="C1851" s="45" t="n">
        <x:v>41774</x:v>
      </x:c>
      <x:c r="D1851" s="33" t="str">
        <x:v>Chicago P.D.</x:v>
      </x:c>
      <x:c r="E1851" s="33" t="str">
        <x:v>One Chicago</x:v>
      </x:c>
      <x:c r="F1851" s="33" t="str">
        <x:v>core</x:v>
      </x:c>
      <x:c r="G1851" s="50" t="n">
        <x:v>1</x:v>
      </x:c>
      <x:c r="H1851" s="50" t="n">
        <x:v>14</x:v>
      </x:c>
      <x:c r="I1851" s="44" t="str">
        <x:v>01.14</x:v>
      </x:c>
      <x:c r="J1851" s="33" t="str">
        <x:v>The Docks</x:v>
      </x:c>
      <x:c r="K1851" s="33" t="str"/>
      <x:c r="L1851" s="33" t="str"/>
      <x:c r="M1851" s="44" t="str"/>
      <x:c r="N1851" s="50" t="n">
        <x:v>45</x:v>
      </x:c>
      <x:c r="O1851" s="53" t="str">
        <x:v>As Antonio’s  life is now in question, Voight and Platt  open up about their pasts. Jin  is caught while tinkering with Voight’s computer and uses the only scapegoat possible to keep him in the clear. At the same time with Charlie  back in town Lindsay  realizes she’s going to have to come clean about a few things. Halstead finally gets answers he’s been wanting about Voight’s and Olinsky’s past.</x:v>
      </x:c>
      <x:c r="P1851" s="53" t="str">
        <x:v>Core One Chicago franchise; crossovers with SVU/FBI</x:v>
      </x:c>
      <x:c r="Q1851" s="17" t="str">
        <x:v>958019</x:v>
      </x:c>
      <x:c r="R1851" s="17" t="str">
        <x:v>tt3625374</x:v>
      </x:c>
      <x:c r="S1851" s="17" t="str"/>
    </x:row>
    <x:row r="1852">
      <x:c r="A1852" s="43" t="n">
        <x:v>1848</x:v>
      </x:c>
      <x:c r="B1852" s="44" t="str">
        <x:v>Not Started</x:v>
      </x:c>
      <x:c r="C1852" s="45" t="n">
        <x:v>41780</x:v>
      </x:c>
      <x:c r="D1852" s="33" t="str">
        <x:v>Law &amp; Order: Special Victims Unit</x:v>
      </x:c>
      <x:c r="E1852" s="33" t="str">
        <x:v>Law &amp; Order</x:v>
      </x:c>
      <x:c r="F1852" s="33" t="str">
        <x:v>core</x:v>
      </x:c>
      <x:c r="G1852" s="50" t="n">
        <x:v>15</x:v>
      </x:c>
      <x:c r="H1852" s="50" t="n">
        <x:v>24</x:v>
      </x:c>
      <x:c r="I1852" s="44" t="str">
        <x:v>15.24</x:v>
      </x:c>
      <x:c r="J1852" s="33" t="str">
        <x:v>Spring Awakening</x:v>
      </x:c>
      <x:c r="K1852" s="33" t="str"/>
      <x:c r="L1852" s="33" t="str"/>
      <x:c r="M1852" s="44" t="str"/>
      <x:c r="N1852" s="50" t="n">
        <x:v>43</x:v>
      </x:c>
      <x:c r="O1852" s="53" t="str">
        <x:v>Amaro must face the consequence of his reckless behavior; when an online ad for escorts leads to the rape and robbery of tourists, Benson discovers she has a connection to one of the suspect's.</x:v>
      </x:c>
      <x:c r="P1852" s="53" t="str">
        <x:v>Core Law &amp; Order franchise</x:v>
      </x:c>
      <x:c r="Q1852" s="17" t="str">
        <x:v>225283</x:v>
      </x:c>
      <x:c r="R1852" s="17" t="str">
        <x:v>tt3696034</x:v>
      </x:c>
      <x:c r="S1852" s="17" t="str">
        <x:v>1334</x:v>
      </x:c>
    </x:row>
    <x:row r="1853">
      <x:c r="A1853" s="43" t="n">
        <x:v>1849</x:v>
      </x:c>
      <x:c r="B1853" s="44" t="str">
        <x:v>Not Started</x:v>
      </x:c>
      <x:c r="C1853" s="45" t="n">
        <x:v>41781</x:v>
      </x:c>
      <x:c r="D1853" s="33" t="str">
        <x:v>Chicago P.D.</x:v>
      </x:c>
      <x:c r="E1853" s="33" t="str">
        <x:v>One Chicago</x:v>
      </x:c>
      <x:c r="F1853" s="33" t="str">
        <x:v>core</x:v>
      </x:c>
      <x:c r="G1853" s="50" t="n">
        <x:v>1</x:v>
      </x:c>
      <x:c r="H1853" s="50" t="n">
        <x:v>15</x:v>
      </x:c>
      <x:c r="I1853" s="44" t="str">
        <x:v>01.15</x:v>
      </x:c>
      <x:c r="J1853" s="33" t="str">
        <x:v>A Beautiful Friendship</x:v>
      </x:c>
      <x:c r="K1853" s="33" t="str"/>
      <x:c r="L1853" s="33" t="str"/>
      <x:c r="M1853" s="44" t="str"/>
      <x:c r="N1853" s="50" t="n">
        <x:v>44</x:v>
      </x:c>
      <x:c r="O1853" s="53" t="str">
        <x:v>Atwater is settling into his new gig on intelligence as Antonio is relegated to desk duty while recovering. Lindsay finally realizes she has no way out and confides in Voight for help. Meanwhile Jin is confronted about his secret meetings with Stillwell.</x:v>
      </x:c>
      <x:c r="P1853" s="53" t="str">
        <x:v>Core One Chicago franchise; crossovers with SVU/FBI</x:v>
      </x:c>
      <x:c r="Q1853" s="17" t="str">
        <x:v>958020</x:v>
      </x:c>
      <x:c r="R1853" s="17" t="str">
        <x:v>tt3625376</x:v>
      </x:c>
      <x:c r="S1853" s="17" t="str"/>
    </x:row>
    <x:row r="1854">
      <x:c r="A1854" s="43" t="n">
        <x:v>1850</x:v>
      </x:c>
      <x:c r="B1854" s="44" t="str">
        <x:v>Not Started</x:v>
      </x:c>
      <x:c r="C1854" s="45" t="n">
        <x:v>41801</x:v>
      </x:c>
      <x:c r="D1854" s="33" t="str">
        <x:v>Law &amp; Order: UK</x:v>
      </x:c>
      <x:c r="E1854" s="33" t="str">
        <x:v>Law &amp; Order</x:v>
      </x:c>
      <x:c r="F1854" s="33" t="str">
        <x:v>core</x:v>
      </x:c>
      <x:c r="G1854" s="50" t="n">
        <x:v>8</x:v>
      </x:c>
      <x:c r="H1854" s="50" t="n">
        <x:v>8</x:v>
      </x:c>
      <x:c r="I1854" s="44" t="str">
        <x:v>08.08</x:v>
      </x:c>
      <x:c r="J1854" s="33" t="str">
        <x:v>Repeat to Fade</x:v>
      </x:c>
      <x:c r="K1854" s="33" t="str"/>
      <x:c r="L1854" s="33" t="str"/>
      <x:c r="M1854" s="44" t="str"/>
      <x:c r="N1854" s="50" t="n">
        <x:v>48</x:v>
      </x:c>
      <x:c r="O1854" s="53" t="str">
        <x:v>Still affected by the death of one of their team, Ronnie and Joe have a new case to deal with when a young mother is stabbed to death in a busy London marketplace.</x:v>
      </x:c>
      <x:c r="P1854" s="53" t="str">
        <x:v>Law &amp; Order format/franchise</x:v>
      </x:c>
      <x:c r="Q1854" s="17" t="str">
        <x:v>1595616</x:v>
      </x:c>
      <x:c r="R1854" s="17" t="str">
        <x:v>tt3664872</x:v>
      </x:c>
      <x:c r="S1854" s="17" t="str">
        <x:v>1335</x:v>
      </x:c>
    </x:row>
    <x:row r="1855">
      <x:c r="A1855" s="43" t="n">
        <x:v>1851</x:v>
      </x:c>
      <x:c r="B1855" s="44" t="str">
        <x:v>Not Started</x:v>
      </x:c>
      <x:c r="C1855" s="45" t="n">
        <x:v>41811</x:v>
      </x:c>
      <x:c r="D1855" s="33" t="str">
        <x:v>Cold Justice</x:v>
      </x:c>
      <x:c r="E1855" s="33" t="str">
        <x:v>Crossover Adjacent</x:v>
      </x:c>
      <x:c r="F1855" s="33" t="str">
        <x:v>complete</x:v>
      </x:c>
      <x:c r="G1855" s="50" t="n">
        <x:v>2</x:v>
      </x:c>
      <x:c r="H1855" s="50" t="n">
        <x:v>11</x:v>
      </x:c>
      <x:c r="I1855" s="44" t="str">
        <x:v>02.11</x:v>
      </x:c>
      <x:c r="J1855" s="33" t="str">
        <x:v>Stranded (Bay City, TX)</x:v>
      </x:c>
      <x:c r="K1855" s="33" t="str"/>
      <x:c r="L1855" s="33" t="str"/>
      <x:c r="M1855" s="44" t="str"/>
      <x:c r="N1855" s="50" t="n">
        <x:v>42</x:v>
      </x:c>
      <x:c r="O1855" s="53" t="str">
        <x:v>Investigators try to determine how a woman who was stranded in a hotel parking lot met her death.</x:v>
      </x:c>
      <x:c r="P1855" s="53" t="str">
        <x:v>Wolf Entertainment unscripted true-crime series</x:v>
      </x:c>
      <x:c r="Q1855" s="17" t="str">
        <x:v>957970</x:v>
      </x:c>
      <x:c r="R1855" s="17" t="str"/>
      <x:c r="S1855" s="17" t="str"/>
    </x:row>
    <x:row r="1856">
      <x:c r="A1856" s="43" t="n">
        <x:v>1852</x:v>
      </x:c>
      <x:c r="B1856" s="44" t="str">
        <x:v>Not Started</x:v>
      </x:c>
      <x:c r="C1856" s="45" t="n">
        <x:v>41818</x:v>
      </x:c>
      <x:c r="D1856" s="33" t="str">
        <x:v>Cold Justice</x:v>
      </x:c>
      <x:c r="E1856" s="33" t="str">
        <x:v>Crossover Adjacent</x:v>
      </x:c>
      <x:c r="F1856" s="33" t="str">
        <x:v>complete</x:v>
      </x:c>
      <x:c r="G1856" s="50" t="n">
        <x:v>2</x:v>
      </x:c>
      <x:c r="H1856" s="50" t="n">
        <x:v>12</x:v>
      </x:c>
      <x:c r="I1856" s="44" t="str">
        <x:v>02.12</x:v>
      </x:c>
      <x:c r="J1856" s="33" t="str">
        <x:v>Death by Design? (Waller County, TX)</x:v>
      </x:c>
      <x:c r="K1856" s="33" t="str"/>
      <x:c r="L1856" s="33" t="str"/>
      <x:c r="M1856" s="44" t="str"/>
      <x:c r="N1856" s="50" t="n">
        <x:v>42</x:v>
      </x:c>
      <x:c r="O1856" s="53" t="str">
        <x:v>The slaying of an up-and-coming fashion designer is investigated.</x:v>
      </x:c>
      <x:c r="P1856" s="53" t="str">
        <x:v>Wolf Entertainment unscripted true-crime series</x:v>
      </x:c>
      <x:c r="Q1856" s="17" t="str">
        <x:v>957971</x:v>
      </x:c>
      <x:c r="R1856" s="17" t="str"/>
      <x:c r="S1856" s="17" t="str"/>
    </x:row>
    <x:row r="1857">
      <x:c r="A1857" s="43" t="n">
        <x:v>1853</x:v>
      </x:c>
      <x:c r="B1857" s="44" t="str">
        <x:v>Not Started</x:v>
      </x:c>
      <x:c r="C1857" s="45" t="n">
        <x:v>41832</x:v>
      </x:c>
      <x:c r="D1857" s="33" t="str">
        <x:v>Cold Justice</x:v>
      </x:c>
      <x:c r="E1857" s="33" t="str">
        <x:v>Crossover Adjacent</x:v>
      </x:c>
      <x:c r="F1857" s="33" t="str">
        <x:v>complete</x:v>
      </x:c>
      <x:c r="G1857" s="50" t="n">
        <x:v>2</x:v>
      </x:c>
      <x:c r="H1857" s="50" t="n">
        <x:v>13</x:v>
      </x:c>
      <x:c r="I1857" s="44" t="str">
        <x:v>02.13</x:v>
      </x:c>
      <x:c r="J1857" s="33" t="str">
        <x:v>Kirby's Speed Shop (Columbus, GA)</x:v>
      </x:c>
      <x:c r="K1857" s="33" t="str"/>
      <x:c r="L1857" s="33" t="str"/>
      <x:c r="M1857" s="44" t="str"/>
      <x:c r="N1857" s="50" t="n">
        <x:v>42</x:v>
      </x:c>
      <x:c r="O1857" s="53" t="str">
        <x:v>Siegler and McClary search for evidence that may help them find out who could have double crossed a mechanic found shot to death in his shop.</x:v>
      </x:c>
      <x:c r="P1857" s="53" t="str">
        <x:v>Wolf Entertainment unscripted true-crime series</x:v>
      </x:c>
      <x:c r="Q1857" s="17" t="str">
        <x:v>957972</x:v>
      </x:c>
      <x:c r="R1857" s="17" t="str"/>
      <x:c r="S1857" s="17" t="str"/>
    </x:row>
    <x:row r="1858">
      <x:c r="A1858" s="43" t="n">
        <x:v>1854</x:v>
      </x:c>
      <x:c r="B1858" s="44" t="str">
        <x:v>Not Started</x:v>
      </x:c>
      <x:c r="C1858" s="45" t="n">
        <x:v>41839</x:v>
      </x:c>
      <x:c r="D1858" s="33" t="str">
        <x:v>Cold Justice</x:v>
      </x:c>
      <x:c r="E1858" s="33" t="str">
        <x:v>Crossover Adjacent</x:v>
      </x:c>
      <x:c r="F1858" s="33" t="str">
        <x:v>complete</x:v>
      </x:c>
      <x:c r="G1858" s="50" t="n">
        <x:v>2</x:v>
      </x:c>
      <x:c r="H1858" s="50" t="n">
        <x:v>14</x:v>
      </x:c>
      <x:c r="I1858" s="44" t="str">
        <x:v>02.14</x:v>
      </x:c>
      <x:c r="J1858" s="33" t="str">
        <x:v>Justice Served</x:v>
      </x:c>
      <x:c r="K1858" s="33" t="str"/>
      <x:c r="L1858" s="33" t="str"/>
      <x:c r="M1858" s="44" t="str"/>
      <x:c r="N1858" s="50" t="n">
        <x:v>42</x:v>
      </x:c>
      <x:c r="O1858" s="53" t="str">
        <x:v>In this special episode, America's Most Wanted host John Walsh interviews the Cold Justice investigative team, who gives behind-the-scenes insights into the investigations. Exclusive updates on past cases will show how some of the family members and cops are doing today. Also, Kelly and Yolanda will answer questions from the Cold Justice fans.</x:v>
      </x:c>
      <x:c r="P1858" s="53" t="str">
        <x:v>Wolf Entertainment unscripted true-crime series</x:v>
      </x:c>
      <x:c r="Q1858" s="17" t="str">
        <x:v>957973</x:v>
      </x:c>
      <x:c r="R1858" s="17" t="str"/>
      <x:c r="S1858" s="17" t="str"/>
    </x:row>
    <x:row r="1859">
      <x:c r="A1859" s="43" t="n">
        <x:v>1855</x:v>
      </x:c>
      <x:c r="B1859" s="44" t="str">
        <x:v>Not Started</x:v>
      </x:c>
      <x:c r="C1859" s="45" t="n">
        <x:v>41846</x:v>
      </x:c>
      <x:c r="D1859" s="33" t="str">
        <x:v>Cold Justice</x:v>
      </x:c>
      <x:c r="E1859" s="33" t="str">
        <x:v>Crossover Adjacent</x:v>
      </x:c>
      <x:c r="F1859" s="33" t="str">
        <x:v>complete</x:v>
      </x:c>
      <x:c r="G1859" s="50" t="n">
        <x:v>2</x:v>
      </x:c>
      <x:c r="H1859" s="50" t="n">
        <x:v>15</x:v>
      </x:c>
      <x:c r="I1859" s="44" t="str">
        <x:v>02.15</x:v>
      </x:c>
      <x:c r="J1859" s="33" t="str">
        <x:v>Sunspot Highway (Alamogordo, NM)</x:v>
      </x:c>
      <x:c r="K1859" s="33" t="str"/>
      <x:c r="L1859" s="33" t="str"/>
      <x:c r="M1859" s="44" t="str"/>
      <x:c r="N1859" s="50" t="n">
        <x:v>42</x:v>
      </x:c>
      <x:c r="O1859" s="53" t="str">
        <x:v>Investigators find a discarded body along a remote mountain road; the team calls on TV host Nancy Grace to help get word out to the public.</x:v>
      </x:c>
      <x:c r="P1859" s="53" t="str">
        <x:v>Wolf Entertainment unscripted true-crime series</x:v>
      </x:c>
      <x:c r="Q1859" s="17" t="str">
        <x:v>957974</x:v>
      </x:c>
      <x:c r="R1859" s="17" t="str"/>
      <x:c r="S1859" s="17" t="str"/>
    </x:row>
    <x:row r="1860">
      <x:c r="A1860" s="43" t="n">
        <x:v>1856</x:v>
      </x:c>
      <x:c r="B1860" s="44" t="str">
        <x:v>Not Started</x:v>
      </x:c>
      <x:c r="C1860" s="45" t="n">
        <x:v>41853</x:v>
      </x:c>
      <x:c r="D1860" s="33" t="str">
        <x:v>Cold Justice</x:v>
      </x:c>
      <x:c r="E1860" s="33" t="str">
        <x:v>Crossover Adjacent</x:v>
      </x:c>
      <x:c r="F1860" s="33" t="str">
        <x:v>complete</x:v>
      </x:c>
      <x:c r="G1860" s="50" t="n">
        <x:v>2</x:v>
      </x:c>
      <x:c r="H1860" s="50" t="n">
        <x:v>16</x:v>
      </x:c>
      <x:c r="I1860" s="44" t="str">
        <x:v>02.16</x:v>
      </x:c>
      <x:c r="J1860" s="33" t="str">
        <x:v>Other Side of the Tracks (Cambridge, OH)</x:v>
      </x:c>
      <x:c r="K1860" s="33" t="str"/>
      <x:c r="L1860" s="33" t="str"/>
      <x:c r="M1860" s="44" t="str"/>
      <x:c r="N1860" s="50" t="n">
        <x:v>42</x:v>
      </x:c>
      <x:c r="O1860" s="53" t="str">
        <x:v>Kelly and Yolanda travel to Cambridge, Ohio, to search for the person responsible for the death of a pregnant teenager after remains are found near a lake.</x:v>
      </x:c>
      <x:c r="P1860" s="53" t="str">
        <x:v>Wolf Entertainment unscripted true-crime series</x:v>
      </x:c>
      <x:c r="Q1860" s="17" t="str">
        <x:v>957975</x:v>
      </x:c>
      <x:c r="R1860" s="17" t="str"/>
      <x:c r="S1860" s="17" t="str"/>
    </x:row>
    <x:row r="1861">
      <x:c r="A1861" s="43" t="n">
        <x:v>1857</x:v>
      </x:c>
      <x:c r="B1861" s="44" t="str">
        <x:v>Not Started</x:v>
      </x:c>
      <x:c r="C1861" s="45" t="n">
        <x:v>41860</x:v>
      </x:c>
      <x:c r="D1861" s="33" t="str">
        <x:v>Cold Justice</x:v>
      </x:c>
      <x:c r="E1861" s="33" t="str">
        <x:v>Crossover Adjacent</x:v>
      </x:c>
      <x:c r="F1861" s="33" t="str">
        <x:v>complete</x:v>
      </x:c>
      <x:c r="G1861" s="50" t="n">
        <x:v>2</x:v>
      </x:c>
      <x:c r="H1861" s="50" t="n">
        <x:v>17</x:v>
      </x:c>
      <x:c r="I1861" s="44" t="str">
        <x:v>02.17</x:v>
      </x:c>
      <x:c r="J1861" s="33" t="str">
        <x:v>Second Thoughts (Paulding, OH)</x:v>
      </x:c>
      <x:c r="K1861" s="33" t="str"/>
      <x:c r="L1861" s="33" t="str"/>
      <x:c r="M1861" s="44" t="str"/>
      <x:c r="N1861" s="50" t="n">
        <x:v>42</x:v>
      </x:c>
      <x:c r="O1861" s="53" t="str">
        <x:v>Investigators search for answers in the murder of a single mother who was found bludgeoned to death.</x:v>
      </x:c>
      <x:c r="P1861" s="53" t="str">
        <x:v>Wolf Entertainment unscripted true-crime series</x:v>
      </x:c>
      <x:c r="Q1861" s="17" t="str">
        <x:v>957976</x:v>
      </x:c>
      <x:c r="R1861" s="17" t="str"/>
      <x:c r="S1861" s="17" t="str"/>
    </x:row>
    <x:row r="1862">
      <x:c r="A1862" s="43" t="n">
        <x:v>1858</x:v>
      </x:c>
      <x:c r="B1862" s="44" t="str">
        <x:v>Not Started</x:v>
      </x:c>
      <x:c r="C1862" s="45" t="n">
        <x:v>41867</x:v>
      </x:c>
      <x:c r="D1862" s="33" t="str">
        <x:v>Cold Justice</x:v>
      </x:c>
      <x:c r="E1862" s="33" t="str">
        <x:v>Crossover Adjacent</x:v>
      </x:c>
      <x:c r="F1862" s="33" t="str">
        <x:v>complete</x:v>
      </x:c>
      <x:c r="G1862" s="50" t="n">
        <x:v>2</x:v>
      </x:c>
      <x:c r="H1862" s="50" t="n">
        <x:v>18</x:v>
      </x:c>
      <x:c r="I1862" s="44" t="str">
        <x:v>02.18</x:v>
      </x:c>
      <x:c r="J1862" s="33" t="str">
        <x:v>Fool Me Once, Fool Me Twice? (Vigo County, IN)</x:v>
      </x:c>
      <x:c r="K1862" s="33" t="str"/>
      <x:c r="L1862" s="33" t="str"/>
      <x:c r="M1862" s="44" t="str"/>
      <x:c r="N1862" s="50" t="n">
        <x:v>42</x:v>
      </x:c>
      <x:c r="O1862" s="53" t="str">
        <x:v>Kelly and Yolanda try to determine if it was an accident after an electric clock radio is found in a bathtub full of water with a dead woman.</x:v>
      </x:c>
      <x:c r="P1862" s="53" t="str">
        <x:v>Wolf Entertainment unscripted true-crime series</x:v>
      </x:c>
      <x:c r="Q1862" s="17" t="str">
        <x:v>957977</x:v>
      </x:c>
      <x:c r="R1862" s="17" t="str"/>
      <x:c r="S1862" s="17" t="str"/>
    </x:row>
    <x:row r="1863">
      <x:c r="A1863" s="43" t="n">
        <x:v>1859</x:v>
      </x:c>
      <x:c r="B1863" s="44" t="str">
        <x:v>Not Started</x:v>
      </x:c>
      <x:c r="C1863" s="45" t="n">
        <x:v>41906</x:v>
      </x:c>
      <x:c r="D1863" s="33" t="str">
        <x:v>Chicago Fire</x:v>
      </x:c>
      <x:c r="E1863" s="33" t="str">
        <x:v>One Chicago</x:v>
      </x:c>
      <x:c r="F1863" s="33" t="str">
        <x:v>core</x:v>
      </x:c>
      <x:c r="G1863" s="50" t="n">
        <x:v>3</x:v>
      </x:c>
      <x:c r="H1863" s="50" t="n">
        <x:v>1</x:v>
      </x:c>
      <x:c r="I1863" s="44" t="str">
        <x:v>03.01</x:v>
      </x:c>
      <x:c r="J1863" s="33" t="str">
        <x:v>Always</x:v>
      </x:c>
      <x:c r="K1863" s="33" t="str"/>
      <x:c r="L1863" s="33" t="str"/>
      <x:c r="M1863" s="44" t="str"/>
      <x:c r="N1863" s="50" t="n">
        <x:v>43</x:v>
      </x:c>
      <x:c r="O1863" s="53" t="str">
        <x:v>Boden forces members of Firehouse 51 to pull themselves back together in the aftermath of a harrowing fire explosion. While Severide goes missing for one week too many, Casey works to track down his whereabouts. Newhouse brings some unexpected news regarding one of Mills’ relatives. Herrmann and Otis make some new goals regarding Molly’s.</x:v>
      </x:c>
      <x:c r="P1863" s="53" t="str">
        <x:v>Core One Chicago franchise</x:v>
      </x:c>
      <x:c r="Q1863" s="17" t="str">
        <x:v>898444</x:v>
      </x:c>
      <x:c r="R1863" s="17" t="str">
        <x:v>tt3609400</x:v>
      </x:c>
      <x:c r="S1863" s="17" t="str"/>
    </x:row>
    <x:row r="1864">
      <x:c r="A1864" s="43" t="n">
        <x:v>1860</x:v>
      </x:c>
      <x:c r="B1864" s="44" t="str">
        <x:v>Not Started</x:v>
      </x:c>
      <x:c r="C1864" s="45" t="n">
        <x:v>41906</x:v>
      </x:c>
      <x:c r="D1864" s="33" t="str">
        <x:v>Law &amp; Order: Special Victims Unit</x:v>
      </x:c>
      <x:c r="E1864" s="33" t="str">
        <x:v>Law &amp; Order</x:v>
      </x:c>
      <x:c r="F1864" s="33" t="str">
        <x:v>core</x:v>
      </x:c>
      <x:c r="G1864" s="50" t="n">
        <x:v>16</x:v>
      </x:c>
      <x:c r="H1864" s="50" t="n">
        <x:v>1</x:v>
      </x:c>
      <x:c r="I1864" s="44" t="str">
        <x:v>16.01</x:v>
      </x:c>
      <x:c r="J1864" s="33" t="str">
        <x:v>Girls Disappeared</x:v>
      </x:c>
      <x:c r="K1864" s="33" t="str"/>
      <x:c r="L1864" s="33" t="str"/>
      <x:c r="M1864" s="44" t="str"/>
      <x:c r="N1864" s="50" t="n">
        <x:v>43</x:v>
      </x:c>
      <x:c r="O1864" s="53" t="str">
        <x:v>Benson struggles to balance work and her new role of foster mother; when Amaro arrests a young prostitute with connections to Noah's mother, his undercover work sets off a dangerous chain of events.</x:v>
      </x:c>
      <x:c r="P1864" s="53" t="str">
        <x:v>Core Law &amp; Order franchise</x:v>
      </x:c>
      <x:c r="Q1864" s="17" t="str">
        <x:v>1391148</x:v>
      </x:c>
      <x:c r="R1864" s="17" t="str">
        <x:v>tt3717668</x:v>
      </x:c>
      <x:c r="S1864" s="17" t="str">
        <x:v>1336</x:v>
      </x:c>
    </x:row>
    <x:row r="1865">
      <x:c r="A1865" s="43" t="n">
        <x:v>1861</x:v>
      </x:c>
      <x:c r="B1865" s="44" t="str">
        <x:v>Not Started</x:v>
      </x:c>
      <x:c r="C1865" s="45" t="n">
        <x:v>41907</x:v>
      </x:c>
      <x:c r="D1865" s="33" t="str">
        <x:v>Chicago P.D.</x:v>
      </x:c>
      <x:c r="E1865" s="33" t="str">
        <x:v>One Chicago</x:v>
      </x:c>
      <x:c r="F1865" s="33" t="str">
        <x:v>core</x:v>
      </x:c>
      <x:c r="G1865" s="50" t="n">
        <x:v>2</x:v>
      </x:c>
      <x:c r="H1865" s="50" t="n">
        <x:v>1</x:v>
      </x:c>
      <x:c r="I1865" s="44" t="str">
        <x:v>02.01</x:v>
      </x:c>
      <x:c r="J1865" s="33" t="str">
        <x:v>Call It Macaroni</x:v>
      </x:c>
      <x:c r="K1865" s="33" t="str"/>
      <x:c r="L1865" s="33" t="str"/>
      <x:c r="M1865" s="44" t="str"/>
      <x:c r="N1865" s="50" t="n">
        <x:v>45</x:v>
      </x:c>
      <x:c r="O1865" s="53" t="str">
        <x:v>As the Sheldon Jin murder investigation moves forward, Voight is under close watch by Internal Affairs but he’s still in complete command of the intelligence unit. A routine undercover job becomes anything but when Voight’s SUV is T-boned while trailing an armored car carrying Ruzek. Burgess meets her new partner, Sean Roman and tension is high from the start, and she soon realizes there’s more to his story. After a long day, Lindsay pays a visit to someone she hasn’t seen in a very long time.</x:v>
      </x:c>
      <x:c r="P1865" s="53" t="str">
        <x:v>Core One Chicago franchise; crossovers with SVU/FBI</x:v>
      </x:c>
      <x:c r="Q1865" s="17" t="str">
        <x:v>958021</x:v>
      </x:c>
      <x:c r="R1865" s="17" t="str">
        <x:v>tt3609398</x:v>
      </x:c>
      <x:c r="S1865" s="17" t="str"/>
    </x:row>
    <x:row r="1866">
      <x:c r="A1866" s="43" t="n">
        <x:v>1862</x:v>
      </x:c>
      <x:c r="B1866" s="44" t="str">
        <x:v>Not Started</x:v>
      </x:c>
      <x:c r="C1866" s="45" t="n">
        <x:v>41913</x:v>
      </x:c>
      <x:c r="D1866" s="33" t="str">
        <x:v>Chicago Fire</x:v>
      </x:c>
      <x:c r="E1866" s="33" t="str">
        <x:v>One Chicago</x:v>
      </x:c>
      <x:c r="F1866" s="33" t="str">
        <x:v>core</x:v>
      </x:c>
      <x:c r="G1866" s="50" t="n">
        <x:v>3</x:v>
      </x:c>
      <x:c r="H1866" s="50" t="n">
        <x:v>2</x:v>
      </x:c>
      <x:c r="I1866" s="44" t="str">
        <x:v>03.02</x:v>
      </x:c>
      <x:c r="J1866" s="33" t="str">
        <x:v>Wow Me</x:v>
      </x:c>
      <x:c r="K1866" s="33" t="str"/>
      <x:c r="L1866" s="33" t="str"/>
      <x:c r="M1866" s="44" t="str"/>
      <x:c r="N1866" s="50" t="n">
        <x:v>43</x:v>
      </x:c>
      <x:c r="O1866" s="53" t="str">
        <x:v>Severide returns to Firehouse 51, but he is clearly not his usual self. Dawson counts down the weeks until she gets started as a candidate at the Austin Firehouse. Mills learns more about his father’s family. Herrmann asks the rest of the Molly investors to come up with some new ideas to turn the business around.</x:v>
      </x:c>
      <x:c r="P1866" s="53" t="str">
        <x:v>Core One Chicago franchise</x:v>
      </x:c>
      <x:c r="Q1866" s="17" t="str">
        <x:v>898445</x:v>
      </x:c>
      <x:c r="R1866" s="17" t="str">
        <x:v>tt4035138</x:v>
      </x:c>
      <x:c r="S1866" s="17" t="str"/>
    </x:row>
    <x:row r="1867">
      <x:c r="A1867" s="43" t="n">
        <x:v>1863</x:v>
      </x:c>
      <x:c r="B1867" s="44" t="str">
        <x:v>Not Started</x:v>
      </x:c>
      <x:c r="C1867" s="45" t="n">
        <x:v>41913</x:v>
      </x:c>
      <x:c r="D1867" s="33" t="str">
        <x:v>Law &amp; Order: Special Victims Unit</x:v>
      </x:c>
      <x:c r="E1867" s="33" t="str">
        <x:v>Law &amp; Order</x:v>
      </x:c>
      <x:c r="F1867" s="33" t="str">
        <x:v>core</x:v>
      </x:c>
      <x:c r="G1867" s="50" t="n">
        <x:v>16</x:v>
      </x:c>
      <x:c r="H1867" s="50" t="n">
        <x:v>2</x:v>
      </x:c>
      <x:c r="I1867" s="44" t="str">
        <x:v>16.02</x:v>
      </x:c>
      <x:c r="J1867" s="33" t="str">
        <x:v>American Disgrace</x:v>
      </x:c>
      <x:c r="K1867" s="33" t="str"/>
      <x:c r="L1867" s="33" t="str"/>
      <x:c r="M1867" s="44" t="str"/>
      <x:c r="N1867" s="50" t="n">
        <x:v>43</x:v>
      </x:c>
      <x:c r="O1867" s="53" t="str">
        <x:v>When a series of allegations are made against a superstar basketball player, Sgt. Benson and Detective Carisi do not agree on the authenticity of each woman's story; the investigation takes Rollins back to her former precinct.</x:v>
      </x:c>
      <x:c r="P1867" s="53" t="str">
        <x:v>Core Law &amp; Order franchise</x:v>
      </x:c>
      <x:c r="Q1867" s="17" t="str">
        <x:v>1391149</x:v>
      </x:c>
      <x:c r="R1867" s="17" t="str">
        <x:v>tt3892406</x:v>
      </x:c>
      <x:c r="S1867" s="17" t="str">
        <x:v>1337</x:v>
      </x:c>
    </x:row>
    <x:row r="1868">
      <x:c r="A1868" s="43" t="n">
        <x:v>1864</x:v>
      </x:c>
      <x:c r="B1868" s="44" t="str">
        <x:v>Not Started</x:v>
      </x:c>
      <x:c r="C1868" s="45" t="n">
        <x:v>41914</x:v>
      </x:c>
      <x:c r="D1868" s="33" t="str">
        <x:v>Chicago P.D.</x:v>
      </x:c>
      <x:c r="E1868" s="33" t="str">
        <x:v>One Chicago</x:v>
      </x:c>
      <x:c r="F1868" s="33" t="str">
        <x:v>core</x:v>
      </x:c>
      <x:c r="G1868" s="50" t="n">
        <x:v>2</x:v>
      </x:c>
      <x:c r="H1868" s="50" t="n">
        <x:v>2</x:v>
      </x:c>
      <x:c r="I1868" s="44" t="str">
        <x:v>02.02</x:v>
      </x:c>
      <x:c r="J1868" s="33" t="str">
        <x:v>Get My Cigarettes</x:v>
      </x:c>
      <x:c r="K1868" s="33" t="str"/>
      <x:c r="L1868" s="33" t="str"/>
      <x:c r="M1868" s="44" t="str"/>
      <x:c r="N1868" s="50" t="n">
        <x:v>43</x:v>
      </x:c>
      <x:c r="O1868" s="53" t="str">
        <x:v>Intelligence begins to look into a string of murders where the victims have a dollar bill pinned to their chests. Thanks to some digging by Ruzek, Voight learns his friend was involved in some shady business dealings. Antonio and Halstead follow-up on some leads that help focus in on the culprit and motives for the murders. Burgess and Roman investigate a series of house break-ins and get some help from Desk Sgt. Platt.</x:v>
      </x:c>
      <x:c r="P1868" s="53" t="str">
        <x:v>Core One Chicago franchise; crossovers with SVU/FBI</x:v>
      </x:c>
      <x:c r="Q1868" s="17" t="str">
        <x:v>958022</x:v>
      </x:c>
      <x:c r="R1868" s="17" t="str">
        <x:v>tt3907382</x:v>
      </x:c>
      <x:c r="S1868" s="17" t="str"/>
    </x:row>
    <x:row r="1869">
      <x:c r="A1869" s="43" t="n">
        <x:v>1865</x:v>
      </x:c>
      <x:c r="B1869" s="44" t="str">
        <x:v>Not Started</x:v>
      </x:c>
      <x:c r="C1869" s="45" t="n">
        <x:v>41920</x:v>
      </x:c>
      <x:c r="D1869" s="33" t="str">
        <x:v>Chicago Fire</x:v>
      </x:c>
      <x:c r="E1869" s="33" t="str">
        <x:v>One Chicago</x:v>
      </x:c>
      <x:c r="F1869" s="33" t="str">
        <x:v>core</x:v>
      </x:c>
      <x:c r="G1869" s="50" t="n">
        <x:v>3</x:v>
      </x:c>
      <x:c r="H1869" s="50" t="n">
        <x:v>3</x:v>
      </x:c>
      <x:c r="I1869" s="44" t="str">
        <x:v>03.03</x:v>
      </x:c>
      <x:c r="J1869" s="33" t="str">
        <x:v>Just Drive the Truck</x:v>
      </x:c>
      <x:c r="K1869" s="33" t="str"/>
      <x:c r="L1869" s="33" t="str"/>
      <x:c r="M1869" s="44" t="str"/>
      <x:c r="N1869" s="50" t="n">
        <x:v>42</x:v>
      </x:c>
      <x:c r="O1869" s="53" t="str">
        <x:v>Tensions run high when trucks from two firehouses collide and fingers are pointed towards Cruz for his driving.</x:v>
      </x:c>
      <x:c r="P1869" s="53" t="str">
        <x:v>Core One Chicago franchise</x:v>
      </x:c>
      <x:c r="Q1869" s="17" t="str">
        <x:v>898446</x:v>
      </x:c>
      <x:c r="R1869" s="17" t="str">
        <x:v>tt3670022</x:v>
      </x:c>
      <x:c r="S1869" s="17" t="str"/>
    </x:row>
    <x:row r="1870">
      <x:c r="A1870" s="43" t="n">
        <x:v>1866</x:v>
      </x:c>
      <x:c r="B1870" s="44" t="str">
        <x:v>Not Started</x:v>
      </x:c>
      <x:c r="C1870" s="45" t="n">
        <x:v>41920</x:v>
      </x:c>
      <x:c r="D1870" s="33" t="str">
        <x:v>Law &amp; Order: Special Victims Unit</x:v>
      </x:c>
      <x:c r="E1870" s="33" t="str">
        <x:v>Law &amp; Order</x:v>
      </x:c>
      <x:c r="F1870" s="33" t="str">
        <x:v>core</x:v>
      </x:c>
      <x:c r="G1870" s="50" t="n">
        <x:v>16</x:v>
      </x:c>
      <x:c r="H1870" s="50" t="n">
        <x:v>3</x:v>
      </x:c>
      <x:c r="I1870" s="44" t="str">
        <x:v>16.03</x:v>
      </x:c>
      <x:c r="J1870" s="33" t="str">
        <x:v>Producer's Backend</x:v>
      </x:c>
      <x:c r="K1870" s="33" t="str"/>
      <x:c r="L1870" s="33" t="str"/>
      <x:c r="M1870" s="44" t="str"/>
      <x:c r="N1870" s="50" t="n">
        <x:v>43</x:v>
      </x:c>
      <x:c r="O1870" s="53" t="str">
        <x:v>Amaro's by-the-book handling of a starlet's arrest gets him back on the SVU squad in time to investigate the actress's latest offense, statutory rape.</x:v>
      </x:c>
      <x:c r="P1870" s="53" t="str">
        <x:v>Core Law &amp; Order franchise</x:v>
      </x:c>
      <x:c r="Q1870" s="17" t="str">
        <x:v>1391150</x:v>
      </x:c>
      <x:c r="R1870" s="17" t="str">
        <x:v>tt4006502</x:v>
      </x:c>
      <x:c r="S1870" s="17" t="str">
        <x:v>1338</x:v>
      </x:c>
    </x:row>
    <x:row r="1871">
      <x:c r="A1871" s="43" t="n">
        <x:v>1867</x:v>
      </x:c>
      <x:c r="B1871" s="44" t="str">
        <x:v>Not Started</x:v>
      </x:c>
      <x:c r="C1871" s="45" t="n">
        <x:v>41921</x:v>
      </x:c>
      <x:c r="D1871" s="33" t="str">
        <x:v>Chicago P.D.</x:v>
      </x:c>
      <x:c r="E1871" s="33" t="str">
        <x:v>One Chicago</x:v>
      </x:c>
      <x:c r="F1871" s="33" t="str">
        <x:v>core</x:v>
      </x:c>
      <x:c r="G1871" s="50" t="n">
        <x:v>2</x:v>
      </x:c>
      <x:c r="H1871" s="50" t="n">
        <x:v>3</x:v>
      </x:c>
      <x:c r="I1871" s="44" t="str">
        <x:v>02.03</x:v>
      </x:c>
      <x:c r="J1871" s="33" t="str">
        <x:v>The Weigh Station</x:v>
      </x:c>
      <x:c r="K1871" s="33" t="str"/>
      <x:c r="L1871" s="33" t="str"/>
      <x:c r="M1871" s="44" t="str"/>
      <x:c r="N1871" s="50" t="n">
        <x:v>42</x:v>
      </x:c>
      <x:c r="O1871" s="53" t="str">
        <x:v>The bounty on Halstead’s head becomes a serious reality as an innocent bartender takes a bullet meant for him. Olinsky tries to reason with Bembenek to call off the hit. Voight and the team keep this investigation in-house to find the hired assassin. After a tense interaction at district, Platt and Nadia come to an understanding.</x:v>
      </x:c>
      <x:c r="P1871" s="53" t="str">
        <x:v>Core One Chicago franchise; crossovers with SVU/FBI</x:v>
      </x:c>
      <x:c r="Q1871" s="17" t="str">
        <x:v>958023</x:v>
      </x:c>
      <x:c r="R1871" s="17" t="str">
        <x:v>tt4089554</x:v>
      </x:c>
      <x:c r="S1871" s="17" t="str"/>
    </x:row>
    <x:row r="1872">
      <x:c r="A1872" s="43" t="n">
        <x:v>1868</x:v>
      </x:c>
      <x:c r="B1872" s="44" t="str">
        <x:v>Not Started</x:v>
      </x:c>
      <x:c r="C1872" s="45" t="n">
        <x:v>41927</x:v>
      </x:c>
      <x:c r="D1872" s="33" t="str">
        <x:v>Chicago Fire</x:v>
      </x:c>
      <x:c r="E1872" s="33" t="str">
        <x:v>One Chicago</x:v>
      </x:c>
      <x:c r="F1872" s="33" t="str">
        <x:v>core</x:v>
      </x:c>
      <x:c r="G1872" s="50" t="n">
        <x:v>3</x:v>
      </x:c>
      <x:c r="H1872" s="50" t="n">
        <x:v>4</x:v>
      </x:c>
      <x:c r="I1872" s="44" t="str">
        <x:v>03.04</x:v>
      </x:c>
      <x:c r="J1872" s="33" t="str">
        <x:v>Apologies are Dangerous</x:v>
      </x:c>
      <x:c r="K1872" s="33" t="str"/>
      <x:c r="L1872" s="33" t="str"/>
      <x:c r="M1872" s="44" t="str"/>
      <x:c r="N1872" s="50" t="n">
        <x:v>43</x:v>
      </x:c>
      <x:c r="O1872" s="53" t="str">
        <x:v>Dawson tries to strike a balance with Casey during her first day as a candidate. Mills ponders an uncertain future. Severide faces his demons. A city inspector visits Molly's.</x:v>
      </x:c>
      <x:c r="P1872" s="53" t="str">
        <x:v>Core One Chicago franchise</x:v>
      </x:c>
      <x:c r="Q1872" s="17" t="str">
        <x:v>898447</x:v>
      </x:c>
      <x:c r="R1872" s="17" t="str">
        <x:v>tt4099178</x:v>
      </x:c>
      <x:c r="S1872" s="17" t="str"/>
    </x:row>
    <x:row r="1873">
      <x:c r="A1873" s="43" t="n">
        <x:v>1869</x:v>
      </x:c>
      <x:c r="B1873" s="44" t="str">
        <x:v>Not Started</x:v>
      </x:c>
      <x:c r="C1873" s="45" t="n">
        <x:v>41927</x:v>
      </x:c>
      <x:c r="D1873" s="33" t="str">
        <x:v>Law &amp; Order: Special Victims Unit</x:v>
      </x:c>
      <x:c r="E1873" s="33" t="str">
        <x:v>Law &amp; Order</x:v>
      </x:c>
      <x:c r="F1873" s="33" t="str">
        <x:v>core</x:v>
      </x:c>
      <x:c r="G1873" s="50" t="n">
        <x:v>16</x:v>
      </x:c>
      <x:c r="H1873" s="50" t="n">
        <x:v>4</x:v>
      </x:c>
      <x:c r="I1873" s="44" t="str">
        <x:v>16.04</x:v>
      </x:c>
      <x:c r="J1873" s="33" t="str">
        <x:v>Holden's Manifesto</x:v>
      </x:c>
      <x:c r="K1873" s="33" t="str"/>
      <x:c r="L1873" s="33" t="str"/>
      <x:c r="M1873" s="44" t="str"/>
      <x:c r="N1873" s="50" t="n">
        <x:v>43</x:v>
      </x:c>
      <x:c r="O1873" s="53" t="str">
        <x:v>The team tries to find a bike messenger -- who has kept a video diary of his troubles with women -- before he can commit another violent act; the new deputy chief calls Benson's leadership into question.</x:v>
      </x:c>
      <x:c r="P1873" s="53" t="str">
        <x:v>Core Law &amp; Order franchise</x:v>
      </x:c>
      <x:c r="Q1873" s="17" t="str">
        <x:v>1391151</x:v>
      </x:c>
      <x:c r="R1873" s="17" t="str">
        <x:v>tt4067010</x:v>
      </x:c>
      <x:c r="S1873" s="17" t="str">
        <x:v>1339</x:v>
      </x:c>
    </x:row>
    <x:row r="1874">
      <x:c r="A1874" s="43" t="n">
        <x:v>1870</x:v>
      </x:c>
      <x:c r="B1874" s="44" t="str">
        <x:v>Not Started</x:v>
      </x:c>
      <x:c r="C1874" s="45" t="n">
        <x:v>41928</x:v>
      </x:c>
      <x:c r="D1874" s="33" t="str">
        <x:v>Chicago P.D.</x:v>
      </x:c>
      <x:c r="E1874" s="33" t="str">
        <x:v>One Chicago</x:v>
      </x:c>
      <x:c r="F1874" s="33" t="str">
        <x:v>core</x:v>
      </x:c>
      <x:c r="G1874" s="50" t="n">
        <x:v>2</x:v>
      </x:c>
      <x:c r="H1874" s="50" t="n">
        <x:v>4</x:v>
      </x:c>
      <x:c r="I1874" s="44" t="str">
        <x:v>02.04</x:v>
      </x:c>
      <x:c r="J1874" s="33" t="str">
        <x:v>Chicken, Dynamite, Chainsaw</x:v>
      </x:c>
      <x:c r="K1874" s="33" t="str"/>
      <x:c r="L1874" s="33" t="str"/>
      <x:c r="M1874" s="44" t="str"/>
      <x:c r="N1874" s="50" t="n">
        <x:v>43</x:v>
      </x:c>
      <x:c r="O1874" s="53" t="str">
        <x:v>Two teenage girls have gone missing and the team know the clock is ticking to find them. Halstead, Antonio and Lindsay investigate a tenement which gives them a much needed lead. Voight brings the father of one of the girls to district in order to get some honest answers. Platt puts Roman and Burgess on gun buy-back duty where they ask questions when they aren’t supposed to.</x:v>
      </x:c>
      <x:c r="P1874" s="53" t="str">
        <x:v>Core One Chicago franchise; crossovers with SVU/FBI</x:v>
      </x:c>
      <x:c r="Q1874" s="17" t="str">
        <x:v>1001466</x:v>
      </x:c>
      <x:c r="R1874" s="17" t="str">
        <x:v>tt3982262</x:v>
      </x:c>
      <x:c r="S1874" s="17" t="str"/>
    </x:row>
    <x:row r="1875">
      <x:c r="A1875" s="43" t="n">
        <x:v>1871</x:v>
      </x:c>
      <x:c r="B1875" s="44" t="str">
        <x:v>Not Started</x:v>
      </x:c>
      <x:c r="C1875" s="45" t="n">
        <x:v>41934</x:v>
      </x:c>
      <x:c r="D1875" s="33" t="str">
        <x:v>Chicago Fire</x:v>
      </x:c>
      <x:c r="E1875" s="33" t="str">
        <x:v>One Chicago</x:v>
      </x:c>
      <x:c r="F1875" s="33" t="str">
        <x:v>core</x:v>
      </x:c>
      <x:c r="G1875" s="50" t="n">
        <x:v>3</x:v>
      </x:c>
      <x:c r="H1875" s="50" t="n">
        <x:v>5</x:v>
      </x:c>
      <x:c r="I1875" s="44" t="str">
        <x:v>03.05</x:v>
      </x:c>
      <x:c r="J1875" s="33" t="str">
        <x:v>The Nuclear Option</x:v>
      </x:c>
      <x:c r="K1875" s="33" t="str"/>
      <x:c r="L1875" s="33" t="str"/>
      <x:c r="M1875" s="44" t="str"/>
      <x:c r="N1875" s="50" t="n">
        <x:v>43</x:v>
      </x:c>
      <x:c r="O1875" s="53" t="str">
        <x:v>Casey deals with the aftereffects of his sister's divorce announcement. Dawson and Mills get used to their new roles at Station 51. Brett ponders whether to leave Chicago. The Molly's crew works to get the food truck started.</x:v>
      </x:c>
      <x:c r="P1875" s="53" t="str">
        <x:v>Core One Chicago franchise</x:v>
      </x:c>
      <x:c r="Q1875" s="17" t="str">
        <x:v>1002558</x:v>
      </x:c>
      <x:c r="R1875" s="17" t="str">
        <x:v>tt4106282</x:v>
      </x:c>
      <x:c r="S1875" s="17" t="str"/>
    </x:row>
    <x:row r="1876">
      <x:c r="A1876" s="43" t="n">
        <x:v>1872</x:v>
      </x:c>
      <x:c r="B1876" s="44" t="str">
        <x:v>Not Started</x:v>
      </x:c>
      <x:c r="C1876" s="45" t="n">
        <x:v>41934</x:v>
      </x:c>
      <x:c r="D1876" s="33" t="str">
        <x:v>Law &amp; Order: Special Victims Unit</x:v>
      </x:c>
      <x:c r="E1876" s="33" t="str">
        <x:v>Law &amp; Order</x:v>
      </x:c>
      <x:c r="F1876" s="33" t="str">
        <x:v>core</x:v>
      </x:c>
      <x:c r="G1876" s="50" t="n">
        <x:v>16</x:v>
      </x:c>
      <x:c r="H1876" s="50" t="n">
        <x:v>5</x:v>
      </x:c>
      <x:c r="I1876" s="44" t="str">
        <x:v>16.05</x:v>
      </x:c>
      <x:c r="J1876" s="33" t="str">
        <x:v>Pornstar's Requiem</x:v>
      </x:c>
      <x:c r="K1876" s="33" t="str"/>
      <x:c r="L1876" s="33" t="str"/>
      <x:c r="M1876" s="44" t="str"/>
      <x:c r="N1876" s="50" t="n">
        <x:v>43</x:v>
      </x:c>
      <x:c r="O1876" s="53" t="str">
        <x:v>A college student becomes a target after her work as an online porn star is discovered by her classmates.</x:v>
      </x:c>
      <x:c r="P1876" s="53" t="str">
        <x:v>Core Law &amp; Order franchise</x:v>
      </x:c>
      <x:c r="Q1876" s="17" t="str">
        <x:v>1391152</x:v>
      </x:c>
      <x:c r="R1876" s="17" t="str">
        <x:v>tt4086130</x:v>
      </x:c>
      <x:c r="S1876" s="17" t="str">
        <x:v>1340</x:v>
      </x:c>
    </x:row>
    <x:row r="1877">
      <x:c r="A1877" s="43" t="n">
        <x:v>1873</x:v>
      </x:c>
      <x:c r="B1877" s="44" t="str">
        <x:v>Not Started</x:v>
      </x:c>
      <x:c r="C1877" s="45" t="n">
        <x:v>41935</x:v>
      </x:c>
      <x:c r="D1877" s="33" t="str">
        <x:v>Chicago P.D.</x:v>
      </x:c>
      <x:c r="E1877" s="33" t="str">
        <x:v>One Chicago</x:v>
      </x:c>
      <x:c r="F1877" s="33" t="str">
        <x:v>core</x:v>
      </x:c>
      <x:c r="G1877" s="50" t="n">
        <x:v>2</x:v>
      </x:c>
      <x:c r="H1877" s="50" t="n">
        <x:v>5</x:v>
      </x:c>
      <x:c r="I1877" s="44" t="str">
        <x:v>02.05</x:v>
      </x:c>
      <x:c r="J1877" s="33" t="str">
        <x:v>An Honest Woman</x:v>
      </x:c>
      <x:c r="K1877" s="33" t="str"/>
      <x:c r="L1877" s="33" t="str"/>
      <x:c r="M1877" s="44" t="str"/>
      <x:c r="N1877" s="50" t="n">
        <x:v>43</x:v>
      </x:c>
      <x:c r="O1877" s="53" t="str">
        <x:v>While trying to help out, Olive Voight is attacked and taken. Ruzek and Atwater prove they belong on the team when they demonstrate smarts and savvy tracking down a lead that will hopefully bring them to Voight. Burgess and Roman try to track down a girl who runs off with a police badge.</x:v>
      </x:c>
      <x:c r="P1877" s="53" t="str">
        <x:v>Core One Chicago franchise; crossovers with SVU/FBI</x:v>
      </x:c>
      <x:c r="Q1877" s="17" t="str">
        <x:v>1001467</x:v>
      </x:c>
      <x:c r="R1877" s="17" t="str">
        <x:v>tt4073850</x:v>
      </x:c>
      <x:c r="S1877" s="17" t="str"/>
    </x:row>
    <x:row r="1878">
      <x:c r="A1878" s="43" t="n">
        <x:v>1874</x:v>
      </x:c>
      <x:c r="B1878" s="44" t="str">
        <x:v>Not Started</x:v>
      </x:c>
      <x:c r="C1878" s="45" t="n">
        <x:v>41941</x:v>
      </x:c>
      <x:c r="D1878" s="33" t="str">
        <x:v>Chicago Fire</x:v>
      </x:c>
      <x:c r="E1878" s="33" t="str">
        <x:v>One Chicago</x:v>
      </x:c>
      <x:c r="F1878" s="33" t="str">
        <x:v>core</x:v>
      </x:c>
      <x:c r="G1878" s="50" t="n">
        <x:v>3</x:v>
      </x:c>
      <x:c r="H1878" s="50" t="n">
        <x:v>6</x:v>
      </x:c>
      <x:c r="I1878" s="44" t="str">
        <x:v>03.06</x:v>
      </x:c>
      <x:c r="J1878" s="33" t="str">
        <x:v>Madmen and Fools</x:v>
      </x:c>
      <x:c r="K1878" s="33" t="str"/>
      <x:c r="L1878" s="33" t="str"/>
      <x:c r="M1878" s="44" t="str"/>
      <x:c r="N1878" s="50" t="n">
        <x:v>42</x:v>
      </x:c>
      <x:c r="O1878" s="53" t="str">
        <x:v>Casey faces his corrupt brother-in-law and Brett goes above and beyond to help a mother in need. Meanwhile, Mills get an education on unlicensed private investigation and Dawson begins training with Herrmann.</x:v>
      </x:c>
      <x:c r="P1878" s="53" t="str">
        <x:v>Core One Chicago franchise</x:v>
      </x:c>
      <x:c r="Q1878" s="17" t="str">
        <x:v>1002559</x:v>
      </x:c>
      <x:c r="R1878" s="17" t="str">
        <x:v>tt4108968</x:v>
      </x:c>
      <x:c r="S1878" s="17" t="str"/>
    </x:row>
    <x:row r="1879">
      <x:c r="A1879" s="43" t="n">
        <x:v>1875</x:v>
      </x:c>
      <x:c r="B1879" s="44" t="str">
        <x:v>Not Started</x:v>
      </x:c>
      <x:c r="C1879" s="45" t="n">
        <x:v>41948</x:v>
      </x:c>
      <x:c r="D1879" s="33" t="str">
        <x:v>Law &amp; Order: Special Victims Unit</x:v>
      </x:c>
      <x:c r="E1879" s="33" t="str">
        <x:v>Law &amp; Order</x:v>
      </x:c>
      <x:c r="F1879" s="33" t="str">
        <x:v>core</x:v>
      </x:c>
      <x:c r="G1879" s="50" t="n">
        <x:v>16</x:v>
      </x:c>
      <x:c r="H1879" s="50" t="n">
        <x:v>6</x:v>
      </x:c>
      <x:c r="I1879" s="44" t="str">
        <x:v>16.06</x:v>
      </x:c>
      <x:c r="J1879" s="33" t="str">
        <x:v>Glasgowman's Wrath</x:v>
      </x:c>
      <x:c r="K1879" s="33" t="str"/>
      <x:c r="L1879" s="33" t="str"/>
      <x:c r="M1879" s="44" t="str"/>
      <x:c r="N1879" s="50" t="n">
        <x:v>43</x:v>
      </x:c>
      <x:c r="O1879" s="53" t="str">
        <x:v>Three young girls' search for a mythical character leads to one of them becoming injured and the other two disappearing.</x:v>
      </x:c>
      <x:c r="P1879" s="53" t="str">
        <x:v>Core Law &amp; Order franchise</x:v>
      </x:c>
      <x:c r="Q1879" s="17" t="str">
        <x:v>1391153</x:v>
      </x:c>
      <x:c r="R1879" s="17" t="str">
        <x:v>tt4128738</x:v>
      </x:c>
      <x:c r="S1879" s="17" t="str">
        <x:v>1341</x:v>
      </x:c>
    </x:row>
    <x:row r="1880">
      <x:c r="A1880" s="43" t="n">
        <x:v>1876</x:v>
      </x:c>
      <x:c r="B1880" s="44" t="str">
        <x:v>Not Started</x:v>
      </x:c>
      <x:c r="C1880" s="45" t="n">
        <x:v>41949</x:v>
      </x:c>
      <x:c r="D1880" s="33" t="str">
        <x:v>Chicago P.D.</x:v>
      </x:c>
      <x:c r="E1880" s="33" t="str">
        <x:v>One Chicago</x:v>
      </x:c>
      <x:c r="F1880" s="33" t="str">
        <x:v>core</x:v>
      </x:c>
      <x:c r="G1880" s="50" t="n">
        <x:v>2</x:v>
      </x:c>
      <x:c r="H1880" s="50" t="n">
        <x:v>6</x:v>
      </x:c>
      <x:c r="I1880" s="44" t="str">
        <x:v>02.06</x:v>
      </x:c>
      <x:c r="J1880" s="33" t="str">
        <x:v>Prison Ball</x:v>
      </x:c>
      <x:c r="K1880" s="33" t="str"/>
      <x:c r="L1880" s="33" t="str"/>
      <x:c r="M1880" s="44" t="str"/>
      <x:c r="N1880" s="50" t="n">
        <x:v>43</x:v>
      </x:c>
      <x:c r="O1880" s="53" t="str">
        <x:v>Following the death of a 10-year old girl, the intelligence unit has one option to gain access to their suspect. Voight and Olinsky follow-up on a good lead to answer some questions about the shooting. Burgess and Roman show three boys around district thinking they are part of the Police Explorers program.</x:v>
      </x:c>
      <x:c r="P1880" s="53" t="str">
        <x:v>Core One Chicago franchise; crossovers with SVU/FBI</x:v>
      </x:c>
      <x:c r="Q1880" s="17" t="str">
        <x:v>1001476</x:v>
      </x:c>
      <x:c r="R1880" s="17" t="str">
        <x:v>tt4062084</x:v>
      </x:c>
      <x:c r="S1880" s="17" t="str"/>
    </x:row>
    <x:row r="1881">
      <x:c r="A1881" s="43" t="n">
        <x:v>1877</x:v>
      </x:c>
      <x:c r="B1881" s="44" t="str">
        <x:v>Not Started</x:v>
      </x:c>
      <x:c r="C1881" s="45" t="n">
        <x:v>41955</x:v>
      </x:c>
      <x:c r="D1881" s="33" t="str">
        <x:v>Chicago Fire</x:v>
      </x:c>
      <x:c r="E1881" s="33" t="str">
        <x:v>One Chicago</x:v>
      </x:c>
      <x:c r="F1881" s="33" t="str">
        <x:v>core</x:v>
      </x:c>
      <x:c r="G1881" s="50" t="n">
        <x:v>3</x:v>
      </x:c>
      <x:c r="H1881" s="50" t="n">
        <x:v>7</x:v>
      </x:c>
      <x:c r="I1881" s="44" t="str">
        <x:v>03.07</x:v>
      </x:c>
      <x:c r="J1881" s="33" t="str">
        <x:v>Nobody Touches Anything (I)</x:v>
      </x:c>
      <x:c r="K1881" s="33" t="str">
        <x:v>Crossover</x:v>
      </x:c>
      <x:c r="L1881" s="33" t="str">
        <x:v>Nobody Touches Anything</x:v>
      </x:c>
      <x:c r="M1881" s="44" t="str">
        <x:v>1/3</x:v>
      </x:c>
      <x:c r="N1881" s="50" t="n">
        <x:v>43</x:v>
      </x:c>
      <x:c r="O1881" s="53" t="str">
        <x:v>In part one of the crossover with Law &amp; Order: During a house fire, Firehouse 51 rescues the owner from the cellar clutching a suspicious box, leading Lt. Severide to bring in Sergeant Voight and Detective Lindsey for further investigation.
The crossover continues on Law &amp; Order: Special Victims Unit S16E07 Chicago Crossover (II) and Chicago P.D. S02E07 They'll Have to Go Through Me (III).</x:v>
      </x:c>
      <x:c r="P1881" s="53" t="str">
        <x:v>Core One Chicago franchise</x:v>
      </x:c>
      <x:c r="Q1881" s="17" t="str">
        <x:v>1002560</x:v>
      </x:c>
      <x:c r="R1881" s="17" t="str">
        <x:v>tt4134706</x:v>
      </x:c>
      <x:c r="S1881" s="17" t="str">
        <x:v>https://one-chicago-fbi.fandom.com/wiki/Crossovers_and_Milestones</x:v>
      </x:c>
    </x:row>
    <x:row r="1882">
      <x:c r="A1882" s="43" t="n">
        <x:v>1878</x:v>
      </x:c>
      <x:c r="B1882" s="44" t="str">
        <x:v>Not Started</x:v>
      </x:c>
      <x:c r="C1882" s="45" t="n">
        <x:v>41955</x:v>
      </x:c>
      <x:c r="D1882" s="33" t="str">
        <x:v>Law &amp; Order: Special Victims Unit</x:v>
      </x:c>
      <x:c r="E1882" s="33" t="str">
        <x:v>Law &amp; Order</x:v>
      </x:c>
      <x:c r="F1882" s="33" t="str">
        <x:v>core</x:v>
      </x:c>
      <x:c r="G1882" s="50" t="n">
        <x:v>16</x:v>
      </x:c>
      <x:c r="H1882" s="50" t="n">
        <x:v>7</x:v>
      </x:c>
      <x:c r="I1882" s="44" t="str">
        <x:v>16.07</x:v>
      </x:c>
      <x:c r="J1882" s="33" t="str">
        <x:v>Chicago Crossover (II)</x:v>
      </x:c>
      <x:c r="K1882" s="33" t="str">
        <x:v>Crossover</x:v>
      </x:c>
      <x:c r="L1882" s="33" t="str">
        <x:v>Nobody Touches Anything</x:v>
      </x:c>
      <x:c r="M1882" s="44" t="str">
        <x:v>2/3</x:v>
      </x:c>
      <x:c r="N1882" s="50" t="n">
        <x:v>43</x:v>
      </x:c>
      <x:c r="O1882" s="53" t="str">
        <x:v>SVU and Chicago PD officer Erin Lindsay try to track down Lindsay's half-brother, who may be able to help take down a child pornography ring.
The crossover starts on Chicago Fire S03E07 Nobody Touches Anything (I). It continues on Chicago P.D. S02E07 They'll Have to Go Through Me (III).</x:v>
      </x:c>
      <x:c r="P1882" s="53" t="str">
        <x:v>Core Law &amp; Order franchise</x:v>
      </x:c>
      <x:c r="Q1882" s="17" t="str">
        <x:v>1391154</x:v>
      </x:c>
      <x:c r="R1882" s="17" t="str">
        <x:v>tt4130022</x:v>
      </x:c>
      <x:c r="S1882" s="17" t="str">
        <x:v>https://one-chicago-fbi.fandom.com/wiki/Crossovers_and_Milestones</x:v>
      </x:c>
    </x:row>
    <x:row r="1883">
      <x:c r="A1883" s="43" t="n">
        <x:v>1879</x:v>
      </x:c>
      <x:c r="B1883" s="44" t="str">
        <x:v>Not Started</x:v>
      </x:c>
      <x:c r="C1883" s="45" t="n">
        <x:v>41956</x:v>
      </x:c>
      <x:c r="D1883" s="33" t="str">
        <x:v>Chicago P.D.</x:v>
      </x:c>
      <x:c r="E1883" s="33" t="str">
        <x:v>One Chicago</x:v>
      </x:c>
      <x:c r="F1883" s="33" t="str">
        <x:v>core</x:v>
      </x:c>
      <x:c r="G1883" s="50" t="n">
        <x:v>2</x:v>
      </x:c>
      <x:c r="H1883" s="50" t="n">
        <x:v>7</x:v>
      </x:c>
      <x:c r="I1883" s="44" t="str">
        <x:v>02.07</x:v>
      </x:c>
      <x:c r="J1883" s="33" t="str">
        <x:v>They'll Have to Go Through Me (III)</x:v>
      </x:c>
      <x:c r="K1883" s="33" t="str">
        <x:v>Crossover</x:v>
      </x:c>
      <x:c r="L1883" s="33" t="str">
        <x:v>Nobody Touches Anything</x:v>
      </x:c>
      <x:c r="M1883" s="44" t="str">
        <x:v>3/3</x:v>
      </x:c>
      <x:c r="N1883" s="50" t="n">
        <x:v>43</x:v>
      </x:c>
      <x:c r="O1883" s="53" t="str">
        <x:v>The intelligence unit is joined by detectives from New York’s SVU to help solve the pedophile ring case. Ruzek, Amaro, Halstead and Antonio continue to hunt for the link to foster care and child trafficking. Burgess and Roman try to find the shooter from the hospital after using surveillance footage to identify him. Platt shows her deep respect for police and the dangerous work they do by honoring their fallen brother.
The crossover starts on Chicago Fire S03E07 Nobody Touches Anything (I) and Law &amp; Order: Special Victims Unit S16E07 Chicago Crossover (II).</x:v>
      </x:c>
      <x:c r="P1883" s="53" t="str">
        <x:v>Core One Chicago franchise; crossovers with SVU/FBI</x:v>
      </x:c>
      <x:c r="Q1883" s="17" t="str">
        <x:v>1001479</x:v>
      </x:c>
      <x:c r="R1883" s="17" t="str">
        <x:v>tt4109826</x:v>
      </x:c>
      <x:c r="S1883" s="17" t="str">
        <x:v>https://one-chicago-fbi.fandom.com/wiki/Crossovers_and_Milestones</x:v>
      </x:c>
    </x:row>
    <x:row r="1884">
      <x:c r="A1884" s="43" t="n">
        <x:v>1880</x:v>
      </x:c>
      <x:c r="B1884" s="44" t="str">
        <x:v>Not Started</x:v>
      </x:c>
      <x:c r="C1884" s="45" t="n">
        <x:v>41962</x:v>
      </x:c>
      <x:c r="D1884" s="33" t="str">
        <x:v>Chicago Fire</x:v>
      </x:c>
      <x:c r="E1884" s="33" t="str">
        <x:v>One Chicago</x:v>
      </x:c>
      <x:c r="F1884" s="33" t="str">
        <x:v>core</x:v>
      </x:c>
      <x:c r="G1884" s="50" t="n">
        <x:v>3</x:v>
      </x:c>
      <x:c r="H1884" s="50" t="n">
        <x:v>8</x:v>
      </x:c>
      <x:c r="I1884" s="44" t="str">
        <x:v>03.08</x:v>
      </x:c>
      <x:c r="J1884" s="33" t="str">
        <x:v>Chopper</x:v>
      </x:c>
      <x:c r="K1884" s="33" t="str"/>
      <x:c r="L1884" s="33" t="str"/>
      <x:c r="M1884" s="44" t="str"/>
      <x:c r="N1884" s="50" t="n">
        <x:v>43</x:v>
      </x:c>
      <x:c r="O1884" s="53" t="str">
        <x:v>The members of the firehouse spring into action when a helicopter explodes over a populated area.</x:v>
      </x:c>
      <x:c r="P1884" s="53" t="str">
        <x:v>Core One Chicago franchise</x:v>
      </x:c>
      <x:c r="Q1884" s="17" t="str">
        <x:v>1002561</x:v>
      </x:c>
      <x:c r="R1884" s="17" t="str">
        <x:v>tt4166338</x:v>
      </x:c>
      <x:c r="S1884" s="17" t="str"/>
    </x:row>
    <x:row r="1885">
      <x:c r="A1885" s="43" t="n">
        <x:v>1881</x:v>
      </x:c>
      <x:c r="B1885" s="44" t="str">
        <x:v>Not Started</x:v>
      </x:c>
      <x:c r="C1885" s="45" t="n">
        <x:v>41962</x:v>
      </x:c>
      <x:c r="D1885" s="33" t="str">
        <x:v>Law &amp; Order: Special Victims Unit</x:v>
      </x:c>
      <x:c r="E1885" s="33" t="str">
        <x:v>Law &amp; Order</x:v>
      </x:c>
      <x:c r="F1885" s="33" t="str">
        <x:v>core</x:v>
      </x:c>
      <x:c r="G1885" s="50" t="n">
        <x:v>16</x:v>
      </x:c>
      <x:c r="H1885" s="50" t="n">
        <x:v>8</x:v>
      </x:c>
      <x:c r="I1885" s="44" t="str">
        <x:v>16.08</x:v>
      </x:c>
      <x:c r="J1885" s="33" t="str">
        <x:v>Spousal Privilege</x:v>
      </x:c>
      <x:c r="K1885" s="33" t="str"/>
      <x:c r="L1885" s="33" t="str"/>
      <x:c r="M1885" s="44" t="str"/>
      <x:c r="N1885" s="50" t="n">
        <x:v>43</x:v>
      </x:c>
      <x:c r="O1885" s="53" t="str">
        <x:v>Sergeant Benson tries to help a domestic violence victim who stands by her man.</x:v>
      </x:c>
      <x:c r="P1885" s="53" t="str">
        <x:v>Core Law &amp; Order franchise</x:v>
      </x:c>
      <x:c r="Q1885" s="17" t="str">
        <x:v>1391155</x:v>
      </x:c>
      <x:c r="R1885" s="17" t="str">
        <x:v>tt4155552</x:v>
      </x:c>
      <x:c r="S1885" s="17" t="str">
        <x:v>1343</x:v>
      </x:c>
    </x:row>
    <x:row r="1886">
      <x:c r="A1886" s="43" t="n">
        <x:v>1882</x:v>
      </x:c>
      <x:c r="B1886" s="44" t="str">
        <x:v>Not Started</x:v>
      </x:c>
      <x:c r="C1886" s="45" t="n">
        <x:v>41963</x:v>
      </x:c>
      <x:c r="D1886" s="33" t="str">
        <x:v>Chicago P.D.</x:v>
      </x:c>
      <x:c r="E1886" s="33" t="str">
        <x:v>One Chicago</x:v>
      </x:c>
      <x:c r="F1886" s="33" t="str">
        <x:v>core</x:v>
      </x:c>
      <x:c r="G1886" s="50" t="n">
        <x:v>2</x:v>
      </x:c>
      <x:c r="H1886" s="50" t="n">
        <x:v>8</x:v>
      </x:c>
      <x:c r="I1886" s="44" t="str">
        <x:v>02.08</x:v>
      </x:c>
      <x:c r="J1886" s="33" t="str">
        <x:v>Assignment of the Year</x:v>
      </x:c>
      <x:c r="K1886" s="33" t="str"/>
      <x:c r="L1886" s="33" t="str"/>
      <x:c r="M1886" s="44" t="str"/>
      <x:c r="N1886" s="50" t="n">
        <x:v>44</x:v>
      </x:c>
      <x:c r="O1886" s="53" t="str">
        <x:v>While Antonio continues his off-duty security job for Asher and Layla, Asher is killed. While they work the case, Halstead and Lindsay go undercover in a rather uncomfortable location. Kot shows up to ask Lindsay for an answer.</x:v>
      </x:c>
      <x:c r="P1886" s="53" t="str">
        <x:v>Core One Chicago franchise; crossovers with SVU/FBI</x:v>
      </x:c>
      <x:c r="Q1886" s="17" t="str">
        <x:v>1001481</x:v>
      </x:c>
      <x:c r="R1886" s="17" t="str">
        <x:v>tt4174590</x:v>
      </x:c>
      <x:c r="S1886" s="17" t="str"/>
    </x:row>
    <x:row r="1887">
      <x:c r="A1887" s="43" t="n">
        <x:v>1883</x:v>
      </x:c>
      <x:c r="B1887" s="44" t="str">
        <x:v>Not Started</x:v>
      </x:c>
      <x:c r="C1887" s="45" t="n">
        <x:v>41969</x:v>
      </x:c>
      <x:c r="D1887" s="33" t="str">
        <x:v>Chicago Fire</x:v>
      </x:c>
      <x:c r="E1887" s="33" t="str">
        <x:v>One Chicago</x:v>
      </x:c>
      <x:c r="F1887" s="33" t="str">
        <x:v>core</x:v>
      </x:c>
      <x:c r="G1887" s="50" t="n">
        <x:v>3</x:v>
      </x:c>
      <x:c r="H1887" s="50" t="n">
        <x:v>9</x:v>
      </x:c>
      <x:c r="I1887" s="44" t="str">
        <x:v>03.09</x:v>
      </x:c>
      <x:c r="J1887" s="33" t="str">
        <x:v>Arrest in Transit</x:v>
      </x:c>
      <x:c r="K1887" s="33" t="str"/>
      <x:c r="L1887" s="33" t="str"/>
      <x:c r="M1887" s="44" t="str"/>
      <x:c r="N1887" s="50" t="n">
        <x:v>43</x:v>
      </x:c>
      <x:c r="O1887" s="53" t="str">
        <x:v>Dawson and Casey's relationship is tested as the team responds to a truck leaking hydrochloric acid in a busy intersection. Severide learns about Brittany's past. Mouch has dating troubles.</x:v>
      </x:c>
      <x:c r="P1887" s="53" t="str">
        <x:v>Core One Chicago franchise</x:v>
      </x:c>
      <x:c r="Q1887" s="17" t="str">
        <x:v>1002562</x:v>
      </x:c>
      <x:c r="R1887" s="17" t="str">
        <x:v>tt4195122</x:v>
      </x:c>
      <x:c r="S1887" s="17" t="str"/>
    </x:row>
    <x:row r="1888">
      <x:c r="A1888" s="43" t="n">
        <x:v>1884</x:v>
      </x:c>
      <x:c r="B1888" s="44" t="str">
        <x:v>Not Started</x:v>
      </x:c>
      <x:c r="C1888" s="45" t="n">
        <x:v>41976</x:v>
      </x:c>
      <x:c r="D1888" s="33" t="str">
        <x:v>Chicago Fire</x:v>
      </x:c>
      <x:c r="E1888" s="33" t="str">
        <x:v>One Chicago</x:v>
      </x:c>
      <x:c r="F1888" s="33" t="str">
        <x:v>core</x:v>
      </x:c>
      <x:c r="G1888" s="50" t="n">
        <x:v>3</x:v>
      </x:c>
      <x:c r="H1888" s="50" t="n">
        <x:v>10</x:v>
      </x:c>
      <x:c r="I1888" s="44" t="str">
        <x:v>03.10</x:v>
      </x:c>
      <x:c r="J1888" s="33" t="str">
        <x:v>Santa Bites</x:v>
      </x:c>
      <x:c r="K1888" s="33" t="str"/>
      <x:c r="L1888" s="33" t="str"/>
      <x:c r="M1888" s="44" t="str"/>
      <x:c r="N1888" s="50" t="n">
        <x:v>43</x:v>
      </x:c>
      <x:c r="O1888" s="53" t="str">
        <x:v>A house fire sees the team attempting to save the lives of a couple trapped inside. Chief Boden prepares to start his new family. The combination of life at work and home sees Casey and Dawson drifting apart.</x:v>
      </x:c>
      <x:c r="P1888" s="53" t="str">
        <x:v>Core One Chicago franchise</x:v>
      </x:c>
      <x:c r="Q1888" s="17" t="str">
        <x:v>1002563</x:v>
      </x:c>
      <x:c r="R1888" s="17" t="str">
        <x:v>tt4213356</x:v>
      </x:c>
      <x:c r="S1888" s="17" t="str"/>
    </x:row>
    <x:row r="1889">
      <x:c r="A1889" s="43" t="n">
        <x:v>1885</x:v>
      </x:c>
      <x:c r="B1889" s="44" t="str">
        <x:v>Not Started</x:v>
      </x:c>
      <x:c r="C1889" s="45" t="n">
        <x:v>41983</x:v>
      </x:c>
      <x:c r="D1889" s="33" t="str">
        <x:v>Law &amp; Order: Special Victims Unit</x:v>
      </x:c>
      <x:c r="E1889" s="33" t="str">
        <x:v>Law &amp; Order</x:v>
      </x:c>
      <x:c r="F1889" s="33" t="str">
        <x:v>core</x:v>
      </x:c>
      <x:c r="G1889" s="50" t="n">
        <x:v>16</x:v>
      </x:c>
      <x:c r="H1889" s="50" t="n">
        <x:v>9</x:v>
      </x:c>
      <x:c r="I1889" s="44" t="str">
        <x:v>16.09</x:v>
      </x:c>
      <x:c r="J1889" s="33" t="str">
        <x:v>Pattern Seventeen</x:v>
      </x:c>
      <x:c r="K1889" s="33" t="str"/>
      <x:c r="L1889" s="33" t="str"/>
      <x:c r="M1889" s="44" t="str"/>
      <x:c r="N1889" s="50" t="n">
        <x:v>43</x:v>
      </x:c>
      <x:c r="O1889" s="53" t="str">
        <x:v>A serial rapist strikes in several cities where the rape kit backlog stalls the investigation.</x:v>
      </x:c>
      <x:c r="P1889" s="53" t="str">
        <x:v>Core Law &amp; Order franchise</x:v>
      </x:c>
      <x:c r="Q1889" s="17" t="str">
        <x:v>1391156</x:v>
      </x:c>
      <x:c r="R1889" s="17" t="str">
        <x:v>tt4197164</x:v>
      </x:c>
      <x:c r="S1889" s="17" t="str">
        <x:v>1344</x:v>
      </x:c>
    </x:row>
    <x:row r="1890">
      <x:c r="A1890" s="43" t="n">
        <x:v>1886</x:v>
      </x:c>
      <x:c r="B1890" s="44" t="str">
        <x:v>Not Started</x:v>
      </x:c>
      <x:c r="C1890" s="45" t="n">
        <x:v>41984</x:v>
      </x:c>
      <x:c r="D1890" s="33" t="str">
        <x:v>Chicago P.D.</x:v>
      </x:c>
      <x:c r="E1890" s="33" t="str">
        <x:v>One Chicago</x:v>
      </x:c>
      <x:c r="F1890" s="33" t="str">
        <x:v>core</x:v>
      </x:c>
      <x:c r="G1890" s="50" t="n">
        <x:v>2</x:v>
      </x:c>
      <x:c r="H1890" s="50" t="n">
        <x:v>9</x:v>
      </x:c>
      <x:c r="I1890" s="44" t="str">
        <x:v>02.09</x:v>
      </x:c>
      <x:c r="J1890" s="33" t="str">
        <x:v>Called In Dead (1)</x:v>
      </x:c>
      <x:c r="K1890" s="33" t="str"/>
      <x:c r="L1890" s="33" t="str"/>
      <x:c r="M1890" s="44" t="str"/>
      <x:c r="N1890" s="50" t="n">
        <x:v>43</x:v>
      </x:c>
      <x:c r="O1890" s="53" t="str">
        <x:v>A friend of Nadia’s leads the intelligence unit to a huge heroin bust. Unfortunately this bust results in Olinsky arriving home to find the suspects are holding his wife. Voight and the team think they’ve found a common thread with the suspects but it’s not who they think. Meanwhile Burgess and Roman are given an assignment where they get paired with a K-9 officer, Jenn Cassidy who is Roman’s former partner and girlfriend.</x:v>
      </x:c>
      <x:c r="P1890" s="53" t="str">
        <x:v>Core One Chicago franchise; crossovers with SVU/FBI</x:v>
      </x:c>
      <x:c r="Q1890" s="17" t="str">
        <x:v>1001489</x:v>
      </x:c>
      <x:c r="R1890" s="17" t="str">
        <x:v>tt4236296</x:v>
      </x:c>
      <x:c r="S1890" s="17" t="str"/>
    </x:row>
    <x:row r="1891">
      <x:c r="A1891" s="43" t="n">
        <x:v>1887</x:v>
      </x:c>
      <x:c r="B1891" s="44" t="str">
        <x:v>Not Started</x:v>
      </x:c>
      <x:c r="C1891" s="45" t="n">
        <x:v>42011</x:v>
      </x:c>
      <x:c r="D1891" s="33" t="str">
        <x:v>Chicago Fire</x:v>
      </x:c>
      <x:c r="E1891" s="33" t="str">
        <x:v>One Chicago</x:v>
      </x:c>
      <x:c r="F1891" s="33" t="str">
        <x:v>core</x:v>
      </x:c>
      <x:c r="G1891" s="50" t="n">
        <x:v>3</x:v>
      </x:c>
      <x:c r="H1891" s="50" t="n">
        <x:v>11</x:v>
      </x:c>
      <x:c r="I1891" s="44" t="str">
        <x:v>03.11</x:v>
      </x:c>
      <x:c r="J1891" s="33" t="str">
        <x:v>Let Him Die</x:v>
      </x:c>
      <x:c r="K1891" s="33" t="str"/>
      <x:c r="L1891" s="33" t="str"/>
      <x:c r="M1891" s="44" t="str"/>
      <x:c r="N1891" s="50" t="n">
        <x:v>43</x:v>
      </x:c>
      <x:c r="O1891" s="53" t="str">
        <x:v>Two firehouse members are abducted, triggering a desperate search by the Chicago P.D. Elsewhere, Casey and Dawson struggle to balance their personal and professional lives, and Chief Boden deals with news that his newborn has potential complications.</x:v>
      </x:c>
      <x:c r="P1891" s="53" t="str">
        <x:v>Core One Chicago franchise</x:v>
      </x:c>
      <x:c r="Q1891" s="17" t="str">
        <x:v>1002564</x:v>
      </x:c>
      <x:c r="R1891" s="17" t="str">
        <x:v>tt4229856</x:v>
      </x:c>
      <x:c r="S1891" s="17" t="str"/>
    </x:row>
    <x:row r="1892">
      <x:c r="A1892" s="43" t="n">
        <x:v>1888</x:v>
      </x:c>
      <x:c r="B1892" s="44" t="str">
        <x:v>Not Started</x:v>
      </x:c>
      <x:c r="C1892" s="45" t="n">
        <x:v>42011</x:v>
      </x:c>
      <x:c r="D1892" s="33" t="str">
        <x:v>Law &amp; Order: Special Victims Unit</x:v>
      </x:c>
      <x:c r="E1892" s="33" t="str">
        <x:v>Law &amp; Order</x:v>
      </x:c>
      <x:c r="F1892" s="33" t="str">
        <x:v>core</x:v>
      </x:c>
      <x:c r="G1892" s="50" t="n">
        <x:v>16</x:v>
      </x:c>
      <x:c r="H1892" s="50" t="n">
        <x:v>10</x:v>
      </x:c>
      <x:c r="I1892" s="44" t="str">
        <x:v>16.10</x:v>
      </x:c>
      <x:c r="J1892" s="33" t="str">
        <x:v>Forgiving Rollins</x:v>
      </x:c>
      <x:c r="K1892" s="33" t="str"/>
      <x:c r="L1892" s="33" t="str"/>
      <x:c r="M1892" s="44" t="str"/>
      <x:c r="N1892" s="50" t="n">
        <x:v>43</x:v>
      </x:c>
      <x:c r="O1892" s="53" t="str">
        <x:v>When a professional relationship crosses the line, Detective Rollins must face her past to support another female officer.</x:v>
      </x:c>
      <x:c r="P1892" s="53" t="str">
        <x:v>Core Law &amp; Order franchise</x:v>
      </x:c>
      <x:c r="Q1892" s="17" t="str">
        <x:v>1391157</x:v>
      </x:c>
      <x:c r="R1892" s="17" t="str">
        <x:v>tt4272722</x:v>
      </x:c>
      <x:c r="S1892" s="17" t="str">
        <x:v>1345</x:v>
      </x:c>
    </x:row>
    <x:row r="1893">
      <x:c r="A1893" s="43" t="n">
        <x:v>1889</x:v>
      </x:c>
      <x:c r="B1893" s="44" t="str">
        <x:v>Not Started</x:v>
      </x:c>
      <x:c r="C1893" s="45" t="n">
        <x:v>42012</x:v>
      </x:c>
      <x:c r="D1893" s="33" t="str">
        <x:v>Chicago P.D.</x:v>
      </x:c>
      <x:c r="E1893" s="33" t="str">
        <x:v>One Chicago</x:v>
      </x:c>
      <x:c r="F1893" s="33" t="str">
        <x:v>core</x:v>
      </x:c>
      <x:c r="G1893" s="50" t="n">
        <x:v>2</x:v>
      </x:c>
      <x:c r="H1893" s="50" t="n">
        <x:v>10</x:v>
      </x:c>
      <x:c r="I1893" s="44" t="str">
        <x:v>02.10</x:v>
      </x:c>
      <x:c r="J1893" s="33" t="str">
        <x:v>Shouldn't Have Been Alone (2)</x:v>
      </x:c>
      <x:c r="K1893" s="33" t="str"/>
      <x:c r="L1893" s="33" t="str"/>
      <x:c r="M1893" s="44" t="str"/>
      <x:c r="N1893" s="50" t="n">
        <x:v>43</x:v>
      </x:c>
      <x:c r="O1893" s="53" t="str">
        <x:v>With Burgess in the hospital after suffering gunshot wounds, the intelligence team is determined to find the people responsible. Lindsay delays her start on the federal task force so she can help with this case. Search of the house provides a lead and when a bomb is triggered a key suspect is found. Meanwhile the team takes turns watching over Burgess. Voight informs Burgess of a new opportunity that this affords her.</x:v>
      </x:c>
      <x:c r="P1893" s="53" t="str">
        <x:v>Core One Chicago franchise; crossovers with SVU/FBI</x:v>
      </x:c>
      <x:c r="Q1893" s="17" t="str">
        <x:v>1001490</x:v>
      </x:c>
      <x:c r="R1893" s="17" t="str">
        <x:v>tt4327684</x:v>
      </x:c>
      <x:c r="S1893" s="17" t="str"/>
    </x:row>
    <x:row r="1894">
      <x:c r="A1894" s="43" t="n">
        <x:v>1890</x:v>
      </x:c>
      <x:c r="B1894" s="44" t="str">
        <x:v>Not Started</x:v>
      </x:c>
      <x:c r="C1894" s="45" t="n">
        <x:v>42014</x:v>
      </x:c>
      <x:c r="D1894" s="33" t="str">
        <x:v>Cold Justice</x:v>
      </x:c>
      <x:c r="E1894" s="33" t="str">
        <x:v>Crossover Adjacent</x:v>
      </x:c>
      <x:c r="F1894" s="33" t="str">
        <x:v>complete</x:v>
      </x:c>
      <x:c r="G1894" s="50" t="n">
        <x:v>3</x:v>
      </x:c>
      <x:c r="H1894" s="50" t="n">
        <x:v>1</x:v>
      </x:c>
      <x:c r="I1894" s="44" t="str">
        <x:v>03.01</x:v>
      </x:c>
      <x:c r="J1894" s="33" t="str">
        <x:v>Still of the Night (Pocatello, ID)</x:v>
      </x:c>
      <x:c r="K1894" s="33" t="str"/>
      <x:c r="L1894" s="33" t="str"/>
      <x:c r="M1894" s="44" t="str"/>
      <x:c r="N1894" s="50" t="n">
        <x:v>42</x:v>
      </x:c>
      <x:c r="O1894" s="53" t="str">
        <x:v>A sweet young woman was found brutally stabbed to death in her bedroom. Kelly and Yolanda are in the precarious position of finding her killer amidst multiple possible suspects.</x:v>
      </x:c>
      <x:c r="P1894" s="53" t="str">
        <x:v>Wolf Entertainment unscripted true-crime series</x:v>
      </x:c>
      <x:c r="Q1894" s="17" t="str">
        <x:v>1660105</x:v>
      </x:c>
      <x:c r="R1894" s="17" t="str"/>
      <x:c r="S1894" s="17" t="str"/>
    </x:row>
    <x:row r="1895">
      <x:c r="A1895" s="43" t="n">
        <x:v>1891</x:v>
      </x:c>
      <x:c r="B1895" s="44" t="str">
        <x:v>Not Started</x:v>
      </x:c>
      <x:c r="C1895" s="45" t="n">
        <x:v>42018</x:v>
      </x:c>
      <x:c r="D1895" s="33" t="str">
        <x:v>Chicago Fire</x:v>
      </x:c>
      <x:c r="E1895" s="33" t="str">
        <x:v>One Chicago</x:v>
      </x:c>
      <x:c r="F1895" s="33" t="str">
        <x:v>core</x:v>
      </x:c>
      <x:c r="G1895" s="50" t="n">
        <x:v>3</x:v>
      </x:c>
      <x:c r="H1895" s="50" t="n">
        <x:v>12</x:v>
      </x:c>
      <x:c r="I1895" s="44" t="str">
        <x:v>03.12</x:v>
      </x:c>
      <x:c r="J1895" s="33" t="str">
        <x:v>Ambush Predator</x:v>
      </x:c>
      <x:c r="K1895" s="33" t="str"/>
      <x:c r="L1895" s="33" t="str"/>
      <x:c r="M1895" s="44" t="str"/>
      <x:c r="N1895" s="50" t="n">
        <x:v>43</x:v>
      </x:c>
      <x:c r="O1895" s="53" t="str">
        <x:v>Severide and Dawson unearth shocking evidence about the fire that killed Shay. Elsewhere, the firehouse bonds over a serious car accident, and Chief Boden's father visits, only to give unsolicited parenting advice.</x:v>
      </x:c>
      <x:c r="P1895" s="53" t="str">
        <x:v>Core One Chicago franchise</x:v>
      </x:c>
      <x:c r="Q1895" s="17" t="str">
        <x:v>1439975</x:v>
      </x:c>
      <x:c r="R1895" s="17" t="str">
        <x:v>tt4312128</x:v>
      </x:c>
      <x:c r="S1895" s="17" t="str"/>
    </x:row>
    <x:row r="1896">
      <x:c r="A1896" s="43" t="n">
        <x:v>1892</x:v>
      </x:c>
      <x:c r="B1896" s="44" t="str">
        <x:v>Not Started</x:v>
      </x:c>
      <x:c r="C1896" s="45" t="n">
        <x:v>42018</x:v>
      </x:c>
      <x:c r="D1896" s="33" t="str">
        <x:v>Law &amp; Order: Special Victims Unit</x:v>
      </x:c>
      <x:c r="E1896" s="33" t="str">
        <x:v>Law &amp; Order</x:v>
      </x:c>
      <x:c r="F1896" s="33" t="str">
        <x:v>core</x:v>
      </x:c>
      <x:c r="G1896" s="50" t="n">
        <x:v>16</x:v>
      </x:c>
      <x:c r="H1896" s="50" t="n">
        <x:v>11</x:v>
      </x:c>
      <x:c r="I1896" s="44" t="str">
        <x:v>16.11</x:v>
      </x:c>
      <x:c r="J1896" s="33" t="str">
        <x:v>Agent Provocateur</x:v>
      </x:c>
      <x:c r="K1896" s="33" t="str"/>
      <x:c r="L1896" s="33" t="str"/>
      <x:c r="M1896" s="44" t="str"/>
      <x:c r="N1896" s="50" t="n">
        <x:v>43</x:v>
      </x:c>
      <x:c r="O1896" s="53" t="str">
        <x:v>A teenager is sexually assaulted and left for dead in an alley after attending a movie star's party; Benson is suspicious when security footage from the party goes missing.</x:v>
      </x:c>
      <x:c r="P1896" s="53" t="str">
        <x:v>Core Law &amp; Order franchise</x:v>
      </x:c>
      <x:c r="Q1896" s="17" t="str">
        <x:v>1416026</x:v>
      </x:c>
      <x:c r="R1896" s="17" t="str">
        <x:v>tt4196562</x:v>
      </x:c>
      <x:c r="S1896" s="17" t="str">
        <x:v>1346</x:v>
      </x:c>
    </x:row>
    <x:row r="1897">
      <x:c r="A1897" s="43" t="n">
        <x:v>1893</x:v>
      </x:c>
      <x:c r="B1897" s="44" t="str">
        <x:v>Not Started</x:v>
      </x:c>
      <x:c r="C1897" s="45" t="n">
        <x:v>42019</x:v>
      </x:c>
      <x:c r="D1897" s="33" t="str">
        <x:v>Chicago P.D.</x:v>
      </x:c>
      <x:c r="E1897" s="33" t="str">
        <x:v>One Chicago</x:v>
      </x:c>
      <x:c r="F1897" s="33" t="str">
        <x:v>core</x:v>
      </x:c>
      <x:c r="G1897" s="50" t="n">
        <x:v>2</x:v>
      </x:c>
      <x:c r="H1897" s="50" t="n">
        <x:v>11</x:v>
      </x:c>
      <x:c r="I1897" s="44" t="str">
        <x:v>02.11</x:v>
      </x:c>
      <x:c r="J1897" s="33" t="str">
        <x:v>We Don't Work Together Anymore</x:v>
      </x:c>
      <x:c r="K1897" s="33" t="str"/>
      <x:c r="L1897" s="33" t="str"/>
      <x:c r="M1897" s="44" t="str"/>
      <x:c r="N1897" s="50" t="n">
        <x:v>42</x:v>
      </x:c>
      <x:c r="O1897" s="53" t="str">
        <x:v>Lindsay has her first case with the task force and realizes she needs to call on Voight and the Intelligence unit to assist. Meanwhile Burgess is back on the job, but relegated to desk duty which allows Desk Sgt. Platt the opportunity to partner up with Roman.</x:v>
      </x:c>
      <x:c r="P1897" s="53" t="str">
        <x:v>Core One Chicago franchise; crossovers with SVU/FBI</x:v>
      </x:c>
      <x:c r="Q1897" s="17" t="str">
        <x:v>1001492</x:v>
      </x:c>
      <x:c r="R1897" s="17" t="str">
        <x:v>tt4265018</x:v>
      </x:c>
      <x:c r="S1897" s="17" t="str"/>
    </x:row>
    <x:row r="1898">
      <x:c r="A1898" s="43" t="n">
        <x:v>1894</x:v>
      </x:c>
      <x:c r="B1898" s="44" t="str">
        <x:v>Not Started</x:v>
      </x:c>
      <x:c r="C1898" s="45" t="n">
        <x:v>42021</x:v>
      </x:c>
      <x:c r="D1898" s="33" t="str">
        <x:v>Cold Justice</x:v>
      </x:c>
      <x:c r="E1898" s="33" t="str">
        <x:v>Crossover Adjacent</x:v>
      </x:c>
      <x:c r="F1898" s="33" t="str">
        <x:v>complete</x:v>
      </x:c>
      <x:c r="G1898" s="50" t="n">
        <x:v>3</x:v>
      </x:c>
      <x:c r="H1898" s="50" t="n">
        <x:v>2</x:v>
      </x:c>
      <x:c r="I1898" s="44" t="str">
        <x:v>03.02</x:v>
      </x:c>
      <x:c r="J1898" s="33" t="str">
        <x:v>Miss Congeniality (Yakima County, WA)</x:v>
      </x:c>
      <x:c r="K1898" s="33" t="str"/>
      <x:c r="L1898" s="33" t="str"/>
      <x:c r="M1898" s="44" t="str"/>
      <x:c r="N1898" s="50" t="n">
        <x:v>42</x:v>
      </x:c>
      <x:c r="O1898" s="53" t="str">
        <x:v>A young mother of three is found shot to death in her car that was pulled over on the side of a highway. Kelly and Yolanda are now faced with the difficult task of finding a killer who seemed to disappear under the dark cover of night.</x:v>
      </x:c>
      <x:c r="P1898" s="53" t="str">
        <x:v>Wolf Entertainment unscripted true-crime series</x:v>
      </x:c>
      <x:c r="Q1898" s="17" t="str">
        <x:v>1660107</x:v>
      </x:c>
      <x:c r="R1898" s="17" t="str"/>
      <x:c r="S1898" s="17" t="str"/>
    </x:row>
    <x:row r="1899">
      <x:c r="A1899" s="43" t="n">
        <x:v>1895</x:v>
      </x:c>
      <x:c r="B1899" s="44" t="str">
        <x:v>Not Started</x:v>
      </x:c>
      <x:c r="C1899" s="45" t="n">
        <x:v>42025</x:v>
      </x:c>
      <x:c r="D1899" s="33" t="str">
        <x:v>Law &amp; Order: Special Victims Unit</x:v>
      </x:c>
      <x:c r="E1899" s="33" t="str">
        <x:v>Law &amp; Order</x:v>
      </x:c>
      <x:c r="F1899" s="33" t="str">
        <x:v>core</x:v>
      </x:c>
      <x:c r="G1899" s="50" t="n">
        <x:v>16</x:v>
      </x:c>
      <x:c r="H1899" s="50" t="n">
        <x:v>12</x:v>
      </x:c>
      <x:c r="I1899" s="44" t="str">
        <x:v>16.12</x:v>
      </x:c>
      <x:c r="J1899" s="33" t="str">
        <x:v>Padre Sandunguero</x:v>
      </x:c>
      <x:c r="K1899" s="33" t="str"/>
      <x:c r="L1899" s="33" t="str"/>
      <x:c r="M1899" s="44" t="str"/>
      <x:c r="N1899" s="50" t="n">
        <x:v>43</x:v>
      </x:c>
      <x:c r="O1899" s="53" t="str">
        <x:v>When his father is arrested, Amaro must choose between his badge and his family's honor.</x:v>
      </x:c>
      <x:c r="P1899" s="53" t="str">
        <x:v>Core Law &amp; Order franchise</x:v>
      </x:c>
      <x:c r="Q1899" s="17" t="str">
        <x:v>1416027</x:v>
      </x:c>
      <x:c r="R1899" s="17" t="str">
        <x:v>tt4325312</x:v>
      </x:c>
      <x:c r="S1899" s="17" t="str">
        <x:v>1347</x:v>
      </x:c>
    </x:row>
    <x:row r="1900">
      <x:c r="A1900" s="43" t="n">
        <x:v>1896</x:v>
      </x:c>
      <x:c r="B1900" s="44" t="str">
        <x:v>Not Started</x:v>
      </x:c>
      <x:c r="C1900" s="45" t="n">
        <x:v>42026</x:v>
      </x:c>
      <x:c r="D1900" s="33" t="str">
        <x:v>Chicago P.D.</x:v>
      </x:c>
      <x:c r="E1900" s="33" t="str">
        <x:v>One Chicago</x:v>
      </x:c>
      <x:c r="F1900" s="33" t="str">
        <x:v>core</x:v>
      </x:c>
      <x:c r="G1900" s="50" t="n">
        <x:v>2</x:v>
      </x:c>
      <x:c r="H1900" s="50" t="n">
        <x:v>12</x:v>
      </x:c>
      <x:c r="I1900" s="44" t="str">
        <x:v>02.12</x:v>
      </x:c>
      <x:c r="J1900" s="33" t="str">
        <x:v>Disco Bob</x:v>
      </x:c>
      <x:c r="K1900" s="33" t="str"/>
      <x:c r="L1900" s="33" t="str"/>
      <x:c r="M1900" s="44" t="str"/>
      <x:c r="N1900" s="50" t="n">
        <x:v>44</x:v>
      </x:c>
      <x:c r="O1900" s="53" t="str">
        <x:v>Bob Ruzek is the first to arrive on the scene of a double murder. Intelligence arrives to take over the investigation and tensions arise as Bob needs to hand over the case to his son and Voight. Lindsay's new gig has her planning a trip to Bolivia for an undercover investigation that could be for an extended amount of time. Burgess and Roman realize they need to put past events behind them so it doesn't jeopardize them going forward.</x:v>
      </x:c>
      <x:c r="P1900" s="53" t="str">
        <x:v>Core One Chicago franchise; crossovers with SVU/FBI</x:v>
      </x:c>
      <x:c r="Q1900" s="17" t="str">
        <x:v>1409390</x:v>
      </x:c>
      <x:c r="R1900" s="17" t="str">
        <x:v>tt4292868</x:v>
      </x:c>
      <x:c r="S1900" s="17" t="str"/>
    </x:row>
    <x:row r="1901">
      <x:c r="A1901" s="43" t="n">
        <x:v>1897</x:v>
      </x:c>
      <x:c r="B1901" s="44" t="str">
        <x:v>Not Started</x:v>
      </x:c>
      <x:c r="C1901" s="45" t="n">
        <x:v>42028</x:v>
      </x:c>
      <x:c r="D1901" s="33" t="str">
        <x:v>Cold Justice</x:v>
      </x:c>
      <x:c r="E1901" s="33" t="str">
        <x:v>Crossover Adjacent</x:v>
      </x:c>
      <x:c r="F1901" s="33" t="str">
        <x:v>complete</x:v>
      </x:c>
      <x:c r="G1901" s="50" t="n">
        <x:v>3</x:v>
      </x:c>
      <x:c r="H1901" s="50" t="n">
        <x:v>3</x:v>
      </x:c>
      <x:c r="I1901" s="44" t="str">
        <x:v>03.03</x:v>
      </x:c>
      <x:c r="J1901" s="33" t="str">
        <x:v>Burned (Fairview Park, OH)</x:v>
      </x:c>
      <x:c r="K1901" s="33" t="str"/>
      <x:c r="L1901" s="33" t="str"/>
      <x:c r="M1901" s="44" t="str"/>
      <x:c r="N1901" s="50" t="n">
        <x:v>42</x:v>
      </x:c>
      <x:c r="O1901" s="53" t="str">
        <x:v>An upbeat, free-spirited 67-year-old grandmother was found burned to death in her home and it's up to Kelly and Yolanda to determine how the fire was started and who was responsible.</x:v>
      </x:c>
      <x:c r="P1901" s="53" t="str">
        <x:v>Wolf Entertainment unscripted true-crime series</x:v>
      </x:c>
      <x:c r="Q1901" s="17" t="str">
        <x:v>1660113</x:v>
      </x:c>
      <x:c r="R1901" s="17" t="str"/>
      <x:c r="S1901" s="17" t="str"/>
    </x:row>
    <x:row r="1902">
      <x:c r="A1902" s="43" t="n">
        <x:v>1898</x:v>
      </x:c>
      <x:c r="B1902" s="44" t="str">
        <x:v>Not Started</x:v>
      </x:c>
      <x:c r="C1902" s="45" t="n">
        <x:v>42035</x:v>
      </x:c>
      <x:c r="D1902" s="33" t="str">
        <x:v>Cold Justice</x:v>
      </x:c>
      <x:c r="E1902" s="33" t="str">
        <x:v>Crossover Adjacent</x:v>
      </x:c>
      <x:c r="F1902" s="33" t="str">
        <x:v>complete</x:v>
      </x:c>
      <x:c r="G1902" s="50" t="n">
        <x:v>3</x:v>
      </x:c>
      <x:c r="H1902" s="50" t="n">
        <x:v>4</x:v>
      </x:c>
      <x:c r="I1902" s="44" t="str">
        <x:v>03.04</x:v>
      </x:c>
      <x:c r="J1902" s="33" t="str">
        <x:v>Mother Daughter Tragedy (Fort Wayne, IN)</x:v>
      </x:c>
      <x:c r="K1902" s="33" t="str"/>
      <x:c r="L1902" s="33" t="str"/>
      <x:c r="M1902" s="44" t="str"/>
      <x:c r="N1902" s="50" t="n">
        <x:v>42</x:v>
      </x:c>
      <x:c r="O1902" s="53" t="str">
        <x:v>In 1993, a 29-year-old mother and her six-year-old daughter were found strangled to death in their home. Kelly and Yolanda head to Fort Wayne, IN, and put all of their efforts into seeking out the person responsible for this tragic and heartbreaking double murder.</x:v>
      </x:c>
      <x:c r="P1902" s="53" t="str">
        <x:v>Wolf Entertainment unscripted true-crime series</x:v>
      </x:c>
      <x:c r="Q1902" s="17" t="str">
        <x:v>1660116</x:v>
      </x:c>
      <x:c r="R1902" s="17" t="str"/>
      <x:c r="S1902" s="17" t="str"/>
    </x:row>
    <x:row r="1903">
      <x:c r="A1903" s="43" t="n">
        <x:v>1899</x:v>
      </x:c>
      <x:c r="B1903" s="44" t="str">
        <x:v>Not Started</x:v>
      </x:c>
      <x:c r="C1903" s="45" t="n">
        <x:v>42039</x:v>
      </x:c>
      <x:c r="D1903" s="33" t="str">
        <x:v>Chicago Fire</x:v>
      </x:c>
      <x:c r="E1903" s="33" t="str">
        <x:v>One Chicago</x:v>
      </x:c>
      <x:c r="F1903" s="33" t="str">
        <x:v>core</x:v>
      </x:c>
      <x:c r="G1903" s="50" t="n">
        <x:v>3</x:v>
      </x:c>
      <x:c r="H1903" s="50" t="n">
        <x:v>13</x:v>
      </x:c>
      <x:c r="I1903" s="44" t="str">
        <x:v>03.13</x:v>
      </x:c>
      <x:c r="J1903" s="33" t="str">
        <x:v>Three Bells (I)</x:v>
      </x:c>
      <x:c r="K1903" s="33" t="str">
        <x:v>Crossover</x:v>
      </x:c>
      <x:c r="L1903" s="33" t="str">
        <x:v>Three Bells</x:v>
      </x:c>
      <x:c r="M1903" s="44" t="str">
        <x:v>1/2</x:v>
      </x:c>
      <x:c r="N1903" s="50" t="n">
        <x:v>43</x:v>
      </x:c>
      <x:c r="O1903" s="53" t="str">
        <x:v>Additional clues about Shay's death emerge. Meanwhile, Severide faces an old foe; Shay's sister arrives, inspiring the firehouse members to reflect on her life; Otis' grandmother relocates; and Boden sets out to help his dying father.
The crossover continues on Chicago P.D. S02E13 A Little Devil Complex (II).</x:v>
      </x:c>
      <x:c r="P1903" s="53" t="str">
        <x:v>Core One Chicago franchise</x:v>
      </x:c>
      <x:c r="Q1903" s="17" t="str">
        <x:v>1439976</x:v>
      </x:c>
      <x:c r="R1903" s="17" t="str">
        <x:v>tt4364762</x:v>
      </x:c>
      <x:c r="S1903" s="17" t="str">
        <x:v>https://one-chicago-fbi.fandom.com/wiki/Crossovers_and_Milestones</x:v>
      </x:c>
    </x:row>
    <x:row r="1904">
      <x:c r="A1904" s="43" t="n">
        <x:v>1900</x:v>
      </x:c>
      <x:c r="B1904" s="44" t="str">
        <x:v>Not Started</x:v>
      </x:c>
      <x:c r="C1904" s="45" t="n">
        <x:v>42039</x:v>
      </x:c>
      <x:c r="D1904" s="33" t="str">
        <x:v>Law &amp; Order: Special Victims Unit</x:v>
      </x:c>
      <x:c r="E1904" s="33" t="str">
        <x:v>Law &amp; Order</x:v>
      </x:c>
      <x:c r="F1904" s="33" t="str">
        <x:v>core</x:v>
      </x:c>
      <x:c r="G1904" s="50" t="n">
        <x:v>16</x:v>
      </x:c>
      <x:c r="H1904" s="50" t="n">
        <x:v>13</x:v>
      </x:c>
      <x:c r="I1904" s="44" t="str">
        <x:v>16.13</x:v>
      </x:c>
      <x:c r="J1904" s="33" t="str">
        <x:v>Decaying Morality</x:v>
      </x:c>
      <x:c r="K1904" s="33" t="str"/>
      <x:c r="L1904" s="33" t="str"/>
      <x:c r="M1904" s="44" t="str"/>
      <x:c r="N1904" s="50" t="n">
        <x:v>43</x:v>
      </x:c>
      <x:c r="O1904" s="53" t="str">
        <x:v>Two families are left to pick up the pieces of their lives when a rape case goes terribly wrong.</x:v>
      </x:c>
      <x:c r="P1904" s="53" t="str">
        <x:v>Core Law &amp; Order franchise</x:v>
      </x:c>
      <x:c r="Q1904" s="17" t="str">
        <x:v>1718271</x:v>
      </x:c>
      <x:c r="R1904" s="17" t="str">
        <x:v>tt4328658</x:v>
      </x:c>
      <x:c r="S1904" s="17" t="str">
        <x:v>1348</x:v>
      </x:c>
    </x:row>
    <x:row r="1905">
      <x:c r="A1905" s="43" t="n">
        <x:v>1901</x:v>
      </x:c>
      <x:c r="B1905" s="44" t="str">
        <x:v>Not Started</x:v>
      </x:c>
      <x:c r="C1905" s="45" t="n">
        <x:v>42040</x:v>
      </x:c>
      <x:c r="D1905" s="33" t="str">
        <x:v>Chicago P.D.</x:v>
      </x:c>
      <x:c r="E1905" s="33" t="str">
        <x:v>One Chicago</x:v>
      </x:c>
      <x:c r="F1905" s="33" t="str">
        <x:v>core</x:v>
      </x:c>
      <x:c r="G1905" s="50" t="n">
        <x:v>2</x:v>
      </x:c>
      <x:c r="H1905" s="50" t="n">
        <x:v>13</x:v>
      </x:c>
      <x:c r="I1905" s="44" t="str">
        <x:v>02.13</x:v>
      </x:c>
      <x:c r="J1905" s="33" t="str">
        <x:v>A Little Devil Complex (II)</x:v>
      </x:c>
      <x:c r="K1905" s="33" t="str">
        <x:v>Crossover</x:v>
      </x:c>
      <x:c r="L1905" s="33" t="str">
        <x:v>Three Bells</x:v>
      </x:c>
      <x:c r="M1905" s="44" t="str">
        <x:v>2/2</x:v>
      </x:c>
      <x:c r="N1905" s="50" t="n">
        <x:v>43</x:v>
      </x:c>
      <x:c r="O1905" s="53" t="str">
        <x:v>Antonio and his sister Gabriela go to the office of Elliot Gish, the man they believe started the fire that killed Shay. Intelligence, along with patrol officers Burgess and Roman, put pressure on Gish to confess. Lindsay approaches Voight about returning to Intelligence when she realizes that the task force isn’t what she thought it would be. Desk Sgt. Platt has everyone curious why she’s being overly cheery, friendly and nice.
The crossover starts on Chicago Fire S03E13 Three Bells (I).</x:v>
      </x:c>
      <x:c r="P1905" s="53" t="str">
        <x:v>Core One Chicago franchise; crossovers with SVU/FBI</x:v>
      </x:c>
      <x:c r="Q1905" s="17" t="str">
        <x:v>1699053</x:v>
      </x:c>
      <x:c r="R1905" s="17" t="str">
        <x:v>tt4364766</x:v>
      </x:c>
      <x:c r="S1905" s="17" t="str">
        <x:v>https://one-chicago-fbi.fandom.com/wiki/Crossovers_and_Milestones</x:v>
      </x:c>
    </x:row>
    <x:row r="1906">
      <x:c r="A1906" s="43" t="n">
        <x:v>1902</x:v>
      </x:c>
      <x:c r="B1906" s="44" t="str">
        <x:v>Not Started</x:v>
      </x:c>
      <x:c r="C1906" s="45" t="n">
        <x:v>42042</x:v>
      </x:c>
      <x:c r="D1906" s="33" t="str">
        <x:v>Cold Justice</x:v>
      </x:c>
      <x:c r="E1906" s="33" t="str">
        <x:v>Crossover Adjacent</x:v>
      </x:c>
      <x:c r="F1906" s="33" t="str">
        <x:v>complete</x:v>
      </x:c>
      <x:c r="G1906" s="50" t="n">
        <x:v>3</x:v>
      </x:c>
      <x:c r="H1906" s="50" t="n">
        <x:v>5</x:v>
      </x:c>
      <x:c r="I1906" s="44" t="str">
        <x:v>03.05</x:v>
      </x:c>
      <x:c r="J1906" s="33" t="str">
        <x:v>Operator, Help (St. John's County, FL)</x:v>
      </x:c>
      <x:c r="K1906" s="33" t="str"/>
      <x:c r="L1906" s="33" t="str"/>
      <x:c r="M1906" s="44" t="str"/>
      <x:c r="N1906" s="50" t="n">
        <x:v>42</x:v>
      </x:c>
      <x:c r="O1906" s="53" t="str">
        <x:v>After a young mother places a mysterious call to the operator, her teenage daughter later finds her brutally stabbed to death in their home.</x:v>
      </x:c>
      <x:c r="P1906" s="53" t="str">
        <x:v>Wolf Entertainment unscripted true-crime series</x:v>
      </x:c>
      <x:c r="Q1906" s="17" t="str">
        <x:v>1727903</x:v>
      </x:c>
      <x:c r="R1906" s="17" t="str"/>
      <x:c r="S1906" s="17" t="str"/>
    </x:row>
    <x:row r="1907">
      <x:c r="A1907" s="43" t="n">
        <x:v>1903</x:v>
      </x:c>
      <x:c r="B1907" s="44" t="str">
        <x:v>Not Started</x:v>
      </x:c>
      <x:c r="C1907" s="45" t="n">
        <x:v>42046</x:v>
      </x:c>
      <x:c r="D1907" s="33" t="str">
        <x:v>Chicago Fire</x:v>
      </x:c>
      <x:c r="E1907" s="33" t="str">
        <x:v>One Chicago</x:v>
      </x:c>
      <x:c r="F1907" s="33" t="str">
        <x:v>core</x:v>
      </x:c>
      <x:c r="G1907" s="50" t="n">
        <x:v>3</x:v>
      </x:c>
      <x:c r="H1907" s="50" t="n">
        <x:v>14</x:v>
      </x:c>
      <x:c r="I1907" s="44" t="str">
        <x:v>03.14</x:v>
      </x:c>
      <x:c r="J1907" s="33" t="str">
        <x:v>Call It Paradise</x:v>
      </x:c>
      <x:c r="K1907" s="33" t="str"/>
      <x:c r="L1907" s="33" t="str"/>
      <x:c r="M1907" s="44" t="str"/>
      <x:c r="N1907" s="50" t="n">
        <x:v>43</x:v>
      </x:c>
      <x:c r="O1907" s="53" t="str">
        <x:v>An ice storm hits, forcing a citywide lockdown. Mills and Brett are left stranded in the elements while searching for a teen, and the firehouse members babysit a newborn. Elsewhere, Severide receives a job offer, and Chief Boden clashes with his father over his treatment.</x:v>
      </x:c>
      <x:c r="P1907" s="53" t="str">
        <x:v>Core One Chicago franchise</x:v>
      </x:c>
      <x:c r="Q1907" s="17" t="str">
        <x:v>1439977</x:v>
      </x:c>
      <x:c r="R1907" s="17" t="str">
        <x:v>tt4423192</x:v>
      </x:c>
      <x:c r="S1907" s="17" t="str"/>
    </x:row>
    <x:row r="1908">
      <x:c r="A1908" s="43" t="n">
        <x:v>1904</x:v>
      </x:c>
      <x:c r="B1908" s="44" t="str">
        <x:v>Not Started</x:v>
      </x:c>
      <x:c r="C1908" s="45" t="n">
        <x:v>42046</x:v>
      </x:c>
      <x:c r="D1908" s="33" t="str">
        <x:v>Law &amp; Order: Special Victims Unit</x:v>
      </x:c>
      <x:c r="E1908" s="33" t="str">
        <x:v>Law &amp; Order</x:v>
      </x:c>
      <x:c r="F1908" s="33" t="str">
        <x:v>core</x:v>
      </x:c>
      <x:c r="G1908" s="50" t="n">
        <x:v>16</x:v>
      </x:c>
      <x:c r="H1908" s="50" t="n">
        <x:v>14</x:v>
      </x:c>
      <x:c r="I1908" s="44" t="str">
        <x:v>16.14</x:v>
      </x:c>
      <x:c r="J1908" s="33" t="str">
        <x:v>Intimidation Game</x:v>
      </x:c>
      <x:c r="K1908" s="33" t="str"/>
      <x:c r="L1908" s="33" t="str"/>
      <x:c r="M1908" s="44" t="str"/>
      <x:c r="N1908" s="50" t="n">
        <x:v>43</x:v>
      </x:c>
      <x:c r="O1908" s="53" t="str">
        <x:v>A female videogame developer is harassed and threatened by a group of misogynistic cyber terrorists.</x:v>
      </x:c>
      <x:c r="P1908" s="53" t="str">
        <x:v>Core Law &amp; Order franchise</x:v>
      </x:c>
      <x:c r="Q1908" s="17" t="str">
        <x:v>1731936</x:v>
      </x:c>
      <x:c r="R1908" s="17" t="str">
        <x:v>tt4419540</x:v>
      </x:c>
      <x:c r="S1908" s="17" t="str">
        <x:v>1349</x:v>
      </x:c>
    </x:row>
    <x:row r="1909">
      <x:c r="A1909" s="43" t="n">
        <x:v>1905</x:v>
      </x:c>
      <x:c r="B1909" s="44" t="str">
        <x:v>Not Started</x:v>
      </x:c>
      <x:c r="C1909" s="45" t="n">
        <x:v>42047</x:v>
      </x:c>
      <x:c r="D1909" s="33" t="str">
        <x:v>Chicago P.D.</x:v>
      </x:c>
      <x:c r="E1909" s="33" t="str">
        <x:v>One Chicago</x:v>
      </x:c>
      <x:c r="F1909" s="33" t="str">
        <x:v>core</x:v>
      </x:c>
      <x:c r="G1909" s="50" t="n">
        <x:v>2</x:v>
      </x:c>
      <x:c r="H1909" s="50" t="n">
        <x:v>14</x:v>
      </x:c>
      <x:c r="I1909" s="44" t="str">
        <x:v>02.14</x:v>
      </x:c>
      <x:c r="J1909" s="33" t="str">
        <x:v>Erin's Mom</x:v>
      </x:c>
      <x:c r="K1909" s="33" t="str"/>
      <x:c r="L1909" s="33" t="str"/>
      <x:c r="M1909" s="44" t="str"/>
      <x:c r="N1909" s="50" t="n">
        <x:v>43</x:v>
      </x:c>
      <x:c r="O1909" s="53" t="str">
        <x:v>Bunny comes to Lindsay concerned about a suspicious repeat customer at her husband’s rental company. This lead brings Intelligence into a case which robbery-homicide has been working for months.</x:v>
      </x:c>
      <x:c r="P1909" s="53" t="str">
        <x:v>Core One Chicago franchise; crossovers with SVU/FBI</x:v>
      </x:c>
      <x:c r="Q1909" s="17" t="str">
        <x:v>1699054</x:v>
      </x:c>
      <x:c r="R1909" s="17" t="str">
        <x:v>tt4431048</x:v>
      </x:c>
      <x:c r="S1909" s="17" t="str"/>
    </x:row>
    <x:row r="1910">
      <x:c r="A1910" s="43" t="n">
        <x:v>1906</x:v>
      </x:c>
      <x:c r="B1910" s="44" t="str">
        <x:v>Not Started</x:v>
      </x:c>
      <x:c r="C1910" s="45" t="n">
        <x:v>42053</x:v>
      </x:c>
      <x:c r="D1910" s="33" t="str">
        <x:v>Chicago Fire</x:v>
      </x:c>
      <x:c r="E1910" s="33" t="str">
        <x:v>One Chicago</x:v>
      </x:c>
      <x:c r="F1910" s="33" t="str">
        <x:v>core</x:v>
      </x:c>
      <x:c r="G1910" s="50" t="n">
        <x:v>3</x:v>
      </x:c>
      <x:c r="H1910" s="50" t="n">
        <x:v>15</x:v>
      </x:c>
      <x:c r="I1910" s="44" t="str">
        <x:v>03.15</x:v>
      </x:c>
      <x:c r="J1910" s="33" t="str">
        <x:v>Headlong Toward Disaster</x:v>
      </x:c>
      <x:c r="K1910" s="33" t="str"/>
      <x:c r="L1910" s="33" t="str"/>
      <x:c r="M1910" s="44" t="str"/>
      <x:c r="N1910" s="50" t="n">
        <x:v>43</x:v>
      </x:c>
      <x:c r="O1910" s="53" t="str">
        <x:v>A temporary chief fills in for Boden, who is forced to take some time off for personal reasons.</x:v>
      </x:c>
      <x:c r="P1910" s="53" t="str">
        <x:v>Core One Chicago franchise</x:v>
      </x:c>
      <x:c r="Q1910" s="17" t="str">
        <x:v>1439978</x:v>
      </x:c>
      <x:c r="R1910" s="17" t="str">
        <x:v>tt4423198</x:v>
      </x:c>
      <x:c r="S1910" s="17" t="str"/>
    </x:row>
    <x:row r="1911">
      <x:c r="A1911" s="43" t="n">
        <x:v>1907</x:v>
      </x:c>
      <x:c r="B1911" s="44" t="str">
        <x:v>Not Started</x:v>
      </x:c>
      <x:c r="C1911" s="45" t="n">
        <x:v>42053</x:v>
      </x:c>
      <x:c r="D1911" s="33" t="str">
        <x:v>Law &amp; Order: Special Victims Unit</x:v>
      </x:c>
      <x:c r="E1911" s="33" t="str">
        <x:v>Law &amp; Order</x:v>
      </x:c>
      <x:c r="F1911" s="33" t="str">
        <x:v>core</x:v>
      </x:c>
      <x:c r="G1911" s="50" t="n">
        <x:v>16</x:v>
      </x:c>
      <x:c r="H1911" s="50" t="n">
        <x:v>15</x:v>
      </x:c>
      <x:c r="I1911" s="44" t="str">
        <x:v>16.15</x:v>
      </x:c>
      <x:c r="J1911" s="33" t="str">
        <x:v>Undercover Mother</x:v>
      </x:c>
      <x:c r="K1911" s="33" t="str"/>
      <x:c r="L1911" s="33" t="str"/>
      <x:c r="M1911" s="44" t="str"/>
      <x:c r="N1911" s="50" t="n">
        <x:v>43</x:v>
      </x:c>
      <x:c r="O1911" s="53" t="str">
        <x:v>A mother goes undercover as a madam to find her daughter. Further investigation leads Benson to find out who Noah's father is.</x:v>
      </x:c>
      <x:c r="P1911" s="53" t="str">
        <x:v>Core Law &amp; Order franchise</x:v>
      </x:c>
      <x:c r="Q1911" s="17" t="str">
        <x:v>1738413</x:v>
      </x:c>
      <x:c r="R1911" s="17" t="str">
        <x:v>tt4412018</x:v>
      </x:c>
      <x:c r="S1911" s="17" t="str">
        <x:v>1350</x:v>
      </x:c>
    </x:row>
    <x:row r="1912">
      <x:c r="A1912" s="43" t="n">
        <x:v>1908</x:v>
      </x:c>
      <x:c r="B1912" s="44" t="str">
        <x:v>Not Started</x:v>
      </x:c>
      <x:c r="C1912" s="45" t="n">
        <x:v>42054</x:v>
      </x:c>
      <x:c r="D1912" s="33" t="str">
        <x:v>Chicago P.D.</x:v>
      </x:c>
      <x:c r="E1912" s="33" t="str">
        <x:v>One Chicago</x:v>
      </x:c>
      <x:c r="F1912" s="33" t="str">
        <x:v>core</x:v>
      </x:c>
      <x:c r="G1912" s="50" t="n">
        <x:v>2</x:v>
      </x:c>
      <x:c r="H1912" s="50" t="n">
        <x:v>15</x:v>
      </x:c>
      <x:c r="I1912" s="44" t="str">
        <x:v>02.15</x:v>
      </x:c>
      <x:c r="J1912" s="33" t="str">
        <x:v>What Do You Do</x:v>
      </x:c>
      <x:c r="K1912" s="33" t="str"/>
      <x:c r="L1912" s="33" t="str"/>
      <x:c r="M1912" s="44" t="str"/>
      <x:c r="N1912" s="50" t="n">
        <x:v>42</x:v>
      </x:c>
      <x:c r="O1912" s="53" t="str">
        <x:v>Burgess begins to regret her recent decision to stay on the beat. While at a convenience store she sees some suspicious activity and pursues it without calling in for backup. It's a slow day in Intelligence as they spend their time receiving taser certification.</x:v>
      </x:c>
      <x:c r="P1912" s="53" t="str">
        <x:v>Core One Chicago franchise; crossovers with SVU/FBI</x:v>
      </x:c>
      <x:c r="Q1912" s="17" t="str">
        <x:v>1718016</x:v>
      </x:c>
      <x:c r="R1912" s="17" t="str">
        <x:v>tt4438980</x:v>
      </x:c>
      <x:c r="S1912" s="17" t="str"/>
    </x:row>
    <x:row r="1913">
      <x:c r="A1913" s="43" t="n">
        <x:v>1909</x:v>
      </x:c>
      <x:c r="B1913" s="44" t="str">
        <x:v>Not Started</x:v>
      </x:c>
      <x:c r="C1913" s="45" t="n">
        <x:v>42056</x:v>
      </x:c>
      <x:c r="D1913" s="33" t="str">
        <x:v>Cold Justice</x:v>
      </x:c>
      <x:c r="E1913" s="33" t="str">
        <x:v>Crossover Adjacent</x:v>
      </x:c>
      <x:c r="F1913" s="33" t="str">
        <x:v>complete</x:v>
      </x:c>
      <x:c r="G1913" s="50" t="n">
        <x:v>3</x:v>
      </x:c>
      <x:c r="H1913" s="50" t="n">
        <x:v>6</x:v>
      </x:c>
      <x:c r="I1913" s="44" t="str">
        <x:v>03.06</x:v>
      </x:c>
      <x:c r="J1913" s="33" t="str">
        <x:v>The Record Keeper (Bridgeport, WV)</x:v>
      </x:c>
      <x:c r="K1913" s="33" t="str"/>
      <x:c r="L1913" s="33" t="str"/>
      <x:c r="M1913" s="44" t="str"/>
      <x:c r="N1913" s="50" t="n">
        <x:v>42</x:v>
      </x:c>
      <x:c r="O1913" s="53" t="str">
        <x:v>The diary of an older man who was stabbed to death in Bridgeport, WV, could help Kelly and Yolanda solve his murder.</x:v>
      </x:c>
      <x:c r="P1913" s="53" t="str">
        <x:v>Wolf Entertainment unscripted true-crime series</x:v>
      </x:c>
      <x:c r="Q1913" s="17" t="str">
        <x:v>1727906</x:v>
      </x:c>
      <x:c r="R1913" s="17" t="str">
        <x:v>tt4473852</x:v>
      </x:c>
      <x:c r="S1913" s="17" t="str"/>
    </x:row>
    <x:row r="1914">
      <x:c r="A1914" s="43" t="n">
        <x:v>1910</x:v>
      </x:c>
      <x:c r="B1914" s="44" t="str">
        <x:v>Not Started</x:v>
      </x:c>
      <x:c r="C1914" s="45" t="n">
        <x:v>42060</x:v>
      </x:c>
      <x:c r="D1914" s="33" t="str">
        <x:v>Law &amp; Order: Special Victims Unit</x:v>
      </x:c>
      <x:c r="E1914" s="33" t="str">
        <x:v>Law &amp; Order</x:v>
      </x:c>
      <x:c r="F1914" s="33" t="str">
        <x:v>core</x:v>
      </x:c>
      <x:c r="G1914" s="50" t="n">
        <x:v>16</x:v>
      </x:c>
      <x:c r="H1914" s="50" t="n">
        <x:v>16</x:v>
      </x:c>
      <x:c r="I1914" s="44" t="str">
        <x:v>16.16</x:v>
      </x:c>
      <x:c r="J1914" s="33" t="str">
        <x:v>December Solstice</x:v>
      </x:c>
      <x:c r="K1914" s="33" t="str"/>
      <x:c r="L1914" s="33" t="str"/>
      <x:c r="M1914" s="44" t="str"/>
      <x:c r="N1914" s="50" t="n">
        <x:v>43</x:v>
      </x:c>
      <x:c r="O1914" s="53" t="str">
        <x:v>When Walter's daughters accuse their stepmother of sexually abusing their ailing father, a furious legal battle ends in tragedy.</x:v>
      </x:c>
      <x:c r="P1914" s="53" t="str">
        <x:v>Core Law &amp; Order franchise</x:v>
      </x:c>
      <x:c r="Q1914" s="17" t="str">
        <x:v>1753336</x:v>
      </x:c>
      <x:c r="R1914" s="17" t="str">
        <x:v>tt4432486</x:v>
      </x:c>
      <x:c r="S1914" s="17" t="str">
        <x:v>1351</x:v>
      </x:c>
    </x:row>
    <x:row r="1915">
      <x:c r="A1915" s="43" t="n">
        <x:v>1911</x:v>
      </x:c>
      <x:c r="B1915" s="44" t="str">
        <x:v>Not Started</x:v>
      </x:c>
      <x:c r="C1915" s="45" t="n">
        <x:v>42061</x:v>
      </x:c>
      <x:c r="D1915" s="33" t="str">
        <x:v>Chicago P.D.</x:v>
      </x:c>
      <x:c r="E1915" s="33" t="str">
        <x:v>One Chicago</x:v>
      </x:c>
      <x:c r="F1915" s="33" t="str">
        <x:v>core</x:v>
      </x:c>
      <x:c r="G1915" s="50" t="n">
        <x:v>2</x:v>
      </x:c>
      <x:c r="H1915" s="50" t="n">
        <x:v>16</x:v>
      </x:c>
      <x:c r="I1915" s="44" t="str">
        <x:v>02.16</x:v>
      </x:c>
      <x:c r="J1915" s="33" t="str">
        <x:v>What Puts You on That Ledge</x:v>
      </x:c>
      <x:c r="K1915" s="33" t="str"/>
      <x:c r="L1915" s="33" t="str"/>
      <x:c r="M1915" s="44" t="str"/>
      <x:c r="N1915" s="50" t="n">
        <x:v>43</x:v>
      </x:c>
      <x:c r="O1915" s="53" t="str">
        <x:v>Antonio heads undercover with a dangerous robbery crew after a narcotics officer goes missing.</x:v>
      </x:c>
      <x:c r="P1915" s="53" t="str">
        <x:v>Core One Chicago franchise; crossovers with SVU/FBI</x:v>
      </x:c>
      <x:c r="Q1915" s="17" t="str">
        <x:v>1718017</x:v>
      </x:c>
      <x:c r="R1915" s="17" t="str">
        <x:v>tt4438986</x:v>
      </x:c>
      <x:c r="S1915" s="17" t="str"/>
    </x:row>
    <x:row r="1916">
      <x:c r="A1916" s="43" t="n">
        <x:v>1912</x:v>
      </x:c>
      <x:c r="B1916" s="44" t="str">
        <x:v>Not Started</x:v>
      </x:c>
      <x:c r="C1916" s="45" t="n">
        <x:v>42063</x:v>
      </x:c>
      <x:c r="D1916" s="33" t="str">
        <x:v>Cold Justice</x:v>
      </x:c>
      <x:c r="E1916" s="33" t="str">
        <x:v>Crossover Adjacent</x:v>
      </x:c>
      <x:c r="F1916" s="33" t="str">
        <x:v>complete</x:v>
      </x:c>
      <x:c r="G1916" s="50" t="n">
        <x:v>3</x:v>
      </x:c>
      <x:c r="H1916" s="50" t="n">
        <x:v>7</x:v>
      </x:c>
      <x:c r="I1916" s="44" t="str">
        <x:v>03.07</x:v>
      </x:c>
      <x:c r="J1916" s="33" t="str">
        <x:v>Little League Dad (Arlington, TX)</x:v>
      </x:c>
      <x:c r="K1916" s="33" t="str"/>
      <x:c r="L1916" s="33" t="str"/>
      <x:c r="M1916" s="44" t="str"/>
      <x:c r="N1916" s="50" t="n">
        <x:v>42</x:v>
      </x:c>
      <x:c r="O1916" s="53" t="str">
        <x:v>When a Little League coach from Arlington, TX, is bludgeoned to death in his own bed, Kelly and Yolanda must figure out who would possibly want to kill such a beloved figure in the community.</x:v>
      </x:c>
      <x:c r="P1916" s="53" t="str">
        <x:v>Wolf Entertainment unscripted true-crime series</x:v>
      </x:c>
      <x:c r="Q1916" s="17" t="str">
        <x:v>1727908</x:v>
      </x:c>
      <x:c r="R1916" s="17" t="str"/>
      <x:c r="S1916" s="17" t="str"/>
    </x:row>
    <x:row r="1917">
      <x:c r="A1917" s="43" t="n">
        <x:v>1913</x:v>
      </x:c>
      <x:c r="B1917" s="44" t="str">
        <x:v>Not Started</x:v>
      </x:c>
      <x:c r="C1917" s="45" t="n">
        <x:v>42067</x:v>
      </x:c>
      <x:c r="D1917" s="33" t="str">
        <x:v>Chicago Fire</x:v>
      </x:c>
      <x:c r="E1917" s="33" t="str">
        <x:v>One Chicago</x:v>
      </x:c>
      <x:c r="F1917" s="33" t="str">
        <x:v>core</x:v>
      </x:c>
      <x:c r="G1917" s="50" t="n">
        <x:v>3</x:v>
      </x:c>
      <x:c r="H1917" s="50" t="n">
        <x:v>16</x:v>
      </x:c>
      <x:c r="I1917" s="44" t="str">
        <x:v>03.16</x:v>
      </x:c>
      <x:c r="J1917" s="33" t="str">
        <x:v>Red Rag the Bull</x:v>
      </x:c>
      <x:c r="K1917" s="33" t="str"/>
      <x:c r="L1917" s="33" t="str"/>
      <x:c r="M1917" s="44" t="str"/>
      <x:c r="N1917" s="50" t="n">
        <x:v>42</x:v>
      </x:c>
      <x:c r="O1917" s="53" t="str">
        <x:v>The interim chief makes a tactical error during an apartment fire, stirring up tensions and putting careers in jeopardy. Meanwhile, Mouch discovers that his donation to a fertility clinic has resulted in a child, and Dawson goes out on a double date with Brett and Cruz.</x:v>
      </x:c>
      <x:c r="P1917" s="53" t="str">
        <x:v>Core One Chicago franchise</x:v>
      </x:c>
      <x:c r="Q1917" s="17" t="str">
        <x:v>1753184</x:v>
      </x:c>
      <x:c r="R1917" s="17" t="str">
        <x:v>tt4460454</x:v>
      </x:c>
      <x:c r="S1917" s="17" t="str"/>
    </x:row>
    <x:row r="1918">
      <x:c r="A1918" s="43" t="n">
        <x:v>1914</x:v>
      </x:c>
      <x:c r="B1918" s="44" t="str">
        <x:v>Not Started</x:v>
      </x:c>
      <x:c r="C1918" s="45" t="n">
        <x:v>42070</x:v>
      </x:c>
      <x:c r="D1918" s="33" t="str">
        <x:v>Cold Justice</x:v>
      </x:c>
      <x:c r="E1918" s="33" t="str">
        <x:v>Crossover Adjacent</x:v>
      </x:c>
      <x:c r="F1918" s="33" t="str">
        <x:v>complete</x:v>
      </x:c>
      <x:c r="G1918" s="50" t="n">
        <x:v>3</x:v>
      </x:c>
      <x:c r="H1918" s="50" t="n">
        <x:v>8</x:v>
      </x:c>
      <x:c r="I1918" s="44" t="str">
        <x:v>03.08</x:v>
      </x:c>
      <x:c r="J1918" s="33" t="str">
        <x:v>American Dream (Fort Myers, FL)</x:v>
      </x:c>
      <x:c r="K1918" s="33" t="str"/>
      <x:c r="L1918" s="33" t="str"/>
      <x:c r="M1918" s="44" t="str"/>
      <x:c r="N1918" s="50" t="n">
        <x:v>42</x:v>
      </x:c>
      <x:c r="O1918" s="53" t="str">
        <x:v>When a family with dreams of a better life moves from India to Florida, their lives are torn apart after the young mother abruptly disappears without a trace. In this episode, Kelly and Yolanda head to Fort Myers, FL, to face the challenge of navigating through different languages and cultural traditions as they try to figure out what really happened to her.</x:v>
      </x:c>
      <x:c r="P1918" s="53" t="str">
        <x:v>Wolf Entertainment unscripted true-crime series</x:v>
      </x:c>
      <x:c r="Q1918" s="17" t="str">
        <x:v>1757590</x:v>
      </x:c>
      <x:c r="R1918" s="17" t="str"/>
      <x:c r="S1918" s="17" t="str"/>
    </x:row>
    <x:row r="1919">
      <x:c r="A1919" s="43" t="n">
        <x:v>1915</x:v>
      </x:c>
      <x:c r="B1919" s="44" t="str">
        <x:v>Not Started</x:v>
      </x:c>
      <x:c r="C1919" s="45" t="n">
        <x:v>42074</x:v>
      </x:c>
      <x:c r="D1919" s="33" t="str">
        <x:v>Chicago Fire</x:v>
      </x:c>
      <x:c r="E1919" s="33" t="str">
        <x:v>One Chicago</x:v>
      </x:c>
      <x:c r="F1919" s="33" t="str">
        <x:v>core</x:v>
      </x:c>
      <x:c r="G1919" s="50" t="n">
        <x:v>3</x:v>
      </x:c>
      <x:c r="H1919" s="50" t="n">
        <x:v>17</x:v>
      </x:c>
      <x:c r="I1919" s="44" t="str">
        <x:v>03.17</x:v>
      </x:c>
      <x:c r="J1919" s="33" t="str">
        <x:v>Forgive You Anything</x:v>
      </x:c>
      <x:c r="K1919" s="33" t="str"/>
      <x:c r="L1919" s="33" t="str"/>
      <x:c r="M1919" s="44" t="str"/>
      <x:c r="N1919" s="50" t="n">
        <x:v>43</x:v>
      </x:c>
      <x:c r="O1919" s="53" t="str">
        <x:v>Severide lobbies Chief Boden for a favor for Scott Rice, an old friend needing a second chance with the CFD, but Casey and Otis have their doubts. Elsewhere, Mills works to regain his active squad status while Brett and Dawson decide they need a big night out.</x:v>
      </x:c>
      <x:c r="P1919" s="53" t="str">
        <x:v>Core One Chicago franchise</x:v>
      </x:c>
      <x:c r="Q1919" s="17" t="str">
        <x:v>1761593</x:v>
      </x:c>
      <x:c r="R1919" s="17" t="str">
        <x:v>tt4498814</x:v>
      </x:c>
      <x:c r="S1919" s="17" t="str"/>
    </x:row>
    <x:row r="1920">
      <x:c r="A1920" s="43" t="n">
        <x:v>1916</x:v>
      </x:c>
      <x:c r="B1920" s="44" t="str">
        <x:v>Not Started</x:v>
      </x:c>
      <x:c r="C1920" s="45" t="n">
        <x:v>42081</x:v>
      </x:c>
      <x:c r="D1920" s="33" t="str">
        <x:v>Chicago Fire</x:v>
      </x:c>
      <x:c r="E1920" s="33" t="str">
        <x:v>One Chicago</x:v>
      </x:c>
      <x:c r="F1920" s="33" t="str">
        <x:v>core</x:v>
      </x:c>
      <x:c r="G1920" s="50" t="n">
        <x:v>3</x:v>
      </x:c>
      <x:c r="H1920" s="50" t="n">
        <x:v>18</x:v>
      </x:c>
      <x:c r="I1920" s="44" t="str">
        <x:v>03.18</x:v>
      </x:c>
      <x:c r="J1920" s="33" t="str">
        <x:v>Forgiving, Relentless, Unconditional</x:v>
      </x:c>
      <x:c r="K1920" s="33" t="str"/>
      <x:c r="L1920" s="33" t="str"/>
      <x:c r="M1920" s="44" t="str"/>
      <x:c r="N1920" s="50" t="n">
        <x:v>42</x:v>
      </x:c>
      <x:c r="O1920" s="53" t="str">
        <x:v>Herrmann tries to rescue a toddler from a structure fire. Mills discovers unexpected news.</x:v>
      </x:c>
      <x:c r="P1920" s="53" t="str">
        <x:v>Core One Chicago franchise</x:v>
      </x:c>
      <x:c r="Q1920" s="17" t="str">
        <x:v>1761599</x:v>
      </x:c>
      <x:c r="R1920" s="17" t="str">
        <x:v>tt4498820</x:v>
      </x:c>
      <x:c r="S1920" s="17" t="str"/>
    </x:row>
    <x:row r="1921">
      <x:c r="A1921" s="43" t="n">
        <x:v>1917</x:v>
      </x:c>
      <x:c r="B1921" s="44" t="str">
        <x:v>Not Started</x:v>
      </x:c>
      <x:c r="C1921" s="45" t="n">
        <x:v>42088</x:v>
      </x:c>
      <x:c r="D1921" s="33" t="str">
        <x:v>Law &amp; Order: Special Victims Unit</x:v>
      </x:c>
      <x:c r="E1921" s="33" t="str">
        <x:v>Law &amp; Order</x:v>
      </x:c>
      <x:c r="F1921" s="33" t="str">
        <x:v>core</x:v>
      </x:c>
      <x:c r="G1921" s="50" t="n">
        <x:v>16</x:v>
      </x:c>
      <x:c r="H1921" s="50" t="n">
        <x:v>17</x:v>
      </x:c>
      <x:c r="I1921" s="44" t="str">
        <x:v>16.17</x:v>
      </x:c>
      <x:c r="J1921" s="33" t="str">
        <x:v>Parole Violations</x:v>
      </x:c>
      <x:c r="K1921" s="33" t="str"/>
      <x:c r="L1921" s="33" t="str"/>
      <x:c r="M1921" s="44" t="str"/>
      <x:c r="N1921" s="50" t="n">
        <x:v>43</x:v>
      </x:c>
      <x:c r="O1921" s="53" t="str">
        <x:v>Carisi's future brother-in-law makes a rape accusation against his female parole officer, forcing Carisi to investigate whether his sister's fiancé is telling the truth or allowing his old bad habits to resurface.</x:v>
      </x:c>
      <x:c r="P1921" s="53" t="str">
        <x:v>Core Law &amp; Order franchise</x:v>
      </x:c>
      <x:c r="Q1921" s="17" t="str">
        <x:v>1773631</x:v>
      </x:c>
      <x:c r="R1921" s="17" t="str">
        <x:v>tt4507510</x:v>
      </x:c>
      <x:c r="S1921" s="17" t="str">
        <x:v>1352</x:v>
      </x:c>
    </x:row>
    <x:row r="1922">
      <x:c r="A1922" s="43" t="n">
        <x:v>1918</x:v>
      </x:c>
      <x:c r="B1922" s="44" t="str">
        <x:v>Not Started</x:v>
      </x:c>
      <x:c r="C1922" s="45" t="n">
        <x:v>42089</x:v>
      </x:c>
      <x:c r="D1922" s="33" t="str">
        <x:v>Chicago P.D.</x:v>
      </x:c>
      <x:c r="E1922" s="33" t="str">
        <x:v>One Chicago</x:v>
      </x:c>
      <x:c r="F1922" s="33" t="str">
        <x:v>core</x:v>
      </x:c>
      <x:c r="G1922" s="50" t="n">
        <x:v>2</x:v>
      </x:c>
      <x:c r="H1922" s="50" t="n">
        <x:v>17</x:v>
      </x:c>
      <x:c r="I1922" s="44" t="str">
        <x:v>02.17</x:v>
      </x:c>
      <x:c r="J1922" s="33" t="str">
        <x:v>Say Her Real Name</x:v>
      </x:c>
      <x:c r="K1922" s="33" t="str"/>
      <x:c r="L1922" s="33" t="str"/>
      <x:c r="M1922" s="44" t="str"/>
      <x:c r="N1922" s="50" t="n">
        <x:v>50</x:v>
      </x:c>
      <x:c r="O1922" s="53" t="str">
        <x:v>When a murder implicates a diplomat, the FBI stands between Intelligence and justice.</x:v>
      </x:c>
      <x:c r="P1922" s="53" t="str">
        <x:v>Core One Chicago franchise; crossovers with SVU/FBI</x:v>
      </x:c>
      <x:c r="Q1922" s="17" t="str">
        <x:v>1763914</x:v>
      </x:c>
      <x:c r="R1922" s="17" t="str">
        <x:v>tt4465436</x:v>
      </x:c>
      <x:c r="S1922" s="17" t="str"/>
    </x:row>
    <x:row r="1923">
      <x:c r="A1923" s="43" t="n">
        <x:v>1919</x:v>
      </x:c>
      <x:c r="B1923" s="44" t="str">
        <x:v>Not Started</x:v>
      </x:c>
      <x:c r="C1923" s="45" t="n">
        <x:v>42095</x:v>
      </x:c>
      <x:c r="D1923" s="33" t="str">
        <x:v>Law &amp; Order: Special Victims Unit</x:v>
      </x:c>
      <x:c r="E1923" s="33" t="str">
        <x:v>Law &amp; Order</x:v>
      </x:c>
      <x:c r="F1923" s="33" t="str">
        <x:v>core</x:v>
      </x:c>
      <x:c r="G1923" s="50" t="n">
        <x:v>16</x:v>
      </x:c>
      <x:c r="H1923" s="50" t="n">
        <x:v>18</x:v>
      </x:c>
      <x:c r="I1923" s="44" t="str">
        <x:v>16.18</x:v>
      </x:c>
      <x:c r="J1923" s="33" t="str">
        <x:v>Devastating Story</x:v>
      </x:c>
      <x:c r="K1923" s="33" t="str"/>
      <x:c r="L1923" s="33" t="str"/>
      <x:c r="M1923" s="44" t="str"/>
      <x:c r="N1923" s="50" t="n">
        <x:v>43</x:v>
      </x:c>
      <x:c r="O1923" s="53" t="str">
        <x:v>SVU investigates after a news story reveals that an unidentified Hudson University coed was gang raped by a four fraternity brothers. But once the accuser finally steps forward and tells her story, everything begins to unravel.</x:v>
      </x:c>
      <x:c r="P1923" s="53" t="str">
        <x:v>Core Law &amp; Order franchise</x:v>
      </x:c>
      <x:c r="Q1923" s="17" t="str">
        <x:v>1783012</x:v>
      </x:c>
      <x:c r="R1923" s="17" t="str">
        <x:v>tt4529800</x:v>
      </x:c>
      <x:c r="S1923" s="17" t="str">
        <x:v>1353</x:v>
      </x:c>
    </x:row>
    <x:row r="1924">
      <x:c r="A1924" s="43" t="n">
        <x:v>1920</x:v>
      </x:c>
      <x:c r="B1924" s="44" t="str">
        <x:v>Not Started</x:v>
      </x:c>
      <x:c r="C1924" s="45" t="n">
        <x:v>42096</x:v>
      </x:c>
      <x:c r="D1924" s="33" t="str">
        <x:v>Chicago P.D.</x:v>
      </x:c>
      <x:c r="E1924" s="33" t="str">
        <x:v>One Chicago</x:v>
      </x:c>
      <x:c r="F1924" s="33" t="str">
        <x:v>core</x:v>
      </x:c>
      <x:c r="G1924" s="50" t="n">
        <x:v>2</x:v>
      </x:c>
      <x:c r="H1924" s="50" t="n">
        <x:v>18</x:v>
      </x:c>
      <x:c r="I1924" s="44" t="str">
        <x:v>02.18</x:v>
      </x:c>
      <x:c r="J1924" s="33" t="str">
        <x:v>Get Back to Even</x:v>
      </x:c>
      <x:c r="K1924" s="33" t="str"/>
      <x:c r="L1924" s="33" t="str"/>
      <x:c r="M1924" s="44" t="str"/>
      <x:c r="N1924" s="50" t="n">
        <x:v>50</x:v>
      </x:c>
      <x:c r="O1924" s="53" t="str">
        <x:v>When Voight's card ends up in the hands of a murder suspect, he aims to protect the man at any cost.</x:v>
      </x:c>
      <x:c r="P1924" s="53" t="str">
        <x:v>Core One Chicago franchise; crossovers with SVU/FBI</x:v>
      </x:c>
      <x:c r="Q1924" s="17" t="str">
        <x:v>1783629</x:v>
      </x:c>
      <x:c r="R1924" s="17" t="str">
        <x:v>tt4529226</x:v>
      </x:c>
      <x:c r="S1924" s="17" t="str"/>
    </x:row>
    <x:row r="1925">
      <x:c r="A1925" s="43" t="n">
        <x:v>1921</x:v>
      </x:c>
      <x:c r="B1925" s="44" t="str">
        <x:v>Not Started</x:v>
      </x:c>
      <x:c r="C1925" s="45" t="n">
        <x:v>42102</x:v>
      </x:c>
      <x:c r="D1925" s="33" t="str">
        <x:v>Chicago Fire</x:v>
      </x:c>
      <x:c r="E1925" s="33" t="str">
        <x:v>One Chicago</x:v>
      </x:c>
      <x:c r="F1925" s="33" t="str">
        <x:v>core</x:v>
      </x:c>
      <x:c r="G1925" s="50" t="n">
        <x:v>3</x:v>
      </x:c>
      <x:c r="H1925" s="50" t="n">
        <x:v>19</x:v>
      </x:c>
      <x:c r="I1925" s="44" t="str">
        <x:v>03.19</x:v>
      </x:c>
      <x:c r="J1925" s="33" t="str">
        <x:v>I Am the Apocalypse</x:v>
      </x:c>
      <x:c r="K1925" s="33" t="str">
        <x:v>Backdoor pilot</x:v>
      </x:c>
      <x:c r="L1925" s="33" t="str">
        <x:v>Chicago Med launch</x:v>
      </x:c>
      <x:c r="M1925" s="44" t="str"/>
      <x:c r="N1925" s="50" t="n">
        <x:v>41</x:v>
      </x:c>
      <x:c r="O1925" s="53" t="str">
        <x:v>The Chicago fire team works seamlessly with Chicago Med personnel to help aid victims of a deadly gas leak, but things quickly take a turn for the worse when the hospital is suddenly forced into quarantine.</x:v>
      </x:c>
      <x:c r="P1925" s="53" t="str">
        <x:v>Core One Chicago franchise</x:v>
      </x:c>
      <x:c r="Q1925" s="17" t="str">
        <x:v>1761603</x:v>
      </x:c>
      <x:c r="R1925" s="17" t="str">
        <x:v>tt4550012</x:v>
      </x:c>
      <x:c r="S1925" s="17" t="str">
        <x:v>https://one-chicago-fbi.fandom.com/wiki/Crossovers_and_Milestones</x:v>
      </x:c>
    </x:row>
    <x:row r="1926">
      <x:c r="A1926" s="43" t="n">
        <x:v>1922</x:v>
      </x:c>
      <x:c r="B1926" s="44" t="str">
        <x:v>Not Started</x:v>
      </x:c>
      <x:c r="C1926" s="45" t="n">
        <x:v>42102</x:v>
      </x:c>
      <x:c r="D1926" s="33" t="str">
        <x:v>Law &amp; Order: Special Victims Unit</x:v>
      </x:c>
      <x:c r="E1926" s="33" t="str">
        <x:v>Law &amp; Order</x:v>
      </x:c>
      <x:c r="F1926" s="33" t="str">
        <x:v>core</x:v>
      </x:c>
      <x:c r="G1926" s="50" t="n">
        <x:v>16</x:v>
      </x:c>
      <x:c r="H1926" s="50" t="n">
        <x:v>19</x:v>
      </x:c>
      <x:c r="I1926" s="44" t="str">
        <x:v>16.19</x:v>
      </x:c>
      <x:c r="J1926" s="33" t="str">
        <x:v>Granting Immunity</x:v>
      </x:c>
      <x:c r="K1926" s="33" t="str"/>
      <x:c r="L1926" s="33" t="str"/>
      <x:c r="M1926" s="44" t="str"/>
      <x:c r="N1926" s="50" t="n">
        <x:v>43</x:v>
      </x:c>
      <x:c r="O1926" s="53" t="str">
        <x:v>A measles outbreak delays arrests in a case involving pornographic photos taken by teens at a party. Meanwhile, Benson discovers that some kids' medical records may have been falsified after Noah gets measles; Amaro leans upsetting news about his son.</x:v>
      </x:c>
      <x:c r="P1926" s="53" t="str">
        <x:v>Core Law &amp; Order franchise</x:v>
      </x:c>
      <x:c r="Q1926" s="17" t="str">
        <x:v>1797551</x:v>
      </x:c>
      <x:c r="R1926" s="17" t="str">
        <x:v>tt4540826</x:v>
      </x:c>
      <x:c r="S1926" s="17" t="str">
        <x:v>1354</x:v>
      </x:c>
    </x:row>
    <x:row r="1927">
      <x:c r="A1927" s="43" t="n">
        <x:v>1923</x:v>
      </x:c>
      <x:c r="B1927" s="44" t="str">
        <x:v>Not Started</x:v>
      </x:c>
      <x:c r="C1927" s="45" t="n">
        <x:v>42103</x:v>
      </x:c>
      <x:c r="D1927" s="33" t="str">
        <x:v>Chicago P.D.</x:v>
      </x:c>
      <x:c r="E1927" s="33" t="str">
        <x:v>One Chicago</x:v>
      </x:c>
      <x:c r="F1927" s="33" t="str">
        <x:v>core</x:v>
      </x:c>
      <x:c r="G1927" s="50" t="n">
        <x:v>2</x:v>
      </x:c>
      <x:c r="H1927" s="50" t="n">
        <x:v>19</x:v>
      </x:c>
      <x:c r="I1927" s="44" t="str">
        <x:v>02.19</x:v>
      </x:c>
      <x:c r="J1927" s="33" t="str">
        <x:v>The Three Gs</x:v>
      </x:c>
      <x:c r="K1927" s="33" t="str"/>
      <x:c r="L1927" s="33" t="str"/>
      <x:c r="M1927" s="44" t="str"/>
      <x:c r="N1927" s="50" t="n">
        <x:v>43</x:v>
      </x:c>
      <x:c r="O1927" s="53" t="str">
        <x:v>Led by Olinksy, Intelligence hunts down an elusive Chinatown gangster.</x:v>
      </x:c>
      <x:c r="P1927" s="53" t="str">
        <x:v>Core One Chicago franchise; crossovers with SVU/FBI</x:v>
      </x:c>
      <x:c r="Q1927" s="17" t="str">
        <x:v>1783630</x:v>
      </x:c>
      <x:c r="R1927" s="17" t="str">
        <x:v>tt4493708</x:v>
      </x:c>
      <x:c r="S1927" s="17" t="str"/>
    </x:row>
    <x:row r="1928">
      <x:c r="A1928" s="43" t="n">
        <x:v>1924</x:v>
      </x:c>
      <x:c r="B1928" s="44" t="str">
        <x:v>Not Started</x:v>
      </x:c>
      <x:c r="C1928" s="45" t="n">
        <x:v>42105</x:v>
      </x:c>
      <x:c r="D1928" s="33" t="str">
        <x:v>Cold Justice</x:v>
      </x:c>
      <x:c r="E1928" s="33" t="str">
        <x:v>Crossover Adjacent</x:v>
      </x:c>
      <x:c r="F1928" s="33" t="str">
        <x:v>complete</x:v>
      </x:c>
      <x:c r="G1928" s="50" t="n">
        <x:v>3</x:v>
      </x:c>
      <x:c r="H1928" s="50" t="n">
        <x:v>9</x:v>
      </x:c>
      <x:c r="I1928" s="44" t="str">
        <x:v>03.09</x:v>
      </x:c>
      <x:c r="J1928" s="33" t="str">
        <x:v>The Alley (Hialeah, FL)</x:v>
      </x:c>
      <x:c r="K1928" s="33" t="str"/>
      <x:c r="L1928" s="33" t="str"/>
      <x:c r="M1928" s="44" t="str"/>
      <x:c r="N1928" s="50" t="n">
        <x:v>42</x:v>
      </x:c>
      <x:c r="O1928" s="53" t="str">
        <x:v>Kelly and Yolanda must piece together an intricate puzzle to find out who is guilty of killing a well-liked, young man.</x:v>
      </x:c>
      <x:c r="P1928" s="53" t="str">
        <x:v>Wolf Entertainment unscripted true-crime series</x:v>
      </x:c>
      <x:c r="Q1928" s="17" t="str">
        <x:v>1807864</x:v>
      </x:c>
      <x:c r="R1928" s="17" t="str"/>
      <x:c r="S1928" s="17" t="str"/>
    </x:row>
    <x:row r="1929">
      <x:c r="A1929" s="43" t="n">
        <x:v>1925</x:v>
      </x:c>
      <x:c r="B1929" s="44" t="str">
        <x:v>Not Started</x:v>
      </x:c>
      <x:c r="C1929" s="45" t="n">
        <x:v>42112</x:v>
      </x:c>
      <x:c r="D1929" s="33" t="str">
        <x:v>Cold Justice</x:v>
      </x:c>
      <x:c r="E1929" s="33" t="str">
        <x:v>Crossover Adjacent</x:v>
      </x:c>
      <x:c r="F1929" s="33" t="str">
        <x:v>complete</x:v>
      </x:c>
      <x:c r="G1929" s="50" t="n">
        <x:v>3</x:v>
      </x:c>
      <x:c r="H1929" s="50" t="n">
        <x:v>10</x:v>
      </x:c>
      <x:c r="I1929" s="44" t="str">
        <x:v>03.10</x:v>
      </x:c>
      <x:c r="J1929" s="33" t="str">
        <x:v>Devoted (Okaloosa, FL)</x:v>
      </x:c>
      <x:c r="K1929" s="33" t="str"/>
      <x:c r="L1929" s="33" t="str"/>
      <x:c r="M1929" s="44" t="str"/>
      <x:c r="N1929" s="50" t="n">
        <x:v>42</x:v>
      </x:c>
      <x:c r="O1929" s="53" t="str">
        <x:v>The team must put together clues left behind by a mother of two who mysteriously vanished from Fort Walton Beach, FL.</x:v>
      </x:c>
      <x:c r="P1929" s="53" t="str">
        <x:v>Wolf Entertainment unscripted true-crime series</x:v>
      </x:c>
      <x:c r="Q1929" s="17" t="str">
        <x:v>1831847</x:v>
      </x:c>
      <x:c r="R1929" s="17" t="str"/>
      <x:c r="S1929" s="17" t="str"/>
    </x:row>
    <x:row r="1930">
      <x:c r="A1930" s="43" t="n">
        <x:v>1926</x:v>
      </x:c>
      <x:c r="B1930" s="44" t="str">
        <x:v>Not Started</x:v>
      </x:c>
      <x:c r="C1930" s="45" t="n">
        <x:v>42116</x:v>
      </x:c>
      <x:c r="D1930" s="33" t="str">
        <x:v>Chicago Fire</x:v>
      </x:c>
      <x:c r="E1930" s="33" t="str">
        <x:v>One Chicago</x:v>
      </x:c>
      <x:c r="F1930" s="33" t="str">
        <x:v>core</x:v>
      </x:c>
      <x:c r="G1930" s="50" t="n">
        <x:v>3</x:v>
      </x:c>
      <x:c r="H1930" s="50" t="n">
        <x:v>20</x:v>
      </x:c>
      <x:c r="I1930" s="44" t="str">
        <x:v>03.20</x:v>
      </x:c>
      <x:c r="J1930" s="33" t="str">
        <x:v>You Know Where to Find Me</x:v>
      </x:c>
      <x:c r="K1930" s="33" t="str"/>
      <x:c r="L1930" s="33" t="str"/>
      <x:c r="M1930" s="44" t="str"/>
      <x:c r="N1930" s="50" t="n">
        <x:v>43</x:v>
      </x:c>
      <x:c r="O1930" s="53" t="str">
        <x:v>Truck and squad are called to the scene of a car crash that has Mills desperately working to save the life of a driver seriously injured in the wreck. Meanwhile, Casey has some doubts about Jack Nesbitt, whose strip club he is remodeling on the side. Elsewhere, Hermann, Otis, Cruz and Chaplain Orlovsky help get their team ready for the peewee hockey championship, but Herrmann might prove more of an obstacle than the other team.</x:v>
      </x:c>
      <x:c r="P1930" s="53" t="str">
        <x:v>Core One Chicago franchise</x:v>
      </x:c>
      <x:c r="Q1930" s="17" t="str">
        <x:v>1761606</x:v>
      </x:c>
      <x:c r="R1930" s="17" t="str">
        <x:v>tt4548724</x:v>
      </x:c>
      <x:c r="S1930" s="17" t="str"/>
    </x:row>
    <x:row r="1931">
      <x:c r="A1931" s="43" t="n">
        <x:v>1927</x:v>
      </x:c>
      <x:c r="B1931" s="44" t="str">
        <x:v>Not Started</x:v>
      </x:c>
      <x:c r="C1931" s="45" t="n">
        <x:v>42119</x:v>
      </x:c>
      <x:c r="D1931" s="33" t="str">
        <x:v>Cold Justice</x:v>
      </x:c>
      <x:c r="E1931" s="33" t="str">
        <x:v>Crossover Adjacent</x:v>
      </x:c>
      <x:c r="F1931" s="33" t="str">
        <x:v>complete</x:v>
      </x:c>
      <x:c r="G1931" s="50" t="n">
        <x:v>3</x:v>
      </x:c>
      <x:c r="H1931" s="50" t="n">
        <x:v>11</x:v>
      </x:c>
      <x:c r="I1931" s="44" t="str">
        <x:v>03.11</x:v>
      </x:c>
      <x:c r="J1931" s="33" t="str">
        <x:v>Lying in Wait (Greenville, OH)</x:v>
      </x:c>
      <x:c r="K1931" s="33" t="str"/>
      <x:c r="L1931" s="33" t="str"/>
      <x:c r="M1931" s="44" t="str"/>
      <x:c r="N1931" s="50" t="n">
        <x:v>42</x:v>
      </x:c>
      <x:c r="O1931" s="53" t="str">
        <x:v>Kelly and Yolanda search for answers in the double homicide of a middle-aged man and woman who were shot inside the man's house.</x:v>
      </x:c>
      <x:c r="P1931" s="53" t="str">
        <x:v>Wolf Entertainment unscripted true-crime series</x:v>
      </x:c>
      <x:c r="Q1931" s="17" t="str">
        <x:v>1831848</x:v>
      </x:c>
      <x:c r="R1931" s="17" t="str"/>
      <x:c r="S1931" s="17" t="str"/>
    </x:row>
    <x:row r="1932">
      <x:c r="A1932" s="43" t="n">
        <x:v>1928</x:v>
      </x:c>
      <x:c r="B1932" s="44" t="str">
        <x:v>Not Started</x:v>
      </x:c>
      <x:c r="C1932" s="45" t="n">
        <x:v>42123</x:v>
      </x:c>
      <x:c r="D1932" s="33" t="str">
        <x:v>Chicago Fire</x:v>
      </x:c>
      <x:c r="E1932" s="33" t="str">
        <x:v>One Chicago</x:v>
      </x:c>
      <x:c r="F1932" s="33" t="str">
        <x:v>core</x:v>
      </x:c>
      <x:c r="G1932" s="50" t="n">
        <x:v>3</x:v>
      </x:c>
      <x:c r="H1932" s="50" t="n">
        <x:v>21</x:v>
      </x:c>
      <x:c r="I1932" s="44" t="str">
        <x:v>03.21</x:v>
      </x:c>
      <x:c r="J1932" s="33" t="str">
        <x:v>We Called Her Jellybean (I)</x:v>
      </x:c>
      <x:c r="K1932" s="33" t="str">
        <x:v>Crossover</x:v>
      </x:c>
      <x:c r="L1932" s="33" t="str">
        <x:v>We Called Her Jellybean</x:v>
      </x:c>
      <x:c r="M1932" s="44" t="str">
        <x:v>1/3</x:v>
      </x:c>
      <x:c r="N1932" s="50" t="n">
        <x:v>43</x:v>
      </x:c>
      <x:c r="O1932" s="53" t="str">
        <x:v>An apartment fire connected to a case of rape and attempted murder resembles an unsolved case in New York, so Sgt. Benson of Special Victims Unit comes to Chicago to help Intelligence with the investigation.
The crossover continues on Chicago P.D. S02E20 The Number of Rats (II) and Law &amp; Order: Special Victims Unit S16E20 Daydream Believer (III).</x:v>
      </x:c>
      <x:c r="P1932" s="53" t="str">
        <x:v>Core One Chicago franchise</x:v>
      </x:c>
      <x:c r="Q1932" s="17" t="str">
        <x:v>1761609</x:v>
      </x:c>
      <x:c r="R1932" s="17" t="str">
        <x:v>tt4591034</x:v>
      </x:c>
      <x:c r="S1932" s="17" t="str">
        <x:v>https://one-chicago-fbi.fandom.com/wiki/Crossovers_and_Milestones</x:v>
      </x:c>
    </x:row>
    <x:row r="1933">
      <x:c r="A1933" s="43" t="n">
        <x:v>1929</x:v>
      </x:c>
      <x:c r="B1933" s="44" t="str">
        <x:v>Not Started</x:v>
      </x:c>
      <x:c r="C1933" s="45" t="n">
        <x:v>42123</x:v>
      </x:c>
      <x:c r="D1933" s="33" t="str">
        <x:v>Law &amp; Order: Special Victims Unit</x:v>
      </x:c>
      <x:c r="E1933" s="33" t="str">
        <x:v>Law &amp; Order</x:v>
      </x:c>
      <x:c r="F1933" s="33" t="str">
        <x:v>core</x:v>
      </x:c>
      <x:c r="G1933" s="50" t="n">
        <x:v>16</x:v>
      </x:c>
      <x:c r="H1933" s="50" t="n">
        <x:v>20</x:v>
      </x:c>
      <x:c r="I1933" s="44" t="str">
        <x:v>16.20</x:v>
      </x:c>
      <x:c r="J1933" s="33" t="str">
        <x:v>Daydream Believer (III)</x:v>
      </x:c>
      <x:c r="K1933" s="33" t="str">
        <x:v>Crossover</x:v>
      </x:c>
      <x:c r="L1933" s="33" t="str">
        <x:v>We Called Her Jellybean</x:v>
      </x:c>
      <x:c r="M1933" s="44" t="str">
        <x:v>3/3</x:v>
      </x:c>
      <x:c r="N1933" s="50" t="n">
        <x:v>43</x:v>
      </x:c>
      <x:c r="O1933" s="53" t="str">
        <x:v>A Chicago crime resembles a decade-old New York City case, so police from Chicago arrive and team up with the squad to track down a suspect they had to release earlier.
The crossover starts on Chicago Fire S03E21 We Called Her Jellybean (I) and Chicago P.D. S02E20 The Number of Rats (II).</x:v>
      </x:c>
      <x:c r="P1933" s="53" t="str">
        <x:v>Core Law &amp; Order franchise</x:v>
      </x:c>
      <x:c r="Q1933" s="17" t="str">
        <x:v>1805504</x:v>
      </x:c>
      <x:c r="R1933" s="17" t="str">
        <x:v>tt4596276</x:v>
      </x:c>
      <x:c r="S1933" s="17" t="str">
        <x:v>https://one-chicago-fbi.fandom.com/wiki/Crossovers_and_Milestones</x:v>
      </x:c>
    </x:row>
    <x:row r="1934">
      <x:c r="A1934" s="43" t="n">
        <x:v>1930</x:v>
      </x:c>
      <x:c r="B1934" s="44" t="str">
        <x:v>Not Started</x:v>
      </x:c>
      <x:c r="C1934" s="45" t="n">
        <x:v>42124</x:v>
      </x:c>
      <x:c r="D1934" s="33" t="str">
        <x:v>Chicago P.D.</x:v>
      </x:c>
      <x:c r="E1934" s="33" t="str">
        <x:v>One Chicago</x:v>
      </x:c>
      <x:c r="F1934" s="33" t="str">
        <x:v>core</x:v>
      </x:c>
      <x:c r="G1934" s="50" t="n">
        <x:v>2</x:v>
      </x:c>
      <x:c r="H1934" s="50" t="n">
        <x:v>20</x:v>
      </x:c>
      <x:c r="I1934" s="44" t="str">
        <x:v>02.20</x:v>
      </x:c>
      <x:c r="J1934" s="33" t="str">
        <x:v>The Number of Rats (II)</x:v>
      </x:c>
      <x:c r="K1934" s="33" t="str">
        <x:v>Crossover</x:v>
      </x:c>
      <x:c r="L1934" s="33" t="str">
        <x:v>We Called Her Jellybean</x:v>
      </x:c>
      <x:c r="M1934" s="44" t="str">
        <x:v>2/3</x:v>
      </x:c>
      <x:c r="N1934" s="50" t="n">
        <x:v>52</x:v>
      </x:c>
      <x:c r="O1934" s="53" t="str">
        <x:v>SVU's Benson, Fin and Amaro help with the investigation of a rape-murder that's similar to a decade-old case in New York; and, after he's questioned, a suspect warns Lindsay that the investigation could have unintended consequences.
The crossover starts on Chicago Fire S03E21 We Called Her Jellybean (I). It continues on Law &amp; Order: Special Victims Unit S16E20 Daydream Believer (III).</x:v>
      </x:c>
      <x:c r="P1934" s="53" t="str">
        <x:v>Core One Chicago franchise; crossovers with SVU/FBI</x:v>
      </x:c>
      <x:c r="Q1934" s="17" t="str">
        <x:v>1800580</x:v>
      </x:c>
      <x:c r="R1934" s="17" t="str">
        <x:v>tt4597412</x:v>
      </x:c>
      <x:c r="S1934" s="17" t="str">
        <x:v>https://one-chicago-fbi.fandom.com/wiki/Crossovers_and_Milestones</x:v>
      </x:c>
    </x:row>
    <x:row r="1935">
      <x:c r="A1935" s="43" t="n">
        <x:v>1931</x:v>
      </x:c>
      <x:c r="B1935" s="44" t="str">
        <x:v>Not Started</x:v>
      </x:c>
      <x:c r="C1935" s="45" t="n">
        <x:v>42126</x:v>
      </x:c>
      <x:c r="D1935" s="33" t="str">
        <x:v>Cold Justice</x:v>
      </x:c>
      <x:c r="E1935" s="33" t="str">
        <x:v>Crossover Adjacent</x:v>
      </x:c>
      <x:c r="F1935" s="33" t="str">
        <x:v>complete</x:v>
      </x:c>
      <x:c r="G1935" s="50" t="n">
        <x:v>3</x:v>
      </x:c>
      <x:c r="H1935" s="50" t="n">
        <x:v>12</x:v>
      </x:c>
      <x:c r="I1935" s="44" t="str">
        <x:v>03.12</x:v>
      </x:c>
      <x:c r="J1935" s="33" t="str">
        <x:v>Trip to Nowhere (Hernando County, FL)</x:v>
      </x:c>
      <x:c r="K1935" s="33" t="str"/>
      <x:c r="L1935" s="33" t="str"/>
      <x:c r="M1935" s="44" t="str"/>
      <x:c r="N1935" s="50" t="n">
        <x:v>42</x:v>
      </x:c>
      <x:c r="O1935" s="53" t="str">
        <x:v>The team investigates a missing person's case from 1981 in which a daughter came home from school to find her mother gone without explanation.</x:v>
      </x:c>
      <x:c r="P1935" s="53" t="str">
        <x:v>Wolf Entertainment unscripted true-crime series</x:v>
      </x:c>
      <x:c r="Q1935" s="17" t="str">
        <x:v>1847972</x:v>
      </x:c>
      <x:c r="R1935" s="17" t="str"/>
      <x:c r="S1935" s="17" t="str"/>
    </x:row>
    <x:row r="1936">
      <x:c r="A1936" s="43" t="n">
        <x:v>1932</x:v>
      </x:c>
      <x:c r="B1936" s="44" t="str">
        <x:v>Not Started</x:v>
      </x:c>
      <x:c r="C1936" s="45" t="n">
        <x:v>42130</x:v>
      </x:c>
      <x:c r="D1936" s="33" t="str">
        <x:v>Chicago Fire</x:v>
      </x:c>
      <x:c r="E1936" s="33" t="str">
        <x:v>One Chicago</x:v>
      </x:c>
      <x:c r="F1936" s="33" t="str">
        <x:v>core</x:v>
      </x:c>
      <x:c r="G1936" s="50" t="n">
        <x:v>3</x:v>
      </x:c>
      <x:c r="H1936" s="50" t="n">
        <x:v>22</x:v>
      </x:c>
      <x:c r="I1936" s="44" t="str">
        <x:v>03.22</x:v>
      </x:c>
      <x:c r="J1936" s="33" t="str">
        <x:v>Category 5</x:v>
      </x:c>
      <x:c r="K1936" s="33" t="str"/>
      <x:c r="L1936" s="33" t="str"/>
      <x:c r="M1936" s="44" t="str"/>
      <x:c r="N1936" s="50" t="n">
        <x:v>41</x:v>
      </x:c>
      <x:c r="O1936" s="53" t="str">
        <x:v>At Sgt. Voight's urging, a determined Lt. Casey agrees to go undercover in an effort to provide proof of Jack Nesbitt's shady dealings. Meanwhile, Otis and Severide continue to disagree about the integrity of Scott Rice, causing tensions to flare between members of truck and squad. Meanwhile, Herrmann helps out a fellow member of the firehouse.</x:v>
      </x:c>
      <x:c r="P1936" s="53" t="str">
        <x:v>Core One Chicago franchise</x:v>
      </x:c>
      <x:c r="Q1936" s="17" t="str">
        <x:v>1761611</x:v>
      </x:c>
      <x:c r="R1936" s="17" t="str">
        <x:v>tt4649310</x:v>
      </x:c>
      <x:c r="S1936" s="17" t="str"/>
    </x:row>
    <x:row r="1937">
      <x:c r="A1937" s="43" t="n">
        <x:v>1933</x:v>
      </x:c>
      <x:c r="B1937" s="44" t="str">
        <x:v>Not Started</x:v>
      </x:c>
      <x:c r="C1937" s="45" t="n">
        <x:v>42130</x:v>
      </x:c>
      <x:c r="D1937" s="33" t="str">
        <x:v>Law &amp; Order: Special Victims Unit</x:v>
      </x:c>
      <x:c r="E1937" s="33" t="str">
        <x:v>Law &amp; Order</x:v>
      </x:c>
      <x:c r="F1937" s="33" t="str">
        <x:v>core</x:v>
      </x:c>
      <x:c r="G1937" s="50" t="n">
        <x:v>16</x:v>
      </x:c>
      <x:c r="H1937" s="50" t="n">
        <x:v>21</x:v>
      </x:c>
      <x:c r="I1937" s="44" t="str">
        <x:v>16.21</x:v>
      </x:c>
      <x:c r="J1937" s="33" t="str">
        <x:v>Perverted Justice</x:v>
      </x:c>
      <x:c r="K1937" s="33" t="str"/>
      <x:c r="L1937" s="33" t="str"/>
      <x:c r="M1937" s="44" t="str"/>
      <x:c r="N1937" s="50" t="n">
        <x:v>43</x:v>
      </x:c>
      <x:c r="O1937" s="53" t="str">
        <x:v>A woman who accused her father of raping her when she was six now says the accusations were false. With the help of attorney Bayard Ellis and retired captain Kragen, SVU tries to get to the truth and make sure justice is served.</x:v>
      </x:c>
      <x:c r="P1937" s="53" t="str">
        <x:v>Core Law &amp; Order franchise</x:v>
      </x:c>
      <x:c r="Q1937" s="17" t="str">
        <x:v>1807199</x:v>
      </x:c>
      <x:c r="R1937" s="17" t="str">
        <x:v>tt4614756</x:v>
      </x:c>
      <x:c r="S1937" s="17" t="str">
        <x:v>1356</x:v>
      </x:c>
    </x:row>
    <x:row r="1938">
      <x:c r="A1938" s="43" t="n">
        <x:v>1934</x:v>
      </x:c>
      <x:c r="B1938" s="44" t="str">
        <x:v>Not Started</x:v>
      </x:c>
      <x:c r="C1938" s="45" t="n">
        <x:v>42131</x:v>
      </x:c>
      <x:c r="D1938" s="33" t="str">
        <x:v>Chicago P.D.</x:v>
      </x:c>
      <x:c r="E1938" s="33" t="str">
        <x:v>One Chicago</x:v>
      </x:c>
      <x:c r="F1938" s="33" t="str">
        <x:v>core</x:v>
      </x:c>
      <x:c r="G1938" s="50" t="n">
        <x:v>2</x:v>
      </x:c>
      <x:c r="H1938" s="50" t="n">
        <x:v>21</x:v>
      </x:c>
      <x:c r="I1938" s="44" t="str">
        <x:v>02.21</x:v>
      </x:c>
      <x:c r="J1938" s="33" t="str">
        <x:v>There's My Girl</x:v>
      </x:c>
      <x:c r="K1938" s="33" t="str"/>
      <x:c r="L1938" s="33" t="str"/>
      <x:c r="M1938" s="44" t="str"/>
      <x:c r="N1938" s="50" t="n">
        <x:v>49</x:v>
      </x:c>
      <x:c r="O1938" s="53" t="str">
        <x:v>The investigation into the bombing of a trendy café hinges on a minor who witnessed it. A major blunder lands Atwater in hot water. Voight helps Platt in her attempt to get a memorial stone for the team's fallen member.</x:v>
      </x:c>
      <x:c r="P1938" s="53" t="str">
        <x:v>Core One Chicago franchise; crossovers with SVU/FBI</x:v>
      </x:c>
      <x:c r="Q1938" s="17" t="str">
        <x:v>1800581</x:v>
      </x:c>
      <x:c r="R1938" s="17" t="str">
        <x:v>tt4649434</x:v>
      </x:c>
      <x:c r="S1938" s="17" t="str"/>
    </x:row>
    <x:row r="1939">
      <x:c r="A1939" s="43" t="n">
        <x:v>1935</x:v>
      </x:c>
      <x:c r="B1939" s="44" t="str">
        <x:v>Not Started</x:v>
      </x:c>
      <x:c r="C1939" s="45" t="n">
        <x:v>42133</x:v>
      </x:c>
      <x:c r="D1939" s="33" t="str">
        <x:v>Cold Justice</x:v>
      </x:c>
      <x:c r="E1939" s="33" t="str">
        <x:v>Crossover Adjacent</x:v>
      </x:c>
      <x:c r="F1939" s="33" t="str">
        <x:v>complete</x:v>
      </x:c>
      <x:c r="G1939" s="50" t="n">
        <x:v>3</x:v>
      </x:c>
      <x:c r="H1939" s="50" t="n">
        <x:v>13</x:v>
      </x:c>
      <x:c r="I1939" s="44" t="str">
        <x:v>03.13</x:v>
      </x:c>
      <x:c r="J1939" s="33" t="str">
        <x:v>Justice Served (Los Angeles, CA)</x:v>
      </x:c>
      <x:c r="K1939" s="33" t="str"/>
      <x:c r="L1939" s="33" t="str"/>
      <x:c r="M1939" s="44" t="str"/>
      <x:c r="N1939" s="50" t="n">
        <x:v>42</x:v>
      </x:c>
      <x:c r="O1939" s="53" t="str"/>
      <x:c r="P1939" s="53" t="str">
        <x:v>Wolf Entertainment unscripted true-crime series</x:v>
      </x:c>
      <x:c r="Q1939" s="17" t="str">
        <x:v>1847973</x:v>
      </x:c>
      <x:c r="R1939" s="17" t="str"/>
      <x:c r="S1939" s="17" t="str"/>
    </x:row>
    <x:row r="1940">
      <x:c r="A1940" s="43" t="n">
        <x:v>1936</x:v>
      </x:c>
      <x:c r="B1940" s="44" t="str">
        <x:v>Not Started</x:v>
      </x:c>
      <x:c r="C1940" s="45" t="n">
        <x:v>42137</x:v>
      </x:c>
      <x:c r="D1940" s="33" t="str">
        <x:v>Chicago Fire</x:v>
      </x:c>
      <x:c r="E1940" s="33" t="str">
        <x:v>One Chicago</x:v>
      </x:c>
      <x:c r="F1940" s="33" t="str">
        <x:v>core</x:v>
      </x:c>
      <x:c r="G1940" s="50" t="n">
        <x:v>3</x:v>
      </x:c>
      <x:c r="H1940" s="50" t="n">
        <x:v>23</x:v>
      </x:c>
      <x:c r="I1940" s="44" t="str">
        <x:v>03.23</x:v>
      </x:c>
      <x:c r="J1940" s="33" t="str">
        <x:v>Spartacus</x:v>
      </x:c>
      <x:c r="K1940" s="33" t="str"/>
      <x:c r="L1940" s="33" t="str"/>
      <x:c r="M1940" s="44" t="str"/>
      <x:c r="N1940" s="50" t="n">
        <x:v>43</x:v>
      </x:c>
      <x:c r="O1940" s="53" t="str">
        <x:v>Lt. Casey puts his life on the line and digs deeper into the shady dealings of Jack Nesbitt. Chief Boden must figure out how to create unity in a divided house, while Severide comes to question his own judgment. A dangerous warehouse blaze quickly gets out of control and threatens members of firehouse 51.</x:v>
      </x:c>
      <x:c r="P1940" s="53" t="str">
        <x:v>Core One Chicago franchise</x:v>
      </x:c>
      <x:c r="Q1940" s="17" t="str">
        <x:v>1772555</x:v>
      </x:c>
      <x:c r="R1940" s="17" t="str">
        <x:v>tt4649312</x:v>
      </x:c>
      <x:c r="S1940" s="17" t="str"/>
    </x:row>
    <x:row r="1941">
      <x:c r="A1941" s="43" t="n">
        <x:v>1937</x:v>
      </x:c>
      <x:c r="B1941" s="44" t="str">
        <x:v>Not Started</x:v>
      </x:c>
      <x:c r="C1941" s="45" t="n">
        <x:v>42137</x:v>
      </x:c>
      <x:c r="D1941" s="33" t="str">
        <x:v>Law &amp; Order: Special Victims Unit</x:v>
      </x:c>
      <x:c r="E1941" s="33" t="str">
        <x:v>Law &amp; Order</x:v>
      </x:c>
      <x:c r="F1941" s="33" t="str">
        <x:v>core</x:v>
      </x:c>
      <x:c r="G1941" s="50" t="n">
        <x:v>16</x:v>
      </x:c>
      <x:c r="H1941" s="50" t="n">
        <x:v>22</x:v>
      </x:c>
      <x:c r="I1941" s="44" t="str">
        <x:v>16.22</x:v>
      </x:c>
      <x:c r="J1941" s="33" t="str">
        <x:v>Parents' Nightmare</x:v>
      </x:c>
      <x:c r="K1941" s="33" t="str"/>
      <x:c r="L1941" s="33" t="str"/>
      <x:c r="M1941" s="44" t="str"/>
      <x:c r="N1941" s="50" t="n">
        <x:v>43</x:v>
      </x:c>
      <x:c r="O1941" s="53" t="str">
        <x:v>Eight-year-old Owen Farhidi disappears from school and his mother Dana receives a ransom request. Detectives soon uncover that the boy knew his abductor, but friction between his parents impedes the investigation. Meanwhile, Benson must take an exam to formalize her promotion.</x:v>
      </x:c>
      <x:c r="P1941" s="53" t="str">
        <x:v>Core Law &amp; Order franchise</x:v>
      </x:c>
      <x:c r="Q1941" s="17" t="str">
        <x:v>1807200</x:v>
      </x:c>
      <x:c r="R1941" s="17" t="str">
        <x:v>tt4635088</x:v>
      </x:c>
      <x:c r="S1941" s="17" t="str">
        <x:v>1357</x:v>
      </x:c>
    </x:row>
    <x:row r="1942">
      <x:c r="A1942" s="43" t="n">
        <x:v>1938</x:v>
      </x:c>
      <x:c r="B1942" s="44" t="str">
        <x:v>Not Started</x:v>
      </x:c>
      <x:c r="C1942" s="45" t="n">
        <x:v>42138</x:v>
      </x:c>
      <x:c r="D1942" s="33" t="str">
        <x:v>Chicago P.D.</x:v>
      </x:c>
      <x:c r="E1942" s="33" t="str">
        <x:v>One Chicago</x:v>
      </x:c>
      <x:c r="F1942" s="33" t="str">
        <x:v>core</x:v>
      </x:c>
      <x:c r="G1942" s="50" t="n">
        <x:v>2</x:v>
      </x:c>
      <x:c r="H1942" s="50" t="n">
        <x:v>22</x:v>
      </x:c>
      <x:c r="I1942" s="44" t="str">
        <x:v>02.22</x:v>
      </x:c>
      <x:c r="J1942" s="33" t="str">
        <x:v>Push the Pain Away</x:v>
      </x:c>
      <x:c r="K1942" s="33" t="str"/>
      <x:c r="L1942" s="33" t="str"/>
      <x:c r="M1942" s="44" t="str"/>
      <x:c r="N1942" s="50" t="n">
        <x:v>50</x:v>
      </x:c>
      <x:c r="O1942" s="53" t="str">
        <x:v>A mass shooting at an athletic club is investigated; and Atwater, who's dealing with his new assignment, helps locate the suspected shooters. Platt and Halstead, meanwhile, check in with Lindsay to see how she's managing.</x:v>
      </x:c>
      <x:c r="P1942" s="53" t="str">
        <x:v>Core One Chicago franchise; crossovers with SVU/FBI</x:v>
      </x:c>
      <x:c r="Q1942" s="17" t="str">
        <x:v>1800582</x:v>
      </x:c>
      <x:c r="R1942" s="17" t="str">
        <x:v>tt4649442</x:v>
      </x:c>
      <x:c r="S1942" s="17" t="str"/>
    </x:row>
    <x:row r="1943">
      <x:c r="A1943" s="43" t="n">
        <x:v>1939</x:v>
      </x:c>
      <x:c r="B1943" s="44" t="str">
        <x:v>Not Started</x:v>
      </x:c>
      <x:c r="C1943" s="45" t="n">
        <x:v>42140</x:v>
      </x:c>
      <x:c r="D1943" s="33" t="str">
        <x:v>Cold Justice</x:v>
      </x:c>
      <x:c r="E1943" s="33" t="str">
        <x:v>Crossover Adjacent</x:v>
      </x:c>
      <x:c r="F1943" s="33" t="str">
        <x:v>complete</x:v>
      </x:c>
      <x:c r="G1943" s="50" t="n">
        <x:v>3</x:v>
      </x:c>
      <x:c r="H1943" s="50" t="n">
        <x:v>14</x:v>
      </x:c>
      <x:c r="I1943" s="44" t="str">
        <x:v>03.14</x:v>
      </x:c>
      <x:c r="J1943" s="33" t="str">
        <x:v>Beloved Doctor (Paducah, KY)</x:v>
      </x:c>
      <x:c r="K1943" s="33" t="str"/>
      <x:c r="L1943" s="33" t="str"/>
      <x:c r="M1943" s="44" t="str"/>
      <x:c r="N1943" s="50" t="n">
        <x:v>42</x:v>
      </x:c>
      <x:c r="O1943" s="53" t="str">
        <x:v>After a respected doctor in the community is brutally murdered and set on fire in his kitchen, the team must wade through the ashes of the tragic aftermath to try to bring his family justice.</x:v>
      </x:c>
      <x:c r="P1943" s="53" t="str">
        <x:v>Wolf Entertainment unscripted true-crime series</x:v>
      </x:c>
      <x:c r="Q1943" s="17" t="str">
        <x:v>1847974</x:v>
      </x:c>
      <x:c r="R1943" s="17" t="str"/>
      <x:c r="S1943" s="17" t="str"/>
    </x:row>
    <x:row r="1944">
      <x:c r="A1944" s="43" t="n">
        <x:v>1940</x:v>
      </x:c>
      <x:c r="B1944" s="44" t="str">
        <x:v>Not Started</x:v>
      </x:c>
      <x:c r="C1944" s="45" t="n">
        <x:v>42144</x:v>
      </x:c>
      <x:c r="D1944" s="33" t="str">
        <x:v>Law &amp; Order: Special Victims Unit</x:v>
      </x:c>
      <x:c r="E1944" s="33" t="str">
        <x:v>Law &amp; Order</x:v>
      </x:c>
      <x:c r="F1944" s="33" t="str">
        <x:v>core</x:v>
      </x:c>
      <x:c r="G1944" s="50" t="n">
        <x:v>16</x:v>
      </x:c>
      <x:c r="H1944" s="50" t="n">
        <x:v>23</x:v>
      </x:c>
      <x:c r="I1944" s="44" t="str">
        <x:v>16.23</x:v>
      </x:c>
      <x:c r="J1944" s="33" t="str">
        <x:v>Surrendering Noah</x:v>
      </x:c>
      <x:c r="K1944" s="33" t="str"/>
      <x:c r="L1944" s="33" t="str"/>
      <x:c r="M1944" s="44" t="str"/>
      <x:c r="N1944" s="50" t="n">
        <x:v>43</x:v>
      </x:c>
      <x:c r="O1944" s="53" t="str">
        <x:v>Sgt. Benson and ADA Barba take Johnny D to trial for sex trafficking, rape, assault and kidnapping. But when Baby Noah's adoption becomes entangled in the case, Benson fears for Noah's future and his safety. In an intense courtroom showdown, the SVU will face a threat that could change the squad forever.</x:v>
      </x:c>
      <x:c r="P1944" s="53" t="str">
        <x:v>Core Law &amp; Order franchise</x:v>
      </x:c>
      <x:c r="Q1944" s="17" t="str">
        <x:v>1807201</x:v>
      </x:c>
      <x:c r="R1944" s="17" t="str">
        <x:v>tt4653920</x:v>
      </x:c>
      <x:c r="S1944" s="17" t="str">
        <x:v>1358</x:v>
      </x:c>
    </x:row>
    <x:row r="1945">
      <x:c r="A1945" s="43" t="n">
        <x:v>1941</x:v>
      </x:c>
      <x:c r="B1945" s="44" t="str">
        <x:v>Not Started</x:v>
      </x:c>
      <x:c r="C1945" s="45" t="n">
        <x:v>42145</x:v>
      </x:c>
      <x:c r="D1945" s="33" t="str">
        <x:v>Chicago P.D.</x:v>
      </x:c>
      <x:c r="E1945" s="33" t="str">
        <x:v>One Chicago</x:v>
      </x:c>
      <x:c r="F1945" s="33" t="str">
        <x:v>core</x:v>
      </x:c>
      <x:c r="G1945" s="50" t="n">
        <x:v>2</x:v>
      </x:c>
      <x:c r="H1945" s="50" t="n">
        <x:v>23</x:v>
      </x:c>
      <x:c r="I1945" s="44" t="str">
        <x:v>02.23</x:v>
      </x:c>
      <x:c r="J1945" s="33" t="str">
        <x:v>Born Into Bad News</x:v>
      </x:c>
      <x:c r="K1945" s="33" t="str"/>
      <x:c r="L1945" s="33" t="str"/>
      <x:c r="M1945" s="44" t="str"/>
      <x:c r="N1945" s="50" t="n">
        <x:v>50</x:v>
      </x:c>
      <x:c r="O1945" s="53" t="str">
        <x:v>Retired Commander Perry enlists Voight and the team to help extract his cop nephew from a unit of corrupt officers who are robbing drug dealers. When things go bad Voight must take down a younger, more violent version of himself. Meanwhile, Lindsay struggles to stay clean. At the same time a woman from Olinsky's past reaches out to him.</x:v>
      </x:c>
      <x:c r="P1945" s="53" t="str">
        <x:v>Core One Chicago franchise; crossovers with SVU/FBI</x:v>
      </x:c>
      <x:c r="Q1945" s="17" t="str">
        <x:v>1800583</x:v>
      </x:c>
      <x:c r="R1945" s="17" t="str">
        <x:v>tt4649444</x:v>
      </x:c>
      <x:c r="S1945" s="17" t="str"/>
    </x:row>
    <x:row r="1946">
      <x:c r="A1946" s="43" t="n">
        <x:v>1942</x:v>
      </x:c>
      <x:c r="B1946" s="44" t="str">
        <x:v>Not Started</x:v>
      </x:c>
      <x:c r="C1946" s="45" t="n">
        <x:v>42154</x:v>
      </x:c>
      <x:c r="D1946" s="33" t="str">
        <x:v>Cold Justice</x:v>
      </x:c>
      <x:c r="E1946" s="33" t="str">
        <x:v>Crossover Adjacent</x:v>
      </x:c>
      <x:c r="F1946" s="33" t="str">
        <x:v>complete</x:v>
      </x:c>
      <x:c r="G1946" s="50" t="n">
        <x:v>3</x:v>
      </x:c>
      <x:c r="H1946" s="50" t="n">
        <x:v>15</x:v>
      </x:c>
      <x:c r="I1946" s="44" t="str">
        <x:v>03.15</x:v>
      </x:c>
      <x:c r="J1946" s="33" t="str">
        <x:v>Smoking Gun (Cleveland, TN)</x:v>
      </x:c>
      <x:c r="K1946" s="33" t="str"/>
      <x:c r="L1946" s="33" t="str"/>
      <x:c r="M1946" s="44" t="str"/>
      <x:c r="N1946" s="50" t="n">
        <x:v>42</x:v>
      </x:c>
      <x:c r="O1946" s="53" t="str">
        <x:v>When a bright-eyed college student is killed in his sleepy hometown of Cleveland, TN, the team must sort through his private past in order to find his killer.</x:v>
      </x:c>
      <x:c r="P1946" s="53" t="str">
        <x:v>Wolf Entertainment unscripted true-crime series</x:v>
      </x:c>
      <x:c r="Q1946" s="17" t="str">
        <x:v>1847975</x:v>
      </x:c>
      <x:c r="R1946" s="17" t="str"/>
      <x:c r="S1946" s="17" t="str"/>
    </x:row>
    <x:row r="1947">
      <x:c r="A1947" s="43" t="n">
        <x:v>1943</x:v>
      </x:c>
      <x:c r="B1947" s="44" t="str">
        <x:v>Not Started</x:v>
      </x:c>
      <x:c r="C1947" s="45" t="n">
        <x:v>42161</x:v>
      </x:c>
      <x:c r="D1947" s="33" t="str">
        <x:v>Cold Justice</x:v>
      </x:c>
      <x:c r="E1947" s="33" t="str">
        <x:v>Crossover Adjacent</x:v>
      </x:c>
      <x:c r="F1947" s="33" t="str">
        <x:v>complete</x:v>
      </x:c>
      <x:c r="G1947" s="50" t="n">
        <x:v>3</x:v>
      </x:c>
      <x:c r="H1947" s="50" t="n">
        <x:v>16</x:v>
      </x:c>
      <x:c r="I1947" s="44" t="str">
        <x:v>03.16</x:v>
      </x:c>
      <x:c r="J1947" s="33" t="str">
        <x:v>The Good Life (West Palm Beach, FL)</x:v>
      </x:c>
      <x:c r="K1947" s="33" t="str"/>
      <x:c r="L1947" s="33" t="str"/>
      <x:c r="M1947" s="44" t="str"/>
      <x:c r="N1947" s="50" t="n">
        <x:v>42</x:v>
      </x:c>
      <x:c r="O1947" s="53" t="str">
        <x:v>When a bright-eyed college student is killed in his sleepy hometown of Cleveland, TN, the team must sort through his private past in order to find his killer.</x:v>
      </x:c>
      <x:c r="P1947" s="53" t="str">
        <x:v>Wolf Entertainment unscripted true-crime series</x:v>
      </x:c>
      <x:c r="Q1947" s="17" t="str">
        <x:v>1891609</x:v>
      </x:c>
      <x:c r="R1947" s="17" t="str"/>
      <x:c r="S1947" s="17" t="str"/>
    </x:row>
    <x:row r="1948">
      <x:c r="A1948" s="43" t="n">
        <x:v>1944</x:v>
      </x:c>
      <x:c r="B1948" s="44" t="str">
        <x:v>Not Started</x:v>
      </x:c>
      <x:c r="C1948" s="45" t="n">
        <x:v>42217</x:v>
      </x:c>
      <x:c r="D1948" s="33" t="str">
        <x:v>Cold Justice</x:v>
      </x:c>
      <x:c r="E1948" s="33" t="str">
        <x:v>Crossover Adjacent</x:v>
      </x:c>
      <x:c r="F1948" s="33" t="str">
        <x:v>complete</x:v>
      </x:c>
      <x:c r="G1948" s="50" t="n">
        <x:v>3</x:v>
      </x:c>
      <x:c r="H1948" s="50" t="n">
        <x:v>17</x:v>
      </x:c>
      <x:c r="I1948" s="44" t="str">
        <x:v>03.17</x:v>
      </x:c>
      <x:c r="J1948" s="33" t="str">
        <x:v>Off the Beaten Path (Spartanburg, SC)</x:v>
      </x:c>
      <x:c r="K1948" s="33" t="str"/>
      <x:c r="L1948" s="33" t="str"/>
      <x:c r="M1948" s="44" t="str"/>
      <x:c r="N1948" s="50" t="n">
        <x:v>42</x:v>
      </x:c>
      <x:c r="O1948" s="53" t="str">
        <x:v>A South Carolina couple is shot to death in their home with no signs of a robbery, leading the Cold Justice team into the remote areas of Spartanburg County to try to uncover their killer.</x:v>
      </x:c>
      <x:c r="P1948" s="53" t="str">
        <x:v>Wolf Entertainment unscripted true-crime series</x:v>
      </x:c>
      <x:c r="Q1948" s="17" t="str">
        <x:v>1939059</x:v>
      </x:c>
      <x:c r="R1948" s="17" t="str"/>
      <x:c r="S1948" s="17" t="str"/>
    </x:row>
    <x:row r="1949">
      <x:c r="A1949" s="43" t="n">
        <x:v>1945</x:v>
      </x:c>
      <x:c r="B1949" s="44" t="str">
        <x:v>Not Started</x:v>
      </x:c>
      <x:c r="C1949" s="45" t="n">
        <x:v>42224</x:v>
      </x:c>
      <x:c r="D1949" s="33" t="str">
        <x:v>Cold Justice</x:v>
      </x:c>
      <x:c r="E1949" s="33" t="str">
        <x:v>Crossover Adjacent</x:v>
      </x:c>
      <x:c r="F1949" s="33" t="str">
        <x:v>complete</x:v>
      </x:c>
      <x:c r="G1949" s="50" t="n">
        <x:v>3</x:v>
      </x:c>
      <x:c r="H1949" s="50" t="n">
        <x:v>18</x:v>
      </x:c>
      <x:c r="I1949" s="44" t="str">
        <x:v>03.18</x:v>
      </x:c>
      <x:c r="J1949" s="33" t="str">
        <x:v>Room #10 (Fort Myers, FL)</x:v>
      </x:c>
      <x:c r="K1949" s="33" t="str"/>
      <x:c r="L1949" s="33" t="str"/>
      <x:c r="M1949" s="44" t="str"/>
      <x:c r="N1949" s="50" t="n">
        <x:v>42</x:v>
      </x:c>
      <x:c r="O1949" s="53" t="str">
        <x:v>The Cold Justice team returns to Fort Myers, Fla., to put their investigative skills to work on a 22-year-old murder case of a woman found shot in the head, covered in bloody sheets and dumped behind a community rec center.</x:v>
      </x:c>
      <x:c r="P1949" s="53" t="str">
        <x:v>Wolf Entertainment unscripted true-crime series</x:v>
      </x:c>
      <x:c r="Q1949" s="17" t="str">
        <x:v>1939060</x:v>
      </x:c>
      <x:c r="R1949" s="17" t="str"/>
      <x:c r="S1949" s="17" t="str"/>
    </x:row>
    <x:row r="1950">
      <x:c r="A1950" s="43" t="n">
        <x:v>1946</x:v>
      </x:c>
      <x:c r="B1950" s="44" t="str">
        <x:v>Not Started</x:v>
      </x:c>
      <x:c r="C1950" s="45" t="n">
        <x:v>42231</x:v>
      </x:c>
      <x:c r="D1950" s="33" t="str">
        <x:v>Cold Justice</x:v>
      </x:c>
      <x:c r="E1950" s="33" t="str">
        <x:v>Crossover Adjacent</x:v>
      </x:c>
      <x:c r="F1950" s="33" t="str">
        <x:v>complete</x:v>
      </x:c>
      <x:c r="G1950" s="50" t="n">
        <x:v>3</x:v>
      </x:c>
      <x:c r="H1950" s="50" t="n">
        <x:v>19</x:v>
      </x:c>
      <x:c r="I1950" s="44" t="str">
        <x:v>03.19</x:v>
      </x:c>
      <x:c r="J1950" s="33" t="str">
        <x:v>The Escape? (Oregon County, MO)</x:v>
      </x:c>
      <x:c r="K1950" s="33" t="str"/>
      <x:c r="L1950" s="33" t="str"/>
      <x:c r="M1950" s="44" t="str"/>
      <x:c r="N1950" s="50" t="n">
        <x:v>42</x:v>
      </x:c>
      <x:c r="O1950" s="53" t="str">
        <x:v>Kelly Siegler and Detective Steve Spingola look into a case where a young mother caught in an abusive relationship contemplates leaving her town behind. When she then disappears, it leaves the Cold Justice team to wonder if this was murder or if she was forced to run for her life.</x:v>
      </x:c>
      <x:c r="P1950" s="53" t="str">
        <x:v>Wolf Entertainment unscripted true-crime series</x:v>
      </x:c>
      <x:c r="Q1950" s="17" t="str">
        <x:v>1960388</x:v>
      </x:c>
      <x:c r="R1950" s="17" t="str"/>
      <x:c r="S1950" s="17" t="str"/>
    </x:row>
    <x:row r="1951">
      <x:c r="A1951" s="43" t="n">
        <x:v>1947</x:v>
      </x:c>
      <x:c r="B1951" s="44" t="str">
        <x:v>Not Started</x:v>
      </x:c>
      <x:c r="C1951" s="45" t="n">
        <x:v>42238</x:v>
      </x:c>
      <x:c r="D1951" s="33" t="str">
        <x:v>Cold Justice</x:v>
      </x:c>
      <x:c r="E1951" s="33" t="str">
        <x:v>Crossover Adjacent</x:v>
      </x:c>
      <x:c r="F1951" s="33" t="str">
        <x:v>complete</x:v>
      </x:c>
      <x:c r="G1951" s="50" t="n">
        <x:v>3</x:v>
      </x:c>
      <x:c r="H1951" s="50" t="n">
        <x:v>20</x:v>
      </x:c>
      <x:c r="I1951" s="44" t="str">
        <x:v>03.20</x:v>
      </x:c>
      <x:c r="J1951" s="33" t="str">
        <x:v>Up in Flames (Johnson County, IA)</x:v>
      </x:c>
      <x:c r="K1951" s="33" t="str"/>
      <x:c r="L1951" s="33" t="str"/>
      <x:c r="M1951" s="44" t="str"/>
      <x:c r="N1951" s="50" t="n">
        <x:v>42</x:v>
      </x:c>
      <x:c r="O1951" s="53" t="str">
        <x:v>The Cold Justice team goes to Iowa to work with the Johnson County Sheriff's Office on the 1995 case of a mother and gifted artist who was found dead in her car after a huge explosion.</x:v>
      </x:c>
      <x:c r="P1951" s="53" t="str">
        <x:v>Wolf Entertainment unscripted true-crime series</x:v>
      </x:c>
      <x:c r="Q1951" s="17" t="str">
        <x:v>1960389</x:v>
      </x:c>
      <x:c r="R1951" s="17" t="str"/>
      <x:c r="S1951" s="17" t="str"/>
    </x:row>
    <x:row r="1952">
      <x:c r="A1952" s="43" t="n">
        <x:v>1948</x:v>
      </x:c>
      <x:c r="B1952" s="44" t="str">
        <x:v>Not Started</x:v>
      </x:c>
      <x:c r="C1952" s="45" t="n">
        <x:v>42245</x:v>
      </x:c>
      <x:c r="D1952" s="33" t="str">
        <x:v>Cold Justice</x:v>
      </x:c>
      <x:c r="E1952" s="33" t="str">
        <x:v>Crossover Adjacent</x:v>
      </x:c>
      <x:c r="F1952" s="33" t="str">
        <x:v>complete</x:v>
      </x:c>
      <x:c r="G1952" s="50" t="n">
        <x:v>3</x:v>
      </x:c>
      <x:c r="H1952" s="50" t="n">
        <x:v>21</x:v>
      </x:c>
      <x:c r="I1952" s="44" t="str">
        <x:v>03.21</x:v>
      </x:c>
      <x:c r="J1952" s="33" t="str">
        <x:v>Trajectory</x:v>
      </x:c>
      <x:c r="K1952" s="33" t="str"/>
      <x:c r="L1952" s="33" t="str"/>
      <x:c r="M1952" s="44" t="str"/>
      <x:c r="N1952" s="50" t="n">
        <x:v>42</x:v>
      </x:c>
      <x:c r="O1952" s="53" t="str">
        <x:v>The Cold Justice team hopes to uncover the truth behind a death of a young man from a few years ago. Kelly, Yolanda and Orlando Martinez work with state police and firearm experts across the country to get to the bottom of what happened.</x:v>
      </x:c>
      <x:c r="P1952" s="53" t="str">
        <x:v>Wolf Entertainment unscripted true-crime series</x:v>
      </x:c>
      <x:c r="Q1952" s="17" t="str">
        <x:v>1971981</x:v>
      </x:c>
      <x:c r="R1952" s="17" t="str"/>
      <x:c r="S1952" s="17" t="str"/>
    </x:row>
    <x:row r="1953">
      <x:c r="A1953" s="43" t="n">
        <x:v>1949</x:v>
      </x:c>
      <x:c r="B1953" s="44" t="str">
        <x:v>Not Started</x:v>
      </x:c>
      <x:c r="C1953" s="45" t="n">
        <x:v>42252</x:v>
      </x:c>
      <x:c r="D1953" s="33" t="str">
        <x:v>Cold Justice</x:v>
      </x:c>
      <x:c r="E1953" s="33" t="str">
        <x:v>Crossover Adjacent</x:v>
      </x:c>
      <x:c r="F1953" s="33" t="str">
        <x:v>complete</x:v>
      </x:c>
      <x:c r="G1953" s="50" t="n">
        <x:v>3</x:v>
      </x:c>
      <x:c r="H1953" s="50" t="n">
        <x:v>22</x:v>
      </x:c>
      <x:c r="I1953" s="44" t="str">
        <x:v>03.22</x:v>
      </x:c>
      <x:c r="J1953" s="33" t="str">
        <x:v>Justice Served (Los Angeles, CA)</x:v>
      </x:c>
      <x:c r="K1953" s="33" t="str"/>
      <x:c r="L1953" s="33" t="str"/>
      <x:c r="M1953" s="44" t="str"/>
      <x:c r="N1953" s="50" t="n">
        <x:v>42</x:v>
      </x:c>
      <x:c r="O1953" s="53" t="str">
        <x:v>In this special episode of the series, host John Walsh interviews the Cold Justice investigative team, who give behind the scenes insights into the investigations, and provides updates on past cases.</x:v>
      </x:c>
      <x:c r="P1953" s="53" t="str">
        <x:v>Wolf Entertainment unscripted true-crime series</x:v>
      </x:c>
      <x:c r="Q1953" s="17" t="str">
        <x:v>1971986</x:v>
      </x:c>
      <x:c r="R1953" s="17" t="str"/>
      <x:c r="S1953" s="17" t="str"/>
    </x:row>
    <x:row r="1954">
      <x:c r="A1954" s="43" t="n">
        <x:v>1950</x:v>
      </x:c>
      <x:c r="B1954" s="44" t="str">
        <x:v>Not Started</x:v>
      </x:c>
      <x:c r="C1954" s="45" t="n">
        <x:v>42259</x:v>
      </x:c>
      <x:c r="D1954" s="33" t="str">
        <x:v>Cold Justice</x:v>
      </x:c>
      <x:c r="E1954" s="33" t="str">
        <x:v>Crossover Adjacent</x:v>
      </x:c>
      <x:c r="F1954" s="33" t="str">
        <x:v>complete</x:v>
      </x:c>
      <x:c r="G1954" s="50" t="n">
        <x:v>3</x:v>
      </x:c>
      <x:c r="H1954" s="50" t="n">
        <x:v>23</x:v>
      </x:c>
      <x:c r="I1954" s="44" t="str">
        <x:v>03.23</x:v>
      </x:c>
      <x:c r="J1954" s="33" t="str">
        <x:v>In the Neighborhood, Pt 1 (White Settlement, TX)</x:v>
      </x:c>
      <x:c r="K1954" s="33" t="str"/>
      <x:c r="L1954" s="33" t="str"/>
      <x:c r="M1954" s="44" t="str"/>
      <x:c r="N1954" s="50" t="n">
        <x:v>42</x:v>
      </x:c>
      <x:c r="O1954" s="53" t="str">
        <x:v>In this 2 part episode, the Cold Justice Team investigates two different murder cases at the same time. A 1992 sexual assault and stabbing death of Laura Walsh in her home, and, months later, a double homicide of two young men, Gene Giddens and Jonathan "Keith" Durington, whose throats were slashed. Both crimes happened in the same neighborhood and all 3 victims were set on fire after their deaths leaving local law enforcement with three unsolved murders. The team will have to determine if these two cases are potentially connected, and help bring whomever is responsible to justice.</x:v>
      </x:c>
      <x:c r="P1954" s="53" t="str">
        <x:v>Wolf Entertainment unscripted true-crime series</x:v>
      </x:c>
      <x:c r="Q1954" s="17" t="str">
        <x:v>1971990</x:v>
      </x:c>
      <x:c r="R1954" s="17" t="str"/>
      <x:c r="S1954" s="17" t="str"/>
    </x:row>
    <x:row r="1955">
      <x:c r="A1955" s="43" t="n">
        <x:v>1951</x:v>
      </x:c>
      <x:c r="B1955" s="44" t="str">
        <x:v>Not Started</x:v>
      </x:c>
      <x:c r="C1955" s="45" t="n">
        <x:v>42266</x:v>
      </x:c>
      <x:c r="D1955" s="33" t="str">
        <x:v>Cold Justice</x:v>
      </x:c>
      <x:c r="E1955" s="33" t="str">
        <x:v>Crossover Adjacent</x:v>
      </x:c>
      <x:c r="F1955" s="33" t="str">
        <x:v>complete</x:v>
      </x:c>
      <x:c r="G1955" s="50" t="n">
        <x:v>3</x:v>
      </x:c>
      <x:c r="H1955" s="50" t="n">
        <x:v>24</x:v>
      </x:c>
      <x:c r="I1955" s="44" t="str">
        <x:v>03.24</x:v>
      </x:c>
      <x:c r="J1955" s="33" t="str">
        <x:v>In the Neighborhood, Pt 2 (White Settlement, TX)</x:v>
      </x:c>
      <x:c r="K1955" s="33" t="str"/>
      <x:c r="L1955" s="33" t="str"/>
      <x:c r="M1955" s="44" t="str"/>
      <x:c r="N1955" s="50" t="n">
        <x:v>42</x:v>
      </x:c>
      <x:c r="O1955" s="53" t="str">
        <x:v>The White Settlement, TX, investigation continues. After interviewing a large number of suspects, the team seems to be getting nowhere, until a recorded phone call of Doughlas Wright changes the outlook of the investigation.</x:v>
      </x:c>
      <x:c r="P1955" s="53" t="str">
        <x:v>Wolf Entertainment unscripted true-crime series</x:v>
      </x:c>
      <x:c r="Q1955" s="17" t="str">
        <x:v>1971984</x:v>
      </x:c>
      <x:c r="R1955" s="17" t="str"/>
      <x:c r="S1955" s="17" t="str"/>
    </x:row>
    <x:row r="1956">
      <x:c r="A1956" s="43" t="n">
        <x:v>1952</x:v>
      </x:c>
      <x:c r="B1956" s="44" t="str">
        <x:v>Not Started</x:v>
      </x:c>
      <x:c r="C1956" s="45" t="n">
        <x:v>42270</x:v>
      </x:c>
      <x:c r="D1956" s="33" t="str">
        <x:v>Law &amp; Order: Special Victims Unit</x:v>
      </x:c>
      <x:c r="E1956" s="33" t="str">
        <x:v>Law &amp; Order</x:v>
      </x:c>
      <x:c r="F1956" s="33" t="str">
        <x:v>core</x:v>
      </x:c>
      <x:c r="G1956" s="50" t="n">
        <x:v>17</x:v>
      </x:c>
      <x:c r="H1956" s="50" t="n">
        <x:v>1</x:v>
      </x:c>
      <x:c r="I1956" s="44" t="str">
        <x:v>17.01</x:v>
      </x:c>
      <x:c r="J1956" s="33" t="str">
        <x:v>Devil's Dissections (1)</x:v>
      </x:c>
      <x:c r="K1956" s="33" t="str"/>
      <x:c r="L1956" s="33" t="str"/>
      <x:c r="M1956" s="44" t="str"/>
      <x:c r="N1956" s="50" t="n">
        <x:v>43</x:v>
      </x:c>
      <x:c r="O1956" s="53" t="str">
        <x:v>The squad revisit a crime scene where bodies were buried by a serial killer. Rollins tries to get a confession, but the killer reveals shocking new info instead.</x:v>
      </x:c>
      <x:c r="P1956" s="53" t="str">
        <x:v>Core Law &amp; Order franchise</x:v>
      </x:c>
      <x:c r="Q1956" s="17" t="str">
        <x:v>1908800</x:v>
      </x:c>
      <x:c r="R1956" s="17" t="str">
        <x:v>tt4524654</x:v>
      </x:c>
      <x:c r="S1956" s="17" t="str">
        <x:v>1359</x:v>
      </x:c>
    </x:row>
    <x:row r="1957">
      <x:c r="A1957" s="43" t="n">
        <x:v>1953</x:v>
      </x:c>
      <x:c r="B1957" s="44" t="str">
        <x:v>Not Started</x:v>
      </x:c>
      <x:c r="C1957" s="45" t="n">
        <x:v>42270</x:v>
      </x:c>
      <x:c r="D1957" s="33" t="str">
        <x:v>Law &amp; Order: Special Victims Unit</x:v>
      </x:c>
      <x:c r="E1957" s="33" t="str">
        <x:v>Law &amp; Order</x:v>
      </x:c>
      <x:c r="F1957" s="33" t="str">
        <x:v>core</x:v>
      </x:c>
      <x:c r="G1957" s="50" t="n">
        <x:v>17</x:v>
      </x:c>
      <x:c r="H1957" s="50" t="n">
        <x:v>2</x:v>
      </x:c>
      <x:c r="I1957" s="44" t="str">
        <x:v>17.02</x:v>
      </x:c>
      <x:c r="J1957" s="33" t="str">
        <x:v>Criminal Pathology (2)</x:v>
      </x:c>
      <x:c r="K1957" s="33" t="str"/>
      <x:c r="L1957" s="33" t="str"/>
      <x:c r="M1957" s="44" t="str"/>
      <x:c r="N1957" s="50" t="n">
        <x:v>43</x:v>
      </x:c>
      <x:c r="O1957" s="53" t="str">
        <x:v>A serial killer reveals shocking new info and problems in the case mount as Barba faces slick lawyers in court.</x:v>
      </x:c>
      <x:c r="P1957" s="53" t="str">
        <x:v>Core Law &amp; Order franchise</x:v>
      </x:c>
      <x:c r="Q1957" s="17" t="str">
        <x:v>1938638</x:v>
      </x:c>
      <x:c r="R1957" s="17" t="str">
        <x:v>tt4777124</x:v>
      </x:c>
      <x:c r="S1957" s="17" t="str">
        <x:v>1360</x:v>
      </x:c>
    </x:row>
    <x:row r="1958">
      <x:c r="A1958" s="43" t="n">
        <x:v>1954</x:v>
      </x:c>
      <x:c r="B1958" s="44" t="str">
        <x:v>Not Started</x:v>
      </x:c>
      <x:c r="C1958" s="45" t="n">
        <x:v>42277</x:v>
      </x:c>
      <x:c r="D1958" s="33" t="str">
        <x:v>Law &amp; Order: Special Victims Unit</x:v>
      </x:c>
      <x:c r="E1958" s="33" t="str">
        <x:v>Law &amp; Order</x:v>
      </x:c>
      <x:c r="F1958" s="33" t="str">
        <x:v>core</x:v>
      </x:c>
      <x:c r="G1958" s="50" t="n">
        <x:v>17</x:v>
      </x:c>
      <x:c r="H1958" s="50" t="n">
        <x:v>3</x:v>
      </x:c>
      <x:c r="I1958" s="44" t="str">
        <x:v>17.03</x:v>
      </x:c>
      <x:c r="J1958" s="33" t="str">
        <x:v>Transgender Bridge</x:v>
      </x:c>
      <x:c r="K1958" s="33" t="str"/>
      <x:c r="L1958" s="33" t="str"/>
      <x:c r="M1958" s="44" t="str"/>
      <x:c r="N1958" s="50" t="n">
        <x:v>43</x:v>
      </x:c>
      <x:c r="O1958" s="53" t="str">
        <x:v>When a transgender teen is assaulted by high school bullies, the case quickly escalates to tragedy, and the squad agonizes over whether the punishment fits the crime.</x:v>
      </x:c>
      <x:c r="P1958" s="53" t="str">
        <x:v>Core Law &amp; Order franchise</x:v>
      </x:c>
      <x:c r="Q1958" s="17" t="str">
        <x:v>1938639</x:v>
      </x:c>
      <x:c r="R1958" s="17" t="str">
        <x:v>tt4777126</x:v>
      </x:c>
      <x:c r="S1958" s="17" t="str">
        <x:v>1361</x:v>
      </x:c>
    </x:row>
    <x:row r="1959">
      <x:c r="A1959" s="43" t="n">
        <x:v>1955</x:v>
      </x:c>
      <x:c r="B1959" s="44" t="str">
        <x:v>Not Started</x:v>
      </x:c>
      <x:c r="C1959" s="45" t="n">
        <x:v>42278</x:v>
      </x:c>
      <x:c r="D1959" s="33" t="str">
        <x:v>Chicago P.D.</x:v>
      </x:c>
      <x:c r="E1959" s="33" t="str">
        <x:v>One Chicago</x:v>
      </x:c>
      <x:c r="F1959" s="33" t="str">
        <x:v>core</x:v>
      </x:c>
      <x:c r="G1959" s="50" t="n">
        <x:v>3</x:v>
      </x:c>
      <x:c r="H1959" s="50" t="n">
        <x:v>1</x:v>
      </x:c>
      <x:c r="I1959" s="44" t="str">
        <x:v>03.01</x:v>
      </x:c>
      <x:c r="J1959" s="33" t="str">
        <x:v>Life Is Fluid</x:v>
      </x:c>
      <x:c r="K1959" s="33" t="str"/>
      <x:c r="L1959" s="33" t="str"/>
      <x:c r="M1959" s="44" t="str"/>
      <x:c r="N1959" s="50" t="n">
        <x:v>43</x:v>
      </x:c>
      <x:c r="O1959" s="53" t="str">
        <x:v>A bust to bring down a heroin kingpin goes horribly awry. Olinsky reveals a dark secret from his past, and Halstead tries to get through to a spiraling Lindsay.</x:v>
      </x:c>
      <x:c r="P1959" s="53" t="str">
        <x:v>Core One Chicago franchise; crossovers with SVU/FBI</x:v>
      </x:c>
      <x:c r="Q1959" s="17" t="str">
        <x:v>1908535</x:v>
      </x:c>
      <x:c r="R1959" s="17" t="str">
        <x:v>tt4649448</x:v>
      </x:c>
      <x:c r="S1959" s="17" t="str"/>
    </x:row>
    <x:row r="1960">
      <x:c r="A1960" s="43" t="n">
        <x:v>1956</x:v>
      </x:c>
      <x:c r="B1960" s="44" t="str">
        <x:v>Not Started</x:v>
      </x:c>
      <x:c r="C1960" s="45" t="n">
        <x:v>42284</x:v>
      </x:c>
      <x:c r="D1960" s="33" t="str">
        <x:v>Law &amp; Order: Special Victims Unit</x:v>
      </x:c>
      <x:c r="E1960" s="33" t="str">
        <x:v>Law &amp; Order</x:v>
      </x:c>
      <x:c r="F1960" s="33" t="str">
        <x:v>core</x:v>
      </x:c>
      <x:c r="G1960" s="50" t="n">
        <x:v>17</x:v>
      </x:c>
      <x:c r="H1960" s="50" t="n">
        <x:v>4</x:v>
      </x:c>
      <x:c r="I1960" s="44" t="str">
        <x:v>17.04</x:v>
      </x:c>
      <x:c r="J1960" s="33" t="str">
        <x:v>Institutional Fail</x:v>
      </x:c>
      <x:c r="K1960" s="33" t="str"/>
      <x:c r="L1960" s="33" t="str"/>
      <x:c r="M1960" s="44" t="str"/>
      <x:c r="N1960" s="50" t="n">
        <x:v>43</x:v>
      </x:c>
      <x:c r="O1960" s="53" t="str">
        <x:v>A malnourished toddler is found wandering and leads police to another ill child from the same home. The investigation eventually lands the Department of Child Services in hot water. Meanwhile, Chief Dodds tells Benson to expect some changes at her squad.</x:v>
      </x:c>
      <x:c r="P1960" s="53" t="str">
        <x:v>Core Law &amp; Order franchise</x:v>
      </x:c>
      <x:c r="Q1960" s="17" t="str">
        <x:v>1998321</x:v>
      </x:c>
      <x:c r="R1960" s="17" t="str">
        <x:v>tt5046480</x:v>
      </x:c>
      <x:c r="S1960" s="17" t="str">
        <x:v>1362</x:v>
      </x:c>
    </x:row>
    <x:row r="1961">
      <x:c r="A1961" s="43" t="n">
        <x:v>1957</x:v>
      </x:c>
      <x:c r="B1961" s="44" t="str">
        <x:v>Not Started</x:v>
      </x:c>
      <x:c r="C1961" s="45" t="n">
        <x:v>42285</x:v>
      </x:c>
      <x:c r="D1961" s="33" t="str">
        <x:v>Chicago P.D.</x:v>
      </x:c>
      <x:c r="E1961" s="33" t="str">
        <x:v>One Chicago</x:v>
      </x:c>
      <x:c r="F1961" s="33" t="str">
        <x:v>core</x:v>
      </x:c>
      <x:c r="G1961" s="50" t="n">
        <x:v>3</x:v>
      </x:c>
      <x:c r="H1961" s="50" t="n">
        <x:v>2</x:v>
      </x:c>
      <x:c r="I1961" s="44" t="str">
        <x:v>03.02</x:v>
      </x:c>
      <x:c r="J1961" s="33" t="str">
        <x:v>Natural Born Storyteller</x:v>
      </x:c>
      <x:c r="K1961" s="33" t="str"/>
      <x:c r="L1961" s="33" t="str"/>
      <x:c r="M1961" s="44" t="str"/>
      <x:c r="N1961" s="50" t="n">
        <x:v>42</x:v>
      </x:c>
      <x:c r="O1961" s="53" t="str">
        <x:v>A child abduction case hits too close to home for Dawson. Lindsay and Bunny's relationship reaches a critical impasse and Roman reveals his secret to Burgess.</x:v>
      </x:c>
      <x:c r="P1961" s="53" t="str">
        <x:v>Core One Chicago franchise; crossovers with SVU/FBI</x:v>
      </x:c>
      <x:c r="Q1961" s="17" t="str">
        <x:v>1950312</x:v>
      </x:c>
      <x:c r="R1961" s="17" t="str">
        <x:v>tt4909036</x:v>
      </x:c>
      <x:c r="S1961" s="17" t="str"/>
    </x:row>
    <x:row r="1962">
      <x:c r="A1962" s="43" t="n">
        <x:v>1958</x:v>
      </x:c>
      <x:c r="B1962" s="44" t="str">
        <x:v>Not Started</x:v>
      </x:c>
      <x:c r="C1962" s="45" t="n">
        <x:v>42291</x:v>
      </x:c>
      <x:c r="D1962" s="33" t="str">
        <x:v>Chicago Fire</x:v>
      </x:c>
      <x:c r="E1962" s="33" t="str">
        <x:v>One Chicago</x:v>
      </x:c>
      <x:c r="F1962" s="33" t="str">
        <x:v>core</x:v>
      </x:c>
      <x:c r="G1962" s="50" t="n">
        <x:v>4</x:v>
      </x:c>
      <x:c r="H1962" s="50" t="n">
        <x:v>1</x:v>
      </x:c>
      <x:c r="I1962" s="44" t="str">
        <x:v>04.01</x:v>
      </x:c>
      <x:c r="J1962" s="33" t="str">
        <x:v>Let It Burn</x:v>
      </x:c>
      <x:c r="K1962" s="33" t="str"/>
      <x:c r="L1962" s="33" t="str"/>
      <x:c r="M1962" s="44" t="str"/>
      <x:c r="N1962" s="50" t="n">
        <x:v>43</x:v>
      </x:c>
      <x:c r="O1962" s="53" t="str">
        <x:v>Casey is placed in a dangerous situation while working undercover to bring down a trafficking ring being run out of Nesbitt's club. The squad's high turnover rate results in an unwelcome surprise for Severide. Dawson recognizes that her life is about to change. A new candidate makes an unusual first impression. Residents band together to protest a drug den in their neighborhood.</x:v>
      </x:c>
      <x:c r="P1962" s="53" t="str">
        <x:v>Core One Chicago franchise</x:v>
      </x:c>
      <x:c r="Q1962" s="17" t="str">
        <x:v>1908818</x:v>
      </x:c>
      <x:c r="R1962" s="17" t="str">
        <x:v>tt4649316</x:v>
      </x:c>
      <x:c r="S1962" s="17" t="str"/>
    </x:row>
    <x:row r="1963">
      <x:c r="A1963" s="43" t="n">
        <x:v>1959</x:v>
      </x:c>
      <x:c r="B1963" s="44" t="str">
        <x:v>Not Started</x:v>
      </x:c>
      <x:c r="C1963" s="45" t="n">
        <x:v>42291</x:v>
      </x:c>
      <x:c r="D1963" s="33" t="str">
        <x:v>Law &amp; Order: Special Victims Unit</x:v>
      </x:c>
      <x:c r="E1963" s="33" t="str">
        <x:v>Law &amp; Order</x:v>
      </x:c>
      <x:c r="F1963" s="33" t="str">
        <x:v>core</x:v>
      </x:c>
      <x:c r="G1963" s="50" t="n">
        <x:v>17</x:v>
      </x:c>
      <x:c r="H1963" s="50" t="n">
        <x:v>5</x:v>
      </x:c>
      <x:c r="I1963" s="44" t="str">
        <x:v>17.05</x:v>
      </x:c>
      <x:c r="J1963" s="33" t="str">
        <x:v>Community Policing</x:v>
      </x:c>
      <x:c r="K1963" s="33" t="str"/>
      <x:c r="L1963" s="33" t="str"/>
      <x:c r="M1963" s="44" t="str"/>
      <x:c r="N1963" s="50" t="n">
        <x:v>43</x:v>
      </x:c>
      <x:c r="O1963" s="53" t="str">
        <x:v>An unarmed black man is shot by three police officers who claim they were following proper procedure while pursuing a rape suspect. As racial tensions mount throughout the city, Barba indicts the three cops.</x:v>
      </x:c>
      <x:c r="P1963" s="53" t="str">
        <x:v>Core Law &amp; Order franchise</x:v>
      </x:c>
      <x:c r="Q1963" s="17" t="str">
        <x:v>1998324</x:v>
      </x:c>
      <x:c r="R1963" s="17" t="str">
        <x:v>tt5044786</x:v>
      </x:c>
      <x:c r="S1963" s="17" t="str">
        <x:v>1363</x:v>
      </x:c>
    </x:row>
    <x:row r="1964">
      <x:c r="A1964" s="43" t="n">
        <x:v>1960</x:v>
      </x:c>
      <x:c r="B1964" s="44" t="str">
        <x:v>Not Started</x:v>
      </x:c>
      <x:c r="C1964" s="45" t="n">
        <x:v>42292</x:v>
      </x:c>
      <x:c r="D1964" s="33" t="str">
        <x:v>Chicago P.D.</x:v>
      </x:c>
      <x:c r="E1964" s="33" t="str">
        <x:v>One Chicago</x:v>
      </x:c>
      <x:c r="F1964" s="33" t="str">
        <x:v>core</x:v>
      </x:c>
      <x:c r="G1964" s="50" t="n">
        <x:v>3</x:v>
      </x:c>
      <x:c r="H1964" s="50" t="n">
        <x:v>3</x:v>
      </x:c>
      <x:c r="I1964" s="44" t="str">
        <x:v>03.03</x:v>
      </x:c>
      <x:c r="J1964" s="33" t="str">
        <x:v>Actual Physical Violence</x:v>
      </x:c>
      <x:c r="K1964" s="33" t="str"/>
      <x:c r="L1964" s="33" t="str"/>
      <x:c r="M1964" s="44" t="str"/>
      <x:c r="N1964" s="50" t="n">
        <x:v>43</x:v>
      </x:c>
      <x:c r="O1964" s="53" t="str">
        <x:v>The team is terrorized by a gun-wielding father who is desperate to find his missing daughter. Bunny stirs up accusations of misconduct from Voight's past.</x:v>
      </x:c>
      <x:c r="P1964" s="53" t="str">
        <x:v>Core One Chicago franchise; crossovers with SVU/FBI</x:v>
      </x:c>
      <x:c r="Q1964" s="17" t="str">
        <x:v>1967911</x:v>
      </x:c>
      <x:c r="R1964" s="17" t="str">
        <x:v>tt5057082</x:v>
      </x:c>
      <x:c r="S1964" s="17" t="str"/>
    </x:row>
    <x:row r="1965">
      <x:c r="A1965" s="43" t="n">
        <x:v>1961</x:v>
      </x:c>
      <x:c r="B1965" s="44" t="str">
        <x:v>Not Started</x:v>
      </x:c>
      <x:c r="C1965" s="45" t="n">
        <x:v>42298</x:v>
      </x:c>
      <x:c r="D1965" s="33" t="str">
        <x:v>Chicago Fire</x:v>
      </x:c>
      <x:c r="E1965" s="33" t="str">
        <x:v>One Chicago</x:v>
      </x:c>
      <x:c r="F1965" s="33" t="str">
        <x:v>core</x:v>
      </x:c>
      <x:c r="G1965" s="50" t="n">
        <x:v>4</x:v>
      </x:c>
      <x:c r="H1965" s="50" t="n">
        <x:v>2</x:v>
      </x:c>
      <x:c r="I1965" s="44" t="str">
        <x:v>04.02</x:v>
      </x:c>
      <x:c r="J1965" s="33" t="str">
        <x:v>A Taste of Panama City</x:v>
      </x:c>
      <x:c r="K1965" s="33" t="str"/>
      <x:c r="L1965" s="33" t="str"/>
      <x:c r="M1965" s="44" t="str"/>
      <x:c r="N1965" s="50" t="n">
        <x:v>43</x:v>
      </x:c>
      <x:c r="O1965" s="53" t="str">
        <x:v>Boden's job is on the line pending an internal investigation. Severide adjusts to Patterson, his new commanding officer. Dawson shakes things up at the work. Casey searches for important evidence in his investigation of Nesbitt. Herrmann tries to keep the peace with Molly's new neighbors.</x:v>
      </x:c>
      <x:c r="P1965" s="53" t="str">
        <x:v>Core One Chicago franchise</x:v>
      </x:c>
      <x:c r="Q1965" s="17" t="str">
        <x:v>1931657</x:v>
      </x:c>
      <x:c r="R1965" s="17" t="str">
        <x:v>tt4986940</x:v>
      </x:c>
      <x:c r="S1965" s="17" t="str"/>
    </x:row>
    <x:row r="1966">
      <x:c r="A1966" s="43" t="n">
        <x:v>1962</x:v>
      </x:c>
      <x:c r="B1966" s="44" t="str">
        <x:v>Not Started</x:v>
      </x:c>
      <x:c r="C1966" s="45" t="n">
        <x:v>42298</x:v>
      </x:c>
      <x:c r="D1966" s="33" t="str">
        <x:v>Law &amp; Order: Special Victims Unit</x:v>
      </x:c>
      <x:c r="E1966" s="33" t="str">
        <x:v>Law &amp; Order</x:v>
      </x:c>
      <x:c r="F1966" s="33" t="str">
        <x:v>core</x:v>
      </x:c>
      <x:c r="G1966" s="50" t="n">
        <x:v>17</x:v>
      </x:c>
      <x:c r="H1966" s="50" t="n">
        <x:v>6</x:v>
      </x:c>
      <x:c r="I1966" s="44" t="str">
        <x:v>17.06</x:v>
      </x:c>
      <x:c r="J1966" s="33" t="str">
        <x:v>Maternal Instincts</x:v>
      </x:c>
      <x:c r="K1966" s="33" t="str"/>
      <x:c r="L1966" s="33" t="str"/>
      <x:c r="M1966" s="44" t="str"/>
      <x:c r="N1966" s="50" t="n">
        <x:v>43</x:v>
      </x:c>
      <x:c r="O1966" s="53" t="str">
        <x:v>A violinist is raped by her colleague, but he doesn't remember committing the crime and claims he was drugged and robbed by a hired escort. Meanwhile, Rollins' mother throws a baby shower for her; and Sgt. Mike Dodds reports to work at the SVU squad.</x:v>
      </x:c>
      <x:c r="P1966" s="53" t="str">
        <x:v>Core Law &amp; Order franchise</x:v>
      </x:c>
      <x:c r="Q1966" s="17" t="str">
        <x:v>2021652</x:v>
      </x:c>
      <x:c r="R1966" s="17" t="str">
        <x:v>tt4916180</x:v>
      </x:c>
      <x:c r="S1966" s="17" t="str">
        <x:v>1364</x:v>
      </x:c>
    </x:row>
    <x:row r="1967">
      <x:c r="A1967" s="43" t="n">
        <x:v>1963</x:v>
      </x:c>
      <x:c r="B1967" s="44" t="str">
        <x:v>Not Started</x:v>
      </x:c>
      <x:c r="C1967" s="45" t="n">
        <x:v>42299</x:v>
      </x:c>
      <x:c r="D1967" s="33" t="str">
        <x:v>Chicago P.D.</x:v>
      </x:c>
      <x:c r="E1967" s="33" t="str">
        <x:v>One Chicago</x:v>
      </x:c>
      <x:c r="F1967" s="33" t="str">
        <x:v>core</x:v>
      </x:c>
      <x:c r="G1967" s="50" t="n">
        <x:v>3</x:v>
      </x:c>
      <x:c r="H1967" s="50" t="n">
        <x:v>4</x:v>
      </x:c>
      <x:c r="I1967" s="44" t="str">
        <x:v>03.04</x:v>
      </x:c>
      <x:c r="J1967" s="33" t="str">
        <x:v>Debts of the Past</x:v>
      </x:c>
      <x:c r="K1967" s="33" t="str"/>
      <x:c r="L1967" s="33" t="str"/>
      <x:c r="M1967" s="44" t="str"/>
      <x:c r="N1967" s="50" t="n">
        <x:v>41</x:v>
      </x:c>
      <x:c r="O1967" s="53" t="str">
        <x:v>Voight seeks revenge on the man who tried to kill him. A rumor causes a rift in Intelligence.</x:v>
      </x:c>
      <x:c r="P1967" s="53" t="str">
        <x:v>Core One Chicago franchise; crossovers with SVU/FBI</x:v>
      </x:c>
      <x:c r="Q1967" s="17" t="str">
        <x:v>1967912</x:v>
      </x:c>
      <x:c r="R1967" s="17" t="str">
        <x:v>tt5074672</x:v>
      </x:c>
      <x:c r="S1967" s="17" t="str"/>
    </x:row>
    <x:row r="1968">
      <x:c r="A1968" s="43" t="n">
        <x:v>1964</x:v>
      </x:c>
      <x:c r="B1968" s="44" t="str">
        <x:v>Not Started</x:v>
      </x:c>
      <x:c r="C1968" s="45" t="n">
        <x:v>42305</x:v>
      </x:c>
      <x:c r="D1968" s="33" t="str">
        <x:v>Chicago Fire</x:v>
      </x:c>
      <x:c r="E1968" s="33" t="str">
        <x:v>One Chicago</x:v>
      </x:c>
      <x:c r="F1968" s="33" t="str">
        <x:v>core</x:v>
      </x:c>
      <x:c r="G1968" s="50" t="n">
        <x:v>4</x:v>
      </x:c>
      <x:c r="H1968" s="50" t="n">
        <x:v>3</x:v>
      </x:c>
      <x:c r="I1968" s="44" t="str">
        <x:v>04.03</x:v>
      </x:c>
      <x:c r="J1968" s="33" t="str">
        <x:v>I Walk Away</x:v>
      </x:c>
      <x:c r="K1968" s="33" t="str"/>
      <x:c r="L1968" s="33" t="str"/>
      <x:c r="M1968" s="44" t="str"/>
      <x:c r="N1968" s="50" t="n">
        <x:v>43</x:v>
      </x:c>
      <x:c r="O1968" s="53" t="str">
        <x:v>Evidence that seems to exonerate Boden may not be enough. Brett and Chili find themselves in a precarious situation. The team responds to a stuck elevator in a hotel. Jimmy Borrelli's older brother wants him transferred to a different house.</x:v>
      </x:c>
      <x:c r="P1968" s="53" t="str">
        <x:v>Core One Chicago franchise</x:v>
      </x:c>
      <x:c r="Q1968" s="17" t="str">
        <x:v>1931658</x:v>
      </x:c>
      <x:c r="R1968" s="17" t="str">
        <x:v>tt5100710</x:v>
      </x:c>
      <x:c r="S1968" s="17" t="str"/>
    </x:row>
    <x:row r="1969">
      <x:c r="A1969" s="43" t="n">
        <x:v>1965</x:v>
      </x:c>
      <x:c r="B1969" s="44" t="str">
        <x:v>Not Started</x:v>
      </x:c>
      <x:c r="C1969" s="45" t="n">
        <x:v>42306</x:v>
      </x:c>
      <x:c r="D1969" s="33" t="str">
        <x:v>Chicago P.D.</x:v>
      </x:c>
      <x:c r="E1969" s="33" t="str">
        <x:v>One Chicago</x:v>
      </x:c>
      <x:c r="F1969" s="33" t="str">
        <x:v>core</x:v>
      </x:c>
      <x:c r="G1969" s="50" t="n">
        <x:v>3</x:v>
      </x:c>
      <x:c r="H1969" s="50" t="n">
        <x:v>5</x:v>
      </x:c>
      <x:c r="I1969" s="44" t="str">
        <x:v>03.05</x:v>
      </x:c>
      <x:c r="J1969" s="33" t="str">
        <x:v>Climbing into Bed (1)</x:v>
      </x:c>
      <x:c r="K1969" s="33" t="str"/>
      <x:c r="L1969" s="33" t="str"/>
      <x:c r="M1969" s="44" t="str"/>
      <x:c r="N1969" s="50" t="n">
        <x:v>43</x:v>
      </x:c>
      <x:c r="O1969" s="53" t="str">
        <x:v>Ruzek's job is on the line after an ill-fated undercover op.</x:v>
      </x:c>
      <x:c r="P1969" s="53" t="str">
        <x:v>Core One Chicago franchise; crossovers with SVU/FBI</x:v>
      </x:c>
      <x:c r="Q1969" s="17" t="str">
        <x:v>1967913</x:v>
      </x:c>
      <x:c r="R1969" s="17" t="str">
        <x:v>tt5025986</x:v>
      </x:c>
      <x:c r="S1969" s="17" t="str"/>
    </x:row>
    <x:row r="1970">
      <x:c r="A1970" s="43" t="n">
        <x:v>1966</x:v>
      </x:c>
      <x:c r="B1970" s="44" t="str">
        <x:v>Not Started</x:v>
      </x:c>
      <x:c r="C1970" s="45" t="n">
        <x:v>42306</x:v>
      </x:c>
      <x:c r="D1970" s="33" t="str">
        <x:v>Chicago P.D.</x:v>
      </x:c>
      <x:c r="E1970" s="33" t="str">
        <x:v>One Chicago</x:v>
      </x:c>
      <x:c r="F1970" s="33" t="str">
        <x:v>core</x:v>
      </x:c>
      <x:c r="G1970" s="50" t="n">
        <x:v>3</x:v>
      </x:c>
      <x:c r="H1970" s="50" t="n">
        <x:v>6</x:v>
      </x:c>
      <x:c r="I1970" s="44" t="str">
        <x:v>03.06</x:v>
      </x:c>
      <x:c r="J1970" s="33" t="str">
        <x:v>You Never Know Who's Who (2)</x:v>
      </x:c>
      <x:c r="K1970" s="33" t="str"/>
      <x:c r="L1970" s="33" t="str"/>
      <x:c r="M1970" s="44" t="str"/>
      <x:c r="N1970" s="50" t="n">
        <x:v>43</x:v>
      </x:c>
      <x:c r="O1970" s="53" t="str">
        <x:v>The team investigates a band of rogue operatives.</x:v>
      </x:c>
      <x:c r="P1970" s="53" t="str">
        <x:v>Core One Chicago franchise; crossovers with SVU/FBI</x:v>
      </x:c>
      <x:c r="Q1970" s="17" t="str">
        <x:v>2002234</x:v>
      </x:c>
      <x:c r="R1970" s="17" t="str">
        <x:v>tt6666784</x:v>
      </x:c>
      <x:c r="S1970" s="17" t="str"/>
    </x:row>
    <x:row r="1971">
      <x:c r="A1971" s="43" t="n">
        <x:v>1967</x:v>
      </x:c>
      <x:c r="B1971" s="44" t="str">
        <x:v>Not Started</x:v>
      </x:c>
      <x:c r="C1971" s="45" t="n">
        <x:v>42312</x:v>
      </x:c>
      <x:c r="D1971" s="33" t="str">
        <x:v>Chicago Fire</x:v>
      </x:c>
      <x:c r="E1971" s="33" t="str">
        <x:v>One Chicago</x:v>
      </x:c>
      <x:c r="F1971" s="33" t="str">
        <x:v>core</x:v>
      </x:c>
      <x:c r="G1971" s="50" t="n">
        <x:v>4</x:v>
      </x:c>
      <x:c r="H1971" s="50" t="n">
        <x:v>4</x:v>
      </x:c>
      <x:c r="I1971" s="44" t="str">
        <x:v>04.04</x:v>
      </x:c>
      <x:c r="J1971" s="33" t="str">
        <x:v>Your Day Is Coming</x:v>
      </x:c>
      <x:c r="K1971" s="33" t="str"/>
      <x:c r="L1971" s="33" t="str"/>
      <x:c r="M1971" s="44" t="str"/>
      <x:c r="N1971" s="50" t="n">
        <x:v>43</x:v>
      </x:c>
      <x:c r="O1971" s="53" t="str">
        <x:v>The squad members come together to support one of their own. Herrmann tries to figure out how to reopen Molly's after it gets shut down. Severide digs deep into the arson investigation.</x:v>
      </x:c>
      <x:c r="P1971" s="53" t="str">
        <x:v>Core One Chicago franchise</x:v>
      </x:c>
      <x:c r="Q1971" s="17" t="str">
        <x:v>1931659</x:v>
      </x:c>
      <x:c r="R1971" s="17" t="str">
        <x:v>tt5122326</x:v>
      </x:c>
      <x:c r="S1971" s="17" t="str"/>
    </x:row>
    <x:row r="1972">
      <x:c r="A1972" s="43" t="n">
        <x:v>1968</x:v>
      </x:c>
      <x:c r="B1972" s="44" t="str">
        <x:v>Not Started</x:v>
      </x:c>
      <x:c r="C1972" s="45" t="n">
        <x:v>42312</x:v>
      </x:c>
      <x:c r="D1972" s="33" t="str">
        <x:v>Law &amp; Order: Special Victims Unit</x:v>
      </x:c>
      <x:c r="E1972" s="33" t="str">
        <x:v>Law &amp; Order</x:v>
      </x:c>
      <x:c r="F1972" s="33" t="str">
        <x:v>core</x:v>
      </x:c>
      <x:c r="G1972" s="50" t="n">
        <x:v>17</x:v>
      </x:c>
      <x:c r="H1972" s="50" t="n">
        <x:v>7</x:v>
      </x:c>
      <x:c r="I1972" s="44" t="str">
        <x:v>17.07</x:v>
      </x:c>
      <x:c r="J1972" s="33" t="str">
        <x:v>Patrimonial Burden</x:v>
      </x:c>
      <x:c r="K1972" s="33" t="str"/>
      <x:c r="L1972" s="33" t="str"/>
      <x:c r="M1972" s="44" t="str"/>
      <x:c r="N1972" s="50" t="n">
        <x:v>43</x:v>
      </x:c>
      <x:c r="O1972" s="53" t="str">
        <x:v>When a pious TV family's reputation is shattered by a teen pregnancy scandal, SVU uncovers the reality behind the reality show.</x:v>
      </x:c>
      <x:c r="P1972" s="53" t="str">
        <x:v>Core Law &amp; Order franchise</x:v>
      </x:c>
      <x:c r="Q1972" s="17" t="str">
        <x:v>2028948</x:v>
      </x:c>
      <x:c r="R1972" s="17" t="str">
        <x:v>tt5110040</x:v>
      </x:c>
      <x:c r="S1972" s="17" t="str">
        <x:v>1365</x:v>
      </x:c>
    </x:row>
    <x:row r="1973">
      <x:c r="A1973" s="43" t="n">
        <x:v>1969</x:v>
      </x:c>
      <x:c r="B1973" s="44" t="str">
        <x:v>Not Started</x:v>
      </x:c>
      <x:c r="C1973" s="45" t="n">
        <x:v>42313</x:v>
      </x:c>
      <x:c r="D1973" s="33" t="str">
        <x:v>Chicago P.D.</x:v>
      </x:c>
      <x:c r="E1973" s="33" t="str">
        <x:v>One Chicago</x:v>
      </x:c>
      <x:c r="F1973" s="33" t="str">
        <x:v>core</x:v>
      </x:c>
      <x:c r="G1973" s="50" t="n">
        <x:v>3</x:v>
      </x:c>
      <x:c r="H1973" s="50" t="n">
        <x:v>7</x:v>
      </x:c>
      <x:c r="I1973" s="44" t="str">
        <x:v>03.07</x:v>
      </x:c>
      <x:c r="J1973" s="33" t="str">
        <x:v>A Dead Kid, a Notebook and a Lot of Maybes</x:v>
      </x:c>
      <x:c r="K1973" s="33" t="str"/>
      <x:c r="L1973" s="33" t="str"/>
      <x:c r="M1973" s="44" t="str"/>
      <x:c r="N1973" s="50" t="n">
        <x:v>43</x:v>
      </x:c>
      <x:c r="O1973" s="53" t="str">
        <x:v>The team investigates a Columbine-like threat at a private school. Atwater seeks out a mentor; Olinsky's marriage faces a crisis.</x:v>
      </x:c>
      <x:c r="P1973" s="53" t="str">
        <x:v>Core One Chicago franchise; crossovers with SVU/FBI</x:v>
      </x:c>
      <x:c r="Q1973" s="17" t="str">
        <x:v>2002235</x:v>
      </x:c>
      <x:c r="R1973" s="17" t="str">
        <x:v>tt5058458</x:v>
      </x:c>
      <x:c r="S1973" s="17" t="str"/>
    </x:row>
    <x:row r="1974">
      <x:c r="A1974" s="43" t="n">
        <x:v>1970</x:v>
      </x:c>
      <x:c r="B1974" s="44" t="str">
        <x:v>Not Started</x:v>
      </x:c>
      <x:c r="C1974" s="45" t="n">
        <x:v>42319</x:v>
      </x:c>
      <x:c r="D1974" s="33" t="str">
        <x:v>Chicago Fire</x:v>
      </x:c>
      <x:c r="E1974" s="33" t="str">
        <x:v>One Chicago</x:v>
      </x:c>
      <x:c r="F1974" s="33" t="str">
        <x:v>core</x:v>
      </x:c>
      <x:c r="G1974" s="50" t="n">
        <x:v>4</x:v>
      </x:c>
      <x:c r="H1974" s="50" t="n">
        <x:v>5</x:v>
      </x:c>
      <x:c r="I1974" s="44" t="str">
        <x:v>04.05</x:v>
      </x:c>
      <x:c r="J1974" s="33" t="str">
        <x:v>Regarding This Wedding</x:v>
      </x:c>
      <x:c r="K1974" s="33" t="str"/>
      <x:c r="L1974" s="33" t="str"/>
      <x:c r="M1974" s="44" t="str"/>
      <x:c r="N1974" s="50" t="n">
        <x:v>42</x:v>
      </x:c>
      <x:c r="O1974" s="53" t="str">
        <x:v>Boden offers to host a wedding at the firehouse after a fire destroys the original location, but it doesn't sit well with Chief Riddle, who also butts heads with Dawson over her ability to perform. Severide fights for his old position. Capt. Patterson finds himself torn between leadership and his colleagues.</x:v>
      </x:c>
      <x:c r="P1974" s="53" t="str">
        <x:v>Core One Chicago franchise</x:v>
      </x:c>
      <x:c r="Q1974" s="17" t="str">
        <x:v>1931660</x:v>
      </x:c>
      <x:c r="R1974" s="17" t="str">
        <x:v>tt5145842</x:v>
      </x:c>
      <x:c r="S1974" s="17" t="str"/>
    </x:row>
    <x:row r="1975">
      <x:c r="A1975" s="43" t="n">
        <x:v>1971</x:v>
      </x:c>
      <x:c r="B1975" s="44" t="str">
        <x:v>Not Started</x:v>
      </x:c>
      <x:c r="C1975" s="45" t="n">
        <x:v>42319</x:v>
      </x:c>
      <x:c r="D1975" s="33" t="str">
        <x:v>Law &amp; Order: Special Victims Unit</x:v>
      </x:c>
      <x:c r="E1975" s="33" t="str">
        <x:v>Law &amp; Order</x:v>
      </x:c>
      <x:c r="F1975" s="33" t="str">
        <x:v>core</x:v>
      </x:c>
      <x:c r="G1975" s="50" t="n">
        <x:v>17</x:v>
      </x:c>
      <x:c r="H1975" s="50" t="n">
        <x:v>8</x:v>
      </x:c>
      <x:c r="I1975" s="44" t="str">
        <x:v>17.08</x:v>
      </x:c>
      <x:c r="J1975" s="33" t="str">
        <x:v>Melancholy Pursuit</x:v>
      </x:c>
      <x:c r="K1975" s="33" t="str"/>
      <x:c r="L1975" s="33" t="str"/>
      <x:c r="M1975" s="44" t="str"/>
      <x:c r="N1975" s="50" t="n">
        <x:v>43</x:v>
      </x:c>
      <x:c r="O1975" s="53" t="str">
        <x:v>The search for a missing teenager takes an emotional toll on Dodd, DNA could lead to the teen's abductor.</x:v>
      </x:c>
      <x:c r="P1975" s="53" t="str">
        <x:v>Core Law &amp; Order franchise</x:v>
      </x:c>
      <x:c r="Q1975" s="17" t="str">
        <x:v>2028949</x:v>
      </x:c>
      <x:c r="R1975" s="17" t="str">
        <x:v>tt5146930</x:v>
      </x:c>
      <x:c r="S1975" s="17" t="str">
        <x:v>1366</x:v>
      </x:c>
    </x:row>
    <x:row r="1976">
      <x:c r="A1976" s="43" t="n">
        <x:v>1972</x:v>
      </x:c>
      <x:c r="B1976" s="44" t="str">
        <x:v>Not Started</x:v>
      </x:c>
      <x:c r="C1976" s="45" t="n">
        <x:v>42320</x:v>
      </x:c>
      <x:c r="D1976" s="33" t="str">
        <x:v>Chicago P.D.</x:v>
      </x:c>
      <x:c r="E1976" s="33" t="str">
        <x:v>One Chicago</x:v>
      </x:c>
      <x:c r="F1976" s="33" t="str">
        <x:v>core</x:v>
      </x:c>
      <x:c r="G1976" s="50" t="n">
        <x:v>3</x:v>
      </x:c>
      <x:c r="H1976" s="50" t="n">
        <x:v>8</x:v>
      </x:c>
      <x:c r="I1976" s="44" t="str">
        <x:v>03.08</x:v>
      </x:c>
      <x:c r="J1976" s="33" t="str">
        <x:v>Forget My Name</x:v>
      </x:c>
      <x:c r="K1976" s="33" t="str"/>
      <x:c r="L1976" s="33" t="str"/>
      <x:c r="M1976" s="44" t="str"/>
      <x:c r="N1976" s="50" t="n">
        <x:v>43</x:v>
      </x:c>
      <x:c r="O1976" s="53" t="str">
        <x:v>The team discovers the mutilated body of a government official while responding to an informant's tip about an upcoming drug trade. Meanwhile, Burgess helps plan a surprise for Platt.</x:v>
      </x:c>
      <x:c r="P1976" s="53" t="str">
        <x:v>Core One Chicago franchise; crossovers with SVU/FBI</x:v>
      </x:c>
      <x:c r="Q1976" s="17" t="str">
        <x:v>2002236</x:v>
      </x:c>
      <x:c r="R1976" s="17" t="str">
        <x:v>tt5145860</x:v>
      </x:c>
      <x:c r="S1976" s="17" t="str"/>
    </x:row>
    <x:row r="1977">
      <x:c r="A1977" s="43" t="n">
        <x:v>1973</x:v>
      </x:c>
      <x:c r="B1977" s="44" t="str">
        <x:v>Not Started</x:v>
      </x:c>
      <x:c r="C1977" s="45" t="n">
        <x:v>42326</x:v>
      </x:c>
      <x:c r="D1977" s="33" t="str">
        <x:v>Chicago Med</x:v>
      </x:c>
      <x:c r="E1977" s="33" t="str">
        <x:v>One Chicago</x:v>
      </x:c>
      <x:c r="F1977" s="33" t="str">
        <x:v>core</x:v>
      </x:c>
      <x:c r="G1977" s="50" t="n">
        <x:v>1</x:v>
      </x:c>
      <x:c r="H1977" s="50" t="n">
        <x:v>1</x:v>
      </x:c>
      <x:c r="I1977" s="44" t="str">
        <x:v>01.01</x:v>
      </x:c>
      <x:c r="J1977" s="33" t="str">
        <x:v>Derailed</x:v>
      </x:c>
      <x:c r="K1977" s="33" t="str"/>
      <x:c r="L1977" s="33" t="str"/>
      <x:c r="M1977" s="44" t="str"/>
      <x:c r="N1977" s="50" t="n">
        <x:v>44</x:v>
      </x:c>
      <x:c r="O1977" s="53" t="str">
        <x:v>The grand opening of Chicago Med's emergency department is interrupted by victims of an elevated train crash, pushing the staff to their limits.</x:v>
      </x:c>
      <x:c r="P1977" s="53" t="str">
        <x:v>Core One Chicago franchise</x:v>
      </x:c>
      <x:c r="Q1977" s="17" t="str">
        <x:v>1883704</x:v>
      </x:c>
      <x:c r="R1977" s="17" t="str">
        <x:v>tt5021510</x:v>
      </x:c>
      <x:c r="S1977" s="17" t="str"/>
    </x:row>
    <x:row r="1978">
      <x:c r="A1978" s="43" t="n">
        <x:v>1974</x:v>
      </x:c>
      <x:c r="B1978" s="44" t="str">
        <x:v>Not Started</x:v>
      </x:c>
      <x:c r="C1978" s="45" t="n">
        <x:v>42326</x:v>
      </x:c>
      <x:c r="D1978" s="33" t="str">
        <x:v>Chicago Fire</x:v>
      </x:c>
      <x:c r="E1978" s="33" t="str">
        <x:v>One Chicago</x:v>
      </x:c>
      <x:c r="F1978" s="33" t="str">
        <x:v>core</x:v>
      </x:c>
      <x:c r="G1978" s="50" t="n">
        <x:v>4</x:v>
      </x:c>
      <x:c r="H1978" s="50" t="n">
        <x:v>6</x:v>
      </x:c>
      <x:c r="I1978" s="44" t="str">
        <x:v>04.06</x:v>
      </x:c>
      <x:c r="J1978" s="33" t="str">
        <x:v>2112</x:v>
      </x:c>
      <x:c r="K1978" s="33" t="str"/>
      <x:c r="L1978" s="33" t="str"/>
      <x:c r="M1978" s="44" t="str"/>
      <x:c r="N1978" s="50" t="n">
        <x:v>42</x:v>
      </x:c>
      <x:c r="O1978" s="53" t="str">
        <x:v>Boden's new neighbor asks him for a favor that could have serious repercussions. Severide is upset when he's treated like a candidate by Patterson. Cruz is visited by a gangbanger who knows his brother. The team responds to a call that involves an 18-wheeler; and is thanked with tickets to see Rush.</x:v>
      </x:c>
      <x:c r="P1978" s="53" t="str">
        <x:v>Core One Chicago franchise</x:v>
      </x:c>
      <x:c r="Q1978" s="17" t="str">
        <x:v>1967923</x:v>
      </x:c>
      <x:c r="R1978" s="17" t="str">
        <x:v>tt5159356</x:v>
      </x:c>
      <x:c r="S1978" s="17" t="str"/>
    </x:row>
    <x:row r="1979">
      <x:c r="A1979" s="43" t="n">
        <x:v>1975</x:v>
      </x:c>
      <x:c r="B1979" s="44" t="str">
        <x:v>Not Started</x:v>
      </x:c>
      <x:c r="C1979" s="45" t="n">
        <x:v>42326</x:v>
      </x:c>
      <x:c r="D1979" s="33" t="str">
        <x:v>Law &amp; Order: Special Victims Unit</x:v>
      </x:c>
      <x:c r="E1979" s="33" t="str">
        <x:v>Law &amp; Order</x:v>
      </x:c>
      <x:c r="F1979" s="33" t="str">
        <x:v>core</x:v>
      </x:c>
      <x:c r="G1979" s="50" t="n">
        <x:v>17</x:v>
      </x:c>
      <x:c r="H1979" s="50" t="n">
        <x:v>9</x:v>
      </x:c>
      <x:c r="I1979" s="44" t="str">
        <x:v>17.09</x:v>
      </x:c>
      <x:c r="J1979" s="33" t="str">
        <x:v>Depravity Standard</x:v>
      </x:c>
      <x:c r="K1979" s="33" t="str"/>
      <x:c r="L1979" s="33" t="str"/>
      <x:c r="M1979" s="44" t="str"/>
      <x:c r="N1979" s="50" t="n">
        <x:v>43</x:v>
      </x:c>
      <x:c r="O1979" s="53" t="str">
        <x:v>Lt. Benson seeks justice in the trial of child abductor Lewis Hodda, but when a plea deal is rejected, Barba must rely on decades-old evidence to make his case and faces off against former SVU colleague Dr. Huang.</x:v>
      </x:c>
      <x:c r="P1979" s="53" t="str">
        <x:v>Core Law &amp; Order franchise</x:v>
      </x:c>
      <x:c r="Q1979" s="17" t="str">
        <x:v>2028950</x:v>
      </x:c>
      <x:c r="R1979" s="17" t="str">
        <x:v>tt5154188</x:v>
      </x:c>
      <x:c r="S1979" s="17" t="str">
        <x:v>1367</x:v>
      </x:c>
    </x:row>
    <x:row r="1980">
      <x:c r="A1980" s="43" t="n">
        <x:v>1976</x:v>
      </x:c>
      <x:c r="B1980" s="44" t="str">
        <x:v>Not Started</x:v>
      </x:c>
      <x:c r="C1980" s="45" t="n">
        <x:v>42327</x:v>
      </x:c>
      <x:c r="D1980" s="33" t="str">
        <x:v>Chicago P.D.</x:v>
      </x:c>
      <x:c r="E1980" s="33" t="str">
        <x:v>One Chicago</x:v>
      </x:c>
      <x:c r="F1980" s="33" t="str">
        <x:v>core</x:v>
      </x:c>
      <x:c r="G1980" s="50" t="n">
        <x:v>3</x:v>
      </x:c>
      <x:c r="H1980" s="50" t="n">
        <x:v>9</x:v>
      </x:c>
      <x:c r="I1980" s="44" t="str">
        <x:v>03.09</x:v>
      </x:c>
      <x:c r="J1980" s="33" t="str">
        <x:v>Never Forget I Love You</x:v>
      </x:c>
      <x:c r="K1980" s="33" t="str"/>
      <x:c r="L1980" s="33" t="str"/>
      <x:c r="M1980" s="44" t="str"/>
      <x:c r="N1980" s="50" t="n">
        <x:v>43</x:v>
      </x:c>
      <x:c r="O1980" s="53" t="str">
        <x:v>The discovery of a headless body in Lake Michigan points to Hank's mob connections. Roman risks everything to help a grieving mother.</x:v>
      </x:c>
      <x:c r="P1980" s="53" t="str">
        <x:v>Core One Chicago franchise; crossovers with SVU/FBI</x:v>
      </x:c>
      <x:c r="Q1980" s="17" t="str">
        <x:v>2023937</x:v>
      </x:c>
      <x:c r="R1980" s="17" t="str">
        <x:v>tt5159358</x:v>
      </x:c>
      <x:c r="S1980" s="17" t="str"/>
    </x:row>
    <x:row r="1981">
      <x:c r="A1981" s="43" t="n">
        <x:v>1977</x:v>
      </x:c>
      <x:c r="B1981" s="44" t="str">
        <x:v>Not Started</x:v>
      </x:c>
      <x:c r="C1981" s="45" t="n">
        <x:v>42333</x:v>
      </x:c>
      <x:c r="D1981" s="33" t="str">
        <x:v>Chicago Med</x:v>
      </x:c>
      <x:c r="E1981" s="33" t="str">
        <x:v>One Chicago</x:v>
      </x:c>
      <x:c r="F1981" s="33" t="str">
        <x:v>core</x:v>
      </x:c>
      <x:c r="G1981" s="50" t="n">
        <x:v>1</x:v>
      </x:c>
      <x:c r="H1981" s="50" t="n">
        <x:v>2</x:v>
      </x:c>
      <x:c r="I1981" s="44" t="str">
        <x:v>01.02</x:v>
      </x:c>
      <x:c r="J1981" s="33" t="str">
        <x:v>iNO</x:v>
      </x:c>
      <x:c r="K1981" s="33" t="str"/>
      <x:c r="L1981" s="33" t="str"/>
      <x:c r="M1981" s="44" t="str"/>
      <x:c r="N1981" s="50" t="n">
        <x:v>42</x:v>
      </x:c>
      <x:c r="O1981" s="53" t="str">
        <x:v>Dr. Choi treats a teen mother who abandoned her newborn baby in an alley, as the staffers must make difficult decisions about the teen's future. Also, a hypochondriac with chest pains is treated, as is a patient suffering from possible dementia.</x:v>
      </x:c>
      <x:c r="P1981" s="53" t="str">
        <x:v>Core One Chicago franchise</x:v>
      </x:c>
      <x:c r="Q1981" s="17" t="str">
        <x:v>1931651</x:v>
      </x:c>
      <x:c r="R1981" s="17" t="str">
        <x:v>tt5086038</x:v>
      </x:c>
      <x:c r="S1981" s="17" t="str"/>
    </x:row>
    <x:row r="1982">
      <x:c r="A1982" s="43" t="n">
        <x:v>1978</x:v>
      </x:c>
      <x:c r="B1982" s="44" t="str">
        <x:v>Not Started</x:v>
      </x:c>
      <x:c r="C1982" s="45" t="n">
        <x:v>42333</x:v>
      </x:c>
      <x:c r="D1982" s="33" t="str">
        <x:v>Chicago Fire</x:v>
      </x:c>
      <x:c r="E1982" s="33" t="str">
        <x:v>One Chicago</x:v>
      </x:c>
      <x:c r="F1982" s="33" t="str">
        <x:v>core</x:v>
      </x:c>
      <x:c r="G1982" s="50" t="n">
        <x:v>4</x:v>
      </x:c>
      <x:c r="H1982" s="50" t="n">
        <x:v>7</x:v>
      </x:c>
      <x:c r="I1982" s="44" t="str">
        <x:v>04.07</x:v>
      </x:c>
      <x:c r="J1982" s="33" t="str">
        <x:v>Sharp Elbows</x:v>
      </x:c>
      <x:c r="K1982" s="33" t="str"/>
      <x:c r="L1982" s="33" t="str"/>
      <x:c r="M1982" s="44" t="str"/>
      <x:c r="N1982" s="50" t="n">
        <x:v>43</x:v>
      </x:c>
      <x:c r="O1982" s="53" t="str">
        <x:v>Boden suspects his neighbor is setting him up; Severide, who's still on probation, receives a surprise visit from his father and also learns something about Patterson that could be a game changer. Romance blossoms at a fire department gala.</x:v>
      </x:c>
      <x:c r="P1982" s="53" t="str">
        <x:v>Core One Chicago franchise</x:v>
      </x:c>
      <x:c r="Q1982" s="17" t="str">
        <x:v>2039304</x:v>
      </x:c>
      <x:c r="R1982" s="17" t="str">
        <x:v>tt5174518</x:v>
      </x:c>
      <x:c r="S1982" s="17" t="str"/>
    </x:row>
    <x:row r="1983">
      <x:c r="A1983" s="43" t="n">
        <x:v>1979</x:v>
      </x:c>
      <x:c r="B1983" s="44" t="str">
        <x:v>Not Started</x:v>
      </x:c>
      <x:c r="C1983" s="45" t="n">
        <x:v>42340</x:v>
      </x:c>
      <x:c r="D1983" s="33" t="str">
        <x:v>Chicago Med</x:v>
      </x:c>
      <x:c r="E1983" s="33" t="str">
        <x:v>One Chicago</x:v>
      </x:c>
      <x:c r="F1983" s="33" t="str">
        <x:v>core</x:v>
      </x:c>
      <x:c r="G1983" s="50" t="n">
        <x:v>1</x:v>
      </x:c>
      <x:c r="H1983" s="50" t="n">
        <x:v>3</x:v>
      </x:c>
      <x:c r="I1983" s="44" t="str">
        <x:v>01.03</x:v>
      </x:c>
      <x:c r="J1983" s="33" t="str">
        <x:v>Fallback</x:v>
      </x:c>
      <x:c r="K1983" s="33" t="str"/>
      <x:c r="L1983" s="33" t="str"/>
      <x:c r="M1983" s="44" t="str"/>
      <x:c r="N1983" s="50" t="n">
        <x:v>42</x:v>
      </x:c>
      <x:c r="O1983" s="53" t="str">
        <x:v>Dr. Rhodes must confront his past when he treats a close family friend who's been impaled by glass in a case that reunites him with his sister. Meanwhile, a musician must decide to undergo surgery that will save her life but could destroy her hearing.</x:v>
      </x:c>
      <x:c r="P1983" s="53" t="str">
        <x:v>Core One Chicago franchise</x:v>
      </x:c>
      <x:c r="Q1983" s="17" t="str">
        <x:v>2034500</x:v>
      </x:c>
      <x:c r="R1983" s="17" t="str">
        <x:v>tt5122700</x:v>
      </x:c>
      <x:c r="S1983" s="17" t="str"/>
    </x:row>
    <x:row r="1984">
      <x:c r="A1984" s="43" t="n">
        <x:v>1980</x:v>
      </x:c>
      <x:c r="B1984" s="44" t="str">
        <x:v>Not Started</x:v>
      </x:c>
      <x:c r="C1984" s="45" t="n">
        <x:v>42340</x:v>
      </x:c>
      <x:c r="D1984" s="33" t="str">
        <x:v>Chicago Fire</x:v>
      </x:c>
      <x:c r="E1984" s="33" t="str">
        <x:v>One Chicago</x:v>
      </x:c>
      <x:c r="F1984" s="33" t="str">
        <x:v>core</x:v>
      </x:c>
      <x:c r="G1984" s="50" t="n">
        <x:v>4</x:v>
      </x:c>
      <x:c r="H1984" s="50" t="n">
        <x:v>8</x:v>
      </x:c>
      <x:c r="I1984" s="44" t="str">
        <x:v>04.08</x:v>
      </x:c>
      <x:c r="J1984" s="33" t="str">
        <x:v>When Tortoises Fly</x:v>
      </x:c>
      <x:c r="K1984" s="33" t="str"/>
      <x:c r="L1984" s="33" t="str"/>
      <x:c r="M1984" s="44" t="str"/>
      <x:c r="N1984" s="50" t="n">
        <x:v>41</x:v>
      </x:c>
      <x:c r="O1984" s="53" t="str">
        <x:v>Boden believes Maddox is behind Serena's accusations. Severide reaches out to Jamie, who's Maddox's lawyer, in an attempt to help. Patterson questions whether Boden can remain chief. Brett and Chili suspect that a man passed out in a garden is connected to a previous call. Otis has problems with his social calendar.</x:v>
      </x:c>
      <x:c r="P1984" s="53" t="str">
        <x:v>Core One Chicago franchise</x:v>
      </x:c>
      <x:c r="Q1984" s="17" t="str">
        <x:v>2048213</x:v>
      </x:c>
      <x:c r="R1984" s="17" t="str">
        <x:v>tt5190832</x:v>
      </x:c>
      <x:c r="S1984" s="17" t="str"/>
    </x:row>
    <x:row r="1985">
      <x:c r="A1985" s="43" t="n">
        <x:v>1981</x:v>
      </x:c>
      <x:c r="B1985" s="44" t="str">
        <x:v>Not Started</x:v>
      </x:c>
      <x:c r="C1985" s="45" t="n">
        <x:v>42347</x:v>
      </x:c>
      <x:c r="D1985" s="33" t="str">
        <x:v>Chicago Med</x:v>
      </x:c>
      <x:c r="E1985" s="33" t="str">
        <x:v>One Chicago</x:v>
      </x:c>
      <x:c r="F1985" s="33" t="str">
        <x:v>core</x:v>
      </x:c>
      <x:c r="G1985" s="50" t="n">
        <x:v>1</x:v>
      </x:c>
      <x:c r="H1985" s="50" t="n">
        <x:v>4</x:v>
      </x:c>
      <x:c r="I1985" s="44" t="str">
        <x:v>01.04</x:v>
      </x:c>
      <x:c r="J1985" s="33" t="str">
        <x:v>Mistaken</x:v>
      </x:c>
      <x:c r="K1985" s="33" t="str"/>
      <x:c r="L1985" s="33" t="str"/>
      <x:c r="M1985" s="44" t="str"/>
      <x:c r="N1985" s="50" t="n">
        <x:v>42</x:v>
      </x:c>
      <x:c r="O1985" s="53" t="str">
        <x:v>The doctors treat victims of a movie-theater shooting as Sharon Goodwin tries to keep the press at bay. A teen with an eating disorder is treated, but Dr. Charles' methods rub others the wrong way. The staffers deal with a racist patient.</x:v>
      </x:c>
      <x:c r="P1985" s="53" t="str">
        <x:v>Core One Chicago franchise</x:v>
      </x:c>
      <x:c r="Q1985" s="17" t="str">
        <x:v>2040519</x:v>
      </x:c>
      <x:c r="R1985" s="17" t="str">
        <x:v>tt5143822</x:v>
      </x:c>
      <x:c r="S1985" s="17" t="str"/>
    </x:row>
    <x:row r="1986">
      <x:c r="A1986" s="43" t="n">
        <x:v>1982</x:v>
      </x:c>
      <x:c r="B1986" s="44" t="str">
        <x:v>Not Started</x:v>
      </x:c>
      <x:c r="C1986" s="45" t="n">
        <x:v>42347</x:v>
      </x:c>
      <x:c r="D1986" s="33" t="str">
        <x:v>Chicago Fire</x:v>
      </x:c>
      <x:c r="E1986" s="33" t="str">
        <x:v>One Chicago</x:v>
      </x:c>
      <x:c r="F1986" s="33" t="str">
        <x:v>core</x:v>
      </x:c>
      <x:c r="G1986" s="50" t="n">
        <x:v>4</x:v>
      </x:c>
      <x:c r="H1986" s="50" t="n">
        <x:v>9</x:v>
      </x:c>
      <x:c r="I1986" s="44" t="str">
        <x:v>04.09</x:v>
      </x:c>
      <x:c r="J1986" s="33" t="str">
        <x:v>Short and Fat</x:v>
      </x:c>
      <x:c r="K1986" s="33" t="str"/>
      <x:c r="L1986" s="33" t="str"/>
      <x:c r="M1986" s="44" t="str"/>
      <x:c r="N1986" s="50" t="n">
        <x:v>42</x:v>
      </x:c>
      <x:c r="O1986" s="53" t="str">
        <x:v>Patterson fills in for Boden, who's trying to clear his name. Severide learns where Serena may be hiding. Herrmann and Otis give Freddie a job that keeps him close by. Jimmy and Chili draw more attention then either bargained for.</x:v>
      </x:c>
      <x:c r="P1986" s="53" t="str">
        <x:v>Core One Chicago franchise</x:v>
      </x:c>
      <x:c r="Q1986" s="17" t="str">
        <x:v>2048216</x:v>
      </x:c>
      <x:c r="R1986" s="17" t="str">
        <x:v>tt5207190</x:v>
      </x:c>
      <x:c r="S1986" s="17" t="str"/>
    </x:row>
    <x:row r="1987">
      <x:c r="A1987" s="43" t="n">
        <x:v>1983</x:v>
      </x:c>
      <x:c r="B1987" s="44" t="str">
        <x:v>Not Started</x:v>
      </x:c>
      <x:c r="C1987" s="45" t="n">
        <x:v>42375</x:v>
      </x:c>
      <x:c r="D1987" s="33" t="str">
        <x:v>Chicago Med</x:v>
      </x:c>
      <x:c r="E1987" s="33" t="str">
        <x:v>One Chicago</x:v>
      </x:c>
      <x:c r="F1987" s="33" t="str">
        <x:v>core</x:v>
      </x:c>
      <x:c r="G1987" s="50" t="n">
        <x:v>1</x:v>
      </x:c>
      <x:c r="H1987" s="50" t="n">
        <x:v>5</x:v>
      </x:c>
      <x:c r="I1987" s="44" t="str">
        <x:v>01.05</x:v>
      </x:c>
      <x:c r="J1987" s="33" t="str">
        <x:v>Malignant (II)</x:v>
      </x:c>
      <x:c r="K1987" s="33" t="str">
        <x:v>Crossover</x:v>
      </x:c>
      <x:c r="L1987" s="33" t="str">
        <x:v>The Beating Heart</x:v>
      </x:c>
      <x:c r="M1987" s="44" t="str">
        <x:v>2/3</x:v>
      </x:c>
      <x:c r="N1987" s="50" t="n">
        <x:v>43</x:v>
      </x:c>
      <x:c r="O1987" s="53" t="str">
        <x:v>A member of Firehouse 51 clings to life and takes a sudden turn for the worse as medical staffers race to give treatment. Meanwhile, Dr. Natalie Manning prepares for her pregnancy and members of Chicago P.D. probe the case of a woman pulled from a fire.
The crossover starts on Chicago Fire S04E10 The Beating Heart (I). It continues on Chicago P.D. S03E10 Now I'm God (III).</x:v>
      </x:c>
      <x:c r="P1987" s="53" t="str">
        <x:v>Core One Chicago franchise</x:v>
      </x:c>
      <x:c r="Q1987" s="17" t="str">
        <x:v>2048202</x:v>
      </x:c>
      <x:c r="R1987" s="17" t="str">
        <x:v>tt5230572</x:v>
      </x:c>
      <x:c r="S1987" s="17" t="str">
        <x:v>https://one-chicago-fbi.fandom.com/wiki/Crossovers_and_Milestones</x:v>
      </x:c>
    </x:row>
    <x:row r="1988">
      <x:c r="A1988" s="43" t="n">
        <x:v>1984</x:v>
      </x:c>
      <x:c r="B1988" s="44" t="str">
        <x:v>Not Started</x:v>
      </x:c>
      <x:c r="C1988" s="45" t="n">
        <x:v>42375</x:v>
      </x:c>
      <x:c r="D1988" s="33" t="str">
        <x:v>Chicago Fire</x:v>
      </x:c>
      <x:c r="E1988" s="33" t="str">
        <x:v>One Chicago</x:v>
      </x:c>
      <x:c r="F1988" s="33" t="str">
        <x:v>core</x:v>
      </x:c>
      <x:c r="G1988" s="50" t="n">
        <x:v>4</x:v>
      </x:c>
      <x:c r="H1988" s="50" t="n">
        <x:v>10</x:v>
      </x:c>
      <x:c r="I1988" s="44" t="str">
        <x:v>04.10</x:v>
      </x:c>
      <x:c r="J1988" s="33" t="str">
        <x:v>The Beating Heart (I)</x:v>
      </x:c>
      <x:c r="K1988" s="33" t="str">
        <x:v>Crossover</x:v>
      </x:c>
      <x:c r="L1988" s="33" t="str">
        <x:v>The Beating Heart</x:v>
      </x:c>
      <x:c r="M1988" s="44" t="str">
        <x:v>1/3</x:v>
      </x:c>
      <x:c r="N1988" s="50" t="n">
        <x:v>42</x:v>
      </x:c>
      <x:c r="O1988" s="53" t="str">
        <x:v>Herrmann fights for his life after being stabbed; Cruz hits the streets to find Freddie. Mouch proposes to Trudy.
The crossover continues on Chicago Med S01E05 Malignant (II) and Chicago P.D. S03E10 Now I'm God (III).</x:v>
      </x:c>
      <x:c r="P1988" s="53" t="str">
        <x:v>Core One Chicago franchise</x:v>
      </x:c>
      <x:c r="Q1988" s="17" t="str">
        <x:v>2076519</x:v>
      </x:c>
      <x:c r="R1988" s="17" t="str">
        <x:v>tt5232810</x:v>
      </x:c>
      <x:c r="S1988" s="17" t="str">
        <x:v>https://one-chicago-fbi.fandom.com/wiki/Crossovers_and_Milestones</x:v>
      </x:c>
    </x:row>
    <x:row r="1989">
      <x:c r="A1989" s="43" t="n">
        <x:v>1985</x:v>
      </x:c>
      <x:c r="B1989" s="44" t="str">
        <x:v>Not Started</x:v>
      </x:c>
      <x:c r="C1989" s="45" t="n">
        <x:v>42375</x:v>
      </x:c>
      <x:c r="D1989" s="33" t="str">
        <x:v>Law &amp; Order: Special Victims Unit</x:v>
      </x:c>
      <x:c r="E1989" s="33" t="str">
        <x:v>Law &amp; Order</x:v>
      </x:c>
      <x:c r="F1989" s="33" t="str">
        <x:v>core</x:v>
      </x:c>
      <x:c r="G1989" s="50" t="n">
        <x:v>17</x:v>
      </x:c>
      <x:c r="H1989" s="50" t="n">
        <x:v>10</x:v>
      </x:c>
      <x:c r="I1989" s="44" t="str">
        <x:v>17.10</x:v>
      </x:c>
      <x:c r="J1989" s="33" t="str">
        <x:v>Catfishing Teacher</x:v>
      </x:c>
      <x:c r="K1989" s="33" t="str"/>
      <x:c r="L1989" s="33" t="str"/>
      <x:c r="M1989" s="44" t="str"/>
      <x:c r="N1989" s="50" t="n">
        <x:v>43</x:v>
      </x:c>
      <x:c r="O1989" s="53" t="str">
        <x:v>A high school student plans a clandestine hookup with his female teacher but ends up in a far more sinister situation.</x:v>
      </x:c>
      <x:c r="P1989" s="53" t="str">
        <x:v>Core Law &amp; Order franchise</x:v>
      </x:c>
      <x:c r="Q1989" s="17" t="str">
        <x:v>2039080</x:v>
      </x:c>
      <x:c r="R1989" s="17" t="str">
        <x:v>tt5171644</x:v>
      </x:c>
      <x:c r="S1989" s="17" t="str">
        <x:v>1368</x:v>
      </x:c>
    </x:row>
    <x:row r="1990">
      <x:c r="A1990" s="43" t="n">
        <x:v>1986</x:v>
      </x:c>
      <x:c r="B1990" s="44" t="str">
        <x:v>Not Started</x:v>
      </x:c>
      <x:c r="C1990" s="45" t="n">
        <x:v>42376</x:v>
      </x:c>
      <x:c r="D1990" s="33" t="str">
        <x:v>Chicago P.D.</x:v>
      </x:c>
      <x:c r="E1990" s="33" t="str">
        <x:v>One Chicago</x:v>
      </x:c>
      <x:c r="F1990" s="33" t="str">
        <x:v>core</x:v>
      </x:c>
      <x:c r="G1990" s="50" t="n">
        <x:v>3</x:v>
      </x:c>
      <x:c r="H1990" s="50" t="n">
        <x:v>10</x:v>
      </x:c>
      <x:c r="I1990" s="44" t="str">
        <x:v>03.10</x:v>
      </x:c>
      <x:c r="J1990" s="33" t="str">
        <x:v>Now I'm God (III)</x:v>
      </x:c>
      <x:c r="K1990" s="33" t="str">
        <x:v>Crossover</x:v>
      </x:c>
      <x:c r="L1990" s="33" t="str">
        <x:v>The Beating Heart</x:v>
      </x:c>
      <x:c r="M1990" s="44" t="str">
        <x:v>3/3</x:v>
      </x:c>
      <x:c r="N1990" s="50" t="n">
        <x:v>43</x:v>
      </x:c>
      <x:c r="O1990" s="53" t="str">
        <x:v>Intelligence investigates a doctor who gave his patients lethal doses of chemotherapy. Roman fights a wrongful shooting investigation.
The crossover starts on Chicago Fire S04E10 The Beating Heart (I) and Chicago Med S01E05 Malignant (II).</x:v>
      </x:c>
      <x:c r="P1990" s="53" t="str">
        <x:v>Core One Chicago franchise; crossovers with SVU/FBI</x:v>
      </x:c>
      <x:c r="Q1990" s="17" t="str">
        <x:v>2039122</x:v>
      </x:c>
      <x:c r="R1990" s="17" t="str">
        <x:v>tt5211576</x:v>
      </x:c>
      <x:c r="S1990" s="17" t="str">
        <x:v>https://one-chicago-fbi.fandom.com/wiki/Crossovers_and_Milestones</x:v>
      </x:c>
    </x:row>
    <x:row r="1991">
      <x:c r="A1991" s="43" t="n">
        <x:v>1987</x:v>
      </x:c>
      <x:c r="B1991" s="44" t="str">
        <x:v>Not Started</x:v>
      </x:c>
      <x:c r="C1991" s="45" t="n">
        <x:v>42382</x:v>
      </x:c>
      <x:c r="D1991" s="33" t="str">
        <x:v>Law &amp; Order: Special Victims Unit</x:v>
      </x:c>
      <x:c r="E1991" s="33" t="str">
        <x:v>Law &amp; Order</x:v>
      </x:c>
      <x:c r="F1991" s="33" t="str">
        <x:v>core</x:v>
      </x:c>
      <x:c r="G1991" s="50" t="n">
        <x:v>17</x:v>
      </x:c>
      <x:c r="H1991" s="50" t="n">
        <x:v>11</x:v>
      </x:c>
      <x:c r="I1991" s="44" t="str">
        <x:v>17.11</x:v>
      </x:c>
      <x:c r="J1991" s="33" t="str">
        <x:v>Townhouse Incident</x:v>
      </x:c>
      <x:c r="K1991" s="33" t="str"/>
      <x:c r="L1991" s="33" t="str"/>
      <x:c r="M1991" s="44" t="str"/>
      <x:c r="N1991" s="50" t="n">
        <x:v>43</x:v>
      </x:c>
      <x:c r="O1991" s="53" t="str">
        <x:v>Benson is taken hostage when she tries to stop a home invasion.</x:v>
      </x:c>
      <x:c r="P1991" s="53" t="str">
        <x:v>Core Law &amp; Order franchise</x:v>
      </x:c>
      <x:c r="Q1991" s="17" t="str">
        <x:v>2100254</x:v>
      </x:c>
      <x:c r="R1991" s="17" t="str">
        <x:v>tt5196638</x:v>
      </x:c>
      <x:c r="S1991" s="17" t="str">
        <x:v>1369</x:v>
      </x:c>
    </x:row>
    <x:row r="1992">
      <x:c r="A1992" s="43" t="n">
        <x:v>1988</x:v>
      </x:c>
      <x:c r="B1992" s="44" t="str">
        <x:v>Not Started</x:v>
      </x:c>
      <x:c r="C1992" s="45" t="n">
        <x:v>42383</x:v>
      </x:c>
      <x:c r="D1992" s="33" t="str">
        <x:v>Chicago P.D.</x:v>
      </x:c>
      <x:c r="E1992" s="33" t="str">
        <x:v>One Chicago</x:v>
      </x:c>
      <x:c r="F1992" s="33" t="str">
        <x:v>core</x:v>
      </x:c>
      <x:c r="G1992" s="50" t="n">
        <x:v>3</x:v>
      </x:c>
      <x:c r="H1992" s="50" t="n">
        <x:v>11</x:v>
      </x:c>
      <x:c r="I1992" s="44" t="str">
        <x:v>03.11</x:v>
      </x:c>
      <x:c r="J1992" s="33" t="str">
        <x:v>Knocked the Family Right Out</x:v>
      </x:c>
      <x:c r="K1992" s="33" t="str"/>
      <x:c r="L1992" s="33" t="str"/>
      <x:c r="M1992" s="44" t="str"/>
      <x:c r="N1992" s="50" t="n">
        <x:v>42</x:v>
      </x:c>
      <x:c r="O1992" s="53" t="str">
        <x:v>Intelligence hunts down a crew responsible for a rape and robbery rampage. Lindsay is abducted on an undercover operation.</x:v>
      </x:c>
      <x:c r="P1992" s="53" t="str">
        <x:v>Core One Chicago franchise; crossovers with SVU/FBI</x:v>
      </x:c>
      <x:c r="Q1992" s="17" t="str">
        <x:v>2048522</x:v>
      </x:c>
      <x:c r="R1992" s="17" t="str">
        <x:v>tt5290072</x:v>
      </x:c>
      <x:c r="S1992" s="17" t="str"/>
    </x:row>
    <x:row r="1993">
      <x:c r="A1993" s="43" t="n">
        <x:v>1989</x:v>
      </x:c>
      <x:c r="B1993" s="44" t="str">
        <x:v>Not Started</x:v>
      </x:c>
      <x:c r="C1993" s="45" t="n">
        <x:v>42389</x:v>
      </x:c>
      <x:c r="D1993" s="33" t="str">
        <x:v>Chicago Med</x:v>
      </x:c>
      <x:c r="E1993" s="33" t="str">
        <x:v>One Chicago</x:v>
      </x:c>
      <x:c r="F1993" s="33" t="str">
        <x:v>core</x:v>
      </x:c>
      <x:c r="G1993" s="50" t="n">
        <x:v>1</x:v>
      </x:c>
      <x:c r="H1993" s="50" t="n">
        <x:v>6</x:v>
      </x:c>
      <x:c r="I1993" s="44" t="str">
        <x:v>01.06</x:v>
      </x:c>
      <x:c r="J1993" s="33" t="str">
        <x:v>Bound</x:v>
      </x:c>
      <x:c r="K1993" s="33" t="str"/>
      <x:c r="L1993" s="33" t="str"/>
      <x:c r="M1993" s="44" t="str"/>
      <x:c r="N1993" s="50" t="n">
        <x:v>44</x:v>
      </x:c>
      <x:c r="O1993" s="53" t="str">
        <x:v>Dark family secrets emerge when Dr. Rhodes' father is honored for making a large donation to the hospital. Meanwhile, the Department of Homeland Security arrives when two injured airplane stowaways are brought to the hospital and Dr. Sarah Reese must deliver heartbreaking news to a boy.</x:v>
      </x:c>
      <x:c r="P1993" s="53" t="str">
        <x:v>Core One Chicago franchise</x:v>
      </x:c>
      <x:c r="Q1993" s="17" t="str">
        <x:v>2048203</x:v>
      </x:c>
      <x:c r="R1993" s="17" t="str">
        <x:v>tt5230566</x:v>
      </x:c>
      <x:c r="S1993" s="17" t="str"/>
    </x:row>
    <x:row r="1994">
      <x:c r="A1994" s="43" t="n">
        <x:v>1990</x:v>
      </x:c>
      <x:c r="B1994" s="44" t="str">
        <x:v>Not Started</x:v>
      </x:c>
      <x:c r="C1994" s="45" t="n">
        <x:v>42389</x:v>
      </x:c>
      <x:c r="D1994" s="33" t="str">
        <x:v>Chicago Fire</x:v>
      </x:c>
      <x:c r="E1994" s="33" t="str">
        <x:v>One Chicago</x:v>
      </x:c>
      <x:c r="F1994" s="33" t="str">
        <x:v>core</x:v>
      </x:c>
      <x:c r="G1994" s="50" t="n">
        <x:v>4</x:v>
      </x:c>
      <x:c r="H1994" s="50" t="n">
        <x:v>11</x:v>
      </x:c>
      <x:c r="I1994" s="44" t="str">
        <x:v>04.11</x:v>
      </x:c>
      <x:c r="J1994" s="33" t="str">
        <x:v>The Path of Destruction</x:v>
      </x:c>
      <x:c r="K1994" s="33" t="str"/>
      <x:c r="L1994" s="33" t="str"/>
      <x:c r="M1994" s="44" t="str"/>
      <x:c r="N1994" s="50" t="n">
        <x:v>43</x:v>
      </x:c>
      <x:c r="O1994" s="53" t="str">
        <x:v>A tornado threatens Chicago. Chili makes a major mistake, which causes Brett to report her to Boden. Otis asks Dawson to help him solve his women troubles. Severide assists a Department of Homeland Security agent.</x:v>
      </x:c>
      <x:c r="P1994" s="53" t="str">
        <x:v>Core One Chicago franchise</x:v>
      </x:c>
      <x:c r="Q1994" s="17" t="str">
        <x:v>2076520</x:v>
      </x:c>
      <x:c r="R1994" s="17" t="str">
        <x:v>tt5232812</x:v>
      </x:c>
      <x:c r="S1994" s="17" t="str"/>
    </x:row>
    <x:row r="1995">
      <x:c r="A1995" s="43" t="n">
        <x:v>1991</x:v>
      </x:c>
      <x:c r="B1995" s="44" t="str">
        <x:v>Not Started</x:v>
      </x:c>
      <x:c r="C1995" s="45" t="n">
        <x:v>42389</x:v>
      </x:c>
      <x:c r="D1995" s="33" t="str">
        <x:v>Law &amp; Order: Special Victims Unit</x:v>
      </x:c>
      <x:c r="E1995" s="33" t="str">
        <x:v>Law &amp; Order</x:v>
      </x:c>
      <x:c r="F1995" s="33" t="str">
        <x:v>core</x:v>
      </x:c>
      <x:c r="G1995" s="50" t="n">
        <x:v>17</x:v>
      </x:c>
      <x:c r="H1995" s="50" t="n">
        <x:v>12</x:v>
      </x:c>
      <x:c r="I1995" s="44" t="str">
        <x:v>17.12</x:v>
      </x:c>
      <x:c r="J1995" s="33" t="str">
        <x:v>A Misunderstanding</x:v>
      </x:c>
      <x:c r="K1995" s="33" t="str"/>
      <x:c r="L1995" s="33" t="str"/>
      <x:c r="M1995" s="44" t="str"/>
      <x:c r="N1995" s="50" t="n">
        <x:v>43</x:v>
      </x:c>
      <x:c r="O1995" s="53" t="str">
        <x:v>A murky he-said, she-said date rape case ruins the futures of two high school students.</x:v>
      </x:c>
      <x:c r="P1995" s="53" t="str">
        <x:v>Core Law &amp; Order franchise</x:v>
      </x:c>
      <x:c r="Q1995" s="17" t="str">
        <x:v>2100258</x:v>
      </x:c>
      <x:c r="R1995" s="17" t="str">
        <x:v>tt5219196</x:v>
      </x:c>
      <x:c r="S1995" s="17" t="str">
        <x:v>1370</x:v>
      </x:c>
    </x:row>
    <x:row r="1996">
      <x:c r="A1996" s="43" t="n">
        <x:v>1992</x:v>
      </x:c>
      <x:c r="B1996" s="44" t="str">
        <x:v>Not Started</x:v>
      </x:c>
      <x:c r="C1996" s="45" t="n">
        <x:v>42390</x:v>
      </x:c>
      <x:c r="D1996" s="33" t="str">
        <x:v>Chicago P.D.</x:v>
      </x:c>
      <x:c r="E1996" s="33" t="str">
        <x:v>One Chicago</x:v>
      </x:c>
      <x:c r="F1996" s="33" t="str">
        <x:v>core</x:v>
      </x:c>
      <x:c r="G1996" s="50" t="n">
        <x:v>3</x:v>
      </x:c>
      <x:c r="H1996" s="50" t="n">
        <x:v>12</x:v>
      </x:c>
      <x:c r="I1996" s="44" t="str">
        <x:v>03.12</x:v>
      </x:c>
      <x:c r="J1996" s="33" t="str">
        <x:v>Looking Out for Stateville</x:v>
      </x:c>
      <x:c r="K1996" s="33" t="str"/>
      <x:c r="L1996" s="33" t="str"/>
      <x:c r="M1996" s="44" t="str"/>
      <x:c r="N1996" s="50" t="n">
        <x:v>43</x:v>
      </x:c>
      <x:c r="O1996" s="53" t="str">
        <x:v>Voight arranges for his former cellmate, Eddie Little, to be a CI in an effort to bring down a major cocaine supplier. Burgess makes a major move regarding her relationship with Ruzek. Roman develops a plan to help fund Platt and Mouch's wedding.</x:v>
      </x:c>
      <x:c r="P1996" s="53" t="str">
        <x:v>Core One Chicago franchise; crossovers with SVU/FBI</x:v>
      </x:c>
      <x:c r="Q1996" s="17" t="str">
        <x:v>2048525</x:v>
      </x:c>
      <x:c r="R1996" s="17" t="str">
        <x:v>tt5305672</x:v>
      </x:c>
      <x:c r="S1996" s="17" t="str"/>
    </x:row>
    <x:row r="1997">
      <x:c r="A1997" s="43" t="n">
        <x:v>1993</x:v>
      </x:c>
      <x:c r="B1997" s="44" t="str">
        <x:v>Not Started</x:v>
      </x:c>
      <x:c r="C1997" s="45" t="n">
        <x:v>42396</x:v>
      </x:c>
      <x:c r="D1997" s="33" t="str">
        <x:v>Chicago Med</x:v>
      </x:c>
      <x:c r="E1997" s="33" t="str">
        <x:v>One Chicago</x:v>
      </x:c>
      <x:c r="F1997" s="33" t="str">
        <x:v>core</x:v>
      </x:c>
      <x:c r="G1997" s="50" t="n">
        <x:v>1</x:v>
      </x:c>
      <x:c r="H1997" s="50" t="n">
        <x:v>7</x:v>
      </x:c>
      <x:c r="I1997" s="44" t="str">
        <x:v>01.07</x:v>
      </x:c>
      <x:c r="J1997" s="33" t="str">
        <x:v>Saints</x:v>
      </x:c>
      <x:c r="K1997" s="33" t="str"/>
      <x:c r="L1997" s="33" t="str"/>
      <x:c r="M1997" s="44" t="str"/>
      <x:c r="N1997" s="50" t="n">
        <x:v>44</x:v>
      </x:c>
      <x:c r="O1997" s="53" t="str">
        <x:v>Sharon Goodwin puts her job on the line for a patient in need of a lifesaving bone-marrow transplant. Meanwhile, April cares for a homeless man, Dr. Manning's parents arrive, and a couple are injured during their first date by a hit-and-run driver.</x:v>
      </x:c>
      <x:c r="P1997" s="53" t="str">
        <x:v>Core One Chicago franchise</x:v>
      </x:c>
      <x:c r="Q1997" s="17" t="str">
        <x:v>2048205</x:v>
      </x:c>
      <x:c r="R1997" s="17" t="str">
        <x:v>tt5261676</x:v>
      </x:c>
      <x:c r="S1997" s="17" t="str"/>
    </x:row>
    <x:row r="1998">
      <x:c r="A1998" s="43" t="n">
        <x:v>1994</x:v>
      </x:c>
      <x:c r="B1998" s="44" t="str">
        <x:v>Not Started</x:v>
      </x:c>
      <x:c r="C1998" s="45" t="n">
        <x:v>42396</x:v>
      </x:c>
      <x:c r="D1998" s="33" t="str">
        <x:v>Chicago Fire</x:v>
      </x:c>
      <x:c r="E1998" s="33" t="str">
        <x:v>One Chicago</x:v>
      </x:c>
      <x:c r="F1998" s="33" t="str">
        <x:v>core</x:v>
      </x:c>
      <x:c r="G1998" s="50" t="n">
        <x:v>4</x:v>
      </x:c>
      <x:c r="H1998" s="50" t="n">
        <x:v>12</x:v>
      </x:c>
      <x:c r="I1998" s="44" t="str">
        <x:v>04.12</x:v>
      </x:c>
      <x:c r="J1998" s="33" t="str">
        <x:v>Not Everyone Makes It</x:v>
      </x:c>
      <x:c r="K1998" s="33" t="str"/>
      <x:c r="L1998" s="33" t="str"/>
      <x:c r="M1998" s="44" t="str"/>
      <x:c r="N1998" s="50" t="n">
        <x:v>43</x:v>
      </x:c>
      <x:c r="O1998" s="53" t="str">
        <x:v>Freddie's father begs Herrmann to forgive his son's assault. Casey discovers that a makeshift shelter housing people displaced by the tornado may close. Casey attends a fund-raiser at the request of an alderman. Dawson and Brett experience repercussions after telling Boden about Chili's erratic behavior.</x:v>
      </x:c>
      <x:c r="P1998" s="53" t="str">
        <x:v>Core One Chicago franchise</x:v>
      </x:c>
      <x:c r="Q1998" s="17" t="str">
        <x:v>2107861</x:v>
      </x:c>
      <x:c r="R1998" s="17" t="str">
        <x:v>tt5323140</x:v>
      </x:c>
      <x:c r="S1998" s="17" t="str"/>
    </x:row>
    <x:row r="1999">
      <x:c r="A1999" s="43" t="n">
        <x:v>1995</x:v>
      </x:c>
      <x:c r="B1999" s="44" t="str">
        <x:v>Not Started</x:v>
      </x:c>
      <x:c r="C1999" s="45" t="n">
        <x:v>42403</x:v>
      </x:c>
      <x:c r="D1999" s="33" t="str">
        <x:v>Chicago Med</x:v>
      </x:c>
      <x:c r="E1999" s="33" t="str">
        <x:v>One Chicago</x:v>
      </x:c>
      <x:c r="F1999" s="33" t="str">
        <x:v>core</x:v>
      </x:c>
      <x:c r="G1999" s="50" t="n">
        <x:v>1</x:v>
      </x:c>
      <x:c r="H1999" s="50" t="n">
        <x:v>8</x:v>
      </x:c>
      <x:c r="I1999" s="44" t="str">
        <x:v>01.08</x:v>
      </x:c>
      <x:c r="J1999" s="33" t="str">
        <x:v>Reunion</x:v>
      </x:c>
      <x:c r="K1999" s="33" t="str"/>
      <x:c r="L1999" s="33" t="str"/>
      <x:c r="M1999" s="44" t="str"/>
      <x:c r="N1999" s="50" t="n">
        <x:v>44</x:v>
      </x:c>
      <x:c r="O1999" s="53" t="str">
        <x:v>Dr. Manning returns from maternity leave and treats a teen with a history of medical issues. Meanwhile, Dr. Choi cares for a former Navy shipmate; a Saudi prince arrives for a surgical procedure, but only from a hotshot surgeon; and a romance blooms between Sarah and a lab tech.</x:v>
      </x:c>
      <x:c r="P1999" s="53" t="str">
        <x:v>Core One Chicago franchise</x:v>
      </x:c>
      <x:c r="Q1999" s="17" t="str">
        <x:v>2048207</x:v>
      </x:c>
      <x:c r="R1999" s="17" t="str">
        <x:v>tt5257324</x:v>
      </x:c>
      <x:c r="S1999" s="17" t="str"/>
    </x:row>
    <x:row r="2000">
      <x:c r="A2000" s="43" t="n">
        <x:v>1996</x:v>
      </x:c>
      <x:c r="B2000" s="44" t="str">
        <x:v>Not Started</x:v>
      </x:c>
      <x:c r="C2000" s="45" t="n">
        <x:v>42403</x:v>
      </x:c>
      <x:c r="D2000" s="33" t="str">
        <x:v>Chicago Fire</x:v>
      </x:c>
      <x:c r="E2000" s="33" t="str">
        <x:v>One Chicago</x:v>
      </x:c>
      <x:c r="F2000" s="33" t="str">
        <x:v>core</x:v>
      </x:c>
      <x:c r="G2000" s="50" t="n">
        <x:v>4</x:v>
      </x:c>
      <x:c r="H2000" s="50" t="n">
        <x:v>13</x:v>
      </x:c>
      <x:c r="I2000" s="44" t="str">
        <x:v>04.13</x:v>
      </x:c>
      <x:c r="J2000" s="33" t="str">
        <x:v>The Sky Is Falling</x:v>
      </x:c>
      <x:c r="K2000" s="33" t="str"/>
      <x:c r="L2000" s="33" t="str"/>
      <x:c r="M2000" s="44" t="str"/>
      <x:c r="N2000" s="50" t="n">
        <x:v>43</x:v>
      </x:c>
      <x:c r="O2000" s="53" t="str">
        <x:v>The team responds to a mass shooting; Casey investigates the missing money from the fund-raiser. Jimmy agrees to represent the firehouse in a boxing match against the Chicago PD's 21st District. Chili's behavior continues to be an issue for Brett.</x:v>
      </x:c>
      <x:c r="P2000" s="53" t="str">
        <x:v>Core One Chicago franchise</x:v>
      </x:c>
      <x:c r="Q2000" s="17" t="str">
        <x:v>2119249</x:v>
      </x:c>
      <x:c r="R2000" s="17" t="str">
        <x:v>tt5336810</x:v>
      </x:c>
      <x:c r="S2000" s="17" t="str"/>
    </x:row>
    <x:row r="2001">
      <x:c r="A2001" s="43" t="n">
        <x:v>1997</x:v>
      </x:c>
      <x:c r="B2001" s="44" t="str">
        <x:v>Not Started</x:v>
      </x:c>
      <x:c r="C2001" s="45" t="n">
        <x:v>42403</x:v>
      </x:c>
      <x:c r="D2001" s="33" t="str">
        <x:v>Law &amp; Order: Special Victims Unit</x:v>
      </x:c>
      <x:c r="E2001" s="33" t="str">
        <x:v>Law &amp; Order</x:v>
      </x:c>
      <x:c r="F2001" s="33" t="str">
        <x:v>core</x:v>
      </x:c>
      <x:c r="G2001" s="50" t="n">
        <x:v>17</x:v>
      </x:c>
      <x:c r="H2001" s="50" t="n">
        <x:v>13</x:v>
      </x:c>
      <x:c r="I2001" s="44" t="str">
        <x:v>17.13</x:v>
      </x:c>
      <x:c r="J2001" s="33" t="str">
        <x:v>Forty-One Witnesses</x:v>
      </x:c>
      <x:c r="K2001" s="33" t="str"/>
      <x:c r="L2001" s="33" t="str"/>
      <x:c r="M2001" s="44" t="str"/>
      <x:c r="N2001" s="50" t="n">
        <x:v>43</x:v>
      </x:c>
      <x:c r="O2001" s="53" t="str">
        <x:v>A woman is followed home and raped outside her building, where several neighbors witness the crime but fail to call for help.</x:v>
      </x:c>
      <x:c r="P2001" s="53" t="str">
        <x:v>Core Law &amp; Order franchise</x:v>
      </x:c>
      <x:c r="Q2001" s="17" t="str">
        <x:v>2118896</x:v>
      </x:c>
      <x:c r="R2001" s="17" t="str">
        <x:v>tt5317574</x:v>
      </x:c>
      <x:c r="S2001" s="17" t="str">
        <x:v>1371</x:v>
      </x:c>
    </x:row>
    <x:row r="2002">
      <x:c r="A2002" s="43" t="n">
        <x:v>1998</x:v>
      </x:c>
      <x:c r="B2002" s="44" t="str">
        <x:v>Not Started</x:v>
      </x:c>
      <x:c r="C2002" s="45" t="n">
        <x:v>42404</x:v>
      </x:c>
      <x:c r="D2002" s="33" t="str">
        <x:v>Chicago P.D.</x:v>
      </x:c>
      <x:c r="E2002" s="33" t="str">
        <x:v>One Chicago</x:v>
      </x:c>
      <x:c r="F2002" s="33" t="str">
        <x:v>core</x:v>
      </x:c>
      <x:c r="G2002" s="50" t="n">
        <x:v>3</x:v>
      </x:c>
      <x:c r="H2002" s="50" t="n">
        <x:v>13</x:v>
      </x:c>
      <x:c r="I2002" s="44" t="str">
        <x:v>03.13</x:v>
      </x:c>
      <x:c r="J2002" s="33" t="str">
        <x:v>Hit Me</x:v>
      </x:c>
      <x:c r="K2002" s="33" t="str"/>
      <x:c r="L2002" s="33" t="str"/>
      <x:c r="M2002" s="44" t="str"/>
      <x:c r="N2002" s="50" t="n">
        <x:v>50</x:v>
      </x:c>
      <x:c r="O2002" s="53" t="str">
        <x:v>Lindsay goes undercover to catch a rogue cop who targets women at casinos. Platt risks her life in a negotiation crisis.</x:v>
      </x:c>
      <x:c r="P2002" s="53" t="str">
        <x:v>Core One Chicago franchise; crossovers with SVU/FBI</x:v>
      </x:c>
      <x:c r="Q2002" s="17" t="str">
        <x:v>2119247</x:v>
      </x:c>
      <x:c r="R2002" s="17" t="str">
        <x:v>tt5337104</x:v>
      </x:c>
      <x:c r="S2002" s="17" t="str"/>
    </x:row>
    <x:row r="2003">
      <x:c r="A2003" s="43" t="n">
        <x:v>1999</x:v>
      </x:c>
      <x:c r="B2003" s="44" t="str">
        <x:v>Not Started</x:v>
      </x:c>
      <x:c r="C2003" s="45" t="n">
        <x:v>42410</x:v>
      </x:c>
      <x:c r="D2003" s="33" t="str">
        <x:v>Chicago Med</x:v>
      </x:c>
      <x:c r="E2003" s="33" t="str">
        <x:v>One Chicago</x:v>
      </x:c>
      <x:c r="F2003" s="33" t="str">
        <x:v>core</x:v>
      </x:c>
      <x:c r="G2003" s="50" t="n">
        <x:v>1</x:v>
      </x:c>
      <x:c r="H2003" s="50" t="n">
        <x:v>9</x:v>
      </x:c>
      <x:c r="I2003" s="44" t="str">
        <x:v>01.09</x:v>
      </x:c>
      <x:c r="J2003" s="33" t="str">
        <x:v>Choices</x:v>
      </x:c>
      <x:c r="K2003" s="33" t="str"/>
      <x:c r="L2003" s="33" t="str"/>
      <x:c r="M2003" s="44" t="str"/>
      <x:c r="N2003" s="50" t="n">
        <x:v>43</x:v>
      </x:c>
      <x:c r="O2003" s="53" t="str">
        <x:v>Dr. Halstead jeopardizes his career when he goes against a family's order regarding a terminally ill cancer patient. Meanwhile, April and Dr. Reese treat a homeless man, and Choi's personal issues emerge while caring for a bipolar patient.</x:v>
      </x:c>
      <x:c r="P2003" s="53" t="str">
        <x:v>Core One Chicago franchise</x:v>
      </x:c>
      <x:c r="Q2003" s="17" t="str">
        <x:v>2048209</x:v>
      </x:c>
      <x:c r="R2003" s="17" t="str">
        <x:v>tt5355270</x:v>
      </x:c>
      <x:c r="S2003" s="17" t="str"/>
    </x:row>
    <x:row r="2004">
      <x:c r="A2004" s="43" t="n">
        <x:v>2000</x:v>
      </x:c>
      <x:c r="B2004" s="44" t="str">
        <x:v>Not Started</x:v>
      </x:c>
      <x:c r="C2004" s="45" t="n">
        <x:v>42410</x:v>
      </x:c>
      <x:c r="D2004" s="33" t="str">
        <x:v>Chicago Fire</x:v>
      </x:c>
      <x:c r="E2004" s="33" t="str">
        <x:v>One Chicago</x:v>
      </x:c>
      <x:c r="F2004" s="33" t="str">
        <x:v>core</x:v>
      </x:c>
      <x:c r="G2004" s="50" t="n">
        <x:v>4</x:v>
      </x:c>
      <x:c r="H2004" s="50" t="n">
        <x:v>14</x:v>
      </x:c>
      <x:c r="I2004" s="44" t="str">
        <x:v>04.14</x:v>
      </x:c>
      <x:c r="J2004" s="33" t="str">
        <x:v>All Hard Parts</x:v>
      </x:c>
      <x:c r="K2004" s="33" t="str"/>
      <x:c r="L2004" s="33" t="str"/>
      <x:c r="M2004" s="44" t="str"/>
      <x:c r="N2004" s="50" t="n">
        <x:v>42</x:v>
      </x:c>
      <x:c r="O2004" s="53" t="str">
        <x:v>Severide confronts Chili about her erratic behavior. Members of the firehouse rally around Casey, who they think would make a great candidate for alderman. Jimmy squares off against Antonio in the first annual "Battle of the Badges" boxing match.</x:v>
      </x:c>
      <x:c r="P2004" s="53" t="str">
        <x:v>Core One Chicago franchise</x:v>
      </x:c>
      <x:c r="Q2004" s="17" t="str">
        <x:v>2119250</x:v>
      </x:c>
      <x:c r="R2004" s="17" t="str">
        <x:v>tt5355262</x:v>
      </x:c>
      <x:c r="S2004" s="17" t="str"/>
    </x:row>
    <x:row r="2005">
      <x:c r="A2005" s="43" t="n">
        <x:v>2001</x:v>
      </x:c>
      <x:c r="B2005" s="44" t="str">
        <x:v>Not Started</x:v>
      </x:c>
      <x:c r="C2005" s="45" t="n">
        <x:v>42410</x:v>
      </x:c>
      <x:c r="D2005" s="33" t="str">
        <x:v>Law &amp; Order: Special Victims Unit</x:v>
      </x:c>
      <x:c r="E2005" s="33" t="str">
        <x:v>Law &amp; Order</x:v>
      </x:c>
      <x:c r="F2005" s="33" t="str">
        <x:v>core</x:v>
      </x:c>
      <x:c r="G2005" s="50" t="n">
        <x:v>17</x:v>
      </x:c>
      <x:c r="H2005" s="50" t="n">
        <x:v>14</x:v>
      </x:c>
      <x:c r="I2005" s="44" t="str">
        <x:v>17.14</x:v>
      </x:c>
      <x:c r="J2005" s="33" t="str">
        <x:v>Nationwide Manhunt (I)</x:v>
      </x:c>
      <x:c r="K2005" s="33" t="str">
        <x:v>Crossover</x:v>
      </x:c>
      <x:c r="L2005" s="33" t="str">
        <x:v>Gregory Williams Yates manhunt</x:v>
      </x:c>
      <x:c r="M2005" s="44" t="str">
        <x:v>1/2</x:v>
      </x:c>
      <x:c r="N2005" s="50" t="n">
        <x:v>43</x:v>
      </x:c>
      <x:c r="O2005" s="53" t="str">
        <x:v>Chicago P.D. detectives Lindsay and Dawson join the SVU in the hunt for two escaped murderers they helped to convict.
The crossover continues on Chicago P.D. S03E14 The Song of Gregory Williams Yates (II).</x:v>
      </x:c>
      <x:c r="P2005" s="53" t="str">
        <x:v>Core Law &amp; Order franchise</x:v>
      </x:c>
      <x:c r="Q2005" s="17" t="str">
        <x:v>2126753</x:v>
      </x:c>
      <x:c r="R2005" s="17" t="str">
        <x:v>tt5317580</x:v>
      </x:c>
      <x:c r="S2005" s="17" t="str">
        <x:v>https://one-chicago-fbi.fandom.com/wiki/Crossovers_and_Milestones</x:v>
      </x:c>
    </x:row>
    <x:row r="2006">
      <x:c r="A2006" s="43" t="n">
        <x:v>2002</x:v>
      </x:c>
      <x:c r="B2006" s="44" t="str">
        <x:v>Not Started</x:v>
      </x:c>
      <x:c r="C2006" s="45" t="n">
        <x:v>42411</x:v>
      </x:c>
      <x:c r="D2006" s="33" t="str">
        <x:v>Chicago P.D.</x:v>
      </x:c>
      <x:c r="E2006" s="33" t="str">
        <x:v>One Chicago</x:v>
      </x:c>
      <x:c r="F2006" s="33" t="str">
        <x:v>core</x:v>
      </x:c>
      <x:c r="G2006" s="50" t="n">
        <x:v>3</x:v>
      </x:c>
      <x:c r="H2006" s="50" t="n">
        <x:v>14</x:v>
      </x:c>
      <x:c r="I2006" s="44" t="str">
        <x:v>03.14</x:v>
      </x:c>
      <x:c r="J2006" s="33" t="str">
        <x:v>The Song of Gregory Williams Yates (II)</x:v>
      </x:c>
      <x:c r="K2006" s="33" t="str">
        <x:v>Crossover</x:v>
      </x:c>
      <x:c r="L2006" s="33" t="str">
        <x:v>Gregory Williams Yates manhunt</x:v>
      </x:c>
      <x:c r="M2006" s="44" t="str">
        <x:v>2/2</x:v>
      </x:c>
      <x:c r="N2006" s="50" t="n">
        <x:v>43</x:v>
      </x:c>
      <x:c r="O2006" s="53" t="str">
        <x:v>SVU joins Chicago P.D. in a manhunt for two notorious escaped serial killers.
The crossover starts on Law &amp; Order: Special Victims Unit S17E14 Nationwide Manhunt (I).</x:v>
      </x:c>
      <x:c r="P2006" s="53" t="str">
        <x:v>Core One Chicago franchise; crossovers with SVU/FBI</x:v>
      </x:c>
      <x:c r="Q2006" s="17" t="str">
        <x:v>2119248</x:v>
      </x:c>
      <x:c r="R2006" s="17" t="str">
        <x:v>tt5355304</x:v>
      </x:c>
      <x:c r="S2006" s="17" t="str">
        <x:v>https://one-chicago-fbi.fandom.com/wiki/Crossovers_and_Milestones</x:v>
      </x:c>
    </x:row>
    <x:row r="2007">
      <x:c r="A2007" s="43" t="n">
        <x:v>2003</x:v>
      </x:c>
      <x:c r="B2007" s="44" t="str">
        <x:v>Not Started</x:v>
      </x:c>
      <x:c r="C2007" s="45" t="n">
        <x:v>42417</x:v>
      </x:c>
      <x:c r="D2007" s="33" t="str">
        <x:v>Chicago Med</x:v>
      </x:c>
      <x:c r="E2007" s="33" t="str">
        <x:v>One Chicago</x:v>
      </x:c>
      <x:c r="F2007" s="33" t="str">
        <x:v>core</x:v>
      </x:c>
      <x:c r="G2007" s="50" t="n">
        <x:v>1</x:v>
      </x:c>
      <x:c r="H2007" s="50" t="n">
        <x:v>10</x:v>
      </x:c>
      <x:c r="I2007" s="44" t="str">
        <x:v>01.10</x:v>
      </x:c>
      <x:c r="J2007" s="33" t="str">
        <x:v>Clarity</x:v>
      </x:c>
      <x:c r="K2007" s="33" t="str"/>
      <x:c r="L2007" s="33" t="str"/>
      <x:c r="M2007" s="44" t="str"/>
      <x:c r="N2007" s="50" t="n">
        <x:v>44</x:v>
      </x:c>
      <x:c r="O2007" s="53" t="str">
        <x:v>A 9/11 hero is treated, but an unforeseen medical problem arises. Meanwhile, Sarah contemplates which hospital to select for her residency; Dr. Choi cares for an injured teen hockey player with a demanding father; and Halstead and Manning clash.</x:v>
      </x:c>
      <x:c r="P2007" s="53" t="str">
        <x:v>Core One Chicago franchise</x:v>
      </x:c>
      <x:c r="Q2007" s="17" t="str">
        <x:v>2048211</x:v>
      </x:c>
      <x:c r="R2007" s="17" t="str">
        <x:v>tt5431758</x:v>
      </x:c>
      <x:c r="S2007" s="17" t="str"/>
    </x:row>
    <x:row r="2008">
      <x:c r="A2008" s="43" t="n">
        <x:v>2004</x:v>
      </x:c>
      <x:c r="B2008" s="44" t="str">
        <x:v>Not Started</x:v>
      </x:c>
      <x:c r="C2008" s="45" t="n">
        <x:v>42417</x:v>
      </x:c>
      <x:c r="D2008" s="33" t="str">
        <x:v>Chicago Fire</x:v>
      </x:c>
      <x:c r="E2008" s="33" t="str">
        <x:v>One Chicago</x:v>
      </x:c>
      <x:c r="F2008" s="33" t="str">
        <x:v>core</x:v>
      </x:c>
      <x:c r="G2008" s="50" t="n">
        <x:v>4</x:v>
      </x:c>
      <x:c r="H2008" s="50" t="n">
        <x:v>15</x:v>
      </x:c>
      <x:c r="I2008" s="44" t="str">
        <x:v>04.15</x:v>
      </x:c>
      <x:c r="J2008" s="33" t="str">
        <x:v>Bad for the Soul</x:v>
      </x:c>
      <x:c r="K2008" s="33" t="str"/>
      <x:c r="L2008" s="33" t="str"/>
      <x:c r="M2008" s="44" t="str"/>
      <x:c r="N2008" s="50" t="n">
        <x:v>43</x:v>
      </x:c>
      <x:c r="O2008" s="53" t="str">
        <x:v>The team responds to a suspicious call from a neighboring firehouse; and welcomes a new firefighter, though her addition has repercussions. Casey moves forward in his run for alderman.</x:v>
      </x:c>
      <x:c r="P2008" s="53" t="str">
        <x:v>Core One Chicago franchise</x:v>
      </x:c>
      <x:c r="Q2008" s="17" t="str">
        <x:v>2126967</x:v>
      </x:c>
      <x:c r="R2008" s="17" t="str">
        <x:v>tt5431806</x:v>
      </x:c>
      <x:c r="S2008" s="17" t="str"/>
    </x:row>
    <x:row r="2009">
      <x:c r="A2009" s="43" t="n">
        <x:v>2005</x:v>
      </x:c>
      <x:c r="B2009" s="44" t="str">
        <x:v>Not Started</x:v>
      </x:c>
      <x:c r="C2009" s="45" t="n">
        <x:v>42417</x:v>
      </x:c>
      <x:c r="D2009" s="33" t="str">
        <x:v>Law &amp; Order: Special Victims Unit</x:v>
      </x:c>
      <x:c r="E2009" s="33" t="str">
        <x:v>Law &amp; Order</x:v>
      </x:c>
      <x:c r="F2009" s="33" t="str">
        <x:v>core</x:v>
      </x:c>
      <x:c r="G2009" s="50" t="n">
        <x:v>17</x:v>
      </x:c>
      <x:c r="H2009" s="50" t="n">
        <x:v>15</x:v>
      </x:c>
      <x:c r="I2009" s="44" t="str">
        <x:v>17.15</x:v>
      </x:c>
      <x:c r="J2009" s="33" t="str">
        <x:v>Collateral Damages</x:v>
      </x:c>
      <x:c r="K2009" s="33" t="str"/>
      <x:c r="L2009" s="33" t="str"/>
      <x:c r="M2009" s="44" t="str"/>
      <x:c r="N2009" s="50" t="n">
        <x:v>43</x:v>
      </x:c>
      <x:c r="O2009" s="53" t="str">
        <x:v>Two high-profile suspects are arrested in the takedown of an online pedophile ring following a sting operation.</x:v>
      </x:c>
      <x:c r="P2009" s="53" t="str">
        <x:v>Core Law &amp; Order franchise</x:v>
      </x:c>
      <x:c r="Q2009" s="17" t="str">
        <x:v>2137088</x:v>
      </x:c>
      <x:c r="R2009" s="17" t="str">
        <x:v>tt5372770</x:v>
      </x:c>
      <x:c r="S2009" s="17" t="str">
        <x:v>1373</x:v>
      </x:c>
    </x:row>
    <x:row r="2010">
      <x:c r="A2010" s="43" t="n">
        <x:v>2006</x:v>
      </x:c>
      <x:c r="B2010" s="44" t="str">
        <x:v>Not Started</x:v>
      </x:c>
      <x:c r="C2010" s="45" t="n">
        <x:v>42418</x:v>
      </x:c>
      <x:c r="D2010" s="33" t="str">
        <x:v>Chicago P.D.</x:v>
      </x:c>
      <x:c r="E2010" s="33" t="str">
        <x:v>One Chicago</x:v>
      </x:c>
      <x:c r="F2010" s="33" t="str">
        <x:v>core</x:v>
      </x:c>
      <x:c r="G2010" s="50" t="n">
        <x:v>3</x:v>
      </x:c>
      <x:c r="H2010" s="50" t="n">
        <x:v>15</x:v>
      </x:c>
      <x:c r="I2010" s="44" t="str">
        <x:v>03.15</x:v>
      </x:c>
      <x:c r="J2010" s="33" t="str">
        <x:v>A Night Owl</x:v>
      </x:c>
      <x:c r="K2010" s="33" t="str"/>
      <x:c r="L2010" s="33" t="str"/>
      <x:c r="M2010" s="44" t="str"/>
      <x:c r="N2010" s="50" t="n">
        <x:v>43</x:v>
      </x:c>
      <x:c r="O2010" s="53" t="str">
        <x:v>While working at a sobriety checkpoint, Burgess finds a duffel bag full of heroin in the truck of a respected college professor who claims to know nothing about how the drugs ended up there. At District, Roman expresses his desires to become a Field Training Office to Platt, and Mouse sets Halstead up with an off-duty security job working for the attractive owner of a medical marijuana clinic.</x:v>
      </x:c>
      <x:c r="P2010" s="53" t="str">
        <x:v>Core One Chicago franchise; crossovers with SVU/FBI</x:v>
      </x:c>
      <x:c r="Q2010" s="17" t="str">
        <x:v>2127023</x:v>
      </x:c>
      <x:c r="R2010" s="17" t="str">
        <x:v>tt5431824</x:v>
      </x:c>
      <x:c r="S2010" s="17" t="str"/>
    </x:row>
    <x:row r="2011">
      <x:c r="A2011" s="43" t="n">
        <x:v>2007</x:v>
      </x:c>
      <x:c r="B2011" s="44" t="str">
        <x:v>Not Started</x:v>
      </x:c>
      <x:c r="C2011" s="45" t="n">
        <x:v>42424</x:v>
      </x:c>
      <x:c r="D2011" s="33" t="str">
        <x:v>Chicago Med</x:v>
      </x:c>
      <x:c r="E2011" s="33" t="str">
        <x:v>One Chicago</x:v>
      </x:c>
      <x:c r="F2011" s="33" t="str">
        <x:v>core</x:v>
      </x:c>
      <x:c r="G2011" s="50" t="n">
        <x:v>1</x:v>
      </x:c>
      <x:c r="H2011" s="50" t="n">
        <x:v>11</x:v>
      </x:c>
      <x:c r="I2011" s="44" t="str">
        <x:v>01.11</x:v>
      </x:c>
      <x:c r="J2011" s="33" t="str">
        <x:v>Intervention</x:v>
      </x:c>
      <x:c r="K2011" s="33" t="str"/>
      <x:c r="L2011" s="33" t="str"/>
      <x:c r="M2011" s="44" t="str"/>
      <x:c r="N2011" s="50" t="n">
        <x:v>43</x:v>
      </x:c>
      <x:c r="O2011" s="53" t="str">
        <x:v>Dr. Rhodes and Dr. Choi clash over the final decision made by a dying patient. Meanwhile, a pending lawsuit against Dr. Halstead moves forward, and doctors race to save a patient with a misdiagnosed flesh-eating bacterial disease.</x:v>
      </x:c>
      <x:c r="P2011" s="53" t="str">
        <x:v>Core One Chicago franchise</x:v>
      </x:c>
      <x:c r="Q2011" s="17" t="str">
        <x:v>2048215</x:v>
      </x:c>
      <x:c r="R2011" s="17" t="str">
        <x:v>tt5446338</x:v>
      </x:c>
      <x:c r="S2011" s="17" t="str"/>
    </x:row>
    <x:row r="2012">
      <x:c r="A2012" s="43" t="n">
        <x:v>2008</x:v>
      </x:c>
      <x:c r="B2012" s="44" t="str">
        <x:v>Not Started</x:v>
      </x:c>
      <x:c r="C2012" s="45" t="n">
        <x:v>42424</x:v>
      </x:c>
      <x:c r="D2012" s="33" t="str">
        <x:v>Chicago Fire</x:v>
      </x:c>
      <x:c r="E2012" s="33" t="str">
        <x:v>One Chicago</x:v>
      </x:c>
      <x:c r="F2012" s="33" t="str">
        <x:v>core</x:v>
      </x:c>
      <x:c r="G2012" s="50" t="n">
        <x:v>4</x:v>
      </x:c>
      <x:c r="H2012" s="50" t="n">
        <x:v>16</x:v>
      </x:c>
      <x:c r="I2012" s="44" t="str">
        <x:v>04.16</x:v>
      </x:c>
      <x:c r="J2012" s="33" t="str">
        <x:v>Two Ts</x:v>
      </x:c>
      <x:c r="K2012" s="33" t="str"/>
      <x:c r="L2012" s="33" t="str"/>
      <x:c r="M2012" s="44" t="str"/>
      <x:c r="N2012" s="50" t="n">
        <x:v>41</x:v>
      </x:c>
      <x:c r="O2012" s="53" t="str">
        <x:v>Casey reconsiders his run for alderman after he's targeted by a propaganda campaign. The squad responds when a man is trapped inside of a burning car. Trudy's nerdy brother plans Mouch's bachelor party. Jimmy and Brett investigate a kidnapping on their own.</x:v>
      </x:c>
      <x:c r="P2012" s="53" t="str">
        <x:v>Core One Chicago franchise</x:v>
      </x:c>
      <x:c r="Q2012" s="17" t="str">
        <x:v>2135532</x:v>
      </x:c>
      <x:c r="R2012" s="17" t="str">
        <x:v>tt5426066</x:v>
      </x:c>
      <x:c r="S2012" s="17" t="str"/>
    </x:row>
    <x:row r="2013">
      <x:c r="A2013" s="43" t="n">
        <x:v>2009</x:v>
      </x:c>
      <x:c r="B2013" s="44" t="str">
        <x:v>Not Started</x:v>
      </x:c>
      <x:c r="C2013" s="45" t="n">
        <x:v>42424</x:v>
      </x:c>
      <x:c r="D2013" s="33" t="str">
        <x:v>Law &amp; Order: Special Victims Unit</x:v>
      </x:c>
      <x:c r="E2013" s="33" t="str">
        <x:v>Law &amp; Order</x:v>
      </x:c>
      <x:c r="F2013" s="33" t="str">
        <x:v>core</x:v>
      </x:c>
      <x:c r="G2013" s="50" t="n">
        <x:v>17</x:v>
      </x:c>
      <x:c r="H2013" s="50" t="n">
        <x:v>16</x:v>
      </x:c>
      <x:c r="I2013" s="44" t="str">
        <x:v>17.16</x:v>
      </x:c>
      <x:c r="J2013" s="33" t="str">
        <x:v>Star-Struck Victims</x:v>
      </x:c>
      <x:c r="K2013" s="33" t="str"/>
      <x:c r="L2013" s="33" t="str"/>
      <x:c r="M2013" s="44" t="str"/>
      <x:c r="N2013" s="50" t="n">
        <x:v>43</x:v>
      </x:c>
      <x:c r="O2013" s="53" t="str">
        <x:v>When a lack of evidence leads Barba to drop rape charges against a popular actor; Rollins takes matters into her own hands.</x:v>
      </x:c>
      <x:c r="P2013" s="53" t="str">
        <x:v>Core Law &amp; Order franchise</x:v>
      </x:c>
      <x:c r="Q2013" s="17" t="str">
        <x:v>2143331</x:v>
      </x:c>
      <x:c r="R2013" s="17" t="str">
        <x:v>tt5429026</x:v>
      </x:c>
      <x:c r="S2013" s="17" t="str">
        <x:v>1374</x:v>
      </x:c>
    </x:row>
    <x:row r="2014">
      <x:c r="A2014" s="43" t="n">
        <x:v>2010</x:v>
      </x:c>
      <x:c r="B2014" s="44" t="str">
        <x:v>Not Started</x:v>
      </x:c>
      <x:c r="C2014" s="45" t="n">
        <x:v>42425</x:v>
      </x:c>
      <x:c r="D2014" s="33" t="str">
        <x:v>Chicago P.D.</x:v>
      </x:c>
      <x:c r="E2014" s="33" t="str">
        <x:v>One Chicago</x:v>
      </x:c>
      <x:c r="F2014" s="33" t="str">
        <x:v>core</x:v>
      </x:c>
      <x:c r="G2014" s="50" t="n">
        <x:v>3</x:v>
      </x:c>
      <x:c r="H2014" s="50" t="n">
        <x:v>16</x:v>
      </x:c>
      <x:c r="I2014" s="44" t="str">
        <x:v>03.16</x:v>
      </x:c>
      <x:c r="J2014" s="33" t="str">
        <x:v>The Cases That Need to Be Solved</x:v>
      </x:c>
      <x:c r="K2014" s="33" t="str"/>
      <x:c r="L2014" s="33" t="str"/>
      <x:c r="M2014" s="44" t="str"/>
      <x:c r="N2014" s="50" t="n">
        <x:v>43</x:v>
      </x:c>
      <x:c r="O2014" s="53" t="str">
        <x:v>When a young boy is executed, Intelligence turn to the boy's parents for information and upon further investigation, discover the father has a criminal background and was a part of a local gang.</x:v>
      </x:c>
      <x:c r="P2014" s="53" t="str">
        <x:v>Core One Chicago franchise; crossovers with SVU/FBI</x:v>
      </x:c>
      <x:c r="Q2014" s="17" t="str">
        <x:v>2135651</x:v>
      </x:c>
      <x:c r="R2014" s="17" t="str">
        <x:v>tt5446450</x:v>
      </x:c>
      <x:c r="S2014" s="17" t="str"/>
    </x:row>
    <x:row r="2015">
      <x:c r="A2015" s="43" t="n">
        <x:v>2011</x:v>
      </x:c>
      <x:c r="B2015" s="44" t="str">
        <x:v>Not Started</x:v>
      </x:c>
      <x:c r="C2015" s="45" t="n">
        <x:v>42431</x:v>
      </x:c>
      <x:c r="D2015" s="33" t="str">
        <x:v>Law &amp; Order: Special Victims Unit</x:v>
      </x:c>
      <x:c r="E2015" s="33" t="str">
        <x:v>Law &amp; Order</x:v>
      </x:c>
      <x:c r="F2015" s="33" t="str">
        <x:v>core</x:v>
      </x:c>
      <x:c r="G2015" s="50" t="n">
        <x:v>17</x:v>
      </x:c>
      <x:c r="H2015" s="50" t="n">
        <x:v>17</x:v>
      </x:c>
      <x:c r="I2015" s="44" t="str">
        <x:v>17.17</x:v>
      </x:c>
      <x:c r="J2015" s="33" t="str">
        <x:v>Manhattan Transfer</x:v>
      </x:c>
      <x:c r="K2015" s="33" t="str"/>
      <x:c r="L2015" s="33" t="str"/>
      <x:c r="M2015" s="44" t="str"/>
      <x:c r="N2015" s="50" t="n">
        <x:v>43</x:v>
      </x:c>
      <x:c r="O2015" s="53" t="str">
        <x:v>A sexual exploitation case involving Catholic schoolgirls results in surprising charges against people in esteemed leadership positions, including judges, lawmakers, lawyers and cops.</x:v>
      </x:c>
      <x:c r="P2015" s="53" t="str">
        <x:v>Core Law &amp; Order franchise</x:v>
      </x:c>
      <x:c r="Q2015" s="17" t="str">
        <x:v>2153473</x:v>
      </x:c>
      <x:c r="R2015" s="17" t="str">
        <x:v>tt5475952</x:v>
      </x:c>
      <x:c r="S2015" s="17" t="str">
        <x:v>1375</x:v>
      </x:c>
    </x:row>
    <x:row r="2016">
      <x:c r="A2016" s="43" t="n">
        <x:v>2012</x:v>
      </x:c>
      <x:c r="B2016" s="44" t="str">
        <x:v>Not Started</x:v>
      </x:c>
      <x:c r="C2016" s="45" t="n">
        <x:v>42432</x:v>
      </x:c>
      <x:c r="D2016" s="33" t="str">
        <x:v>Chicago P.D.</x:v>
      </x:c>
      <x:c r="E2016" s="33" t="str">
        <x:v>One Chicago</x:v>
      </x:c>
      <x:c r="F2016" s="33" t="str">
        <x:v>core</x:v>
      </x:c>
      <x:c r="G2016" s="50" t="n">
        <x:v>3</x:v>
      </x:c>
      <x:c r="H2016" s="50" t="n">
        <x:v>17</x:v>
      </x:c>
      <x:c r="I2016" s="44" t="str">
        <x:v>03.17</x:v>
      </x:c>
      <x:c r="J2016" s="33" t="str">
        <x:v>Forty-Caliber Bread Crumb</x:v>
      </x:c>
      <x:c r="K2016" s="33" t="str"/>
      <x:c r="L2016" s="33" t="str"/>
      <x:c r="M2016" s="44" t="str"/>
      <x:c r="N2016" s="50" t="n">
        <x:v>42</x:v>
      </x:c>
      <x:c r="O2016" s="53" t="str">
        <x:v>While out on a bank run for his off-duty security job at the dispensary, Halstead and his co-workers find themselves under attack by a violent robbery crew. Meanwhile Roman, Burgess, Antonio, Halstead, Ruzek and Atwater follow-up on a lead and track down a potential suspect.</x:v>
      </x:c>
      <x:c r="P2016" s="53" t="str">
        <x:v>Core One Chicago franchise; crossovers with SVU/FBI</x:v>
      </x:c>
      <x:c r="Q2016" s="17" t="str">
        <x:v>2135654</x:v>
      </x:c>
      <x:c r="R2016" s="17" t="str">
        <x:v>tt5451706</x:v>
      </x:c>
      <x:c r="S2016" s="17" t="str"/>
    </x:row>
    <x:row r="2017">
      <x:c r="A2017" s="43" t="n">
        <x:v>2013</x:v>
      </x:c>
      <x:c r="B2017" s="44" t="str">
        <x:v>Not Started</x:v>
      </x:c>
      <x:c r="C2017" s="45" t="n">
        <x:v>42452</x:v>
      </x:c>
      <x:c r="D2017" s="33" t="str">
        <x:v>Law &amp; Order: Special Victims Unit</x:v>
      </x:c>
      <x:c r="E2017" s="33" t="str">
        <x:v>Law &amp; Order</x:v>
      </x:c>
      <x:c r="F2017" s="33" t="str">
        <x:v>core</x:v>
      </x:c>
      <x:c r="G2017" s="50" t="n">
        <x:v>17</x:v>
      </x:c>
      <x:c r="H2017" s="50" t="n">
        <x:v>18</x:v>
      </x:c>
      <x:c r="I2017" s="44" t="str">
        <x:v>17.18</x:v>
      </x:c>
      <x:c r="J2017" s="33" t="str">
        <x:v>Unholiest Alliance</x:v>
      </x:c>
      <x:c r="K2017" s="33" t="str"/>
      <x:c r="L2017" s="33" t="str"/>
      <x:c r="M2017" s="44" t="str"/>
      <x:c r="N2017" s="50" t="n">
        <x:v>43</x:v>
      </x:c>
      <x:c r="O2017" s="53" t="str">
        <x:v>When one of their own is implicated in a cover-up, the SVU struggles to unravel a sex trafficking operation deeply-rooted in government offices, the police department, and the Catholic Church.</x:v>
      </x:c>
      <x:c r="P2017" s="53" t="str">
        <x:v>Core Law &amp; Order franchise</x:v>
      </x:c>
      <x:c r="Q2017" s="17" t="str">
        <x:v>2167973</x:v>
      </x:c>
      <x:c r="R2017" s="17" t="str">
        <x:v>tt5487544</x:v>
      </x:c>
      <x:c r="S2017" s="17" t="str">
        <x:v>1376</x:v>
      </x:c>
    </x:row>
    <x:row r="2018">
      <x:c r="A2018" s="43" t="n">
        <x:v>2014</x:v>
      </x:c>
      <x:c r="B2018" s="44" t="str">
        <x:v>Not Started</x:v>
      </x:c>
      <x:c r="C2018" s="45" t="n">
        <x:v>42453</x:v>
      </x:c>
      <x:c r="D2018" s="33" t="str">
        <x:v>Chicago P.D.</x:v>
      </x:c>
      <x:c r="E2018" s="33" t="str">
        <x:v>One Chicago</x:v>
      </x:c>
      <x:c r="F2018" s="33" t="str">
        <x:v>core</x:v>
      </x:c>
      <x:c r="G2018" s="50" t="n">
        <x:v>3</x:v>
      </x:c>
      <x:c r="H2018" s="50" t="n">
        <x:v>18</x:v>
      </x:c>
      <x:c r="I2018" s="44" t="str">
        <x:v>03.18</x:v>
      </x:c>
      <x:c r="J2018" s="33" t="str">
        <x:v>Kasual with a K</x:v>
      </x:c>
      <x:c r="K2018" s="33" t="str"/>
      <x:c r="L2018" s="33" t="str"/>
      <x:c r="M2018" s="44" t="str"/>
      <x:c r="N2018" s="50" t="n">
        <x:v>43</x:v>
      </x:c>
      <x:c r="O2018" s="53" t="str">
        <x:v>While responding to a call of shots fired, Voight, Antonio, Halstead and the team come across a secret battered woman's shelter and discover the owner has been wounded and a resident of the shelter has been kidnapped. Burgess and Roman go undercover to track down a man robbing people by catfishing them on a dating app. Lindsay opens up to Halstead about her past.</x:v>
      </x:c>
      <x:c r="P2018" s="53" t="str">
        <x:v>Core One Chicago franchise; crossovers with SVU/FBI</x:v>
      </x:c>
      <x:c r="Q2018" s="17" t="str">
        <x:v>2135658</x:v>
      </x:c>
      <x:c r="R2018" s="17" t="str">
        <x:v>tt5451010</x:v>
      </x:c>
      <x:c r="S2018" s="17" t="str"/>
    </x:row>
    <x:row r="2019">
      <x:c r="A2019" s="43" t="n">
        <x:v>2015</x:v>
      </x:c>
      <x:c r="B2019" s="44" t="str">
        <x:v>Not Started</x:v>
      </x:c>
      <x:c r="C2019" s="45" t="n">
        <x:v>42459</x:v>
      </x:c>
      <x:c r="D2019" s="33" t="str">
        <x:v>Chicago Med</x:v>
      </x:c>
      <x:c r="E2019" s="33" t="str">
        <x:v>One Chicago</x:v>
      </x:c>
      <x:c r="F2019" s="33" t="str">
        <x:v>core</x:v>
      </x:c>
      <x:c r="G2019" s="50" t="n">
        <x:v>1</x:v>
      </x:c>
      <x:c r="H2019" s="50" t="n">
        <x:v>12</x:v>
      </x:c>
      <x:c r="I2019" s="44" t="str">
        <x:v>01.12</x:v>
      </x:c>
      <x:c r="J2019" s="33" t="str">
        <x:v>Guilty</x:v>
      </x:c>
      <x:c r="K2019" s="33" t="str"/>
      <x:c r="L2019" s="33" t="str"/>
      <x:c r="M2019" s="44" t="str"/>
      <x:c r="N2019" s="50" t="n">
        <x:v>44</x:v>
      </x:c>
      <x:c r="O2019" s="53" t="str">
        <x:v>Nurse Lockwood gets arrested when she takes a stand. Meanwhile, Dr. Halstead deals with a pending lawsuit against him; a baby's injuries come into question; Dr. Charles faces personal issues; and suspicions rise about a patient who was hit by a car.</x:v>
      </x:c>
      <x:c r="P2019" s="53" t="str">
        <x:v>Core One Chicago franchise</x:v>
      </x:c>
      <x:c r="Q2019" s="17" t="str">
        <x:v>2048217</x:v>
      </x:c>
      <x:c r="R2019" s="17" t="str">
        <x:v>tt5475660</x:v>
      </x:c>
      <x:c r="S2019" s="17" t="str"/>
    </x:row>
    <x:row r="2020">
      <x:c r="A2020" s="43" t="n">
        <x:v>2016</x:v>
      </x:c>
      <x:c r="B2020" s="44" t="str">
        <x:v>Not Started</x:v>
      </x:c>
      <x:c r="C2020" s="45" t="n">
        <x:v>42459</x:v>
      </x:c>
      <x:c r="D2020" s="33" t="str">
        <x:v>Chicago Fire</x:v>
      </x:c>
      <x:c r="E2020" s="33" t="str">
        <x:v>One Chicago</x:v>
      </x:c>
      <x:c r="F2020" s="33" t="str">
        <x:v>core</x:v>
      </x:c>
      <x:c r="G2020" s="50" t="n">
        <x:v>4</x:v>
      </x:c>
      <x:c r="H2020" s="50" t="n">
        <x:v>17</x:v>
      </x:c>
      <x:c r="I2020" s="44" t="str">
        <x:v>04.17</x:v>
      </x:c>
      <x:c r="J2020" s="33" t="str">
        <x:v>What Happened to Courtney</x:v>
      </x:c>
      <x:c r="K2020" s="33" t="str"/>
      <x:c r="L2020" s="33" t="str"/>
      <x:c r="M2020" s="44" t="str"/>
      <x:c r="N2020" s="50" t="n">
        <x:v>42</x:v>
      </x:c>
      <x:c r="O2020" s="53" t="str">
        <x:v>Severide and Cruz find a child's remains inside a chimney while investigating a possible carbon monoxide leak inside a home. In other events, Casey braces for the worst in his run for alderman while Alderman Becks continues to bad mouth him to the press.</x:v>
      </x:c>
      <x:c r="P2020" s="53" t="str">
        <x:v>Core One Chicago franchise</x:v>
      </x:c>
      <x:c r="Q2020" s="17" t="str">
        <x:v>2135534</x:v>
      </x:c>
      <x:c r="R2020" s="17" t="str">
        <x:v>tt5520002</x:v>
      </x:c>
      <x:c r="S2020" s="17" t="str"/>
    </x:row>
    <x:row r="2021">
      <x:c r="A2021" s="43" t="n">
        <x:v>2017</x:v>
      </x:c>
      <x:c r="B2021" s="44" t="str">
        <x:v>Not Started</x:v>
      </x:c>
      <x:c r="C2021" s="45" t="n">
        <x:v>42459</x:v>
      </x:c>
      <x:c r="D2021" s="33" t="str">
        <x:v>Law &amp; Order: Special Victims Unit</x:v>
      </x:c>
      <x:c r="E2021" s="33" t="str">
        <x:v>Law &amp; Order</x:v>
      </x:c>
      <x:c r="F2021" s="33" t="str">
        <x:v>core</x:v>
      </x:c>
      <x:c r="G2021" s="50" t="n">
        <x:v>17</x:v>
      </x:c>
      <x:c r="H2021" s="50" t="n">
        <x:v>19</x:v>
      </x:c>
      <x:c r="I2021" s="44" t="str">
        <x:v>17.19</x:v>
      </x:c>
      <x:c r="J2021" s="33" t="str">
        <x:v>Sheltered Outcasts</x:v>
      </x:c>
      <x:c r="K2021" s="33" t="str"/>
      <x:c r="L2021" s="33" t="str"/>
      <x:c r="M2021" s="44" t="str"/>
      <x:c r="N2021" s="50" t="n">
        <x:v>43</x:v>
      </x:c>
      <x:c r="O2021" s="53" t="str">
        <x:v>Detective Carisi lives undercover at a homeless shelter to determine if one of its sex offender residents is the suspect in a string of neighborhood rapes.</x:v>
      </x:c>
      <x:c r="P2021" s="53" t="str">
        <x:v>Core Law &amp; Order franchise</x:v>
      </x:c>
      <x:c r="Q2021" s="17" t="str">
        <x:v>2180969</x:v>
      </x:c>
      <x:c r="R2021" s="17" t="str">
        <x:v>tt5511766</x:v>
      </x:c>
      <x:c r="S2021" s="17" t="str">
        <x:v>1377</x:v>
      </x:c>
    </x:row>
    <x:row r="2022">
      <x:c r="A2022" s="43" t="n">
        <x:v>2018</x:v>
      </x:c>
      <x:c r="B2022" s="44" t="str">
        <x:v>Not Started</x:v>
      </x:c>
      <x:c r="C2022" s="45" t="n">
        <x:v>42460</x:v>
      </x:c>
      <x:c r="D2022" s="33" t="str">
        <x:v>Chicago P.D.</x:v>
      </x:c>
      <x:c r="E2022" s="33" t="str">
        <x:v>One Chicago</x:v>
      </x:c>
      <x:c r="F2022" s="33" t="str">
        <x:v>core</x:v>
      </x:c>
      <x:c r="G2022" s="50" t="n">
        <x:v>3</x:v>
      </x:c>
      <x:c r="H2022" s="50" t="n">
        <x:v>19</x:v>
      </x:c>
      <x:c r="I2022" s="44" t="str">
        <x:v>03.19</x:v>
      </x:c>
      <x:c r="J2022" s="33" t="str">
        <x:v>If We Were Normal</x:v>
      </x:c>
      <x:c r="K2022" s="33" t="str"/>
      <x:c r="L2022" s="33" t="str"/>
      <x:c r="M2022" s="44" t="str"/>
      <x:c r="N2022" s="50" t="n">
        <x:v>43</x:v>
      </x:c>
      <x:c r="O2022" s="53" t="str">
        <x:v>When Burgess and Lindsay respond to a call about a stabbing, the assailant turns out to be a kidnapping victim escaping her captor; Ruzek accuses Roman of having feelings for Burgess.</x:v>
      </x:c>
      <x:c r="P2022" s="53" t="str">
        <x:v>Core One Chicago franchise; crossovers with SVU/FBI</x:v>
      </x:c>
      <x:c r="Q2022" s="17" t="str">
        <x:v>2135659</x:v>
      </x:c>
      <x:c r="R2022" s="17" t="str">
        <x:v>tt5534488</x:v>
      </x:c>
      <x:c r="S2022" s="17" t="str"/>
    </x:row>
    <x:row r="2023">
      <x:c r="A2023" s="43" t="n">
        <x:v>2019</x:v>
      </x:c>
      <x:c r="B2023" s="44" t="str">
        <x:v>Not Started</x:v>
      </x:c>
      <x:c r="C2023" s="45" t="n">
        <x:v>42466</x:v>
      </x:c>
      <x:c r="D2023" s="33" t="str">
        <x:v>Chicago Med</x:v>
      </x:c>
      <x:c r="E2023" s="33" t="str">
        <x:v>One Chicago</x:v>
      </x:c>
      <x:c r="F2023" s="33" t="str">
        <x:v>core</x:v>
      </x:c>
      <x:c r="G2023" s="50" t="n">
        <x:v>1</x:v>
      </x:c>
      <x:c r="H2023" s="50" t="n">
        <x:v>13</x:v>
      </x:c>
      <x:c r="I2023" s="44" t="str">
        <x:v>01.13</x:v>
      </x:c>
      <x:c r="J2023" s="33" t="str">
        <x:v>Us</x:v>
      </x:c>
      <x:c r="K2023" s="33" t="str"/>
      <x:c r="L2023" s="33" t="str"/>
      <x:c r="M2023" s="44" t="str"/>
      <x:c r="N2023" s="50" t="n">
        <x:v>44</x:v>
      </x:c>
      <x:c r="O2023" s="53" t="str">
        <x:v>A husband makes a request following his wife's death; Dr. Charles tries to reason with a patient who wants to remove his own arm from his body; a child arrives at the hospital after swallowing magnets; Sarah has last-minute thoughts about her residency.</x:v>
      </x:c>
      <x:c r="P2023" s="53" t="str">
        <x:v>Core One Chicago franchise</x:v>
      </x:c>
      <x:c r="Q2023" s="17" t="str">
        <x:v>2122801</x:v>
      </x:c>
      <x:c r="R2023" s="17" t="str">
        <x:v>tt5517936</x:v>
      </x:c>
      <x:c r="S2023" s="17" t="str"/>
    </x:row>
    <x:row r="2024">
      <x:c r="A2024" s="43" t="n">
        <x:v>2020</x:v>
      </x:c>
      <x:c r="B2024" s="44" t="str">
        <x:v>Not Started</x:v>
      </x:c>
      <x:c r="C2024" s="45" t="n">
        <x:v>42466</x:v>
      </x:c>
      <x:c r="D2024" s="33" t="str">
        <x:v>Chicago Fire</x:v>
      </x:c>
      <x:c r="E2024" s="33" t="str">
        <x:v>One Chicago</x:v>
      </x:c>
      <x:c r="F2024" s="33" t="str">
        <x:v>core</x:v>
      </x:c>
      <x:c r="G2024" s="50" t="n">
        <x:v>4</x:v>
      </x:c>
      <x:c r="H2024" s="50" t="n">
        <x:v>18</x:v>
      </x:c>
      <x:c r="I2024" s="44" t="str">
        <x:v>04.18</x:v>
      </x:c>
      <x:c r="J2024" s="33" t="str">
        <x:v>On the Warpath</x:v>
      </x:c>
      <x:c r="K2024" s="33" t="str"/>
      <x:c r="L2024" s="33" t="str"/>
      <x:c r="M2024" s="44" t="str"/>
      <x:c r="N2024" s="50" t="n">
        <x:v>42</x:v>
      </x:c>
      <x:c r="O2024" s="53" t="str">
        <x:v>Sylvie witnesses a murder and is threatened by the shooter not to go to the police. Firehouse 51 jumps into action when a fire breaks out at a restaurant and traps several people inside a vault. Mouch starts to get cold feet.</x:v>
      </x:c>
      <x:c r="P2024" s="53" t="str">
        <x:v>Core One Chicago franchise</x:v>
      </x:c>
      <x:c r="Q2024" s="17" t="str">
        <x:v>2135537</x:v>
      </x:c>
      <x:c r="R2024" s="17" t="str">
        <x:v>tt5558928</x:v>
      </x:c>
      <x:c r="S2024" s="17" t="str"/>
    </x:row>
    <x:row r="2025">
      <x:c r="A2025" s="43" t="n">
        <x:v>2021</x:v>
      </x:c>
      <x:c r="B2025" s="44" t="str">
        <x:v>Not Started</x:v>
      </x:c>
      <x:c r="C2025" s="45" t="n">
        <x:v>42480</x:v>
      </x:c>
      <x:c r="D2025" s="33" t="str">
        <x:v>Chicago Med</x:v>
      </x:c>
      <x:c r="E2025" s="33" t="str">
        <x:v>One Chicago</x:v>
      </x:c>
      <x:c r="F2025" s="33" t="str">
        <x:v>core</x:v>
      </x:c>
      <x:c r="G2025" s="50" t="n">
        <x:v>1</x:v>
      </x:c>
      <x:c r="H2025" s="50" t="n">
        <x:v>14</x:v>
      </x:c>
      <x:c r="I2025" s="44" t="str">
        <x:v>01.14</x:v>
      </x:c>
      <x:c r="J2025" s="33" t="str">
        <x:v>Hearts</x:v>
      </x:c>
      <x:c r="K2025" s="33" t="str"/>
      <x:c r="L2025" s="33" t="str"/>
      <x:c r="M2025" s="44" t="str"/>
      <x:c r="N2025" s="50" t="n">
        <x:v>43</x:v>
      </x:c>
      <x:c r="O2025" s="53" t="str">
        <x:v>An erratic patient arrives, claiming that his heart is pounding inside his head as he takes drastic measures to stop it. Also, Dr. Manning helps a boy with a broken wrist, but she suspects deeper issues exist; Dr. Rhodes impresses with his skills; and Will receives news about a lawsuit.</x:v>
      </x:c>
      <x:c r="P2025" s="53" t="str">
        <x:v>Core One Chicago franchise</x:v>
      </x:c>
      <x:c r="Q2025" s="17" t="str">
        <x:v>2122806</x:v>
      </x:c>
      <x:c r="R2025" s="17" t="str">
        <x:v>tt5601236</x:v>
      </x:c>
      <x:c r="S2025" s="17" t="str"/>
    </x:row>
    <x:row r="2026">
      <x:c r="A2026" s="43" t="n">
        <x:v>2022</x:v>
      </x:c>
      <x:c r="B2026" s="44" t="str">
        <x:v>Not Started</x:v>
      </x:c>
      <x:c r="C2026" s="45" t="n">
        <x:v>42480</x:v>
      </x:c>
      <x:c r="D2026" s="33" t="str">
        <x:v>Chicago Fire</x:v>
      </x:c>
      <x:c r="E2026" s="33" t="str">
        <x:v>One Chicago</x:v>
      </x:c>
      <x:c r="F2026" s="33" t="str">
        <x:v>core</x:v>
      </x:c>
      <x:c r="G2026" s="50" t="n">
        <x:v>4</x:v>
      </x:c>
      <x:c r="H2026" s="50" t="n">
        <x:v>19</x:v>
      </x:c>
      <x:c r="I2026" s="44" t="str">
        <x:v>04.19</x:v>
      </x:c>
      <x:c r="J2026" s="33" t="str">
        <x:v>I Will Be Walking</x:v>
      </x:c>
      <x:c r="K2026" s="33" t="str"/>
      <x:c r="L2026" s="33" t="str"/>
      <x:c r="M2026" s="44" t="str"/>
      <x:c r="N2026" s="50" t="n">
        <x:v>43</x:v>
      </x:c>
      <x:c r="O2026" s="53" t="str">
        <x:v>Casey steps up to help a teenager being bullied by a gang; Severide bonds with a detective’s son after her life is threatened; and Kidd and Herrmann go head-to-head in a test of bar knowledge.</x:v>
      </x:c>
      <x:c r="P2026" s="53" t="str">
        <x:v>Core One Chicago franchise</x:v>
      </x:c>
      <x:c r="Q2026" s="17" t="str">
        <x:v>2135540</x:v>
      </x:c>
      <x:c r="R2026" s="17" t="str">
        <x:v>tt5592832</x:v>
      </x:c>
      <x:c r="S2026" s="17" t="str"/>
    </x:row>
    <x:row r="2027">
      <x:c r="A2027" s="43" t="n">
        <x:v>2023</x:v>
      </x:c>
      <x:c r="B2027" s="44" t="str">
        <x:v>Not Started</x:v>
      </x:c>
      <x:c r="C2027" s="45" t="n">
        <x:v>42487</x:v>
      </x:c>
      <x:c r="D2027" s="33" t="str">
        <x:v>Chicago Med</x:v>
      </x:c>
      <x:c r="E2027" s="33" t="str">
        <x:v>One Chicago</x:v>
      </x:c>
      <x:c r="F2027" s="33" t="str">
        <x:v>core</x:v>
      </x:c>
      <x:c r="G2027" s="50" t="n">
        <x:v>1</x:v>
      </x:c>
      <x:c r="H2027" s="50" t="n">
        <x:v>15</x:v>
      </x:c>
      <x:c r="I2027" s="44" t="str">
        <x:v>01.15</x:v>
      </x:c>
      <x:c r="J2027" s="33" t="str">
        <x:v>Inheritance</x:v>
      </x:c>
      <x:c r="K2027" s="33" t="str"/>
      <x:c r="L2027" s="33" t="str"/>
      <x:c r="M2027" s="44" t="str"/>
      <x:c r="N2027" s="50" t="n">
        <x:v>43</x:v>
      </x:c>
      <x:c r="O2027" s="53" t="str">
        <x:v>A teen patient with abdominal pain firmly refuses any drugs. Meanwhile, Dr. Halstead reconnects with his past when treating a patient; a pregnant woman does everything in her power not to deliver the child; and Dr. Rhodes tries to avoid family issues.</x:v>
      </x:c>
      <x:c r="P2027" s="53" t="str">
        <x:v>Core One Chicago franchise</x:v>
      </x:c>
      <x:c r="Q2027" s="17" t="str">
        <x:v>2122811</x:v>
      </x:c>
      <x:c r="R2027" s="17" t="str">
        <x:v>tt5601240</x:v>
      </x:c>
      <x:c r="S2027" s="17" t="str"/>
    </x:row>
    <x:row r="2028">
      <x:c r="A2028" s="43" t="n">
        <x:v>2024</x:v>
      </x:c>
      <x:c r="B2028" s="44" t="str">
        <x:v>Not Started</x:v>
      </x:c>
      <x:c r="C2028" s="45" t="n">
        <x:v>42487</x:v>
      </x:c>
      <x:c r="D2028" s="33" t="str">
        <x:v>Chicago Fire</x:v>
      </x:c>
      <x:c r="E2028" s="33" t="str">
        <x:v>One Chicago</x:v>
      </x:c>
      <x:c r="F2028" s="33" t="str">
        <x:v>core</x:v>
      </x:c>
      <x:c r="G2028" s="50" t="n">
        <x:v>4</x:v>
      </x:c>
      <x:c r="H2028" s="50" t="n">
        <x:v>20</x:v>
      </x:c>
      <x:c r="I2028" s="44" t="str">
        <x:v>04.20</x:v>
      </x:c>
      <x:c r="J2028" s="33" t="str">
        <x:v>The Last One for Mom</x:v>
      </x:c>
      <x:c r="K2028" s="33" t="str"/>
      <x:c r="L2028" s="33" t="str"/>
      <x:c r="M2028" s="44" t="str"/>
      <x:c r="N2028" s="50" t="n">
        <x:v>43</x:v>
      </x:c>
      <x:c r="O2028" s="53" t="str">
        <x:v>Firehouse 51 unites to help a young boy in tragic circumstances. A high-powered political consultant helps Casey navigate a potential scandal. Cruz makes a mistake that nearly costs him his life.</x:v>
      </x:c>
      <x:c r="P2028" s="53" t="str">
        <x:v>Core One Chicago franchise</x:v>
      </x:c>
      <x:c r="Q2028" s="17" t="str">
        <x:v>2135543</x:v>
      </x:c>
      <x:c r="R2028" s="17" t="str">
        <x:v>tt5601256</x:v>
      </x:c>
      <x:c r="S2028" s="17" t="str"/>
    </x:row>
    <x:row r="2029">
      <x:c r="A2029" s="43" t="n">
        <x:v>2025</x:v>
      </x:c>
      <x:c r="B2029" s="44" t="str">
        <x:v>Not Started</x:v>
      </x:c>
      <x:c r="C2029" s="45" t="n">
        <x:v>42494</x:v>
      </x:c>
      <x:c r="D2029" s="33" t="str">
        <x:v>Chicago Med</x:v>
      </x:c>
      <x:c r="E2029" s="33" t="str">
        <x:v>One Chicago</x:v>
      </x:c>
      <x:c r="F2029" s="33" t="str">
        <x:v>core</x:v>
      </x:c>
      <x:c r="G2029" s="50" t="n">
        <x:v>1</x:v>
      </x:c>
      <x:c r="H2029" s="50" t="n">
        <x:v>16</x:v>
      </x:c>
      <x:c r="I2029" s="44" t="str">
        <x:v>01.16</x:v>
      </x:c>
      <x:c r="J2029" s="33" t="str">
        <x:v>Disorder</x:v>
      </x:c>
      <x:c r="K2029" s="33" t="str"/>
      <x:c r="L2029" s="33" t="str"/>
      <x:c r="M2029" s="44" t="str"/>
      <x:c r="N2029" s="50" t="n">
        <x:v>43</x:v>
      </x:c>
      <x:c r="O2029" s="53" t="str">
        <x:v>Dr. Rhodes and Dr. Downey clash over how to treat a patient with various health and heart issues. Meanwhile, excessive hoarding at a home comes into play when trying to help a man with a leg injury; a patient is bitten by her own dog; and a commission pays a surprise visit to evaluate the hospital.</x:v>
      </x:c>
      <x:c r="P2029" s="53" t="str">
        <x:v>Core One Chicago franchise</x:v>
      </x:c>
      <x:c r="Q2029" s="17" t="str">
        <x:v>2122815</x:v>
      </x:c>
      <x:c r="R2029" s="17" t="str">
        <x:v>tt5601242</x:v>
      </x:c>
      <x:c r="S2029" s="17" t="str"/>
    </x:row>
    <x:row r="2030">
      <x:c r="A2030" s="43" t="n">
        <x:v>2026</x:v>
      </x:c>
      <x:c r="B2030" s="44" t="str">
        <x:v>Not Started</x:v>
      </x:c>
      <x:c r="C2030" s="45" t="n">
        <x:v>42494</x:v>
      </x:c>
      <x:c r="D2030" s="33" t="str">
        <x:v>Chicago Fire</x:v>
      </x:c>
      <x:c r="E2030" s="33" t="str">
        <x:v>One Chicago</x:v>
      </x:c>
      <x:c r="F2030" s="33" t="str">
        <x:v>core</x:v>
      </x:c>
      <x:c r="G2030" s="50" t="n">
        <x:v>4</x:v>
      </x:c>
      <x:c r="H2030" s="50" t="n">
        <x:v>21</x:v>
      </x:c>
      <x:c r="I2030" s="44" t="str">
        <x:v>04.21</x:v>
      </x:c>
      <x:c r="J2030" s="33" t="str">
        <x:v>Kind of a Crazy Idea</x:v>
      </x:c>
      <x:c r="K2030" s="33" t="str"/>
      <x:c r="L2030" s="33" t="str"/>
      <x:c r="M2030" s="44" t="str"/>
      <x:c r="N2030" s="50" t="n">
        <x:v>42</x:v>
      </x:c>
      <x:c r="O2030" s="53" t="str">
        <x:v>Dawson saves a young boy from an apartment fire. Kidd's idea for Molly's doesn't go as hoped. Severide hits a wall while advocating for new fire masks. Cruz and Brett utilize a secret weapon to get Otis to see Dr. Halstead take a blood test.</x:v>
      </x:c>
      <x:c r="P2030" s="53" t="str">
        <x:v>Core One Chicago franchise</x:v>
      </x:c>
      <x:c r="Q2030" s="17" t="str">
        <x:v>2135545</x:v>
      </x:c>
      <x:c r="R2030" s="17" t="str">
        <x:v>tt5601258</x:v>
      </x:c>
      <x:c r="S2030" s="17" t="str"/>
    </x:row>
    <x:row r="2031">
      <x:c r="A2031" s="43" t="n">
        <x:v>2027</x:v>
      </x:c>
      <x:c r="B2031" s="44" t="str">
        <x:v>Not Started</x:v>
      </x:c>
      <x:c r="C2031" s="45" t="n">
        <x:v>42494</x:v>
      </x:c>
      <x:c r="D2031" s="33" t="str">
        <x:v>Law &amp; Order: Special Victims Unit</x:v>
      </x:c>
      <x:c r="E2031" s="33" t="str">
        <x:v>Law &amp; Order</x:v>
      </x:c>
      <x:c r="F2031" s="33" t="str">
        <x:v>core</x:v>
      </x:c>
      <x:c r="G2031" s="50" t="n">
        <x:v>17</x:v>
      </x:c>
      <x:c r="H2031" s="50" t="n">
        <x:v>20</x:v>
      </x:c>
      <x:c r="I2031" s="44" t="str">
        <x:v>17.20</x:v>
      </x:c>
      <x:c r="J2031" s="33" t="str">
        <x:v>Fashionable Crimes</x:v>
      </x:c>
      <x:c r="K2031" s="33" t="str"/>
      <x:c r="L2031" s="33" t="str"/>
      <x:c r="M2031" s="44" t="str"/>
      <x:c r="N2031" s="50" t="n">
        <x:v>43</x:v>
      </x:c>
      <x:c r="O2031" s="53" t="str">
        <x:v>A young model is raped by a renowned fashion house photographer, who looks to his successful brother to make the charges disappear.</x:v>
      </x:c>
      <x:c r="P2031" s="53" t="str">
        <x:v>Core Law &amp; Order franchise</x:v>
      </x:c>
      <x:c r="Q2031" s="17" t="str">
        <x:v>2191931</x:v>
      </x:c>
      <x:c r="R2031" s="17" t="str">
        <x:v>tt5566126</x:v>
      </x:c>
      <x:c r="S2031" s="17" t="str">
        <x:v>1378</x:v>
      </x:c>
    </x:row>
    <x:row r="2032">
      <x:c r="A2032" s="43" t="n">
        <x:v>2028</x:v>
      </x:c>
      <x:c r="B2032" s="44" t="str">
        <x:v>Not Started</x:v>
      </x:c>
      <x:c r="C2032" s="45" t="n">
        <x:v>42495</x:v>
      </x:c>
      <x:c r="D2032" s="33" t="str">
        <x:v>Chicago P.D.</x:v>
      </x:c>
      <x:c r="E2032" s="33" t="str">
        <x:v>One Chicago</x:v>
      </x:c>
      <x:c r="F2032" s="33" t="str">
        <x:v>core</x:v>
      </x:c>
      <x:c r="G2032" s="50" t="n">
        <x:v>3</x:v>
      </x:c>
      <x:c r="H2032" s="50" t="n">
        <x:v>20</x:v>
      </x:c>
      <x:c r="I2032" s="44" t="str">
        <x:v>03.20</x:v>
      </x:c>
      <x:c r="J2032" s="33" t="str">
        <x:v>In a Duffel Bag</x:v>
      </x:c>
      <x:c r="K2032" s="33" t="str"/>
      <x:c r="L2032" s="33" t="str"/>
      <x:c r="M2032" s="44" t="str"/>
      <x:c r="N2032" s="50" t="n">
        <x:v>41</x:v>
      </x:c>
      <x:c r="O2032" s="53" t="str">
        <x:v>Responding to a call about a suspicious duffel bag at the Chicago Lakefront, Voight is horrified to discover that the bag contains the frigid and unmoving body of a newborn baby. Meanwhile, Voight is surprised to hear that his son is in town and Burgess and Roman grow closer.</x:v>
      </x:c>
      <x:c r="P2032" s="53" t="str">
        <x:v>Core One Chicago franchise; crossovers with SVU/FBI</x:v>
      </x:c>
      <x:c r="Q2032" s="17" t="str">
        <x:v>2135661</x:v>
      </x:c>
      <x:c r="R2032" s="17" t="str">
        <x:v>tt5595006</x:v>
      </x:c>
      <x:c r="S2032" s="17" t="str"/>
    </x:row>
    <x:row r="2033">
      <x:c r="A2033" s="43" t="n">
        <x:v>2029</x:v>
      </x:c>
      <x:c r="B2033" s="44" t="str">
        <x:v>Not Started</x:v>
      </x:c>
      <x:c r="C2033" s="45" t="n">
        <x:v>42501</x:v>
      </x:c>
      <x:c r="D2033" s="33" t="str">
        <x:v>Chicago Med</x:v>
      </x:c>
      <x:c r="E2033" s="33" t="str">
        <x:v>One Chicago</x:v>
      </x:c>
      <x:c r="F2033" s="33" t="str">
        <x:v>core</x:v>
      </x:c>
      <x:c r="G2033" s="50" t="n">
        <x:v>1</x:v>
      </x:c>
      <x:c r="H2033" s="50" t="n">
        <x:v>17</x:v>
      </x:c>
      <x:c r="I2033" s="44" t="str">
        <x:v>01.17</x:v>
      </x:c>
      <x:c r="J2033" s="33" t="str">
        <x:v>Withdrawal</x:v>
      </x:c>
      <x:c r="K2033" s="33" t="str"/>
      <x:c r="L2033" s="33" t="str"/>
      <x:c r="M2033" s="44" t="str"/>
      <x:c r="N2033" s="50" t="n">
        <x:v>44</x:v>
      </x:c>
      <x:c r="O2033" s="53" t="str">
        <x:v>April and Dr. Halstead clash over how to treat an alcoholic homeless man with a broken leg. Also, Dr. Manning continues to grieve over her husband's death; two elderly women with the same symptoms share a surprise link; Halstead mulls over a job offer in California.</x:v>
      </x:c>
      <x:c r="P2033" s="53" t="str">
        <x:v>Core One Chicago franchise</x:v>
      </x:c>
      <x:c r="Q2033" s="17" t="str">
        <x:v>2122818</x:v>
      </x:c>
      <x:c r="R2033" s="17" t="str">
        <x:v>tt5601244</x:v>
      </x:c>
      <x:c r="S2033" s="17" t="str"/>
    </x:row>
    <x:row r="2034">
      <x:c r="A2034" s="43" t="n">
        <x:v>2030</x:v>
      </x:c>
      <x:c r="B2034" s="44" t="str">
        <x:v>Not Started</x:v>
      </x:c>
      <x:c r="C2034" s="45" t="n">
        <x:v>42501</x:v>
      </x:c>
      <x:c r="D2034" s="33" t="str">
        <x:v>Chicago Fire</x:v>
      </x:c>
      <x:c r="E2034" s="33" t="str">
        <x:v>One Chicago</x:v>
      </x:c>
      <x:c r="F2034" s="33" t="str">
        <x:v>core</x:v>
      </x:c>
      <x:c r="G2034" s="50" t="n">
        <x:v>4</x:v>
      </x:c>
      <x:c r="H2034" s="50" t="n">
        <x:v>22</x:v>
      </x:c>
      <x:c r="I2034" s="44" t="str">
        <x:v>04.22</x:v>
      </x:c>
      <x:c r="J2034" s="33" t="str">
        <x:v>Where the Collapse Started</x:v>
      </x:c>
      <x:c r="K2034" s="33" t="str"/>
      <x:c r="L2034" s="33" t="str"/>
      <x:c r="M2034" s="44" t="str"/>
      <x:c r="N2034" s="50" t="n">
        <x:v>41</x:v>
      </x:c>
      <x:c r="O2034" s="53" t="str">
        <x:v>The team responds to a building collapse that's trapped more than a dozen people. Dawson's quest to foster Louie is aided by a familiar face. Otis, who's on medical leave, meets his temporary replacement. Severide and Kidd continue to see each other. Casey is at odds with Antonio.</x:v>
      </x:c>
      <x:c r="P2034" s="53" t="str">
        <x:v>Core One Chicago franchise</x:v>
      </x:c>
      <x:c r="Q2034" s="17" t="str">
        <x:v>2135547</x:v>
      </x:c>
      <x:c r="R2034" s="17" t="str">
        <x:v>tt5601260</x:v>
      </x:c>
      <x:c r="S2034" s="17" t="str"/>
    </x:row>
    <x:row r="2035">
      <x:c r="A2035" s="43" t="n">
        <x:v>2031</x:v>
      </x:c>
      <x:c r="B2035" s="44" t="str">
        <x:v>Not Started</x:v>
      </x:c>
      <x:c r="C2035" s="45" t="n">
        <x:v>42501</x:v>
      </x:c>
      <x:c r="D2035" s="33" t="str">
        <x:v>Law &amp; Order: Special Victims Unit</x:v>
      </x:c>
      <x:c r="E2035" s="33" t="str">
        <x:v>Law &amp; Order</x:v>
      </x:c>
      <x:c r="F2035" s="33" t="str">
        <x:v>core</x:v>
      </x:c>
      <x:c r="G2035" s="50" t="n">
        <x:v>17</x:v>
      </x:c>
      <x:c r="H2035" s="50" t="n">
        <x:v>21</x:v>
      </x:c>
      <x:c r="I2035" s="44" t="str">
        <x:v>17.21</x:v>
      </x:c>
      <x:c r="J2035" s="33" t="str">
        <x:v>Assaulting Reality</x:v>
      </x:c>
      <x:c r="K2035" s="33" t="str"/>
      <x:c r="L2035" s="33" t="str"/>
      <x:c r="M2035" s="44" t="str"/>
      <x:c r="N2035" s="50" t="n">
        <x:v>43</x:v>
      </x:c>
      <x:c r="O2035" s="53" t="str">
        <x:v>The producers of a reality TV dating series make Benson and the SVU team part of the show when they investigate a contestant's claim that she was raped.</x:v>
      </x:c>
      <x:c r="P2035" s="53" t="str">
        <x:v>Core Law &amp; Order franchise</x:v>
      </x:c>
      <x:c r="Q2035" s="17" t="str">
        <x:v>2191932</x:v>
      </x:c>
      <x:c r="R2035" s="17" t="str">
        <x:v>tt5566130</x:v>
      </x:c>
      <x:c r="S2035" s="17" t="str">
        <x:v>1379</x:v>
      </x:c>
    </x:row>
    <x:row r="2036">
      <x:c r="A2036" s="43" t="n">
        <x:v>2032</x:v>
      </x:c>
      <x:c r="B2036" s="44" t="str">
        <x:v>Not Started</x:v>
      </x:c>
      <x:c r="C2036" s="45" t="n">
        <x:v>42502</x:v>
      </x:c>
      <x:c r="D2036" s="33" t="str">
        <x:v>Chicago P.D.</x:v>
      </x:c>
      <x:c r="E2036" s="33" t="str">
        <x:v>One Chicago</x:v>
      </x:c>
      <x:c r="F2036" s="33" t="str">
        <x:v>core</x:v>
      </x:c>
      <x:c r="G2036" s="50" t="n">
        <x:v>3</x:v>
      </x:c>
      <x:c r="H2036" s="50" t="n">
        <x:v>21</x:v>
      </x:c>
      <x:c r="I2036" s="44" t="str">
        <x:v>03.21</x:v>
      </x:c>
      <x:c r="J2036" s="33" t="str">
        <x:v>Justice</x:v>
      </x:c>
      <x:c r="K2036" s="33" t="str">
        <x:v>Backdoor pilot</x:v>
      </x:c>
      <x:c r="L2036" s="33" t="str">
        <x:v>Chicago Justice launch</x:v>
      </x:c>
      <x:c r="M2036" s="44" t="str"/>
      <x:c r="N2036" s="50" t="n">
        <x:v>43</x:v>
      </x:c>
      <x:c r="O2036" s="53" t="str">
        <x:v>Burgess gives chase after Roman is wounded by a hooded perp who opened fire on their patrol car and shoots who she thinks is the suspect, but no gun is found at the scene—and the person she shot is a 17-year-old honor student.</x:v>
      </x:c>
      <x:c r="P2036" s="53" t="str">
        <x:v>Core One Chicago franchise; crossovers with SVU/FBI</x:v>
      </x:c>
      <x:c r="Q2036" s="17" t="str">
        <x:v>2135663</x:v>
      </x:c>
      <x:c r="R2036" s="17" t="str">
        <x:v>tt5553648</x:v>
      </x:c>
      <x:c r="S2036" s="17" t="str">
        <x:v>https://one-chicago-fbi.fandom.com/wiki/Crossovers_and_Milestones</x:v>
      </x:c>
    </x:row>
    <x:row r="2037">
      <x:c r="A2037" s="43" t="n">
        <x:v>2033</x:v>
      </x:c>
      <x:c r="B2037" s="44" t="str">
        <x:v>Not Started</x:v>
      </x:c>
      <x:c r="C2037" s="45" t="n">
        <x:v>42508</x:v>
      </x:c>
      <x:c r="D2037" s="33" t="str">
        <x:v>Chicago Med</x:v>
      </x:c>
      <x:c r="E2037" s="33" t="str">
        <x:v>One Chicago</x:v>
      </x:c>
      <x:c r="F2037" s="33" t="str">
        <x:v>core</x:v>
      </x:c>
      <x:c r="G2037" s="50" t="n">
        <x:v>1</x:v>
      </x:c>
      <x:c r="H2037" s="50" t="n">
        <x:v>18</x:v>
      </x:c>
      <x:c r="I2037" s="44" t="str">
        <x:v>01.18</x:v>
      </x:c>
      <x:c r="J2037" s="33" t="str">
        <x:v>Timing</x:v>
      </x:c>
      <x:c r="K2037" s="33" t="str"/>
      <x:c r="L2037" s="33" t="str"/>
      <x:c r="M2037" s="44" t="str"/>
      <x:c r="N2037" s="50" t="n">
        <x:v>45</x:v>
      </x:c>
      <x:c r="O2037" s="53" t="str">
        <x:v>Dr. Rhodes treats his mentor and Goodman faces personal issues in the Season 1 finale. Also: April deals with a disorderly patient; Dr. Manning's past catches up with her; and Sarah's graduation day arrives, but she remains conflicted about her future.</x:v>
      </x:c>
      <x:c r="P2037" s="53" t="str">
        <x:v>Core One Chicago franchise</x:v>
      </x:c>
      <x:c r="Q2037" s="17" t="str">
        <x:v>2122823</x:v>
      </x:c>
      <x:c r="R2037" s="17" t="str">
        <x:v>tt5601246</x:v>
      </x:c>
      <x:c r="S2037" s="17" t="str"/>
    </x:row>
    <x:row r="2038">
      <x:c r="A2038" s="43" t="n">
        <x:v>2034</x:v>
      </x:c>
      <x:c r="B2038" s="44" t="str">
        <x:v>Not Started</x:v>
      </x:c>
      <x:c r="C2038" s="45" t="n">
        <x:v>42508</x:v>
      </x:c>
      <x:c r="D2038" s="33" t="str">
        <x:v>Chicago Fire</x:v>
      </x:c>
      <x:c r="E2038" s="33" t="str">
        <x:v>One Chicago</x:v>
      </x:c>
      <x:c r="F2038" s="33" t="str">
        <x:v>core</x:v>
      </x:c>
      <x:c r="G2038" s="50" t="n">
        <x:v>4</x:v>
      </x:c>
      <x:c r="H2038" s="50" t="n">
        <x:v>23</x:v>
      </x:c>
      <x:c r="I2038" s="44" t="str">
        <x:v>04.23</x:v>
      </x:c>
      <x:c r="J2038" s="33" t="str">
        <x:v>Superhero</x:v>
      </x:c>
      <x:c r="K2038" s="33" t="str"/>
      <x:c r="L2038" s="33" t="str"/>
      <x:c r="M2038" s="44" t="str"/>
      <x:c r="N2038" s="50" t="n">
        <x:v>43</x:v>
      </x:c>
      <x:c r="O2038" s="53" t="str">
        <x:v>Boden and Jimmy are at odds. Kidd deals with her unstable ex. Dawson continues her quest to foster Louie. Casey's new political consultant urges him to think big. The team responds to a dangerous structure fire.</x:v>
      </x:c>
      <x:c r="P2038" s="53" t="str">
        <x:v>Core One Chicago franchise</x:v>
      </x:c>
      <x:c r="Q2038" s="17" t="str">
        <x:v>2135548</x:v>
      </x:c>
      <x:c r="R2038" s="17" t="str">
        <x:v>tt5601262</x:v>
      </x:c>
      <x:c r="S2038" s="17" t="str"/>
    </x:row>
    <x:row r="2039">
      <x:c r="A2039" s="43" t="n">
        <x:v>2035</x:v>
      </x:c>
      <x:c r="B2039" s="44" t="str">
        <x:v>Not Started</x:v>
      </x:c>
      <x:c r="C2039" s="45" t="n">
        <x:v>42508</x:v>
      </x:c>
      <x:c r="D2039" s="33" t="str">
        <x:v>Law &amp; Order: Special Victims Unit</x:v>
      </x:c>
      <x:c r="E2039" s="33" t="str">
        <x:v>Law &amp; Order</x:v>
      </x:c>
      <x:c r="F2039" s="33" t="str">
        <x:v>core</x:v>
      </x:c>
      <x:c r="G2039" s="50" t="n">
        <x:v>17</x:v>
      </x:c>
      <x:c r="H2039" s="50" t="n">
        <x:v>22</x:v>
      </x:c>
      <x:c r="I2039" s="44" t="str">
        <x:v>17.22</x:v>
      </x:c>
      <x:c r="J2039" s="33" t="str">
        <x:v>Intersecting Lives (1)</x:v>
      </x:c>
      <x:c r="K2039" s="33" t="str"/>
      <x:c r="L2039" s="33" t="str"/>
      <x:c r="M2039" s="44" t="str"/>
      <x:c r="N2039" s="50" t="n">
        <x:v>43</x:v>
      </x:c>
      <x:c r="O2039" s="53" t="str">
        <x:v>A corrections officer is arrested for sexually assaulting female inmates in and out of prison, and the union that supports him targets Barba and the SVU.</x:v>
      </x:c>
      <x:c r="P2039" s="53" t="str">
        <x:v>Core Law &amp; Order franchise</x:v>
      </x:c>
      <x:c r="Q2039" s="17" t="str">
        <x:v>2191933</x:v>
      </x:c>
      <x:c r="R2039" s="17" t="str">
        <x:v>tt5566138</x:v>
      </x:c>
      <x:c r="S2039" s="17" t="str">
        <x:v>1380</x:v>
      </x:c>
    </x:row>
    <x:row r="2040">
      <x:c r="A2040" s="43" t="n">
        <x:v>2036</x:v>
      </x:c>
      <x:c r="B2040" s="44" t="str">
        <x:v>Not Started</x:v>
      </x:c>
      <x:c r="C2040" s="45" t="n">
        <x:v>42509</x:v>
      </x:c>
      <x:c r="D2040" s="33" t="str">
        <x:v>Chicago P.D.</x:v>
      </x:c>
      <x:c r="E2040" s="33" t="str">
        <x:v>One Chicago</x:v>
      </x:c>
      <x:c r="F2040" s="33" t="str">
        <x:v>core</x:v>
      </x:c>
      <x:c r="G2040" s="50" t="n">
        <x:v>3</x:v>
      </x:c>
      <x:c r="H2040" s="50" t="n">
        <x:v>22</x:v>
      </x:c>
      <x:c r="I2040" s="44" t="str">
        <x:v>03.22</x:v>
      </x:c>
      <x:c r="J2040" s="33" t="str">
        <x:v>She's Got Us</x:v>
      </x:c>
      <x:c r="K2040" s="33" t="str"/>
      <x:c r="L2040" s="33" t="str"/>
      <x:c r="M2040" s="44" t="str"/>
      <x:c r="N2040" s="50" t="n">
        <x:v>43</x:v>
      </x:c>
      <x:c r="O2040" s="53" t="str">
        <x:v>Lindsay and Halstead respond to a shots fired call and discover one survivor: a young girl. Antonio and Olinsky investigate a "self help" group. Platt makes the case to Crowley for why Burgess and Roman should remain partners.</x:v>
      </x:c>
      <x:c r="P2040" s="53" t="str">
        <x:v>Core One Chicago franchise; crossovers with SVU/FBI</x:v>
      </x:c>
      <x:c r="Q2040" s="17" t="str">
        <x:v>2135665</x:v>
      </x:c>
      <x:c r="R2040" s="17" t="str">
        <x:v>tt5596238</x:v>
      </x:c>
      <x:c r="S2040" s="17" t="str"/>
    </x:row>
    <x:row r="2041">
      <x:c r="A2041" s="43" t="n">
        <x:v>2037</x:v>
      </x:c>
      <x:c r="B2041" s="44" t="str">
        <x:v>Not Started</x:v>
      </x:c>
      <x:c r="C2041" s="45" t="n">
        <x:v>42515</x:v>
      </x:c>
      <x:c r="D2041" s="33" t="str">
        <x:v>Law &amp; Order: Special Victims Unit</x:v>
      </x:c>
      <x:c r="E2041" s="33" t="str">
        <x:v>Law &amp; Order</x:v>
      </x:c>
      <x:c r="F2041" s="33" t="str">
        <x:v>core</x:v>
      </x:c>
      <x:c r="G2041" s="50" t="n">
        <x:v>17</x:v>
      </x:c>
      <x:c r="H2041" s="50" t="n">
        <x:v>23</x:v>
      </x:c>
      <x:c r="I2041" s="44" t="str">
        <x:v>17.23</x:v>
      </x:c>
      <x:c r="J2041" s="33" t="str">
        <x:v>Heartfelt Passages (2)</x:v>
      </x:c>
      <x:c r="K2041" s="33" t="str"/>
      <x:c r="L2041" s="33" t="str"/>
      <x:c r="M2041" s="44" t="str"/>
      <x:c r="N2041" s="50" t="n">
        <x:v>43</x:v>
      </x:c>
      <x:c r="O2041" s="53" t="str">
        <x:v>When the investigation of Corrections Officer Gary Munson deepens, he and his union take drastic actions that threaten the lives of ADA Barba and the SVU squad.</x:v>
      </x:c>
      <x:c r="P2041" s="53" t="str">
        <x:v>Core Law &amp; Order franchise</x:v>
      </x:c>
      <x:c r="Q2041" s="17" t="str">
        <x:v>2191934</x:v>
      </x:c>
      <x:c r="R2041" s="17" t="str">
        <x:v>tt5566140</x:v>
      </x:c>
      <x:c r="S2041" s="17" t="str">
        <x:v>1381</x:v>
      </x:c>
    </x:row>
    <x:row r="2042">
      <x:c r="A2042" s="43" t="n">
        <x:v>2038</x:v>
      </x:c>
      <x:c r="B2042" s="44" t="str">
        <x:v>Not Started</x:v>
      </x:c>
      <x:c r="C2042" s="45" t="n">
        <x:v>42516</x:v>
      </x:c>
      <x:c r="D2042" s="33" t="str">
        <x:v>Chicago P.D.</x:v>
      </x:c>
      <x:c r="E2042" s="33" t="str">
        <x:v>One Chicago</x:v>
      </x:c>
      <x:c r="F2042" s="33" t="str">
        <x:v>core</x:v>
      </x:c>
      <x:c r="G2042" s="50" t="n">
        <x:v>3</x:v>
      </x:c>
      <x:c r="H2042" s="50" t="n">
        <x:v>23</x:v>
      </x:c>
      <x:c r="I2042" s="44" t="str">
        <x:v>03.23</x:v>
      </x:c>
      <x:c r="J2042" s="33" t="str">
        <x:v>Start Digging</x:v>
      </x:c>
      <x:c r="K2042" s="33" t="str"/>
      <x:c r="L2042" s="33" t="str"/>
      <x:c r="M2042" s="44" t="str"/>
      <x:c r="N2042" s="50" t="n">
        <x:v>43</x:v>
      </x:c>
      <x:c r="O2042" s="53" t="str">
        <x:v>In the Season 3 finale, the team investigates the murder of a single mom who was in contact with Voight's now-reformed son, who was himself brutally assaulted. Meanwhile, Roman makes a major decision and Crowley plans to make changes within the unit.</x:v>
      </x:c>
      <x:c r="P2042" s="53" t="str">
        <x:v>Core One Chicago franchise; crossovers with SVU/FBI</x:v>
      </x:c>
      <x:c r="Q2042" s="17" t="str">
        <x:v>2135667</x:v>
      </x:c>
      <x:c r="R2042" s="17" t="str">
        <x:v>tt5702094</x:v>
      </x:c>
      <x:c r="S2042" s="17" t="str"/>
    </x:row>
    <x:row r="2043">
      <x:c r="A2043" s="43" t="n">
        <x:v>2039</x:v>
      </x:c>
      <x:c r="B2043" s="44" t="str">
        <x:v>Not Started</x:v>
      </x:c>
      <x:c r="C2043" s="45" t="n">
        <x:v>42634</x:v>
      </x:c>
      <x:c r="D2043" s="33" t="str">
        <x:v>Law &amp; Order: Special Victims Unit</x:v>
      </x:c>
      <x:c r="E2043" s="33" t="str">
        <x:v>Law &amp; Order</x:v>
      </x:c>
      <x:c r="F2043" s="33" t="str">
        <x:v>core</x:v>
      </x:c>
      <x:c r="G2043" s="50" t="n">
        <x:v>18</x:v>
      </x:c>
      <x:c r="H2043" s="50" t="n">
        <x:v>1</x:v>
      </x:c>
      <x:c r="I2043" s="44" t="str">
        <x:v>18.01</x:v>
      </x:c>
      <x:c r="J2043" s="33" t="str">
        <x:v>Terrorized</x:v>
      </x:c>
      <x:c r="K2043" s="33" t="str"/>
      <x:c r="L2043" s="33" t="str"/>
      <x:c r="M2043" s="44" t="str"/>
      <x:c r="N2043" s="50" t="n">
        <x:v>43</x:v>
      </x:c>
      <x:c r="O2043" s="53" t="str">
        <x:v>A young boy is found wandering alone in Central Park and the search for his parents leads to startling evidence of a planned mass casualty event in the city. As the SVU works with the joint-terrorism task force to find the suspects and the motive, Lt. Benson must also convince Barba to address allegations of rape and torture the boy's mother discloses.</x:v>
      </x:c>
      <x:c r="P2043" s="53" t="str">
        <x:v>Core Law &amp; Order franchise</x:v>
      </x:c>
      <x:c r="Q2043" s="17" t="str">
        <x:v>2262643</x:v>
      </x:c>
      <x:c r="R2043" s="17" t="str">
        <x:v>tt5734502</x:v>
      </x:c>
      <x:c r="S2043" s="17" t="str">
        <x:v>1382</x:v>
      </x:c>
    </x:row>
    <x:row r="2044">
      <x:c r="A2044" s="43" t="n">
        <x:v>2040</x:v>
      </x:c>
      <x:c r="B2044" s="44" t="str">
        <x:v>Not Started</x:v>
      </x:c>
      <x:c r="C2044" s="45" t="n">
        <x:v>42635</x:v>
      </x:c>
      <x:c r="D2044" s="33" t="str">
        <x:v>Chicago P.D.</x:v>
      </x:c>
      <x:c r="E2044" s="33" t="str">
        <x:v>One Chicago</x:v>
      </x:c>
      <x:c r="F2044" s="33" t="str">
        <x:v>core</x:v>
      </x:c>
      <x:c r="G2044" s="50" t="n">
        <x:v>4</x:v>
      </x:c>
      <x:c r="H2044" s="50" t="n">
        <x:v>1</x:v>
      </x:c>
      <x:c r="I2044" s="44" t="str">
        <x:v>04.01</x:v>
      </x:c>
      <x:c r="J2044" s="33" t="str">
        <x:v>The Silos</x:v>
      </x:c>
      <x:c r="K2044" s="33" t="str"/>
      <x:c r="L2044" s="33" t="str"/>
      <x:c r="M2044" s="44" t="str"/>
      <x:c r="N2044" s="50" t="n">
        <x:v>42</x:v>
      </x:c>
      <x:c r="O2044" s="53" t="str">
        <x:v>The team investigates a murder in which the victim appears to have been wearing a CPD-issued wire. Burgess works a case with a new partner. Crowley questions Lindsay about the night that Intelligence pursued Justin's killer.</x:v>
      </x:c>
      <x:c r="P2044" s="53" t="str">
        <x:v>Core One Chicago franchise; crossovers with SVU/FBI</x:v>
      </x:c>
      <x:c r="Q2044" s="17" t="str">
        <x:v>2247062</x:v>
      </x:c>
      <x:c r="R2044" s="17" t="str">
        <x:v>tt5191320</x:v>
      </x:c>
      <x:c r="S2044" s="17" t="str"/>
    </x:row>
    <x:row r="2045">
      <x:c r="A2045" s="43" t="n">
        <x:v>2041</x:v>
      </x:c>
      <x:c r="B2045" s="44" t="str">
        <x:v>Not Started</x:v>
      </x:c>
      <x:c r="C2045" s="45" t="n">
        <x:v>42636</x:v>
      </x:c>
      <x:c r="D2045" s="33" t="str">
        <x:v>Chicago Med</x:v>
      </x:c>
      <x:c r="E2045" s="33" t="str">
        <x:v>One Chicago</x:v>
      </x:c>
      <x:c r="F2045" s="33" t="str">
        <x:v>core</x:v>
      </x:c>
      <x:c r="G2045" s="50" t="n">
        <x:v>2</x:v>
      </x:c>
      <x:c r="H2045" s="50" t="n">
        <x:v>1</x:v>
      </x:c>
      <x:c r="I2045" s="44" t="str">
        <x:v>02.01</x:v>
      </x:c>
      <x:c r="J2045" s="33" t="str">
        <x:v>Soul Care</x:v>
      </x:c>
      <x:c r="K2045" s="33" t="str"/>
      <x:c r="L2045" s="33" t="str"/>
      <x:c r="M2045" s="44" t="str"/>
      <x:c r="N2045" s="50" t="n">
        <x:v>43</x:v>
      </x:c>
      <x:c r="O2045" s="53" t="str">
        <x:v>Dr. Rhodes begins a fellowship in cardiothoracic surgery, only to have problems with his new boss. Dr. Choi is the new chief resident. Dr. Charles approaches Sarah with an interesting opportunity that catches her off-guard. April faces her recently discovered illness.</x:v>
      </x:c>
      <x:c r="P2045" s="53" t="str">
        <x:v>Core One Chicago franchise</x:v>
      </x:c>
      <x:c r="Q2045" s="17" t="str">
        <x:v>2262645</x:v>
      </x:c>
      <x:c r="R2045" s="17" t="str">
        <x:v>tt5713768</x:v>
      </x:c>
      <x:c r="S2045" s="17" t="str"/>
    </x:row>
    <x:row r="2046">
      <x:c r="A2046" s="43" t="n">
        <x:v>2042</x:v>
      </x:c>
      <x:c r="B2046" s="44" t="str">
        <x:v>Not Started</x:v>
      </x:c>
      <x:c r="C2046" s="45" t="n">
        <x:v>42641</x:v>
      </x:c>
      <x:c r="D2046" s="33" t="str">
        <x:v>Law &amp; Order: Special Victims Unit</x:v>
      </x:c>
      <x:c r="E2046" s="33" t="str">
        <x:v>Law &amp; Order</x:v>
      </x:c>
      <x:c r="F2046" s="33" t="str">
        <x:v>core</x:v>
      </x:c>
      <x:c r="G2046" s="50" t="n">
        <x:v>18</x:v>
      </x:c>
      <x:c r="H2046" s="50" t="n">
        <x:v>2</x:v>
      </x:c>
      <x:c r="I2046" s="44" t="str">
        <x:v>18.02</x:v>
      </x:c>
      <x:c r="J2046" s="33" t="str">
        <x:v>Making a Rapist</x:v>
      </x:c>
      <x:c r="K2046" s="33" t="str"/>
      <x:c r="L2046" s="33" t="str"/>
      <x:c r="M2046" s="44" t="str"/>
      <x:c r="N2046" s="50" t="n">
        <x:v>43</x:v>
      </x:c>
      <x:c r="O2046" s="53" t="str">
        <x:v>Newly tested DNA evidence leads to the exoneration of a prisoner who served 16 years for a rape conviction. However, he's investigated again one day later in the wake of a shocking new crime.</x:v>
      </x:c>
      <x:c r="P2046" s="53" t="str">
        <x:v>Core Law &amp; Order franchise</x:v>
      </x:c>
      <x:c r="Q2046" s="17" t="str">
        <x:v>2294565</x:v>
      </x:c>
      <x:c r="R2046" s="17" t="str">
        <x:v>tt5901996</x:v>
      </x:c>
      <x:c r="S2046" s="17" t="str">
        <x:v>1383</x:v>
      </x:c>
    </x:row>
    <x:row r="2047">
      <x:c r="A2047" s="43" t="n">
        <x:v>2043</x:v>
      </x:c>
      <x:c r="B2047" s="44" t="str">
        <x:v>Not Started</x:v>
      </x:c>
      <x:c r="C2047" s="45" t="n">
        <x:v>42642</x:v>
      </x:c>
      <x:c r="D2047" s="33" t="str">
        <x:v>Chicago P.D.</x:v>
      </x:c>
      <x:c r="E2047" s="33" t="str">
        <x:v>One Chicago</x:v>
      </x:c>
      <x:c r="F2047" s="33" t="str">
        <x:v>core</x:v>
      </x:c>
      <x:c r="G2047" s="50" t="n">
        <x:v>4</x:v>
      </x:c>
      <x:c r="H2047" s="50" t="n">
        <x:v>2</x:v>
      </x:c>
      <x:c r="I2047" s="44" t="str">
        <x:v>04.02</x:v>
      </x:c>
      <x:c r="J2047" s="33" t="str">
        <x:v>Made a Wrong Turn</x:v>
      </x:c>
      <x:c r="K2047" s="33" t="str"/>
      <x:c r="L2047" s="33" t="str"/>
      <x:c r="M2047" s="44" t="str"/>
      <x:c r="N2047" s="50" t="n">
        <x:v>43</x:v>
      </x:c>
      <x:c r="O2047" s="53" t="str">
        <x:v>Intelligence investigates when a young man is beaten and his fiancée is apparently abducted. Lindsay surprises Halsted with a big question. Cdr. Fogel takes Platt to task for going over his head to have Tay assigned to District 21.</x:v>
      </x:c>
      <x:c r="P2047" s="53" t="str">
        <x:v>Core One Chicago franchise; crossovers with SVU/FBI</x:v>
      </x:c>
      <x:c r="Q2047" s="17" t="str">
        <x:v>2275435</x:v>
      </x:c>
      <x:c r="R2047" s="17" t="str">
        <x:v>tt5853170</x:v>
      </x:c>
      <x:c r="S2047" s="17" t="str"/>
    </x:row>
    <x:row r="2048">
      <x:c r="A2048" s="43" t="n">
        <x:v>2044</x:v>
      </x:c>
      <x:c r="B2048" s="44" t="str">
        <x:v>Not Started</x:v>
      </x:c>
      <x:c r="C2048" s="45" t="n">
        <x:v>42643</x:v>
      </x:c>
      <x:c r="D2048" s="33" t="str">
        <x:v>Chicago Med</x:v>
      </x:c>
      <x:c r="E2048" s="33" t="str">
        <x:v>One Chicago</x:v>
      </x:c>
      <x:c r="F2048" s="33" t="str">
        <x:v>core</x:v>
      </x:c>
      <x:c r="G2048" s="50" t="n">
        <x:v>2</x:v>
      </x:c>
      <x:c r="H2048" s="50" t="n">
        <x:v>2</x:v>
      </x:c>
      <x:c r="I2048" s="44" t="str">
        <x:v>02.02</x:v>
      </x:c>
      <x:c r="J2048" s="33" t="str">
        <x:v>Win Loss</x:v>
      </x:c>
      <x:c r="K2048" s="33" t="str"/>
      <x:c r="L2048" s="33" t="str"/>
      <x:c r="M2048" s="44" t="str"/>
      <x:c r="N2048" s="50" t="n">
        <x:v>43</x:v>
      </x:c>
      <x:c r="O2048" s="53" t="str">
        <x:v>Dr. Manning and Dr. Rhodes separately treat complicated cases involving sick babies, only to uncover that the two cases could actually be intertwined. Elsewhere, Dr. Halstead and Dr. Charles treat a homeless man with an upbeat disposition who sheds some valuable insight that prompts one of the doctors to learn a thing or two along the way. Dr. Choi has a Navy corpsman follow him for the day as they deal with the toll of gang violence in the city, while Dr. Reese tries to understand the delicate balance required in her new position.</x:v>
      </x:c>
      <x:c r="P2048" s="53" t="str">
        <x:v>Core One Chicago franchise</x:v>
      </x:c>
      <x:c r="Q2048" s="17" t="str">
        <x:v>2277883</x:v>
      </x:c>
      <x:c r="R2048" s="17" t="str">
        <x:v>tt5915402</x:v>
      </x:c>
      <x:c r="S2048" s="17" t="str"/>
    </x:row>
    <x:row r="2049">
      <x:c r="A2049" s="43" t="n">
        <x:v>2045</x:v>
      </x:c>
      <x:c r="B2049" s="44" t="str">
        <x:v>Not Started</x:v>
      </x:c>
      <x:c r="C2049" s="45" t="n">
        <x:v>42648</x:v>
      </x:c>
      <x:c r="D2049" s="33" t="str">
        <x:v>Law &amp; Order: Special Victims Unit</x:v>
      </x:c>
      <x:c r="E2049" s="33" t="str">
        <x:v>Law &amp; Order</x:v>
      </x:c>
      <x:c r="F2049" s="33" t="str">
        <x:v>core</x:v>
      </x:c>
      <x:c r="G2049" s="50" t="n">
        <x:v>18</x:v>
      </x:c>
      <x:c r="H2049" s="50" t="n">
        <x:v>3</x:v>
      </x:c>
      <x:c r="I2049" s="44" t="str">
        <x:v>18.03</x:v>
      </x:c>
      <x:c r="J2049" s="33" t="str">
        <x:v>Imposter</x:v>
      </x:c>
      <x:c r="K2049" s="33" t="str"/>
      <x:c r="L2049" s="33" t="str"/>
      <x:c r="M2049" s="44" t="str"/>
      <x:c r="N2049" s="50" t="n">
        <x:v>43</x:v>
      </x:c>
      <x:c r="O2049" s="53" t="str">
        <x:v>When a man uses a false identity to lure a vulnerable married woman to bed, Barba thinks the evidence amounts to rape.</x:v>
      </x:c>
      <x:c r="P2049" s="53" t="str">
        <x:v>Core Law &amp; Order franchise</x:v>
      </x:c>
      <x:c r="Q2049" s="17" t="str">
        <x:v>2331923</x:v>
      </x:c>
      <x:c r="R2049" s="17" t="str">
        <x:v>tt5901998</x:v>
      </x:c>
      <x:c r="S2049" s="17" t="str">
        <x:v>1384</x:v>
      </x:c>
    </x:row>
    <x:row r="2050">
      <x:c r="A2050" s="43" t="n">
        <x:v>2046</x:v>
      </x:c>
      <x:c r="B2050" s="44" t="str">
        <x:v>Not Started</x:v>
      </x:c>
      <x:c r="C2050" s="45" t="n">
        <x:v>42649</x:v>
      </x:c>
      <x:c r="D2050" s="33" t="str">
        <x:v>Chicago P.D.</x:v>
      </x:c>
      <x:c r="E2050" s="33" t="str">
        <x:v>One Chicago</x:v>
      </x:c>
      <x:c r="F2050" s="33" t="str">
        <x:v>core</x:v>
      </x:c>
      <x:c r="G2050" s="50" t="n">
        <x:v>4</x:v>
      </x:c>
      <x:c r="H2050" s="50" t="n">
        <x:v>3</x:v>
      </x:c>
      <x:c r="I2050" s="44" t="str">
        <x:v>04.03</x:v>
      </x:c>
      <x:c r="J2050" s="33" t="str">
        <x:v>All Cylinders Firing</x:v>
      </x:c>
      <x:c r="K2050" s="33" t="str"/>
      <x:c r="L2050" s="33" t="str"/>
      <x:c r="M2050" s="44" t="str"/>
      <x:c r="N2050" s="50" t="n">
        <x:v>43</x:v>
      </x:c>
      <x:c r="O2050" s="53" t="str">
        <x:v>Platt is sent to the hospital after a vicious attack outside her father's house. Mouch is questioned and past threats against her are revisited while the team investigates. A gruesome discovery inside the father's home ups the ante in the case.</x:v>
      </x:c>
      <x:c r="P2050" s="53" t="str">
        <x:v>Core One Chicago franchise; crossovers with SVU/FBI</x:v>
      </x:c>
      <x:c r="Q2050" s="17" t="str">
        <x:v>2275436</x:v>
      </x:c>
      <x:c r="R2050" s="17" t="str">
        <x:v>tt5895712</x:v>
      </x:c>
      <x:c r="S2050" s="17" t="str"/>
    </x:row>
    <x:row r="2051">
      <x:c r="A2051" s="43" t="n">
        <x:v>2047</x:v>
      </x:c>
      <x:c r="B2051" s="44" t="str">
        <x:v>Not Started</x:v>
      </x:c>
      <x:c r="C2051" s="45" t="n">
        <x:v>42650</x:v>
      </x:c>
      <x:c r="D2051" s="33" t="str">
        <x:v>Chicago Med</x:v>
      </x:c>
      <x:c r="E2051" s="33" t="str">
        <x:v>One Chicago</x:v>
      </x:c>
      <x:c r="F2051" s="33" t="str">
        <x:v>core</x:v>
      </x:c>
      <x:c r="G2051" s="50" t="n">
        <x:v>2</x:v>
      </x:c>
      <x:c r="H2051" s="50" t="n">
        <x:v>3</x:v>
      </x:c>
      <x:c r="I2051" s="44" t="str">
        <x:v>02.03</x:v>
      </x:c>
      <x:c r="J2051" s="33" t="str">
        <x:v>Natural History</x:v>
      </x:c>
      <x:c r="K2051" s="33" t="str"/>
      <x:c r="L2051" s="33" t="str"/>
      <x:c r="M2051" s="44" t="str"/>
      <x:c r="N2051" s="50" t="n">
        <x:v>42</x:v>
      </x:c>
      <x:c r="O2051" s="53" t="str">
        <x:v>Dr. Manning and Jeff Clarke are forced to figure out a mystery illness when an Indonesian man who doesn't speak English arrives at the hospital in dire straights. Maggie takes Dr. Halstead to her family reunion. Dr. Rhodes takes on a complicated heart surgery without consulting Dr. Latham. Dr. Reese and Dr. Charles encounter a woman experiencing an unusual pregnancy.</x:v>
      </x:c>
      <x:c r="P2051" s="53" t="str">
        <x:v>Core One Chicago franchise</x:v>
      </x:c>
      <x:c r="Q2051" s="17" t="str">
        <x:v>2277884</x:v>
      </x:c>
      <x:c r="R2051" s="17" t="str">
        <x:v>tt5915404</x:v>
      </x:c>
      <x:c r="S2051" s="17" t="str"/>
    </x:row>
    <x:row r="2052">
      <x:c r="A2052" s="43" t="n">
        <x:v>2048</x:v>
      </x:c>
      <x:c r="B2052" s="44" t="str">
        <x:v>Not Started</x:v>
      </x:c>
      <x:c r="C2052" s="45" t="n">
        <x:v>42655</x:v>
      </x:c>
      <x:c r="D2052" s="33" t="str">
        <x:v>Chicago Fire</x:v>
      </x:c>
      <x:c r="E2052" s="33" t="str">
        <x:v>One Chicago</x:v>
      </x:c>
      <x:c r="F2052" s="33" t="str">
        <x:v>core</x:v>
      </x:c>
      <x:c r="G2052" s="50" t="n">
        <x:v>5</x:v>
      </x:c>
      <x:c r="H2052" s="50" t="n">
        <x:v>1</x:v>
      </x:c>
      <x:c r="I2052" s="44" t="str">
        <x:v>05.01</x:v>
      </x:c>
      <x:c r="J2052" s="33" t="str">
        <x:v>The Hose or the Animal</x:v>
      </x:c>
      <x:c r="K2052" s="33" t="str"/>
      <x:c r="L2052" s="33" t="str"/>
      <x:c r="M2052" s="44" t="str"/>
      <x:c r="N2052" s="50" t="n">
        <x:v>43</x:v>
      </x:c>
      <x:c r="O2052" s="53" t="str">
        <x:v>Severide and Stella search for Grant, who's AWOL from Chicago Med. Dawson questions her career path. Casey's relationship with his political consultant cools. Borrelli's anger at Boden over his brother's death boils over. Mouch and Brett partner on a new venture.</x:v>
      </x:c>
      <x:c r="P2052" s="53" t="str">
        <x:v>Core One Chicago franchise</x:v>
      </x:c>
      <x:c r="Q2052" s="17" t="str">
        <x:v>2262650</x:v>
      </x:c>
      <x:c r="R2052" s="17" t="str">
        <x:v>tt5191318</x:v>
      </x:c>
      <x:c r="S2052" s="17" t="str"/>
    </x:row>
    <x:row r="2053">
      <x:c r="A2053" s="43" t="n">
        <x:v>2049</x:v>
      </x:c>
      <x:c r="B2053" s="44" t="str">
        <x:v>Not Started</x:v>
      </x:c>
      <x:c r="C2053" s="45" t="n">
        <x:v>42655</x:v>
      </x:c>
      <x:c r="D2053" s="33" t="str">
        <x:v>Law &amp; Order: Special Victims Unit</x:v>
      </x:c>
      <x:c r="E2053" s="33" t="str">
        <x:v>Law &amp; Order</x:v>
      </x:c>
      <x:c r="F2053" s="33" t="str">
        <x:v>core</x:v>
      </x:c>
      <x:c r="G2053" s="50" t="n">
        <x:v>18</x:v>
      </x:c>
      <x:c r="H2053" s="50" t="n">
        <x:v>4</x:v>
      </x:c>
      <x:c r="I2053" s="44" t="str">
        <x:v>18.04</x:v>
      </x:c>
      <x:c r="J2053" s="33" t="str">
        <x:v>Heightened Emotions</x:v>
      </x:c>
      <x:c r="K2053" s="33" t="str"/>
      <x:c r="L2053" s="33" t="str"/>
      <x:c r="M2053" s="44" t="str"/>
      <x:c r="N2053" s="50" t="n">
        <x:v>43</x:v>
      </x:c>
      <x:c r="O2053" s="53" t="str">
        <x:v>A sexually assaulted athlete's double life could destroy her Olympic career and ruin the case against her attacker; Rollins sister is released from prison on parole.</x:v>
      </x:c>
      <x:c r="P2053" s="53" t="str">
        <x:v>Core Law &amp; Order franchise</x:v>
      </x:c>
      <x:c r="Q2053" s="17" t="str">
        <x:v>2351449</x:v>
      </x:c>
      <x:c r="R2053" s="17" t="str">
        <x:v>tt5902004</x:v>
      </x:c>
      <x:c r="S2053" s="17" t="str">
        <x:v>1385</x:v>
      </x:c>
    </x:row>
    <x:row r="2054">
      <x:c r="A2054" s="43" t="n">
        <x:v>2050</x:v>
      </x:c>
      <x:c r="B2054" s="44" t="str">
        <x:v>Not Started</x:v>
      </x:c>
      <x:c r="C2054" s="45" t="n">
        <x:v>42656</x:v>
      </x:c>
      <x:c r="D2054" s="33" t="str">
        <x:v>Chicago P.D.</x:v>
      </x:c>
      <x:c r="E2054" s="33" t="str">
        <x:v>One Chicago</x:v>
      </x:c>
      <x:c r="F2054" s="33" t="str">
        <x:v>core</x:v>
      </x:c>
      <x:c r="G2054" s="50" t="n">
        <x:v>4</x:v>
      </x:c>
      <x:c r="H2054" s="50" t="n">
        <x:v>4</x:v>
      </x:c>
      <x:c r="I2054" s="44" t="str">
        <x:v>04.04</x:v>
      </x:c>
      <x:c r="J2054" s="33" t="str">
        <x:v>Big Friends Big Enemies</x:v>
      </x:c>
      <x:c r="K2054" s="33" t="str"/>
      <x:c r="L2054" s="33" t="str"/>
      <x:c r="M2054" s="44" t="str"/>
      <x:c r="N2054" s="50" t="n">
        <x:v>42</x:v>
      </x:c>
      <x:c r="O2054" s="53" t="str">
        <x:v>A car plows through a crowd outside of a concert venue and is followed by gunfire, sparking fears that it may be terror-related. Burgess spots Atwater's brother where he shouldn't be. The team works to bring peace to the community before more blood is shed.</x:v>
      </x:c>
      <x:c r="P2054" s="53" t="str">
        <x:v>Core One Chicago franchise; crossovers with SVU/FBI</x:v>
      </x:c>
      <x:c r="Q2054" s="17" t="str">
        <x:v>2275437</x:v>
      </x:c>
      <x:c r="R2054" s="17" t="str">
        <x:v>tt5902058</x:v>
      </x:c>
      <x:c r="S2054" s="17" t="str"/>
    </x:row>
    <x:row r="2055">
      <x:c r="A2055" s="43" t="n">
        <x:v>2051</x:v>
      </x:c>
      <x:c r="B2055" s="44" t="str">
        <x:v>Not Started</x:v>
      </x:c>
      <x:c r="C2055" s="45" t="n">
        <x:v>42657</x:v>
      </x:c>
      <x:c r="D2055" s="33" t="str">
        <x:v>Chicago Med</x:v>
      </x:c>
      <x:c r="E2055" s="33" t="str">
        <x:v>One Chicago</x:v>
      </x:c>
      <x:c r="F2055" s="33" t="str">
        <x:v>core</x:v>
      </x:c>
      <x:c r="G2055" s="50" t="n">
        <x:v>2</x:v>
      </x:c>
      <x:c r="H2055" s="50" t="n">
        <x:v>4</x:v>
      </x:c>
      <x:c r="I2055" s="44" t="str">
        <x:v>02.04</x:v>
      </x:c>
      <x:c r="J2055" s="33" t="str">
        <x:v>Brother's Keeper</x:v>
      </x:c>
      <x:c r="K2055" s="33" t="str"/>
      <x:c r="L2055" s="33" t="str"/>
      <x:c r="M2055" s="44" t="str"/>
      <x:c r="N2055" s="50" t="n">
        <x:v>43</x:v>
      </x:c>
      <x:c r="O2055" s="53" t="str">
        <x:v>Several patients are discovered to have the same rare infection, prompting Dr. Charles' daughter Robyn, an epidemiologist, to be brought in to find the common link. Dr. Choi and Dr. Rhodes work on an elderly man who is discovered to be very ill, but a conflict in how to best treat him develops between his son and his young girlfriend. Meanwhile, Dr. Reese tries to help a young drug addict and Maggie tends to a patient who is dear to her heart.</x:v>
      </x:c>
      <x:c r="P2055" s="53" t="str">
        <x:v>Core One Chicago franchise</x:v>
      </x:c>
      <x:c r="Q2055" s="17" t="str">
        <x:v>2313885</x:v>
      </x:c>
      <x:c r="R2055" s="17" t="str">
        <x:v>tt5915410</x:v>
      </x:c>
      <x:c r="S2055" s="17" t="str"/>
    </x:row>
    <x:row r="2056">
      <x:c r="A2056" s="43" t="n">
        <x:v>2052</x:v>
      </x:c>
      <x:c r="B2056" s="44" t="str">
        <x:v>Not Started</x:v>
      </x:c>
      <x:c r="C2056" s="45" t="n">
        <x:v>42662</x:v>
      </x:c>
      <x:c r="D2056" s="33" t="str">
        <x:v>Chicago Fire</x:v>
      </x:c>
      <x:c r="E2056" s="33" t="str">
        <x:v>One Chicago</x:v>
      </x:c>
      <x:c r="F2056" s="33" t="str">
        <x:v>core</x:v>
      </x:c>
      <x:c r="G2056" s="50" t="n">
        <x:v>5</x:v>
      </x:c>
      <x:c r="H2056" s="50" t="n">
        <x:v>2</x:v>
      </x:c>
      <x:c r="I2056" s="44" t="str">
        <x:v>05.02</x:v>
      </x:c>
      <x:c r="J2056" s="33" t="str">
        <x:v>A Real Wake-Up Call</x:v>
      </x:c>
      <x:c r="K2056" s="33" t="str"/>
      <x:c r="L2056" s="33" t="str"/>
      <x:c r="M2056" s="44" t="str"/>
      <x:c r="N2056" s="50" t="n">
        <x:v>43</x:v>
      </x:c>
      <x:c r="O2056" s="53" t="str">
        <x:v>Casey and Dawson find themselves in the midst a potential political mess. Stella has to make a big decision about her ex-beau. The squad responds to an auto accident. Severide befriends a socialite. Brett and Mouch set aside their writing differences for the greater good.</x:v>
      </x:c>
      <x:c r="P2056" s="53" t="str">
        <x:v>Core One Chicago franchise</x:v>
      </x:c>
      <x:c r="Q2056" s="17" t="str">
        <x:v>2277885</x:v>
      </x:c>
      <x:c r="R2056" s="17" t="str">
        <x:v>tt6040842</x:v>
      </x:c>
      <x:c r="S2056" s="17" t="str"/>
    </x:row>
    <x:row r="2057">
      <x:c r="A2057" s="43" t="n">
        <x:v>2053</x:v>
      </x:c>
      <x:c r="B2057" s="44" t="str">
        <x:v>Not Started</x:v>
      </x:c>
      <x:c r="C2057" s="45" t="n">
        <x:v>42664</x:v>
      </x:c>
      <x:c r="D2057" s="33" t="str">
        <x:v>Chicago Med</x:v>
      </x:c>
      <x:c r="E2057" s="33" t="str">
        <x:v>One Chicago</x:v>
      </x:c>
      <x:c r="F2057" s="33" t="str">
        <x:v>core</x:v>
      </x:c>
      <x:c r="G2057" s="50" t="n">
        <x:v>2</x:v>
      </x:c>
      <x:c r="H2057" s="50" t="n">
        <x:v>5</x:v>
      </x:c>
      <x:c r="I2057" s="44" t="str">
        <x:v>02.05</x:v>
      </x:c>
      <x:c r="J2057" s="33" t="str">
        <x:v>Extreme Measures</x:v>
      </x:c>
      <x:c r="K2057" s="33" t="str"/>
      <x:c r="L2057" s="33" t="str"/>
      <x:c r="M2057" s="44" t="str"/>
      <x:c r="N2057" s="50" t="n">
        <x:v>43</x:v>
      </x:c>
      <x:c r="O2057" s="53" t="str">
        <x:v>A car accident that occurs at the Chicago Marathon leaves a victim in critical condition and tests the mettle of Dr. Halstead, April and her fourth-year medical resident brother Noah, who must perform a difficult procedure in the field. A mother brings in her 8-year-old girl experiencing a sudden hearing loss and Dr. Manning is left to tend to the case, which takes a complicated turn. Dr. Choi deals with Olga, a woman who is malnourished, prompting him to bring in Dr. Charles to help assess the case. Meanwhile, Goodwin takes measures to get her personal life in order.</x:v>
      </x:c>
      <x:c r="P2057" s="53" t="str">
        <x:v>Core One Chicago franchise</x:v>
      </x:c>
      <x:c r="Q2057" s="17" t="str">
        <x:v>2313886</x:v>
      </x:c>
      <x:c r="R2057" s="17" t="str">
        <x:v>tt5915414</x:v>
      </x:c>
      <x:c r="S2057" s="17" t="str"/>
    </x:row>
    <x:row r="2058">
      <x:c r="A2058" s="43" t="n">
        <x:v>2054</x:v>
      </x:c>
      <x:c r="B2058" s="44" t="str">
        <x:v>Not Started</x:v>
      </x:c>
      <x:c r="C2058" s="45" t="n">
        <x:v>42669</x:v>
      </x:c>
      <x:c r="D2058" s="33" t="str">
        <x:v>Chicago Fire</x:v>
      </x:c>
      <x:c r="E2058" s="33" t="str">
        <x:v>One Chicago</x:v>
      </x:c>
      <x:c r="F2058" s="33" t="str">
        <x:v>core</x:v>
      </x:c>
      <x:c r="G2058" s="50" t="n">
        <x:v>5</x:v>
      </x:c>
      <x:c r="H2058" s="50" t="n">
        <x:v>3</x:v>
      </x:c>
      <x:c r="I2058" s="44" t="str">
        <x:v>05.03</x:v>
      </x:c>
      <x:c r="J2058" s="33" t="str">
        <x:v>Scorched Earth</x:v>
      </x:c>
      <x:c r="K2058" s="33" t="str"/>
      <x:c r="L2058" s="33" t="str"/>
      <x:c r="M2058" s="44" t="str"/>
      <x:c r="N2058" s="50" t="n">
        <x:v>42</x:v>
      </x:c>
      <x:c r="O2058" s="53" t="str">
        <x:v>Casey seeks help with a personal matter from Susan Weller. A rich party guy wants Severide to travel with him. Stella tries to help a sick street kid. Otis and Herrmann share their concerns about Molly's lack of customers.</x:v>
      </x:c>
      <x:c r="P2058" s="53" t="str">
        <x:v>Core One Chicago franchise</x:v>
      </x:c>
      <x:c r="Q2058" s="17" t="str">
        <x:v>2277886</x:v>
      </x:c>
      <x:c r="R2058" s="17" t="str">
        <x:v>tt6066120</x:v>
      </x:c>
      <x:c r="S2058" s="17" t="str"/>
    </x:row>
    <x:row r="2059">
      <x:c r="A2059" s="43" t="n">
        <x:v>2055</x:v>
      </x:c>
      <x:c r="B2059" s="44" t="str">
        <x:v>Not Started</x:v>
      </x:c>
      <x:c r="C2059" s="45" t="n">
        <x:v>42669</x:v>
      </x:c>
      <x:c r="D2059" s="33" t="str">
        <x:v>Law &amp; Order: Special Victims Unit</x:v>
      </x:c>
      <x:c r="E2059" s="33" t="str">
        <x:v>Law &amp; Order</x:v>
      </x:c>
      <x:c r="F2059" s="33" t="str">
        <x:v>core</x:v>
      </x:c>
      <x:c r="G2059" s="50" t="n">
        <x:v>18</x:v>
      </x:c>
      <x:c r="H2059" s="50" t="n">
        <x:v>5</x:v>
      </x:c>
      <x:c r="I2059" s="44" t="str">
        <x:v>18.05</x:v>
      </x:c>
      <x:c r="J2059" s="33" t="str">
        <x:v>Rape Interrupted</x:v>
      </x:c>
      <x:c r="K2059" s="33" t="str"/>
      <x:c r="L2059" s="33" t="str"/>
      <x:c r="M2059" s="44" t="str"/>
      <x:c r="N2059" s="50" t="n">
        <x:v>43</x:v>
      </x:c>
      <x:c r="O2059" s="53" t="str">
        <x:v>A sergeant makes Benson choose between loyalty and duty when his son is accused of rape.</x:v>
      </x:c>
      <x:c r="P2059" s="53" t="str">
        <x:v>Core Law &amp; Order franchise</x:v>
      </x:c>
      <x:c r="Q2059" s="17" t="str">
        <x:v>2351450</x:v>
      </x:c>
      <x:c r="R2059" s="17" t="str">
        <x:v>tt5902006</x:v>
      </x:c>
      <x:c r="S2059" s="17" t="str">
        <x:v>1386</x:v>
      </x:c>
    </x:row>
    <x:row r="2060">
      <x:c r="A2060" s="43" t="n">
        <x:v>2056</x:v>
      </x:c>
      <x:c r="B2060" s="44" t="str">
        <x:v>Not Started</x:v>
      </x:c>
      <x:c r="C2060" s="45" t="n">
        <x:v>42670</x:v>
      </x:c>
      <x:c r="D2060" s="33" t="str">
        <x:v>Chicago P.D.</x:v>
      </x:c>
      <x:c r="E2060" s="33" t="str">
        <x:v>One Chicago</x:v>
      </x:c>
      <x:c r="F2060" s="33" t="str">
        <x:v>core</x:v>
      </x:c>
      <x:c r="G2060" s="50" t="n">
        <x:v>4</x:v>
      </x:c>
      <x:c r="H2060" s="50" t="n">
        <x:v>5</x:v>
      </x:c>
      <x:c r="I2060" s="44" t="str">
        <x:v>04.05</x:v>
      </x:c>
      <x:c r="J2060" s="33" t="str">
        <x:v>A War Zone</x:v>
      </x:c>
      <x:c r="K2060" s="33" t="str"/>
      <x:c r="L2060" s="33" t="str"/>
      <x:c r="M2060" s="44" t="str"/>
      <x:c r="N2060" s="50" t="n">
        <x:v>43</x:v>
      </x:c>
      <x:c r="O2060" s="53" t="str">
        <x:v>The team hunts drug dealers selling fentanyl, which has been linked to multiple overdoses around the city. Tay and Burgess discover a bloodied child who shares a twisted secret about his home life. Mouse contemplates reenlisting in the Army. Platt informs Tay about her next assignment.</x:v>
      </x:c>
      <x:c r="P2060" s="53" t="str">
        <x:v>Core One Chicago franchise; crossovers with SVU/FBI</x:v>
      </x:c>
      <x:c r="Q2060" s="17" t="str">
        <x:v>2313312</x:v>
      </x:c>
      <x:c r="R2060" s="17" t="str">
        <x:v>tt5902060</x:v>
      </x:c>
      <x:c r="S2060" s="17" t="str"/>
    </x:row>
    <x:row r="2061">
      <x:c r="A2061" s="43" t="n">
        <x:v>2057</x:v>
      </x:c>
      <x:c r="B2061" s="44" t="str">
        <x:v>Not Started</x:v>
      </x:c>
      <x:c r="C2061" s="45" t="n">
        <x:v>42671</x:v>
      </x:c>
      <x:c r="D2061" s="33" t="str">
        <x:v>Chicago Med</x:v>
      </x:c>
      <x:c r="E2061" s="33" t="str">
        <x:v>One Chicago</x:v>
      </x:c>
      <x:c r="F2061" s="33" t="str">
        <x:v>core</x:v>
      </x:c>
      <x:c r="G2061" s="50" t="n">
        <x:v>2</x:v>
      </x:c>
      <x:c r="H2061" s="50" t="n">
        <x:v>6</x:v>
      </x:c>
      <x:c r="I2061" s="44" t="str">
        <x:v>02.06</x:v>
      </x:c>
      <x:c r="J2061" s="33" t="str">
        <x:v>Alternative Medicine</x:v>
      </x:c>
      <x:c r="K2061" s="33" t="str"/>
      <x:c r="L2061" s="33" t="str"/>
      <x:c r="M2061" s="44" t="str"/>
      <x:c r="N2061" s="50" t="n">
        <x:v>43</x:v>
      </x:c>
      <x:c r="O2061" s="53" t="str">
        <x:v>Dr. Manning tends to a young cancer patient and struggles to inform the parents of her dire condition. Elsewhere, Dr. Reese gets contacted by Danny, the troubled young man, and turns to Dr. Charles and Det. Lindsay for help in resolving a difficult situation. Goodwin and Maggie do their best to clear the logjam in the hospital and Dr. Rhodes fine-tunes his instincts after both Dr. Latham and Dr. Halstead pick up on things he doesn't. Meanwhile, a teenage science geek and her friends impress Dr. Choi and Natalie with their bio-engineering lab.</x:v>
      </x:c>
      <x:c r="P2061" s="53" t="str">
        <x:v>Core One Chicago franchise</x:v>
      </x:c>
      <x:c r="Q2061" s="17" t="str">
        <x:v>2313887</x:v>
      </x:c>
      <x:c r="R2061" s="17" t="str">
        <x:v>tt6084056</x:v>
      </x:c>
      <x:c r="S2061" s="17" t="str"/>
    </x:row>
    <x:row r="2062">
      <x:c r="A2062" s="43" t="n">
        <x:v>2058</x:v>
      </x:c>
      <x:c r="B2062" s="44" t="str">
        <x:v>Not Started</x:v>
      </x:c>
      <x:c r="C2062" s="45" t="n">
        <x:v>42676</x:v>
      </x:c>
      <x:c r="D2062" s="33" t="str">
        <x:v>Chicago Fire</x:v>
      </x:c>
      <x:c r="E2062" s="33" t="str">
        <x:v>One Chicago</x:v>
      </x:c>
      <x:c r="F2062" s="33" t="str">
        <x:v>core</x:v>
      </x:c>
      <x:c r="G2062" s="50" t="n">
        <x:v>5</x:v>
      </x:c>
      <x:c r="H2062" s="50" t="n">
        <x:v>4</x:v>
      </x:c>
      <x:c r="I2062" s="44" t="str">
        <x:v>05.04</x:v>
      </x:c>
      <x:c r="J2062" s="33" t="str">
        <x:v>Nobody Else Is Dying Today</x:v>
      </x:c>
      <x:c r="K2062" s="33" t="str"/>
      <x:c r="L2062" s="33" t="str"/>
      <x:c r="M2062" s="44" t="str"/>
      <x:c r="N2062" s="50" t="n">
        <x:v>42</x:v>
      </x:c>
      <x:c r="O2062" s="53" t="str">
        <x:v>Lt. Casey finds himself in a bad spot when a forklift accidentally pierces a tank storing acid. Casey is forced to use extreme measures to help a father and daughter in peril. Dawson and Brett respond to an elderly woman who has a difficult senior advocate. Mouch and Brett continue with their secret project. Otis shares some exciting news as he prepares himself for an unusual expedition.</x:v>
      </x:c>
      <x:c r="P2062" s="53" t="str">
        <x:v>Core One Chicago franchise</x:v>
      </x:c>
      <x:c r="Q2062" s="17" t="str">
        <x:v>2331070</x:v>
      </x:c>
      <x:c r="R2062" s="17" t="str">
        <x:v>tt6066122</x:v>
      </x:c>
      <x:c r="S2062" s="17" t="str"/>
    </x:row>
    <x:row r="2063">
      <x:c r="A2063" s="43" t="n">
        <x:v>2059</x:v>
      </x:c>
      <x:c r="B2063" s="44" t="str">
        <x:v>Not Started</x:v>
      </x:c>
      <x:c r="C2063" s="45" t="n">
        <x:v>42678</x:v>
      </x:c>
      <x:c r="D2063" s="33" t="str">
        <x:v>Chicago Med</x:v>
      </x:c>
      <x:c r="E2063" s="33" t="str">
        <x:v>One Chicago</x:v>
      </x:c>
      <x:c r="F2063" s="33" t="str">
        <x:v>core</x:v>
      </x:c>
      <x:c r="G2063" s="50" t="n">
        <x:v>2</x:v>
      </x:c>
      <x:c r="H2063" s="50" t="n">
        <x:v>7</x:v>
      </x:c>
      <x:c r="I2063" s="44" t="str">
        <x:v>02.07</x:v>
      </x:c>
      <x:c r="J2063" s="33" t="str">
        <x:v>Inherent Bias</x:v>
      </x:c>
      <x:c r="K2063" s="33" t="str"/>
      <x:c r="L2063" s="33" t="str"/>
      <x:c r="M2063" s="44" t="str"/>
      <x:c r="N2063" s="50" t="n">
        <x:v>44</x:v>
      </x:c>
      <x:c r="O2063" s="53" t="str">
        <x:v>Sharon Goodwin's childhood sweetheart arrives at the hospital, but finds himself in dire straits. To help get his financial footing, Dr. Halstead gets lured into a concierge doctor app idea. Meanwhile, a young woman with a heart infection is treated by Dr. Rhodes against Dr. Charles' advice and Reese's former patient, a sex trafficking victim, reaches out to her for help.</x:v>
      </x:c>
      <x:c r="P2063" s="53" t="str">
        <x:v>Core One Chicago franchise</x:v>
      </x:c>
      <x:c r="Q2063" s="17" t="str">
        <x:v>2313888</x:v>
      </x:c>
      <x:c r="R2063" s="17" t="str">
        <x:v>tt5915416</x:v>
      </x:c>
      <x:c r="S2063" s="17" t="str"/>
    </x:row>
    <x:row r="2064">
      <x:c r="A2064" s="43" t="n">
        <x:v>2060</x:v>
      </x:c>
      <x:c r="B2064" s="44" t="str">
        <x:v>Not Started</x:v>
      </x:c>
      <x:c r="C2064" s="45" t="n">
        <x:v>42683</x:v>
      </x:c>
      <x:c r="D2064" s="33" t="str">
        <x:v>Law &amp; Order: Special Victims Unit</x:v>
      </x:c>
      <x:c r="E2064" s="33" t="str">
        <x:v>Law &amp; Order</x:v>
      </x:c>
      <x:c r="F2064" s="33" t="str">
        <x:v>core</x:v>
      </x:c>
      <x:c r="G2064" s="50" t="n">
        <x:v>18</x:v>
      </x:c>
      <x:c r="H2064" s="50" t="n">
        <x:v>6</x:v>
      </x:c>
      <x:c r="I2064" s="44" t="str">
        <x:v>18.06</x:v>
      </x:c>
      <x:c r="J2064" s="33" t="str">
        <x:v>Broken Rhymes</x:v>
      </x:c>
      <x:c r="K2064" s="33" t="str"/>
      <x:c r="L2064" s="33" t="str"/>
      <x:c r="M2064" s="44" t="str"/>
      <x:c r="N2064" s="50" t="n">
        <x:v>43</x:v>
      </x:c>
      <x:c r="O2064" s="53" t="str">
        <x:v>A record label CEO and his protégé are questioned for their involvement in the assault of a transgender student.</x:v>
      </x:c>
      <x:c r="P2064" s="53" t="str">
        <x:v>Core Law &amp; Order franchise</x:v>
      </x:c>
      <x:c r="Q2064" s="17" t="str">
        <x:v>2351451</x:v>
      </x:c>
      <x:c r="R2064" s="17" t="str">
        <x:v>tt5902008</x:v>
      </x:c>
      <x:c r="S2064" s="17" t="str">
        <x:v>1387</x:v>
      </x:c>
    </x:row>
    <x:row r="2065">
      <x:c r="A2065" s="43" t="n">
        <x:v>2061</x:v>
      </x:c>
      <x:c r="B2065" s="44" t="str">
        <x:v>Not Started</x:v>
      </x:c>
      <x:c r="C2065" s="45" t="n">
        <x:v>42684</x:v>
      </x:c>
      <x:c r="D2065" s="33" t="str">
        <x:v>Chicago P.D.</x:v>
      </x:c>
      <x:c r="E2065" s="33" t="str">
        <x:v>One Chicago</x:v>
      </x:c>
      <x:c r="F2065" s="33" t="str">
        <x:v>core</x:v>
      </x:c>
      <x:c r="G2065" s="50" t="n">
        <x:v>4</x:v>
      </x:c>
      <x:c r="H2065" s="50" t="n">
        <x:v>6</x:v>
      </x:c>
      <x:c r="I2065" s="44" t="str">
        <x:v>04.06</x:v>
      </x:c>
      <x:c r="J2065" s="33" t="str">
        <x:v>Some Friend</x:v>
      </x:c>
      <x:c r="K2065" s="33" t="str"/>
      <x:c r="L2065" s="33" t="str"/>
      <x:c r="M2065" s="44" t="str"/>
      <x:c r="N2065" s="50" t="n">
        <x:v>43</x:v>
      </x:c>
      <x:c r="O2065" s="53" t="str">
        <x:v>After receiving a complaint from a frustrated neighbor, Burgess and Officer Sorensen arrive to the house of baseball player Jake McCoy, and find the dead body of a 16-year-old girl, Maya Collins. There is conflict within the case as Intelligence learns that Olinsky and McCoy are friends, and McCoy admits that he was helping Maya and other girls try to escape the sex trade. Meanwhile, Burgess and Sorensen track down a thief who turns out to be a cop with a rocky past, and Lindsay gets a mysterious flower delivery that may be tied to her past.</x:v>
      </x:c>
      <x:c r="P2065" s="53" t="str">
        <x:v>Core One Chicago franchise; crossovers with SVU/FBI</x:v>
      </x:c>
      <x:c r="Q2065" s="17" t="str">
        <x:v>2313313</x:v>
      </x:c>
      <x:c r="R2065" s="17" t="str">
        <x:v>tt5902064</x:v>
      </x:c>
      <x:c r="S2065" s="17" t="str"/>
    </x:row>
    <x:row r="2066">
      <x:c r="A2066" s="43" t="n">
        <x:v>2062</x:v>
      </x:c>
      <x:c r="B2066" s="44" t="str">
        <x:v>Not Started</x:v>
      </x:c>
      <x:c r="C2066" s="45" t="n">
        <x:v>42685</x:v>
      </x:c>
      <x:c r="D2066" s="33" t="str">
        <x:v>Chicago Med</x:v>
      </x:c>
      <x:c r="E2066" s="33" t="str">
        <x:v>One Chicago</x:v>
      </x:c>
      <x:c r="F2066" s="33" t="str">
        <x:v>core</x:v>
      </x:c>
      <x:c r="G2066" s="50" t="n">
        <x:v>2</x:v>
      </x:c>
      <x:c r="H2066" s="50" t="n">
        <x:v>8</x:v>
      </x:c>
      <x:c r="I2066" s="44" t="str">
        <x:v>02.08</x:v>
      </x:c>
      <x:c r="J2066" s="33" t="str">
        <x:v>Free Will</x:v>
      </x:c>
      <x:c r="K2066" s="33" t="str"/>
      <x:c r="L2066" s="33" t="str"/>
      <x:c r="M2066" s="44" t="str"/>
      <x:c r="N2066" s="50" t="n">
        <x:v>44</x:v>
      </x:c>
      <x:c r="O2066" s="53" t="str">
        <x:v>Dr. Halstead and Dr. Manning deal with two warring brothers who are brought together when one finds himself in desperate need of a kidney. Dr. Reese's former patient Danny comes to a crossroad. Dr. Rhodes and Dr. Latham treat a 16-year-old girl with a genetic condition in need of surgery, but whose overprotective mother disagrees with that course of action. A convict with unusual intentions puts himself in the hospital and Dr. Charles meddles in his daughter Robyn's personal life, much to her dismay. Meanwhile, Dr. Halstead and April make a discovery that complicates her treatment for TB.</x:v>
      </x:c>
      <x:c r="P2066" s="53" t="str">
        <x:v>Core One Chicago franchise</x:v>
      </x:c>
      <x:c r="Q2066" s="17" t="str">
        <x:v>2313889</x:v>
      </x:c>
      <x:c r="R2066" s="17" t="str">
        <x:v>tt5915420</x:v>
      </x:c>
      <x:c r="S2066" s="17" t="str"/>
    </x:row>
    <x:row r="2067">
      <x:c r="A2067" s="43" t="n">
        <x:v>2063</x:v>
      </x:c>
      <x:c r="B2067" s="44" t="str">
        <x:v>Not Started</x:v>
      </x:c>
      <x:c r="C2067" s="45" t="n">
        <x:v>42690</x:v>
      </x:c>
      <x:c r="D2067" s="33" t="str">
        <x:v>Chicago Fire</x:v>
      </x:c>
      <x:c r="E2067" s="33" t="str">
        <x:v>One Chicago</x:v>
      </x:c>
      <x:c r="F2067" s="33" t="str">
        <x:v>core</x:v>
      </x:c>
      <x:c r="G2067" s="50" t="n">
        <x:v>5</x:v>
      </x:c>
      <x:c r="H2067" s="50" t="n">
        <x:v>5</x:v>
      </x:c>
      <x:c r="I2067" s="44" t="str">
        <x:v>05.05</x:v>
      </x:c>
      <x:c r="J2067" s="33" t="str">
        <x:v>I Held Her Hand</x:v>
      </x:c>
      <x:c r="K2067" s="33" t="str"/>
      <x:c r="L2067" s="33" t="str"/>
      <x:c r="M2067" s="44" t="str"/>
      <x:c r="N2067" s="50" t="n">
        <x:v>42</x:v>
      </x:c>
      <x:c r="O2067" s="53" t="str">
        <x:v>Lt. Casey is unable to rescue a woman who becomes trapped inside her burning greystone, prompting him and Lt. Severide to butt heads over the husband's role in the tragedy. Herrmann is on a mission to catch a mystery tagger that keeps targeting their firehouse and Boden gets a surprise visitor. Meanwhile, Dawson and Brett respond to a 16-year-old boy who was injured during a romantic homecoming proposal.</x:v>
      </x:c>
      <x:c r="P2067" s="53" t="str">
        <x:v>Core One Chicago franchise</x:v>
      </x:c>
      <x:c r="Q2067" s="17" t="str">
        <x:v>2336605</x:v>
      </x:c>
      <x:c r="R2067" s="17" t="str">
        <x:v>tt6115100</x:v>
      </x:c>
      <x:c r="S2067" s="17" t="str"/>
    </x:row>
    <x:row r="2068">
      <x:c r="A2068" s="43" t="n">
        <x:v>2064</x:v>
      </x:c>
      <x:c r="B2068" s="44" t="str">
        <x:v>Not Started</x:v>
      </x:c>
      <x:c r="C2068" s="45" t="n">
        <x:v>42691</x:v>
      </x:c>
      <x:c r="D2068" s="33" t="str">
        <x:v>Chicago P.D.</x:v>
      </x:c>
      <x:c r="E2068" s="33" t="str">
        <x:v>One Chicago</x:v>
      </x:c>
      <x:c r="F2068" s="33" t="str">
        <x:v>core</x:v>
      </x:c>
      <x:c r="G2068" s="50" t="n">
        <x:v>4</x:v>
      </x:c>
      <x:c r="H2068" s="50" t="n">
        <x:v>7</x:v>
      </x:c>
      <x:c r="I2068" s="44" t="str">
        <x:v>04.07</x:v>
      </x:c>
      <x:c r="J2068" s="33" t="str">
        <x:v>300,000 Likes</x:v>
      </x:c>
      <x:c r="K2068" s="33" t="str"/>
      <x:c r="L2068" s="33" t="str"/>
      <x:c r="M2068" s="44" t="str"/>
      <x:c r="N2068" s="50" t="n">
        <x:v>43</x:v>
      </x:c>
      <x:c r="O2068" s="53" t="str">
        <x:v>Voight calls the team to investigate a homicide involving the only witness in a rape and murder case against an extremely young man, Oliver Tuxhor. Intelligence looks into Tuxhorn's family and their finances as they try to determine if someone was paid to take out the victim. Meanwhile, Stone offers Antonio a job as lead investigator for the state attorney's office, and Burgess and Sorensen's body cameras capture a bizarre exchange with a man that they pull over.</x:v>
      </x:c>
      <x:c r="P2068" s="53" t="str">
        <x:v>Core One Chicago franchise; crossovers with SVU/FBI</x:v>
      </x:c>
      <x:c r="Q2068" s="17" t="str">
        <x:v>2313314</x:v>
      </x:c>
      <x:c r="R2068" s="17" t="str">
        <x:v>tt5902066</x:v>
      </x:c>
      <x:c r="S2068" s="17" t="str"/>
    </x:row>
    <x:row r="2069">
      <x:c r="A2069" s="43" t="n">
        <x:v>2065</x:v>
      </x:c>
      <x:c r="B2069" s="44" t="str">
        <x:v>Not Started</x:v>
      </x:c>
      <x:c r="C2069" s="45" t="n">
        <x:v>42691</x:v>
      </x:c>
      <x:c r="D2069" s="33" t="str">
        <x:v>Chicago P.D.</x:v>
      </x:c>
      <x:c r="E2069" s="33" t="str">
        <x:v>One Chicago</x:v>
      </x:c>
      <x:c r="F2069" s="33" t="str">
        <x:v>core</x:v>
      </x:c>
      <x:c r="G2069" s="50" t="n">
        <x:v>4</x:v>
      </x:c>
      <x:c r="H2069" s="50" t="n">
        <x:v>8</x:v>
      </x:c>
      <x:c r="I2069" s="44" t="str">
        <x:v>04.08</x:v>
      </x:c>
      <x:c r="J2069" s="33" t="str">
        <x:v>A Shot Heard Round the World</x:v>
      </x:c>
      <x:c r="K2069" s="33" t="str"/>
      <x:c r="L2069" s="33" t="str"/>
      <x:c r="M2069" s="44" t="str"/>
      <x:c r="N2069" s="50" t="n">
        <x:v>43</x:v>
      </x:c>
      <x:c r="O2069" s="53" t="str">
        <x:v>When a young officer is shot dead in the lobby of an apartment building, Intelligence looks to the latest known offenders who have threatened the police. But when a second officer is killed, the team finds that they are dealing with someone who is highly trained and knowledgeable.</x:v>
      </x:c>
      <x:c r="P2069" s="53" t="str">
        <x:v>Core One Chicago franchise; crossovers with SVU/FBI</x:v>
      </x:c>
      <x:c r="Q2069" s="17" t="str">
        <x:v>2313315</x:v>
      </x:c>
      <x:c r="R2069" s="17" t="str">
        <x:v>tt5902068</x:v>
      </x:c>
      <x:c r="S2069" s="17" t="str"/>
    </x:row>
    <x:row r="2070">
      <x:c r="A2070" s="43" t="n">
        <x:v>2066</x:v>
      </x:c>
      <x:c r="B2070" s="44" t="str">
        <x:v>Not Started</x:v>
      </x:c>
      <x:c r="C2070" s="45" t="n">
        <x:v>42697</x:v>
      </x:c>
      <x:c r="D2070" s="33" t="str">
        <x:v>Chicago Fire</x:v>
      </x:c>
      <x:c r="E2070" s="33" t="str">
        <x:v>One Chicago</x:v>
      </x:c>
      <x:c r="F2070" s="33" t="str">
        <x:v>core</x:v>
      </x:c>
      <x:c r="G2070" s="50" t="n">
        <x:v>5</x:v>
      </x:c>
      <x:c r="H2070" s="50" t="n">
        <x:v>6</x:v>
      </x:c>
      <x:c r="I2070" s="44" t="str">
        <x:v>05.06</x:v>
      </x:c>
      <x:c r="J2070" s="33" t="str">
        <x:v>That Day</x:v>
      </x:c>
      <x:c r="K2070" s="33" t="str"/>
      <x:c r="L2070" s="33" t="str"/>
      <x:c r="M2070" s="44" t="str"/>
      <x:c r="N2070" s="50" t="n">
        <x:v>42</x:v>
      </x:c>
      <x:c r="O2070" s="53" t="str">
        <x:v>While responding to a call in the field, Dawson accidentally hits a pedestrian who stepped in front of the ambulance, and is left to deal with the repercussions. Lt. Casey and Lt. Severide disagree and continue to investigate an arson case while Chief Boden is left to decide whether to attend an important function in New York. Elsewhere, in hopes of preparing him for a possible promotion, Lt. Casey puts Herrmann at the helm for a shift so he can discover firsthand what his superiors deal with.</x:v>
      </x:c>
      <x:c r="P2070" s="53" t="str">
        <x:v>Core One Chicago franchise</x:v>
      </x:c>
      <x:c r="Q2070" s="17" t="str">
        <x:v>2336606</x:v>
      </x:c>
      <x:c r="R2070" s="17" t="str">
        <x:v>tt6115102</x:v>
      </x:c>
      <x:c r="S2070" s="17" t="str"/>
    </x:row>
    <x:row r="2071">
      <x:c r="A2071" s="43" t="n">
        <x:v>2067</x:v>
      </x:c>
      <x:c r="B2071" s="44" t="str">
        <x:v>Not Started</x:v>
      </x:c>
      <x:c r="C2071" s="45" t="n">
        <x:v>42704</x:v>
      </x:c>
      <x:c r="D2071" s="33" t="str">
        <x:v>Chicago Fire</x:v>
      </x:c>
      <x:c r="E2071" s="33" t="str">
        <x:v>One Chicago</x:v>
      </x:c>
      <x:c r="F2071" s="33" t="str">
        <x:v>core</x:v>
      </x:c>
      <x:c r="G2071" s="50" t="n">
        <x:v>5</x:v>
      </x:c>
      <x:c r="H2071" s="50" t="n">
        <x:v>7</x:v>
      </x:c>
      <x:c r="I2071" s="44" t="str">
        <x:v>05.07</x:v>
      </x:c>
      <x:c r="J2071" s="33" t="str">
        <x:v>Lift Each Other</x:v>
      </x:c>
      <x:c r="K2071" s="33" t="str"/>
      <x:c r="L2071" s="33" t="str"/>
      <x:c r="M2071" s="44" t="str"/>
      <x:c r="N2071" s="50" t="n">
        <x:v>42</x:v>
      </x:c>
      <x:c r="O2071" s="53" t="str">
        <x:v>It's a family reunion when Dawson and Antonio's mother and father come to Chicago for their big anniversary party, but things quickly turn south. When a deep secret comes to the surface involving his stepson James, Chief Boden decides to take matters into his own hands. Meanwhile, Casey tries to save a young boy during a harrowing call to a warehouse and Otis and Kidd become competitive at the mud-hundred race.</x:v>
      </x:c>
      <x:c r="P2071" s="53" t="str">
        <x:v>Core One Chicago franchise</x:v>
      </x:c>
      <x:c r="Q2071" s="17" t="str">
        <x:v>2336609</x:v>
      </x:c>
      <x:c r="R2071" s="17" t="str">
        <x:v>tt6115104</x:v>
      </x:c>
      <x:c r="S2071" s="17" t="str"/>
    </x:row>
    <x:row r="2072">
      <x:c r="A2072" s="43" t="n">
        <x:v>2068</x:v>
      </x:c>
      <x:c r="B2072" s="44" t="str">
        <x:v>Not Started</x:v>
      </x:c>
      <x:c r="C2072" s="45" t="n">
        <x:v>42711</x:v>
      </x:c>
      <x:c r="D2072" s="33" t="str">
        <x:v>Chicago Fire</x:v>
      </x:c>
      <x:c r="E2072" s="33" t="str">
        <x:v>One Chicago</x:v>
      </x:c>
      <x:c r="F2072" s="33" t="str">
        <x:v>core</x:v>
      </x:c>
      <x:c r="G2072" s="50" t="n">
        <x:v>5</x:v>
      </x:c>
      <x:c r="H2072" s="50" t="n">
        <x:v>8</x:v>
      </x:c>
      <x:c r="I2072" s="44" t="str">
        <x:v>05.08</x:v>
      </x:c>
      <x:c r="J2072" s="33" t="str">
        <x:v>One Hundred</x:v>
      </x:c>
      <x:c r="K2072" s="33" t="str"/>
      <x:c r="L2072" s="33" t="str"/>
      <x:c r="M2072" s="44" t="str"/>
      <x:c r="N2072" s="50" t="n">
        <x:v>43</x:v>
      </x:c>
      <x:c r="O2072" s="53" t="str">
        <x:v>Lt. Casey and Dawson apply for permanent adoption of Louie, but quickly discover a hurdle. Firefighter-turned-medical student Jeff Clarke approaches Lt. Severide with an interesting proposition. With hopes of reinvigorating business at the bar, Otis convinces a skeptical Herrmann to throw a bash in celebration of the milestone 100th anniversary of Molly's, but not without complications.</x:v>
      </x:c>
      <x:c r="P2072" s="53" t="str">
        <x:v>Core One Chicago franchise</x:v>
      </x:c>
      <x:c r="Q2072" s="17" t="str">
        <x:v>2336610</x:v>
      </x:c>
      <x:c r="R2072" s="17" t="str">
        <x:v>tt6115106</x:v>
      </x:c>
      <x:c r="S2072" s="17" t="str"/>
    </x:row>
    <x:row r="2073">
      <x:c r="A2073" s="43" t="n">
        <x:v>2069</x:v>
      </x:c>
      <x:c r="B2073" s="44" t="str">
        <x:v>Not Started</x:v>
      </x:c>
      <x:c r="C2073" s="45" t="n">
        <x:v>42739</x:v>
      </x:c>
      <x:c r="D2073" s="33" t="str">
        <x:v>Chicago P.D.</x:v>
      </x:c>
      <x:c r="E2073" s="33" t="str">
        <x:v>One Chicago</x:v>
      </x:c>
      <x:c r="F2073" s="33" t="str">
        <x:v>core</x:v>
      </x:c>
      <x:c r="G2073" s="50" t="n">
        <x:v>4</x:v>
      </x:c>
      <x:c r="H2073" s="50" t="n">
        <x:v>9</x:v>
      </x:c>
      <x:c r="I2073" s="44" t="str">
        <x:v>04.09</x:v>
      </x:c>
      <x:c r="J2073" s="33" t="str">
        <x:v>Don't Bury This Case (II)</x:v>
      </x:c>
      <x:c r="K2073" s="33" t="str">
        <x:v>Crossover</x:v>
      </x:c>
      <x:c r="L2073" s="33" t="str">
        <x:v>Some Make It, Some Don't</x:v>
      </x:c>
      <x:c r="M2073" s="44" t="str">
        <x:v>2/2</x:v>
      </x:c>
      <x:c r="N2073" s="50" t="n">
        <x:v>43</x:v>
      </x:c>
      <x:c r="O2073" s="53" t="str">
        <x:v>Severide is brought into the District for questioning after his car is found to have caused a deadly crash. As the investigation gets underway, the team works to uncover a group of car-jackers who may be the key to Severide's innocence.
The crossover starts on Chicago Fire S05E09 Some Make It, Some Don't (I).</x:v>
      </x:c>
      <x:c r="P2073" s="53" t="str">
        <x:v>Core One Chicago franchise; crossovers with SVU/FBI</x:v>
      </x:c>
      <x:c r="Q2073" s="17" t="str">
        <x:v>2313318</x:v>
      </x:c>
      <x:c r="R2073" s="17" t="str">
        <x:v>tt6334568</x:v>
      </x:c>
      <x:c r="S2073" s="17" t="str">
        <x:v>https://one-chicago-fbi.fandom.com/wiki/Crossovers_and_Milestones</x:v>
      </x:c>
    </x:row>
    <x:row r="2074">
      <x:c r="A2074" s="43" t="n">
        <x:v>2070</x:v>
      </x:c>
      <x:c r="B2074" s="44" t="str">
        <x:v>Not Started</x:v>
      </x:c>
      <x:c r="C2074" s="45" t="n">
        <x:v>42739</x:v>
      </x:c>
      <x:c r="D2074" s="33" t="str">
        <x:v>Chicago Fire</x:v>
      </x:c>
      <x:c r="E2074" s="33" t="str">
        <x:v>One Chicago</x:v>
      </x:c>
      <x:c r="F2074" s="33" t="str">
        <x:v>core</x:v>
      </x:c>
      <x:c r="G2074" s="50" t="n">
        <x:v>5</x:v>
      </x:c>
      <x:c r="H2074" s="50" t="n">
        <x:v>9</x:v>
      </x:c>
      <x:c r="I2074" s="44" t="str">
        <x:v>05.09</x:v>
      </x:c>
      <x:c r="J2074" s="33" t="str">
        <x:v>Some Make It, Some Don't (I)</x:v>
      </x:c>
      <x:c r="K2074" s="33" t="str">
        <x:v>Crossover</x:v>
      </x:c>
      <x:c r="L2074" s="33" t="str">
        <x:v>Some Make It, Some Don't</x:v>
      </x:c>
      <x:c r="M2074" s="44" t="str">
        <x:v>1/2</x:v>
      </x:c>
      <x:c r="N2074" s="50" t="n">
        <x:v>43</x:v>
      </x:c>
      <x:c r="O2074" s="53" t="str">
        <x:v>Dawson and Casey deal with legal matters in hopes of remaining Louie's legal guardians. Severide continues in his efforts for a bone marrow procedure to help Anna, but when things don't go as planned, he finds himself slipping back into old habits. Meanwhile, Brett opens up to Dawson and members of Firehouse 51 become competitive, much to the dismay of Chief Boden.
The crossover continues on Chicago P.D. S04E09 Don't Bury This Case (II).</x:v>
      </x:c>
      <x:c r="P2074" s="53" t="str">
        <x:v>Core One Chicago franchise</x:v>
      </x:c>
      <x:c r="Q2074" s="17" t="str">
        <x:v>2400758</x:v>
      </x:c>
      <x:c r="R2074" s="17" t="str">
        <x:v>tt6156648</x:v>
      </x:c>
      <x:c r="S2074" s="17" t="str">
        <x:v>https://one-chicago-fbi.fandom.com/wiki/Crossovers_and_Milestones</x:v>
      </x:c>
    </x:row>
    <x:row r="2075">
      <x:c r="A2075" s="43" t="n">
        <x:v>2071</x:v>
      </x:c>
      <x:c r="B2075" s="44" t="str">
        <x:v>Not Started</x:v>
      </x:c>
      <x:c r="C2075" s="45" t="n">
        <x:v>42739</x:v>
      </x:c>
      <x:c r="D2075" s="33" t="str">
        <x:v>Law &amp; Order: Special Victims Unit</x:v>
      </x:c>
      <x:c r="E2075" s="33" t="str">
        <x:v>Law &amp; Order</x:v>
      </x:c>
      <x:c r="F2075" s="33" t="str">
        <x:v>core</x:v>
      </x:c>
      <x:c r="G2075" s="50" t="n">
        <x:v>18</x:v>
      </x:c>
      <x:c r="H2075" s="50" t="n">
        <x:v>7</x:v>
      </x:c>
      <x:c r="I2075" s="44" t="str">
        <x:v>18.07</x:v>
      </x:c>
      <x:c r="J2075" s="33" t="str">
        <x:v>Next Chapter</x:v>
      </x:c>
      <x:c r="K2075" s="33" t="str"/>
      <x:c r="L2075" s="33" t="str"/>
      <x:c r="M2075" s="44" t="str"/>
      <x:c r="N2075" s="50" t="n">
        <x:v>43</x:v>
      </x:c>
      <x:c r="O2075" s="53" t="str">
        <x:v>The SVU team investigates a woman has been sexually assaulted by a masked man, but she believes the rapist is the same man who went to jail for stalking her. Meanwhile, Tucker contemplates retirement and a future with Benson.</x:v>
      </x:c>
      <x:c r="P2075" s="53" t="str">
        <x:v>Core Law &amp; Order franchise</x:v>
      </x:c>
      <x:c r="Q2075" s="17" t="str">
        <x:v>2351452</x:v>
      </x:c>
      <x:c r="R2075" s="17" t="str">
        <x:v>tt5902014</x:v>
      </x:c>
      <x:c r="S2075" s="17" t="str">
        <x:v>1388</x:v>
      </x:c>
    </x:row>
    <x:row r="2076">
      <x:c r="A2076" s="43" t="n">
        <x:v>2072</x:v>
      </x:c>
      <x:c r="B2076" s="44" t="str">
        <x:v>Not Started</x:v>
      </x:c>
      <x:c r="C2076" s="45" t="n">
        <x:v>42740</x:v>
      </x:c>
      <x:c r="D2076" s="33" t="str">
        <x:v>Chicago P.D.</x:v>
      </x:c>
      <x:c r="E2076" s="33" t="str">
        <x:v>One Chicago</x:v>
      </x:c>
      <x:c r="F2076" s="33" t="str">
        <x:v>core</x:v>
      </x:c>
      <x:c r="G2076" s="50" t="n">
        <x:v>4</x:v>
      </x:c>
      <x:c r="H2076" s="50" t="n">
        <x:v>10</x:v>
      </x:c>
      <x:c r="I2076" s="44" t="str">
        <x:v>04.10</x:v>
      </x:c>
      <x:c r="J2076" s="33" t="str">
        <x:v>Don't Read the News</x:v>
      </x:c>
      <x:c r="K2076" s="33" t="str"/>
      <x:c r="L2076" s="33" t="str"/>
      <x:c r="M2076" s="44" t="str"/>
      <x:c r="N2076" s="50" t="n">
        <x:v>43</x:v>
      </x:c>
      <x:c r="O2076" s="53" t="str">
        <x:v>After the body of young woman is found with multiple gunshot wounds, Intelligence uncovers details of her case that are similar to other deaths. They work to link all of these murders together to pin down the serial killer, and appease the families of the victims who have been looking for answers.</x:v>
      </x:c>
      <x:c r="P2076" s="53" t="str">
        <x:v>Core One Chicago franchise; crossovers with SVU/FBI</x:v>
      </x:c>
      <x:c r="Q2076" s="17" t="str">
        <x:v>2313320</x:v>
      </x:c>
      <x:c r="R2076" s="17" t="str">
        <x:v>tt5902070</x:v>
      </x:c>
      <x:c r="S2076" s="17" t="str"/>
    </x:row>
    <x:row r="2077">
      <x:c r="A2077" s="43" t="n">
        <x:v>2073</x:v>
      </x:c>
      <x:c r="B2077" s="44" t="str">
        <x:v>Not Started</x:v>
      </x:c>
      <x:c r="C2077" s="45" t="n">
        <x:v>42741</x:v>
      </x:c>
      <x:c r="D2077" s="33" t="str">
        <x:v>Chicago Med</x:v>
      </x:c>
      <x:c r="E2077" s="33" t="str">
        <x:v>One Chicago</x:v>
      </x:c>
      <x:c r="F2077" s="33" t="str">
        <x:v>core</x:v>
      </x:c>
      <x:c r="G2077" s="50" t="n">
        <x:v>2</x:v>
      </x:c>
      <x:c r="H2077" s="50" t="n">
        <x:v>9</x:v>
      </x:c>
      <x:c r="I2077" s="44" t="str">
        <x:v>02.09</x:v>
      </x:c>
      <x:c r="J2077" s="33" t="str">
        <x:v>Uncharted Territory</x:v>
      </x:c>
      <x:c r="K2077" s="33" t="str"/>
      <x:c r="L2077" s="33" t="str"/>
      <x:c r="M2077" s="44" t="str"/>
      <x:c r="N2077" s="50" t="n">
        <x:v>43</x:v>
      </x:c>
      <x:c r="O2077" s="53" t="str">
        <x:v>Goodwin tasks Dr. Charles with evaluating a patient as a possible heart recipient, while Jeff makes a confession to Dr. Manning. Dr. Choi deals with two MMA fighters who are brought into Chicago Med in bad shape. Elsewhere, Dr. Stohl returns to the hospital from his sabbatical leave and immediately offers up different medical opinion regarding the treatment of a patient under the care of Dr. Halstead. April discovers her TB medication may lead to further complications.</x:v>
      </x:c>
      <x:c r="P2077" s="53" t="str">
        <x:v>Core One Chicago franchise</x:v>
      </x:c>
      <x:c r="Q2077" s="17" t="str">
        <x:v>2313890</x:v>
      </x:c>
      <x:c r="R2077" s="17" t="str">
        <x:v>tt5915422</x:v>
      </x:c>
      <x:c r="S2077" s="17" t="str"/>
    </x:row>
    <x:row r="2078">
      <x:c r="A2078" s="43" t="n">
        <x:v>2074</x:v>
      </x:c>
      <x:c r="B2078" s="44" t="str">
        <x:v>Not Started</x:v>
      </x:c>
      <x:c r="C2078" s="45" t="n">
        <x:v>42746</x:v>
      </x:c>
      <x:c r="D2078" s="33" t="str">
        <x:v>Law &amp; Order: Special Victims Unit</x:v>
      </x:c>
      <x:c r="E2078" s="33" t="str">
        <x:v>Law &amp; Order</x:v>
      </x:c>
      <x:c r="F2078" s="33" t="str">
        <x:v>core</x:v>
      </x:c>
      <x:c r="G2078" s="50" t="n">
        <x:v>18</x:v>
      </x:c>
      <x:c r="H2078" s="50" t="n">
        <x:v>8</x:v>
      </x:c>
      <x:c r="I2078" s="44" t="str">
        <x:v>18.08</x:v>
      </x:c>
      <x:c r="J2078" s="33" t="str">
        <x:v>Chasing Theo</x:v>
      </x:c>
      <x:c r="K2078" s="33" t="str"/>
      <x:c r="L2078" s="33" t="str"/>
      <x:c r="M2078" s="44" t="str"/>
      <x:c r="N2078" s="50" t="n">
        <x:v>43</x:v>
      </x:c>
      <x:c r="O2078" s="53" t="str">
        <x:v>A 6 year-old boy disappears from his bed in the midst of a wild, drug-fueled party thrown by his mother. With a child's life on the line, the case causes Benson to scrutinize her own role as a mother.</x:v>
      </x:c>
      <x:c r="P2078" s="53" t="str">
        <x:v>Core Law &amp; Order franchise</x:v>
      </x:c>
      <x:c r="Q2078" s="17" t="str">
        <x:v>2351453</x:v>
      </x:c>
      <x:c r="R2078" s="17" t="str">
        <x:v>tt6352474</x:v>
      </x:c>
      <x:c r="S2078" s="17" t="str">
        <x:v>1389</x:v>
      </x:c>
    </x:row>
    <x:row r="2079">
      <x:c r="A2079" s="43" t="n">
        <x:v>2075</x:v>
      </x:c>
      <x:c r="B2079" s="44" t="str">
        <x:v>Not Started</x:v>
      </x:c>
      <x:c r="C2079" s="45" t="n">
        <x:v>42747</x:v>
      </x:c>
      <x:c r="D2079" s="33" t="str">
        <x:v>Chicago P.D.</x:v>
      </x:c>
      <x:c r="E2079" s="33" t="str">
        <x:v>One Chicago</x:v>
      </x:c>
      <x:c r="F2079" s="33" t="str">
        <x:v>core</x:v>
      </x:c>
      <x:c r="G2079" s="50" t="n">
        <x:v>4</x:v>
      </x:c>
      <x:c r="H2079" s="50" t="n">
        <x:v>11</x:v>
      </x:c>
      <x:c r="I2079" s="44" t="str">
        <x:v>04.11</x:v>
      </x:c>
      <x:c r="J2079" s="33" t="str">
        <x:v>You Wish</x:v>
      </x:c>
      <x:c r="K2079" s="33" t="str"/>
      <x:c r="L2079" s="33" t="str"/>
      <x:c r="M2079" s="44" t="str"/>
      <x:c r="N2079" s="50" t="n">
        <x:v>42</x:v>
      </x:c>
      <x:c r="O2079" s="53" t="str">
        <x:v>When a mutilated sex offender is found dead, it is unclear if he was the victim of a hate crime, sexual assault or self-mutilation. As Intelligence questions those related to the case, they find themselves up against a private "special police" force who may be covering up illegal activities.</x:v>
      </x:c>
      <x:c r="P2079" s="53" t="str">
        <x:v>Core One Chicago franchise; crossovers with SVU/FBI</x:v>
      </x:c>
      <x:c r="Q2079" s="17" t="str">
        <x:v>2313321</x:v>
      </x:c>
      <x:c r="R2079" s="17" t="str">
        <x:v>tt5902072</x:v>
      </x:c>
      <x:c r="S2079" s="17" t="str"/>
    </x:row>
    <x:row r="2080">
      <x:c r="A2080" s="43" t="n">
        <x:v>2076</x:v>
      </x:c>
      <x:c r="B2080" s="44" t="str">
        <x:v>Not Started</x:v>
      </x:c>
      <x:c r="C2080" s="45" t="n">
        <x:v>42748</x:v>
      </x:c>
      <x:c r="D2080" s="33" t="str">
        <x:v>Chicago Med</x:v>
      </x:c>
      <x:c r="E2080" s="33" t="str">
        <x:v>One Chicago</x:v>
      </x:c>
      <x:c r="F2080" s="33" t="str">
        <x:v>core</x:v>
      </x:c>
      <x:c r="G2080" s="50" t="n">
        <x:v>2</x:v>
      </x:c>
      <x:c r="H2080" s="50" t="n">
        <x:v>10</x:v>
      </x:c>
      <x:c r="I2080" s="44" t="str">
        <x:v>02.10</x:v>
      </x:c>
      <x:c r="J2080" s="33" t="str">
        <x:v>Heart Matters</x:v>
      </x:c>
      <x:c r="K2080" s="33" t="str"/>
      <x:c r="L2080" s="33" t="str"/>
      <x:c r="M2080" s="44" t="str"/>
      <x:c r="N2080" s="50" t="n">
        <x:v>43</x:v>
      </x:c>
      <x:c r="O2080" s="53" t="str">
        <x:v>Dr. Rhodes and Dr. Charles' heart transplant patient gets into a car crash, revealing issues that could complicate her surgery. A past arrest causes trouble for Maggie when the arresting officer is brought to Chicago Med with a serious injury. Elsewhere, Dr. Manning and Dr. Halstead must defend their actions when explaining a patient's cause of death. Meanwhile, Dr. Halstead attempts to treat an uncooperative horse jockey.</x:v>
      </x:c>
      <x:c r="P2080" s="53" t="str">
        <x:v>Core One Chicago franchise</x:v>
      </x:c>
      <x:c r="Q2080" s="17" t="str">
        <x:v>2313891</x:v>
      </x:c>
      <x:c r="R2080" s="17" t="str">
        <x:v>tt5915426</x:v>
      </x:c>
      <x:c r="S2080" s="17" t="str"/>
    </x:row>
    <x:row r="2081">
      <x:c r="A2081" s="43" t="n">
        <x:v>2077</x:v>
      </x:c>
      <x:c r="B2081" s="44" t="str">
        <x:v>Not Started</x:v>
      </x:c>
      <x:c r="C2081" s="45" t="n">
        <x:v>42753</x:v>
      </x:c>
      <x:c r="D2081" s="33" t="str">
        <x:v>Chicago Fire</x:v>
      </x:c>
      <x:c r="E2081" s="33" t="str">
        <x:v>One Chicago</x:v>
      </x:c>
      <x:c r="F2081" s="33" t="str">
        <x:v>core</x:v>
      </x:c>
      <x:c r="G2081" s="50" t="n">
        <x:v>5</x:v>
      </x:c>
      <x:c r="H2081" s="50" t="n">
        <x:v>10</x:v>
      </x:c>
      <x:c r="I2081" s="44" t="str">
        <x:v>05.10</x:v>
      </x:c>
      <x:c r="J2081" s="33" t="str">
        <x:v>The People We Meet</x:v>
      </x:c>
      <x:c r="K2081" s="33" t="str"/>
      <x:c r="L2081" s="33" t="str"/>
      <x:c r="M2081" s="44" t="str"/>
      <x:c r="N2081" s="50" t="n">
        <x:v>43</x:v>
      </x:c>
      <x:c r="O2081" s="53" t="str">
        <x:v>Severide agrees to a bone marrow donation but a work accident throws everything into flux. Casey and Dawson try to find harmony at home. Meanwhile, Otis and Mouch decide to film a PSA encouraging people to join the Chicago Fire Department but hit a creative wall in the process.</x:v>
      </x:c>
      <x:c r="P2081" s="53" t="str">
        <x:v>Core One Chicago franchise</x:v>
      </x:c>
      <x:c r="Q2081" s="17" t="str">
        <x:v>2400759</x:v>
      </x:c>
      <x:c r="R2081" s="17" t="str">
        <x:v>tt6312114</x:v>
      </x:c>
      <x:c r="S2081" s="17" t="str"/>
    </x:row>
    <x:row r="2082">
      <x:c r="A2082" s="43" t="n">
        <x:v>2078</x:v>
      </x:c>
      <x:c r="B2082" s="44" t="str">
        <x:v>Not Started</x:v>
      </x:c>
      <x:c r="C2082" s="45" t="n">
        <x:v>42753</x:v>
      </x:c>
      <x:c r="D2082" s="33" t="str">
        <x:v>Law &amp; Order: Special Victims Unit</x:v>
      </x:c>
      <x:c r="E2082" s="33" t="str">
        <x:v>Law &amp; Order</x:v>
      </x:c>
      <x:c r="F2082" s="33" t="str">
        <x:v>core</x:v>
      </x:c>
      <x:c r="G2082" s="50" t="n">
        <x:v>18</x:v>
      </x:c>
      <x:c r="H2082" s="50" t="n">
        <x:v>9</x:v>
      </x:c>
      <x:c r="I2082" s="44" t="str">
        <x:v>18.09</x:v>
      </x:c>
      <x:c r="J2082" s="33" t="str">
        <x:v>Decline and Fall</x:v>
      </x:c>
      <x:c r="K2082" s="33" t="str"/>
      <x:c r="L2082" s="33" t="str"/>
      <x:c r="M2082" s="44" t="str"/>
      <x:c r="N2082" s="50" t="n">
        <x:v>43</x:v>
      </x:c>
      <x:c r="O2082" s="53" t="str">
        <x:v>The powerful family of a retail empire closes ranks when a bartender accuses one of their own of rape.</x:v>
      </x:c>
      <x:c r="P2082" s="53" t="str">
        <x:v>Core Law &amp; Order franchise</x:v>
      </x:c>
      <x:c r="Q2082" s="17" t="str">
        <x:v>2400847</x:v>
      </x:c>
      <x:c r="R2082" s="17" t="str">
        <x:v>tt5902020</x:v>
      </x:c>
      <x:c r="S2082" s="17" t="str">
        <x:v>1390</x:v>
      </x:c>
    </x:row>
    <x:row r="2083">
      <x:c r="A2083" s="43" t="n">
        <x:v>2079</x:v>
      </x:c>
      <x:c r="B2083" s="44" t="str">
        <x:v>Not Started</x:v>
      </x:c>
      <x:c r="C2083" s="45" t="n">
        <x:v>42754</x:v>
      </x:c>
      <x:c r="D2083" s="33" t="str">
        <x:v>Chicago P.D.</x:v>
      </x:c>
      <x:c r="E2083" s="33" t="str">
        <x:v>One Chicago</x:v>
      </x:c>
      <x:c r="F2083" s="33" t="str">
        <x:v>core</x:v>
      </x:c>
      <x:c r="G2083" s="50" t="n">
        <x:v>4</x:v>
      </x:c>
      <x:c r="H2083" s="50" t="n">
        <x:v>12</x:v>
      </x:c>
      <x:c r="I2083" s="44" t="str">
        <x:v>04.12</x:v>
      </x:c>
      <x:c r="J2083" s="33" t="str">
        <x:v>Sanctuary</x:v>
      </x:c>
      <x:c r="K2083" s="33" t="str"/>
      <x:c r="L2083" s="33" t="str"/>
      <x:c r="M2083" s="44" t="str"/>
      <x:c r="N2083" s="50" t="n">
        <x:v>43</x:v>
      </x:c>
      <x:c r="O2083" s="53" t="str">
        <x:v>After a female jogger is brutally murdered in the park, Rixton and Atwater arrive to see two suspects fleeing the scene. When the men make their way inside a church, the priest and parishioners gather outside to block law enforcement from entering. While investigating the case, Rixton gets caught in a lie with Voight.</x:v>
      </x:c>
      <x:c r="P2083" s="53" t="str">
        <x:v>Core One Chicago franchise; crossovers with SVU/FBI</x:v>
      </x:c>
      <x:c r="Q2083" s="17" t="str">
        <x:v>2313322</x:v>
      </x:c>
      <x:c r="R2083" s="17" t="str">
        <x:v>tt5902074</x:v>
      </x:c>
      <x:c r="S2083" s="17" t="str"/>
    </x:row>
    <x:row r="2084">
      <x:c r="A2084" s="43" t="n">
        <x:v>2080</x:v>
      </x:c>
      <x:c r="B2084" s="44" t="str">
        <x:v>Not Started</x:v>
      </x:c>
      <x:c r="C2084" s="45" t="n">
        <x:v>42755</x:v>
      </x:c>
      <x:c r="D2084" s="33" t="str">
        <x:v>Chicago Med</x:v>
      </x:c>
      <x:c r="E2084" s="33" t="str">
        <x:v>One Chicago</x:v>
      </x:c>
      <x:c r="F2084" s="33" t="str">
        <x:v>core</x:v>
      </x:c>
      <x:c r="G2084" s="50" t="n">
        <x:v>2</x:v>
      </x:c>
      <x:c r="H2084" s="50" t="n">
        <x:v>11</x:v>
      </x:c>
      <x:c r="I2084" s="44" t="str">
        <x:v>02.11</x:v>
      </x:c>
      <x:c r="J2084" s="33" t="str">
        <x:v>Graveyard Shift</x:v>
      </x:c>
      <x:c r="K2084" s="33" t="str"/>
      <x:c r="L2084" s="33" t="str"/>
      <x:c r="M2084" s="44" t="str"/>
      <x:c r="N2084" s="50" t="n">
        <x:v>45</x:v>
      </x:c>
      <x:c r="O2084" s="53" t="str">
        <x:v>It's a long night on the graveyard shift at Chicago Med, especially for Dr. Reese, who must deal with pronouncing patients dead on more than one occasion. April gets called in to work, much to the dismay of Tate, who pressures her to slow down. Meanwhile, Dr. Charles passes along some vital news to Dr. Latham, and Goodwin asks Dr. Rhodes to work on a most unusual patient.</x:v>
      </x:c>
      <x:c r="P2084" s="53" t="str">
        <x:v>Core One Chicago franchise</x:v>
      </x:c>
      <x:c r="Q2084" s="17" t="str">
        <x:v>2313892</x:v>
      </x:c>
      <x:c r="R2084" s="17" t="str">
        <x:v>tt5915434</x:v>
      </x:c>
      <x:c r="S2084" s="17" t="str"/>
    </x:row>
    <x:row r="2085">
      <x:c r="A2085" s="43" t="n">
        <x:v>2081</x:v>
      </x:c>
      <x:c r="B2085" s="44" t="str">
        <x:v>Not Started</x:v>
      </x:c>
      <x:c r="C2085" s="45" t="n">
        <x:v>42760</x:v>
      </x:c>
      <x:c r="D2085" s="33" t="str">
        <x:v>Chicago Fire</x:v>
      </x:c>
      <x:c r="E2085" s="33" t="str">
        <x:v>One Chicago</x:v>
      </x:c>
      <x:c r="F2085" s="33" t="str">
        <x:v>core</x:v>
      </x:c>
      <x:c r="G2085" s="50" t="n">
        <x:v>5</x:v>
      </x:c>
      <x:c r="H2085" s="50" t="n">
        <x:v>11</x:v>
      </x:c>
      <x:c r="I2085" s="44" t="str">
        <x:v>05.11</x:v>
      </x:c>
      <x:c r="J2085" s="33" t="str">
        <x:v>Who Lives and Who Dies</x:v>
      </x:c>
      <x:c r="K2085" s="33" t="str"/>
      <x:c r="L2085" s="33" t="str"/>
      <x:c r="M2085" s="44" t="str"/>
      <x:c r="N2085" s="50" t="n">
        <x:v>42</x:v>
      </x:c>
      <x:c r="O2085" s="53" t="str">
        <x:v>Dawson finds it hard to keep her emotions in check during an ambo run involving a pregnant teen. Elsewhere, the firehouse is called to the site of a building fire and Casey is forced to make a split-second decision when two victims are each need of life-saving assistance. In the aftermath, Casey is left to deal with the repercussions. Meanwhile, Severide shares a bond with Anna, as she makes her recovery.</x:v>
      </x:c>
      <x:c r="P2085" s="53" t="str">
        <x:v>Core One Chicago franchise</x:v>
      </x:c>
      <x:c r="Q2085" s="17" t="str">
        <x:v>2400761</x:v>
      </x:c>
      <x:c r="R2085" s="17" t="str">
        <x:v>tt6239036</x:v>
      </x:c>
      <x:c r="S2085" s="17" t="str"/>
    </x:row>
    <x:row r="2086">
      <x:c r="A2086" s="43" t="n">
        <x:v>2082</x:v>
      </x:c>
      <x:c r="B2086" s="44" t="str">
        <x:v>Not Started</x:v>
      </x:c>
      <x:c r="C2086" s="45" t="n">
        <x:v>42769</x:v>
      </x:c>
      <x:c r="D2086" s="33" t="str">
        <x:v>Chicago Med</x:v>
      </x:c>
      <x:c r="E2086" s="33" t="str">
        <x:v>One Chicago</x:v>
      </x:c>
      <x:c r="F2086" s="33" t="str">
        <x:v>core</x:v>
      </x:c>
      <x:c r="G2086" s="50" t="n">
        <x:v>2</x:v>
      </x:c>
      <x:c r="H2086" s="50" t="n">
        <x:v>12</x:v>
      </x:c>
      <x:c r="I2086" s="44" t="str">
        <x:v>02.12</x:v>
      </x:c>
      <x:c r="J2086" s="33" t="str">
        <x:v>Mirror Mirror</x:v>
      </x:c>
      <x:c r="K2086" s="33" t="str"/>
      <x:c r="L2086" s="33" t="str"/>
      <x:c r="M2086" s="44" t="str"/>
      <x:c r="N2086" s="50" t="n">
        <x:v>44</x:v>
      </x:c>
      <x:c r="O2086" s="53" t="str">
        <x:v>Dr. Manning and Dr. Charles treat a teenage girl with a rapidly changing set of symptoms that has everyone perplexed. Dr. Choi and medical student Jeff Clark encounter a 19 year-old tough guy who is brought into the hospital in severe distress. Once they establish the cause of the pain, the situation quickly turns dangerous and a resolved Dr. Reese does her best to help. Dr. Halstead must deal with a difficult case that is further complicated by Dr. Stohl, who has a camera crew following him around to shoot a promotional video spotlighting the hospital.</x:v>
      </x:c>
      <x:c r="P2086" s="53" t="str">
        <x:v>Core One Chicago franchise</x:v>
      </x:c>
      <x:c r="Q2086" s="17" t="str">
        <x:v>2313893</x:v>
      </x:c>
      <x:c r="R2086" s="17" t="str">
        <x:v>tt5915436</x:v>
      </x:c>
      <x:c r="S2086" s="17" t="str"/>
    </x:row>
    <x:row r="2087">
      <x:c r="A2087" s="43" t="n">
        <x:v>2083</x:v>
      </x:c>
      <x:c r="B2087" s="44" t="str">
        <x:v>Not Started</x:v>
      </x:c>
      <x:c r="C2087" s="45" t="n">
        <x:v>42774</x:v>
      </x:c>
      <x:c r="D2087" s="33" t="str">
        <x:v>Chicago Fire</x:v>
      </x:c>
      <x:c r="E2087" s="33" t="str">
        <x:v>One Chicago</x:v>
      </x:c>
      <x:c r="F2087" s="33" t="str">
        <x:v>core</x:v>
      </x:c>
      <x:c r="G2087" s="50" t="n">
        <x:v>5</x:v>
      </x:c>
      <x:c r="H2087" s="50" t="n">
        <x:v>12</x:v>
      </x:c>
      <x:c r="I2087" s="44" t="str">
        <x:v>05.12</x:v>
      </x:c>
      <x:c r="J2087" s="33" t="str">
        <x:v>An Agent of the Machine</x:v>
      </x:c>
      <x:c r="K2087" s="33" t="str"/>
      <x:c r="L2087" s="33" t="str"/>
      <x:c r="M2087" s="44" t="str"/>
      <x:c r="N2087" s="50" t="n">
        <x:v>42</x:v>
      </x:c>
      <x:c r="O2087" s="53" t="str">
        <x:v>The team is on high alert when a previous incident during a fire call leaves a dangerous man on the loose with a vendetta to target Lt. Casey and Firehouse 51, and prompts CPD to step in. Dennis Mack, a buddy firefighter of Severide's father, comes to town to shadow the squad but may have ulterior motives. Meanwhile, Brett and Antonio's relationship hits some bumps in the road when his ex-wife Laura surfaces and Casey has a present for Dawson.</x:v>
      </x:c>
      <x:c r="P2087" s="53" t="str">
        <x:v>Core One Chicago franchise</x:v>
      </x:c>
      <x:c r="Q2087" s="17" t="str">
        <x:v>2428634</x:v>
      </x:c>
      <x:c r="R2087" s="17" t="str">
        <x:v>tt6409824</x:v>
      </x:c>
      <x:c r="S2087" s="17" t="str"/>
    </x:row>
    <x:row r="2088">
      <x:c r="A2088" s="43" t="n">
        <x:v>2084</x:v>
      </x:c>
      <x:c r="B2088" s="44" t="str">
        <x:v>Not Started</x:v>
      </x:c>
      <x:c r="C2088" s="45" t="n">
        <x:v>42774</x:v>
      </x:c>
      <x:c r="D2088" s="33" t="str">
        <x:v>Law &amp; Order: Special Victims Unit</x:v>
      </x:c>
      <x:c r="E2088" s="33" t="str">
        <x:v>Law &amp; Order</x:v>
      </x:c>
      <x:c r="F2088" s="33" t="str">
        <x:v>core</x:v>
      </x:c>
      <x:c r="G2088" s="50" t="n">
        <x:v>18</x:v>
      </x:c>
      <x:c r="H2088" s="50" t="n">
        <x:v>10</x:v>
      </x:c>
      <x:c r="I2088" s="44" t="str">
        <x:v>18.10</x:v>
      </x:c>
      <x:c r="J2088" s="33" t="str">
        <x:v>Motherly Love</x:v>
      </x:c>
      <x:c r="K2088" s="33" t="str"/>
      <x:c r="L2088" s="33" t="str"/>
      <x:c r="M2088" s="44" t="str"/>
      <x:c r="N2088" s="50" t="n">
        <x:v>43</x:v>
      </x:c>
      <x:c r="O2088" s="53" t="str">
        <x:v>A teenaged boy uses a rifle to stop an assault on his mother, but soon learns the target was someone he knows.</x:v>
      </x:c>
      <x:c r="P2088" s="53" t="str">
        <x:v>Core Law &amp; Order franchise</x:v>
      </x:c>
      <x:c r="Q2088" s="17" t="str">
        <x:v>2395210</x:v>
      </x:c>
      <x:c r="R2088" s="17" t="str">
        <x:v>tt6401616</x:v>
      </x:c>
      <x:c r="S2088" s="17" t="str">
        <x:v>1391</x:v>
      </x:c>
    </x:row>
    <x:row r="2089">
      <x:c r="A2089" s="43" t="n">
        <x:v>2085</x:v>
      </x:c>
      <x:c r="B2089" s="44" t="str">
        <x:v>Not Started</x:v>
      </x:c>
      <x:c r="C2089" s="45" t="n">
        <x:v>42775</x:v>
      </x:c>
      <x:c r="D2089" s="33" t="str">
        <x:v>Chicago P.D.</x:v>
      </x:c>
      <x:c r="E2089" s="33" t="str">
        <x:v>One Chicago</x:v>
      </x:c>
      <x:c r="F2089" s="33" t="str">
        <x:v>core</x:v>
      </x:c>
      <x:c r="G2089" s="50" t="n">
        <x:v>4</x:v>
      </x:c>
      <x:c r="H2089" s="50" t="n">
        <x:v>13</x:v>
      </x:c>
      <x:c r="I2089" s="44" t="str">
        <x:v>04.13</x:v>
      </x:c>
      <x:c r="J2089" s="33" t="str">
        <x:v>I Remember Her Now</x:v>
      </x:c>
      <x:c r="K2089" s="33" t="str"/>
      <x:c r="L2089" s="33" t="str"/>
      <x:c r="M2089" s="44" t="str"/>
      <x:c r="N2089" s="50" t="n">
        <x:v>42</x:v>
      </x:c>
      <x:c r="O2089" s="53" t="str">
        <x:v>The body of a 15-year-old girl is found crushed in an abandoned building after she runs away from a treatment center for troubled girls. Voight sends Halstead undercover as a guard to work from the inside at the center, where he believes the girls are trading sexual favors for something in return.</x:v>
      </x:c>
      <x:c r="P2089" s="53" t="str">
        <x:v>Core One Chicago franchise; crossovers with SVU/FBI</x:v>
      </x:c>
      <x:c r="Q2089" s="17" t="str">
        <x:v>2313323</x:v>
      </x:c>
      <x:c r="R2089" s="17" t="str">
        <x:v>tt5902076</x:v>
      </x:c>
      <x:c r="S2089" s="17" t="str"/>
    </x:row>
    <x:row r="2090">
      <x:c r="A2090" s="43" t="n">
        <x:v>2086</x:v>
      </x:c>
      <x:c r="B2090" s="44" t="str">
        <x:v>Not Started</x:v>
      </x:c>
      <x:c r="C2090" s="45" t="n">
        <x:v>42776</x:v>
      </x:c>
      <x:c r="D2090" s="33" t="str">
        <x:v>Chicago Med</x:v>
      </x:c>
      <x:c r="E2090" s="33" t="str">
        <x:v>One Chicago</x:v>
      </x:c>
      <x:c r="F2090" s="33" t="str">
        <x:v>core</x:v>
      </x:c>
      <x:c r="G2090" s="50" t="n">
        <x:v>2</x:v>
      </x:c>
      <x:c r="H2090" s="50" t="n">
        <x:v>13</x:v>
      </x:c>
      <x:c r="I2090" s="44" t="str">
        <x:v>02.13</x:v>
      </x:c>
      <x:c r="J2090" s="33" t="str">
        <x:v>Theseus' Ship</x:v>
      </x:c>
      <x:c r="K2090" s="33" t="str"/>
      <x:c r="L2090" s="33" t="str"/>
      <x:c r="M2090" s="44" t="str"/>
      <x:c r="N2090" s="50" t="n">
        <x:v>43</x:v>
      </x:c>
      <x:c r="O2090" s="53" t="str">
        <x:v>Dr. Rhodes convinces Dr. Latham to join him for a medical trip out of town. Dr. Manning treats an 8 year-old cancer patient who wants to give up on his battle. Elsewhere, an unhealthy woman with heart problems is brought in and doesn't want to listen to doctors. Meanwhile, Dr. Choi, Dr. Charles and Dr. Reese work on a complicated case involving a woman with a personality disorder.</x:v>
      </x:c>
      <x:c r="P2090" s="53" t="str">
        <x:v>Core One Chicago franchise</x:v>
      </x:c>
      <x:c r="Q2090" s="17" t="str">
        <x:v>2313894</x:v>
      </x:c>
      <x:c r="R2090" s="17" t="str">
        <x:v>tt5915438</x:v>
      </x:c>
      <x:c r="S2090" s="17" t="str"/>
    </x:row>
    <x:row r="2091">
      <x:c r="A2091" s="43" t="n">
        <x:v>2087</x:v>
      </x:c>
      <x:c r="B2091" s="44" t="str">
        <x:v>Not Started</x:v>
      </x:c>
      <x:c r="C2091" s="45" t="n">
        <x:v>42781</x:v>
      </x:c>
      <x:c r="D2091" s="33" t="str">
        <x:v>Chicago Fire</x:v>
      </x:c>
      <x:c r="E2091" s="33" t="str">
        <x:v>One Chicago</x:v>
      </x:c>
      <x:c r="F2091" s="33" t="str">
        <x:v>core</x:v>
      </x:c>
      <x:c r="G2091" s="50" t="n">
        <x:v>5</x:v>
      </x:c>
      <x:c r="H2091" s="50" t="n">
        <x:v>13</x:v>
      </x:c>
      <x:c r="I2091" s="44" t="str">
        <x:v>05.13</x:v>
      </x:c>
      <x:c r="J2091" s="33" t="str">
        <x:v>Trading in Scuttlebutt</x:v>
      </x:c>
      <x:c r="K2091" s="33" t="str"/>
      <x:c r="L2091" s="33" t="str"/>
      <x:c r="M2091" s="44" t="str"/>
      <x:c r="N2091" s="50" t="n">
        <x:v>42</x:v>
      </x:c>
      <x:c r="O2091" s="53" t="str">
        <x:v>When truck and squad are summoned to the scene of a dangerous accident, Chief Boden makes a split-second decision that overrides Chief Anderson, the incident commander whose house was the first to respond to the call. Feeling his authority was undercut and his reputation damaged, Anderson uses his power to make things miserable for Boden and all of House 51 feels the repercussions.</x:v>
      </x:c>
      <x:c r="P2091" s="53" t="str">
        <x:v>Core One Chicago franchise</x:v>
      </x:c>
      <x:c r="Q2091" s="17" t="str">
        <x:v>2479049</x:v>
      </x:c>
      <x:c r="R2091" s="17" t="str">
        <x:v>tt6464100</x:v>
      </x:c>
      <x:c r="S2091" s="17" t="str"/>
    </x:row>
    <x:row r="2092">
      <x:c r="A2092" s="43" t="n">
        <x:v>2088</x:v>
      </x:c>
      <x:c r="B2092" s="44" t="str">
        <x:v>Not Started</x:v>
      </x:c>
      <x:c r="C2092" s="45" t="n">
        <x:v>42781</x:v>
      </x:c>
      <x:c r="D2092" s="33" t="str">
        <x:v>Law &amp; Order: Special Victims Unit</x:v>
      </x:c>
      <x:c r="E2092" s="33" t="str">
        <x:v>Law &amp; Order</x:v>
      </x:c>
      <x:c r="F2092" s="33" t="str">
        <x:v>core</x:v>
      </x:c>
      <x:c r="G2092" s="50" t="n">
        <x:v>18</x:v>
      </x:c>
      <x:c r="H2092" s="50" t="n">
        <x:v>11</x:v>
      </x:c>
      <x:c r="I2092" s="44" t="str">
        <x:v>18.11</x:v>
      </x:c>
      <x:c r="J2092" s="33" t="str">
        <x:v>Great Expectations</x:v>
      </x:c>
      <x:c r="K2092" s="33" t="str"/>
      <x:c r="L2092" s="33" t="str"/>
      <x:c r="M2092" s="44" t="str"/>
      <x:c r="N2092" s="50" t="n">
        <x:v>43</x:v>
      </x:c>
      <x:c r="O2092" s="53" t="str">
        <x:v>The SVU investigates the players of a top youth hockey team after a vicious locker room hazing.</x:v>
      </x:c>
      <x:c r="P2092" s="53" t="str">
        <x:v>Core Law &amp; Order franchise</x:v>
      </x:c>
      <x:c r="Q2092" s="17" t="str">
        <x:v>2395922</x:v>
      </x:c>
      <x:c r="R2092" s="17" t="str">
        <x:v>tt5902012</x:v>
      </x:c>
      <x:c r="S2092" s="17" t="str">
        <x:v>1392</x:v>
      </x:c>
    </x:row>
    <x:row r="2093">
      <x:c r="A2093" s="43" t="n">
        <x:v>2089</x:v>
      </x:c>
      <x:c r="B2093" s="44" t="str">
        <x:v>Not Started</x:v>
      </x:c>
      <x:c r="C2093" s="45" t="n">
        <x:v>42782</x:v>
      </x:c>
      <x:c r="D2093" s="33" t="str">
        <x:v>Chicago P.D.</x:v>
      </x:c>
      <x:c r="E2093" s="33" t="str">
        <x:v>One Chicago</x:v>
      </x:c>
      <x:c r="F2093" s="33" t="str">
        <x:v>core</x:v>
      </x:c>
      <x:c r="G2093" s="50" t="n">
        <x:v>4</x:v>
      </x:c>
      <x:c r="H2093" s="50" t="n">
        <x:v>14</x:v>
      </x:c>
      <x:c r="I2093" s="44" t="str">
        <x:v>04.14</x:v>
      </x:c>
      <x:c r="J2093" s="33" t="str">
        <x:v>Seven Indictments</x:v>
      </x:c>
      <x:c r="K2093" s="33" t="str"/>
      <x:c r="L2093" s="33" t="str"/>
      <x:c r="M2093" s="44" t="str"/>
      <x:c r="N2093" s="50" t="n">
        <x:v>42</x:v>
      </x:c>
      <x:c r="O2093" s="53" t="str">
        <x:v>When a charred body is found in a torched house, Intelligence must work to identify the victim, as well as a young boy who is found badly injured inside. As they look to determine the cause and who may have been involved, they are faced with a web of secrets and lies. Meanwhile, Lindsay and Halstead receive an odd warning about Rixton that leaves them suspicious.</x:v>
      </x:c>
      <x:c r="P2093" s="53" t="str">
        <x:v>Core One Chicago franchise; crossovers with SVU/FBI</x:v>
      </x:c>
      <x:c r="Q2093" s="17" t="str">
        <x:v>2313324</x:v>
      </x:c>
      <x:c r="R2093" s="17" t="str">
        <x:v>tt6464116</x:v>
      </x:c>
      <x:c r="S2093" s="17" t="str"/>
    </x:row>
    <x:row r="2094">
      <x:c r="A2094" s="43" t="n">
        <x:v>2090</x:v>
      </x:c>
      <x:c r="B2094" s="44" t="str">
        <x:v>Not Started</x:v>
      </x:c>
      <x:c r="C2094" s="45" t="n">
        <x:v>42783</x:v>
      </x:c>
      <x:c r="D2094" s="33" t="str">
        <x:v>Chicago Med</x:v>
      </x:c>
      <x:c r="E2094" s="33" t="str">
        <x:v>One Chicago</x:v>
      </x:c>
      <x:c r="F2094" s="33" t="str">
        <x:v>core</x:v>
      </x:c>
      <x:c r="G2094" s="50" t="n">
        <x:v>2</x:v>
      </x:c>
      <x:c r="H2094" s="50" t="n">
        <x:v>14</x:v>
      </x:c>
      <x:c r="I2094" s="44" t="str">
        <x:v>02.14</x:v>
      </x:c>
      <x:c r="J2094" s="33" t="str">
        <x:v>Cold Front</x:v>
      </x:c>
      <x:c r="K2094" s="33" t="str"/>
      <x:c r="L2094" s="33" t="str"/>
      <x:c r="M2094" s="44" t="str"/>
      <x:c r="N2094" s="50" t="n">
        <x:v>43</x:v>
      </x:c>
      <x:c r="O2094" s="53" t="str">
        <x:v>Chicago Med braces for an influx of trauma patients when a pre-dawn pileup finds the hospital in full scramble mode. As a result of the storm and emergencies, supplies become limited and Goodwin, Dr. Manning and Dr. Halstead must deal with making an impossible decision. Meanwhile, Dr. Choi handles a severely burned patient who has one final request and Dr. Charles deals with an agitated patient.</x:v>
      </x:c>
      <x:c r="P2094" s="53" t="str">
        <x:v>Core One Chicago franchise</x:v>
      </x:c>
      <x:c r="Q2094" s="17" t="str">
        <x:v>2313895</x:v>
      </x:c>
      <x:c r="R2094" s="17" t="str">
        <x:v>tt5915440</x:v>
      </x:c>
      <x:c r="S2094" s="17" t="str"/>
    </x:row>
    <x:row r="2095">
      <x:c r="A2095" s="43" t="n">
        <x:v>2091</x:v>
      </x:c>
      <x:c r="B2095" s="44" t="str">
        <x:v>Not Started</x:v>
      </x:c>
      <x:c r="C2095" s="45" t="n">
        <x:v>42788</x:v>
      </x:c>
      <x:c r="D2095" s="33" t="str">
        <x:v>Chicago Fire</x:v>
      </x:c>
      <x:c r="E2095" s="33" t="str">
        <x:v>One Chicago</x:v>
      </x:c>
      <x:c r="F2095" s="33" t="str">
        <x:v>core</x:v>
      </x:c>
      <x:c r="G2095" s="50" t="n">
        <x:v>5</x:v>
      </x:c>
      <x:c r="H2095" s="50" t="n">
        <x:v>14</x:v>
      </x:c>
      <x:c r="I2095" s="44" t="str">
        <x:v>05.14</x:v>
      </x:c>
      <x:c r="J2095" s="33" t="str">
        <x:v>Purgatory</x:v>
      </x:c>
      <x:c r="K2095" s="33" t="str"/>
      <x:c r="L2095" s="33" t="str"/>
      <x:c r="M2095" s="44" t="str"/>
      <x:c r="N2095" s="50" t="n">
        <x:v>42</x:v>
      </x:c>
      <x:c r="O2095" s="53" t="str">
        <x:v>After exercising his disdain and authority over Chief Boden, Chief Anderson reassigns members of 51 to various houses around town, citing the need for improvement.  The ramifications are felt by the crew, who are left to make the best of their respective situations in their new surroundings.</x:v>
      </x:c>
      <x:c r="P2095" s="53" t="str">
        <x:v>Core One Chicago franchise</x:v>
      </x:c>
      <x:c r="Q2095" s="17" t="str">
        <x:v>2485214</x:v>
      </x:c>
      <x:c r="R2095" s="17" t="str">
        <x:v>tt6485142</x:v>
      </x:c>
      <x:c r="S2095" s="17" t="str"/>
    </x:row>
    <x:row r="2096">
      <x:c r="A2096" s="43" t="n">
        <x:v>2092</x:v>
      </x:c>
      <x:c r="B2096" s="44" t="str">
        <x:v>Not Started</x:v>
      </x:c>
      <x:c r="C2096" s="45" t="n">
        <x:v>42788</x:v>
      </x:c>
      <x:c r="D2096" s="33" t="str">
        <x:v>Law &amp; Order: Special Victims Unit</x:v>
      </x:c>
      <x:c r="E2096" s="33" t="str">
        <x:v>Law &amp; Order</x:v>
      </x:c>
      <x:c r="F2096" s="33" t="str">
        <x:v>core</x:v>
      </x:c>
      <x:c r="G2096" s="50" t="n">
        <x:v>18</x:v>
      </x:c>
      <x:c r="H2096" s="50" t="n">
        <x:v>12</x:v>
      </x:c>
      <x:c r="I2096" s="44" t="str">
        <x:v>18.12</x:v>
      </x:c>
      <x:c r="J2096" s="33" t="str">
        <x:v>No Surrender</x:v>
      </x:c>
      <x:c r="K2096" s="33" t="str"/>
      <x:c r="L2096" s="33" t="str"/>
      <x:c r="M2096" s="44" t="str"/>
      <x:c r="N2096" s="50" t="n">
        <x:v>43</x:v>
      </x:c>
      <x:c r="O2096" s="53" t="str">
        <x:v>Fin revisits his military roots when a fellow Army Ranger struggles to recover from a sexual assault.</x:v>
      </x:c>
      <x:c r="P2096" s="53" t="str">
        <x:v>Core Law &amp; Order franchise</x:v>
      </x:c>
      <x:c r="Q2096" s="17" t="str">
        <x:v>2395924</x:v>
      </x:c>
      <x:c r="R2096" s="17" t="str">
        <x:v>tt5902022</x:v>
      </x:c>
      <x:c r="S2096" s="17" t="str">
        <x:v>1393</x:v>
      </x:c>
    </x:row>
    <x:row r="2097">
      <x:c r="A2097" s="43" t="n">
        <x:v>2093</x:v>
      </x:c>
      <x:c r="B2097" s="44" t="str">
        <x:v>Not Started</x:v>
      </x:c>
      <x:c r="C2097" s="45" t="n">
        <x:v>42789</x:v>
      </x:c>
      <x:c r="D2097" s="33" t="str">
        <x:v>Chicago P.D.</x:v>
      </x:c>
      <x:c r="E2097" s="33" t="str">
        <x:v>One Chicago</x:v>
      </x:c>
      <x:c r="F2097" s="33" t="str">
        <x:v>core</x:v>
      </x:c>
      <x:c r="G2097" s="50" t="n">
        <x:v>4</x:v>
      </x:c>
      <x:c r="H2097" s="50" t="n">
        <x:v>15</x:v>
      </x:c>
      <x:c r="I2097" s="44" t="str">
        <x:v>04.15</x:v>
      </x:c>
      <x:c r="J2097" s="33" t="str">
        <x:v>Favor, Affection, Malice or Ill-Will</x:v>
      </x:c>
      <x:c r="K2097" s="33" t="str"/>
      <x:c r="L2097" s="33" t="str"/>
      <x:c r="M2097" s="44" t="str"/>
      <x:c r="N2097" s="50" t="n">
        <x:v>43</x:v>
      </x:c>
      <x:c r="O2097" s="53" t="str">
        <x:v>When Lindsay is tipped off about a grieving father looking to avenge his daughter's death, Olinsky goes undercover as a hitman-for-hire. With Gang Intelligence lacking enough evidence to arrest the original gangbanger in question, the team works to reinvestigate the case. Meanwhile, Ruzek comes back after finishing his undercover assignment only to have Voight knock him down to patrol duty.</x:v>
      </x:c>
      <x:c r="P2097" s="53" t="str">
        <x:v>Core One Chicago franchise; crossovers with SVU/FBI</x:v>
      </x:c>
      <x:c r="Q2097" s="17" t="str">
        <x:v>2313325</x:v>
      </x:c>
      <x:c r="R2097" s="17" t="str">
        <x:v>tt6479786</x:v>
      </x:c>
      <x:c r="S2097" s="17" t="str"/>
    </x:row>
    <x:row r="2098">
      <x:c r="A2098" s="43" t="n">
        <x:v>2094</x:v>
      </x:c>
      <x:c r="B2098" s="44" t="str">
        <x:v>Not Started</x:v>
      </x:c>
      <x:c r="C2098" s="45" t="n">
        <x:v>42796</x:v>
      </x:c>
      <x:c r="D2098" s="33" t="str">
        <x:v>Chicago Justice</x:v>
      </x:c>
      <x:c r="E2098" s="33" t="str">
        <x:v>One Chicago</x:v>
      </x:c>
      <x:c r="F2098" s="33" t="str">
        <x:v>core</x:v>
      </x:c>
      <x:c r="G2098" s="50" t="n">
        <x:v>1</x:v>
      </x:c>
      <x:c r="H2098" s="50" t="n">
        <x:v>1</x:v>
      </x:c>
      <x:c r="I2098" s="44" t="str">
        <x:v>01.01</x:v>
      </x:c>
      <x:c r="J2098" s="33" t="str">
        <x:v>Fake (III)</x:v>
      </x:c>
      <x:c r="K2098" s="33" t="str">
        <x:v>Crossover</x:v>
      </x:c>
      <x:c r="L2098" s="33" t="str">
        <x:v>Deathtrap</x:v>
      </x:c>
      <x:c r="M2098" s="44" t="str">
        <x:v>3/3</x:v>
      </x:c>
      <x:c r="N2098" s="50" t="n">
        <x:v>43</x:v>
      </x:c>
      <x:c r="O2098" s="53" t="str">
        <x:v>Firehouse 51 responded to a horrific warehouse fire that killed 39 people. This led the Chicago P.D. on a manhunt for the suspect. Now with someone in custody for both arson and multiple murders, it is up to Peter Stone and his team, including lead investigator Antonio Dawson to step in to bring some peace and resolution to so many families and friends of those lost - including one very close to home.
The crossover starts on Chicago Fire S05E15 Deathtrap (I) and Chicago P.D. S04E016 Emotional Proximity (II).</x:v>
      </x:c>
      <x:c r="P2098" s="53" t="str">
        <x:v>Core One Chicago legal spinoff</x:v>
      </x:c>
      <x:c r="Q2098" s="17" t="str">
        <x:v>2245450</x:v>
      </x:c>
      <x:c r="R2098" s="17" t="str">
        <x:v>tt6493756</x:v>
      </x:c>
      <x:c r="S2098" s="17" t="str">
        <x:v>https://one-chicago-fbi.fandom.com/wiki/Crossovers_and_Milestones</x:v>
      </x:c>
    </x:row>
    <x:row r="2099">
      <x:c r="A2099" s="43" t="n">
        <x:v>2095</x:v>
      </x:c>
      <x:c r="B2099" s="44" t="str">
        <x:v>Not Started</x:v>
      </x:c>
      <x:c r="C2099" s="45" t="n">
        <x:v>42796</x:v>
      </x:c>
      <x:c r="D2099" s="33" t="str">
        <x:v>Chicago P.D.</x:v>
      </x:c>
      <x:c r="E2099" s="33" t="str">
        <x:v>One Chicago</x:v>
      </x:c>
      <x:c r="F2099" s="33" t="str">
        <x:v>core</x:v>
      </x:c>
      <x:c r="G2099" s="50" t="n">
        <x:v>4</x:v>
      </x:c>
      <x:c r="H2099" s="50" t="n">
        <x:v>16</x:v>
      </x:c>
      <x:c r="I2099" s="44" t="str">
        <x:v>04.16</x:v>
      </x:c>
      <x:c r="J2099" s="33" t="str">
        <x:v>Emotional Proximity (II)</x:v>
      </x:c>
      <x:c r="K2099" s="33" t="str">
        <x:v>Crossover</x:v>
      </x:c>
      <x:c r="L2099" s="33" t="str">
        <x:v>Deathtrap</x:v>
      </x:c>
      <x:c r="M2099" s="44" t="str">
        <x:v>2/3</x:v>
      </x:c>
      <x:c r="N2099" s="50" t="n">
        <x:v>43</x:v>
      </x:c>
      <x:c r="O2099" s="53" t="str">
        <x:v>Olinsky's daughter remains in critical condition following a massive fire - leaving Intelligence on edge, but more determined than ever to track down the suspect. Voight opens up the case, knowing that he has Stone and his team's full support in the investigation, and all of Firehouse 51 behind him to examine potential origins of the fire.
The crossover starts on Chicago Fire S05E15 Deathtrap (I). It continues on Chicago Justice S01E01 Fake (III).</x:v>
      </x:c>
      <x:c r="P2099" s="53" t="str">
        <x:v>Core One Chicago franchise; crossovers with SVU/FBI</x:v>
      </x:c>
      <x:c r="Q2099" s="17" t="str">
        <x:v>2313326</x:v>
      </x:c>
      <x:c r="R2099" s="17" t="str">
        <x:v>tt6513602</x:v>
      </x:c>
      <x:c r="S2099" s="17" t="str">
        <x:v>https://one-chicago-fbi.fandom.com/wiki/Crossovers_and_Milestones</x:v>
      </x:c>
    </x:row>
    <x:row r="2100">
      <x:c r="A2100" s="43" t="n">
        <x:v>2096</x:v>
      </x:c>
      <x:c r="B2100" s="44" t="str">
        <x:v>Not Started</x:v>
      </x:c>
      <x:c r="C2100" s="45" t="n">
        <x:v>42796</x:v>
      </x:c>
      <x:c r="D2100" s="33" t="str">
        <x:v>Chicago Fire</x:v>
      </x:c>
      <x:c r="E2100" s="33" t="str">
        <x:v>One Chicago</x:v>
      </x:c>
      <x:c r="F2100" s="33" t="str">
        <x:v>core</x:v>
      </x:c>
      <x:c r="G2100" s="50" t="n">
        <x:v>5</x:v>
      </x:c>
      <x:c r="H2100" s="50" t="n">
        <x:v>15</x:v>
      </x:c>
      <x:c r="I2100" s="44" t="str">
        <x:v>05.15</x:v>
      </x:c>
      <x:c r="J2100" s="33" t="str">
        <x:v>Deathtrap (I)</x:v>
      </x:c>
      <x:c r="K2100" s="33" t="str">
        <x:v>Crossover</x:v>
      </x:c>
      <x:c r="L2100" s="33" t="str">
        <x:v>Deathtrap</x:v>
      </x:c>
      <x:c r="M2100" s="44" t="str">
        <x:v>1/3</x:v>
      </x:c>
      <x:c r="N2100" s="50" t="n">
        <x:v>43</x:v>
      </x:c>
      <x:c r="O2100" s="53" t="str">
        <x:v>Truck and squad are called to aid in a massive all-city response when an old, ill-equipped factory-turned live/work space quickly turns into a firestorm, trapping countless unsuspecting victims.  The dire situation quickly turns personal when it is discovered that one of Chicago PD's own has a family member at the scene.
The crossover continues on Chicago P.D. S04E016 Emotional Proximity (II) and Chicago Justice S01E01 Fake (III).</x:v>
      </x:c>
      <x:c r="P2100" s="53" t="str">
        <x:v>Core One Chicago franchise</x:v>
      </x:c>
      <x:c r="Q2100" s="17" t="str">
        <x:v>2490557</x:v>
      </x:c>
      <x:c r="R2100" s="17" t="str">
        <x:v>tt6513582</x:v>
      </x:c>
      <x:c r="S2100" s="17" t="str">
        <x:v>https://one-chicago-fbi.fandom.com/wiki/Crossovers_and_Milestones</x:v>
      </x:c>
    </x:row>
    <x:row r="2101">
      <x:c r="A2101" s="43" t="n">
        <x:v>2097</x:v>
      </x:c>
      <x:c r="B2101" s="44" t="str">
        <x:v>Not Started</x:v>
      </x:c>
      <x:c r="C2101" s="45" t="n">
        <x:v>42797</x:v>
      </x:c>
      <x:c r="D2101" s="33" t="str">
        <x:v>Chicago Med</x:v>
      </x:c>
      <x:c r="E2101" s="33" t="str">
        <x:v>One Chicago</x:v>
      </x:c>
      <x:c r="F2101" s="33" t="str">
        <x:v>core</x:v>
      </x:c>
      <x:c r="G2101" s="50" t="n">
        <x:v>2</x:v>
      </x:c>
      <x:c r="H2101" s="50" t="n">
        <x:v>15</x:v>
      </x:c>
      <x:c r="I2101" s="44" t="str">
        <x:v>02.15</x:v>
      </x:c>
      <x:c r="J2101" s="33" t="str">
        <x:v>Lose Yourself</x:v>
      </x:c>
      <x:c r="K2101" s="33" t="str"/>
      <x:c r="L2101" s="33" t="str"/>
      <x:c r="M2101" s="44" t="str"/>
      <x:c r="N2101" s="50" t="n">
        <x:v>43</x:v>
      </x:c>
      <x:c r="O2101" s="53" t="str">
        <x:v>It's a miracle when a trauma patient survives the trip to the hospital, putting the pressure on Dr. Rhodes to keep the man alive. Dr. Choi and Dr. Manning have difficulty diagnosing the location of infection in a paralyzed patient. Dr. Reese must find purpose for a grieving widower who relies on a superhero costume. Meanwhile, April pushes Dr. Halstead to use unproved medications to help a patient with no other options.</x:v>
      </x:c>
      <x:c r="P2101" s="53" t="str">
        <x:v>Core One Chicago franchise</x:v>
      </x:c>
      <x:c r="Q2101" s="17" t="str">
        <x:v>2313896</x:v>
      </x:c>
      <x:c r="R2101" s="17" t="str">
        <x:v>tt5915442</x:v>
      </x:c>
      <x:c r="S2101" s="17" t="str"/>
    </x:row>
    <x:row r="2102">
      <x:c r="A2102" s="43" t="n">
        <x:v>2098</x:v>
      </x:c>
      <x:c r="B2102" s="44" t="str">
        <x:v>Not Started</x:v>
      </x:c>
      <x:c r="C2102" s="45" t="n">
        <x:v>42800</x:v>
      </x:c>
      <x:c r="D2102" s="33" t="str">
        <x:v>Chicago Justice</x:v>
      </x:c>
      <x:c r="E2102" s="33" t="str">
        <x:v>One Chicago</x:v>
      </x:c>
      <x:c r="F2102" s="33" t="str">
        <x:v>core</x:v>
      </x:c>
      <x:c r="G2102" s="50" t="n">
        <x:v>1</x:v>
      </x:c>
      <x:c r="H2102" s="50" t="n">
        <x:v>2</x:v>
      </x:c>
      <x:c r="I2102" s="44" t="str">
        <x:v>01.02</x:v>
      </x:c>
      <x:c r="J2102" s="33" t="str">
        <x:v>Uncertainty Principle</x:v>
      </x:c>
      <x:c r="K2102" s="33" t="str">
        <x:v>Character bridge</x:v>
      </x:c>
      <x:c r="L2102" s="33" t="str">
        <x:v>SVU legal bridge</x:v>
      </x:c>
      <x:c r="M2102" s="44" t="str"/>
      <x:c r="N2102" s="50" t="n">
        <x:v>43</x:v>
      </x:c>
      <x:c r="O2102" s="53" t="str">
        <x:v>Stone and the State's Attorney team investigates the chain of events following the arrest and death of a young man, ultimately seeking charges against Police, Fire Department and Medical personnel, only to have a recalcitrant Grand Jury indict a single individual: Officer Kevin Atwater. Paul Robinette defends Atwater.</x:v>
      </x:c>
      <x:c r="P2102" s="53" t="str">
        <x:v>Core One Chicago legal spinoff</x:v>
      </x:c>
      <x:c r="Q2102" s="17" t="str">
        <x:v>2353429</x:v>
      </x:c>
      <x:c r="R2102" s="17" t="str">
        <x:v>tt6242296</x:v>
      </x:c>
      <x:c r="S2102" s="17" t="str">
        <x:v>https://one-chicago-fbi.fandom.com/wiki/Crossovers_and_Milestones</x:v>
      </x:c>
    </x:row>
    <x:row r="2103">
      <x:c r="A2103" s="43" t="n">
        <x:v>2099</x:v>
      </x:c>
      <x:c r="B2103" s="44" t="str">
        <x:v>Not Started</x:v>
      </x:c>
      <x:c r="C2103" s="45" t="n">
        <x:v>42802</x:v>
      </x:c>
      <x:c r="D2103" s="33" t="str">
        <x:v>Chicago Justice</x:v>
      </x:c>
      <x:c r="E2103" s="33" t="str">
        <x:v>One Chicago</x:v>
      </x:c>
      <x:c r="F2103" s="33" t="str">
        <x:v>core</x:v>
      </x:c>
      <x:c r="G2103" s="50" t="n">
        <x:v>1</x:v>
      </x:c>
      <x:c r="H2103" s="50" t="n">
        <x:v>3</x:v>
      </x:c>
      <x:c r="I2103" s="44" t="str">
        <x:v>01.03</x:v>
      </x:c>
      <x:c r="J2103" s="33" t="str">
        <x:v>See Something</x:v>
      </x:c>
      <x:c r="K2103" s="33" t="str"/>
      <x:c r="L2103" s="33" t="str"/>
      <x:c r="M2103" s="44" t="str"/>
      <x:c r="N2103" s="50" t="n">
        <x:v>43</x:v>
      </x:c>
      <x:c r="O2103" s="53" t="str">
        <x:v>When a Muslim grad student is brutally murdered, Stone and the team arrest his friend, another Muslim student, who claims he committed murder to prevent a terrorist attack. The jury must decide whether he's a killer or a hero.</x:v>
      </x:c>
      <x:c r="P2103" s="53" t="str">
        <x:v>Core One Chicago legal spinoff</x:v>
      </x:c>
      <x:c r="Q2103" s="17" t="str">
        <x:v>2428697</x:v>
      </x:c>
      <x:c r="R2103" s="17" t="str">
        <x:v>tt5734524</x:v>
      </x:c>
      <x:c r="S2103" s="17" t="str"/>
    </x:row>
    <x:row r="2104">
      <x:c r="A2104" s="43" t="n">
        <x:v>2100</x:v>
      </x:c>
      <x:c r="B2104" s="44" t="str">
        <x:v>Not Started</x:v>
      </x:c>
      <x:c r="C2104" s="45" t="n">
        <x:v>42804</x:v>
      </x:c>
      <x:c r="D2104" s="33" t="str">
        <x:v>Chicago Med</x:v>
      </x:c>
      <x:c r="E2104" s="33" t="str">
        <x:v>One Chicago</x:v>
      </x:c>
      <x:c r="F2104" s="33" t="str">
        <x:v>core</x:v>
      </x:c>
      <x:c r="G2104" s="50" t="n">
        <x:v>2</x:v>
      </x:c>
      <x:c r="H2104" s="50" t="n">
        <x:v>16</x:v>
      </x:c>
      <x:c r="I2104" s="44" t="str">
        <x:v>02.16</x:v>
      </x:c>
      <x:c r="J2104" s="33" t="str">
        <x:v>Prisoner's Dilemma</x:v>
      </x:c>
      <x:c r="K2104" s="33" t="str"/>
      <x:c r="L2104" s="33" t="str"/>
      <x:c r="M2104" s="44" t="str"/>
      <x:c r="N2104" s="50" t="n">
        <x:v>43</x:v>
      </x:c>
      <x:c r="O2104" s="53" t="str">
        <x:v>Dr. Reese is contacted for help by a troubled teen in a psychiatric facility and Dr. Manning tries to help parents make a decision about their comatose daughter's surprise pregnancy. April begins to deal with repercussions from her personal life. Meanwhile, Dr. Choi and Dr. Rhodes work to save both a young girl from Ecuador who collapsed mid-flight, as well as her mother, who made great sacrifices for her daughter.</x:v>
      </x:c>
      <x:c r="P2104" s="53" t="str">
        <x:v>Core One Chicago franchise</x:v>
      </x:c>
      <x:c r="Q2104" s="17" t="str">
        <x:v>2313897</x:v>
      </x:c>
      <x:c r="R2104" s="17" t="str">
        <x:v>tt5915446</x:v>
      </x:c>
      <x:c r="S2104" s="17" t="str"/>
    </x:row>
    <x:row r="2105">
      <x:c r="A2105" s="43" t="n">
        <x:v>2101</x:v>
      </x:c>
      <x:c r="B2105" s="44" t="str">
        <x:v>Not Started</x:v>
      </x:c>
      <x:c r="C2105" s="45" t="n">
        <x:v>42807</x:v>
      </x:c>
      <x:c r="D2105" s="33" t="str">
        <x:v>Chicago Justice</x:v>
      </x:c>
      <x:c r="E2105" s="33" t="str">
        <x:v>One Chicago</x:v>
      </x:c>
      <x:c r="F2105" s="33" t="str">
        <x:v>core</x:v>
      </x:c>
      <x:c r="G2105" s="50" t="n">
        <x:v>1</x:v>
      </x:c>
      <x:c r="H2105" s="50" t="n">
        <x:v>4</x:v>
      </x:c>
      <x:c r="I2105" s="44" t="str">
        <x:v>01.04</x:v>
      </x:c>
      <x:c r="J2105" s="33" t="str">
        <x:v>Judge Not</x:v>
      </x:c>
      <x:c r="K2105" s="33" t="str"/>
      <x:c r="L2105" s="33" t="str"/>
      <x:c r="M2105" s="44" t="str"/>
      <x:c r="N2105" s="50" t="n">
        <x:v>43</x:v>
      </x:c>
      <x:c r="O2105" s="53" t="str">
        <x:v>When a prominent judge is shot and killed while leaving a bar with Valdez, her integrity is called into question and Stone prohibits her from working the case. The team learns the judge's death is connected to a trial where he handed down a lenient sentence to a college rapist.</x:v>
      </x:c>
      <x:c r="P2105" s="53" t="str">
        <x:v>Core One Chicago legal spinoff</x:v>
      </x:c>
      <x:c r="Q2105" s="17" t="str">
        <x:v>2452088</x:v>
      </x:c>
      <x:c r="R2105" s="17" t="str">
        <x:v>tt6366934</x:v>
      </x:c>
      <x:c r="S2105" s="17" t="str"/>
    </x:row>
    <x:row r="2106">
      <x:c r="A2106" s="43" t="n">
        <x:v>2102</x:v>
      </x:c>
      <x:c r="B2106" s="44" t="str">
        <x:v>Not Started</x:v>
      </x:c>
      <x:c r="C2106" s="45" t="n">
        <x:v>42811</x:v>
      </x:c>
      <x:c r="D2106" s="33" t="str">
        <x:v>Chicago Med</x:v>
      </x:c>
      <x:c r="E2106" s="33" t="str">
        <x:v>One Chicago</x:v>
      </x:c>
      <x:c r="F2106" s="33" t="str">
        <x:v>core</x:v>
      </x:c>
      <x:c r="G2106" s="50" t="n">
        <x:v>2</x:v>
      </x:c>
      <x:c r="H2106" s="50" t="n">
        <x:v>17</x:v>
      </x:c>
      <x:c r="I2106" s="44" t="str">
        <x:v>02.17</x:v>
      </x:c>
      <x:c r="J2106" s="33" t="str">
        <x:v>Monday Mourning</x:v>
      </x:c>
      <x:c r="K2106" s="33" t="str"/>
      <x:c r="L2106" s="33" t="str"/>
      <x:c r="M2106" s="44" t="str"/>
      <x:c r="N2106" s="50" t="n">
        <x:v>43</x:v>
      </x:c>
      <x:c r="O2106" s="53" t="str">
        <x:v>A suicide shakes the staff. Dr. Choi and Dr. Halstead face off over how to treat a patient with stroke symptoms. Family turmoil unfolds when a boy is treated after falling in a river. The importance of learning from mistakes is emphasized to Dr. Reese.</x:v>
      </x:c>
      <x:c r="P2106" s="53" t="str">
        <x:v>Core One Chicago franchise</x:v>
      </x:c>
      <x:c r="Q2106" s="17" t="str">
        <x:v>2313899</x:v>
      </x:c>
      <x:c r="R2106" s="17" t="str">
        <x:v>tt5915448</x:v>
      </x:c>
      <x:c r="S2106" s="17" t="str"/>
    </x:row>
    <x:row r="2107">
      <x:c r="A2107" s="43" t="n">
        <x:v>2103</x:v>
      </x:c>
      <x:c r="B2107" s="44" t="str">
        <x:v>Not Started</x:v>
      </x:c>
      <x:c r="C2107" s="45" t="n">
        <x:v>42814</x:v>
      </x:c>
      <x:c r="D2107" s="33" t="str">
        <x:v>Chicago Justice</x:v>
      </x:c>
      <x:c r="E2107" s="33" t="str">
        <x:v>One Chicago</x:v>
      </x:c>
      <x:c r="F2107" s="33" t="str">
        <x:v>core</x:v>
      </x:c>
      <x:c r="G2107" s="50" t="n">
        <x:v>1</x:v>
      </x:c>
      <x:c r="H2107" s="50" t="n">
        <x:v>5</x:v>
      </x:c>
      <x:c r="I2107" s="44" t="str">
        <x:v>01.05</x:v>
      </x:c>
      <x:c r="J2107" s="33" t="str">
        <x:v>Friendly Fire</x:v>
      </x:c>
      <x:c r="K2107" s="33" t="str"/>
      <x:c r="L2107" s="33" t="str"/>
      <x:c r="M2107" s="44" t="str"/>
      <x:c r="N2107" s="50" t="n">
        <x:v>43</x:v>
      </x:c>
      <x:c r="O2107" s="53" t="str">
        <x:v>When a man is found stabbed to death in his home, Nagel and Antonio discover he was an ex-Navy SEAL who was writing a book that exposed the truth about a top-secret mission. Stone becomes convinced that the SEAL was killed to suppress the real story of what actually happened on the failed mission.</x:v>
      </x:c>
      <x:c r="P2107" s="53" t="str">
        <x:v>Core One Chicago legal spinoff</x:v>
      </x:c>
      <x:c r="Q2107" s="17" t="str">
        <x:v>2452089</x:v>
      </x:c>
      <x:c r="R2107" s="17" t="str">
        <x:v>tt6430126</x:v>
      </x:c>
      <x:c r="S2107" s="17" t="str"/>
    </x:row>
    <x:row r="2108">
      <x:c r="A2108" s="43" t="n">
        <x:v>2104</x:v>
      </x:c>
      <x:c r="B2108" s="44" t="str">
        <x:v>Not Started</x:v>
      </x:c>
      <x:c r="C2108" s="45" t="n">
        <x:v>42816</x:v>
      </x:c>
      <x:c r="D2108" s="33" t="str">
        <x:v>Chicago Fire</x:v>
      </x:c>
      <x:c r="E2108" s="33" t="str">
        <x:v>One Chicago</x:v>
      </x:c>
      <x:c r="F2108" s="33" t="str">
        <x:v>core</x:v>
      </x:c>
      <x:c r="G2108" s="50" t="n">
        <x:v>5</x:v>
      </x:c>
      <x:c r="H2108" s="50" t="n">
        <x:v>16</x:v>
      </x:c>
      <x:c r="I2108" s="44" t="str">
        <x:v>05.16</x:v>
      </x:c>
      <x:c r="J2108" s="33" t="str">
        <x:v>Telling Her Goodbye</x:v>
      </x:c>
      <x:c r="K2108" s="33" t="str"/>
      <x:c r="L2108" s="33" t="str"/>
      <x:c r="M2108" s="44" t="str"/>
      <x:c r="N2108" s="50" t="n">
        <x:v>42</x:v>
      </x:c>
      <x:c r="O2108" s="53" t="str">
        <x:v>When a turf war escalates, members of truck and squad find themselves caught in the middle as unsuspecting hostages when a group of armed gang members take cover and assume control over Firehouse 51.</x:v>
      </x:c>
      <x:c r="P2108" s="53" t="str">
        <x:v>Core One Chicago franchise</x:v>
      </x:c>
      <x:c r="Q2108" s="17" t="str">
        <x:v>2498540</x:v>
      </x:c>
      <x:c r="R2108" s="17" t="str">
        <x:v>tt6583930</x:v>
      </x:c>
      <x:c r="S2108" s="17" t="str"/>
    </x:row>
    <x:row r="2109">
      <x:c r="A2109" s="43" t="n">
        <x:v>2105</x:v>
      </x:c>
      <x:c r="B2109" s="44" t="str">
        <x:v>Not Started</x:v>
      </x:c>
      <x:c r="C2109" s="45" t="n">
        <x:v>42816</x:v>
      </x:c>
      <x:c r="D2109" s="33" t="str">
        <x:v>Law &amp; Order: Special Victims Unit</x:v>
      </x:c>
      <x:c r="E2109" s="33" t="str">
        <x:v>Law &amp; Order</x:v>
      </x:c>
      <x:c r="F2109" s="33" t="str">
        <x:v>core</x:v>
      </x:c>
      <x:c r="G2109" s="50" t="n">
        <x:v>18</x:v>
      </x:c>
      <x:c r="H2109" s="50" t="n">
        <x:v>13</x:v>
      </x:c>
      <x:c r="I2109" s="44" t="str">
        <x:v>18.13</x:v>
      </x:c>
      <x:c r="J2109" s="33" t="str">
        <x:v>Genes</x:v>
      </x:c>
      <x:c r="K2109" s="33" t="str"/>
      <x:c r="L2109" s="33" t="str"/>
      <x:c r="M2109" s="44" t="str"/>
      <x:c r="N2109" s="50" t="n">
        <x:v>43</x:v>
      </x:c>
      <x:c r="O2109" s="53" t="str">
        <x:v>An investigation hits a nerve with Benson when a suspect claims his genetics causes him to commit rape.</x:v>
      </x:c>
      <x:c r="P2109" s="53" t="str">
        <x:v>Core Law &amp; Order franchise</x:v>
      </x:c>
      <x:c r="Q2109" s="17" t="str">
        <x:v>2496326</x:v>
      </x:c>
      <x:c r="R2109" s="17" t="str">
        <x:v>tt5902028</x:v>
      </x:c>
      <x:c r="S2109" s="17" t="str">
        <x:v>1394</x:v>
      </x:c>
    </x:row>
    <x:row r="2110">
      <x:c r="A2110" s="43" t="n">
        <x:v>2106</x:v>
      </x:c>
      <x:c r="B2110" s="44" t="str">
        <x:v>Not Started</x:v>
      </x:c>
      <x:c r="C2110" s="45" t="n">
        <x:v>42817</x:v>
      </x:c>
      <x:c r="D2110" s="33" t="str">
        <x:v>Chicago P.D.</x:v>
      </x:c>
      <x:c r="E2110" s="33" t="str">
        <x:v>One Chicago</x:v>
      </x:c>
      <x:c r="F2110" s="33" t="str">
        <x:v>core</x:v>
      </x:c>
      <x:c r="G2110" s="50" t="n">
        <x:v>4</x:v>
      </x:c>
      <x:c r="H2110" s="50" t="n">
        <x:v>17</x:v>
      </x:c>
      <x:c r="I2110" s="44" t="str">
        <x:v>04.17</x:v>
      </x:c>
      <x:c r="J2110" s="33" t="str">
        <x:v>Remember the Devil</x:v>
      </x:c>
      <x:c r="K2110" s="33" t="str"/>
      <x:c r="L2110" s="33" t="str"/>
      <x:c r="M2110" s="44" t="str"/>
      <x:c r="N2110" s="50" t="n">
        <x:v>43</x:v>
      </x:c>
      <x:c r="O2110" s="53" t="str">
        <x:v>After being tipped off about a woman running barefoot through the woods, Intelligence is led to a kidnapping victim locked up in a shipping container. The bizarre scenario leaves Voight questioning the legitimacy of the case, and sends the team on a twisted trail to get to the bottom of it.</x:v>
      </x:c>
      <x:c r="P2110" s="53" t="str">
        <x:v>Core One Chicago franchise; crossovers with SVU/FBI</x:v>
      </x:c>
      <x:c r="Q2110" s="17" t="str">
        <x:v>2313327</x:v>
      </x:c>
      <x:c r="R2110" s="17" t="str">
        <x:v>tt6520942</x:v>
      </x:c>
      <x:c r="S2110" s="17" t="str"/>
    </x:row>
    <x:row r="2111">
      <x:c r="A2111" s="43" t="n">
        <x:v>2107</x:v>
      </x:c>
      <x:c r="B2111" s="44" t="str">
        <x:v>Not Started</x:v>
      </x:c>
      <x:c r="C2111" s="45" t="n">
        <x:v>42821</x:v>
      </x:c>
      <x:c r="D2111" s="33" t="str">
        <x:v>Chicago Justice</x:v>
      </x:c>
      <x:c r="E2111" s="33" t="str">
        <x:v>One Chicago</x:v>
      </x:c>
      <x:c r="F2111" s="33" t="str">
        <x:v>core</x:v>
      </x:c>
      <x:c r="G2111" s="50" t="n">
        <x:v>1</x:v>
      </x:c>
      <x:c r="H2111" s="50" t="n">
        <x:v>6</x:v>
      </x:c>
      <x:c r="I2111" s="44" t="str">
        <x:v>01.06</x:v>
      </x:c>
      <x:c r="J2111" s="33" t="str">
        <x:v>Dead Meat</x:v>
      </x:c>
      <x:c r="K2111" s="33" t="str"/>
      <x:c r="L2111" s="33" t="str"/>
      <x:c r="M2111" s="44" t="str"/>
      <x:c r="N2111" s="50" t="n">
        <x:v>43</x:v>
      </x:c>
      <x:c r="O2111" s="53" t="str">
        <x:v>30 miles outside of Chicago, the cancer riddled body of Chicago PD Officer Tim Cody is found dead in a bathtub. When Antonio and Nagel arrive on scene they quickly determine his death was murder.</x:v>
      </x:c>
      <x:c r="P2111" s="53" t="str">
        <x:v>Core One Chicago legal spinoff</x:v>
      </x:c>
      <x:c r="Q2111" s="17" t="str">
        <x:v>2452090</x:v>
      </x:c>
      <x:c r="R2111" s="17" t="str">
        <x:v>tt6360284</x:v>
      </x:c>
      <x:c r="S2111" s="17" t="str"/>
    </x:row>
    <x:row r="2112">
      <x:c r="A2112" s="43" t="n">
        <x:v>2108</x:v>
      </x:c>
      <x:c r="B2112" s="44" t="str">
        <x:v>Not Started</x:v>
      </x:c>
      <x:c r="C2112" s="45" t="n">
        <x:v>42823</x:v>
      </x:c>
      <x:c r="D2112" s="33" t="str">
        <x:v>Chicago Fire</x:v>
      </x:c>
      <x:c r="E2112" s="33" t="str">
        <x:v>One Chicago</x:v>
      </x:c>
      <x:c r="F2112" s="33" t="str">
        <x:v>core</x:v>
      </x:c>
      <x:c r="G2112" s="50" t="n">
        <x:v>5</x:v>
      </x:c>
      <x:c r="H2112" s="50" t="n">
        <x:v>17</x:v>
      </x:c>
      <x:c r="I2112" s="44" t="str">
        <x:v>05.17</x:v>
      </x:c>
      <x:c r="J2112" s="33" t="str">
        <x:v>Babies and Fools</x:v>
      </x:c>
      <x:c r="K2112" s="33" t="str"/>
      <x:c r="L2112" s="33" t="str"/>
      <x:c r="M2112" s="44" t="str"/>
      <x:c r="N2112" s="50" t="n">
        <x:v>42</x:v>
      </x:c>
      <x:c r="O2112" s="53" t="str">
        <x:v>When similar car accidents uncover the fact that someone may be targeting innocent people, a determined Dawson takes matters into her own hands to help push things along. Severide does everything he can to make Anna feel welcome in her new Chicago surroundings. Herrmann, Kidd and Dawson decide to have Molly's included as a stop in this year's pub crawl. Meanwhile, Casey tends to his Alderman's duties when a persistent constituent asks for his help in resolving an issue.</x:v>
      </x:c>
      <x:c r="P2112" s="53" t="str">
        <x:v>Core One Chicago franchise</x:v>
      </x:c>
      <x:c r="Q2112" s="17" t="str">
        <x:v>2517046</x:v>
      </x:c>
      <x:c r="R2112" s="17" t="str">
        <x:v>tt6615616</x:v>
      </x:c>
      <x:c r="S2112" s="17" t="str"/>
    </x:row>
    <x:row r="2113">
      <x:c r="A2113" s="43" t="n">
        <x:v>2109</x:v>
      </x:c>
      <x:c r="B2113" s="44" t="str">
        <x:v>Not Started</x:v>
      </x:c>
      <x:c r="C2113" s="45" t="n">
        <x:v>42823</x:v>
      </x:c>
      <x:c r="D2113" s="33" t="str">
        <x:v>Law &amp; Order: Special Victims Unit</x:v>
      </x:c>
      <x:c r="E2113" s="33" t="str">
        <x:v>Law &amp; Order</x:v>
      </x:c>
      <x:c r="F2113" s="33" t="str">
        <x:v>core</x:v>
      </x:c>
      <x:c r="G2113" s="50" t="n">
        <x:v>18</x:v>
      </x:c>
      <x:c r="H2113" s="50" t="n">
        <x:v>14</x:v>
      </x:c>
      <x:c r="I2113" s="44" t="str">
        <x:v>18.14</x:v>
      </x:c>
      <x:c r="J2113" s="33" t="str">
        <x:v>Net Worth</x:v>
      </x:c>
      <x:c r="K2113" s="33" t="str"/>
      <x:c r="L2113" s="33" t="str"/>
      <x:c r="M2113" s="44" t="str"/>
      <x:c r="N2113" s="50" t="n">
        <x:v>43</x:v>
      </x:c>
      <x:c r="O2113" s="53" t="str">
        <x:v>A top-level investment banker accuses her billionaire client of rape.</x:v>
      </x:c>
      <x:c r="P2113" s="53" t="str">
        <x:v>Core Law &amp; Order franchise</x:v>
      </x:c>
      <x:c r="Q2113" s="17" t="str">
        <x:v>2517043</x:v>
      </x:c>
      <x:c r="R2113" s="17" t="str">
        <x:v>tt5902026</x:v>
      </x:c>
      <x:c r="S2113" s="17" t="str">
        <x:v>1395</x:v>
      </x:c>
    </x:row>
    <x:row r="2114">
      <x:c r="A2114" s="43" t="n">
        <x:v>2110</x:v>
      </x:c>
      <x:c r="B2114" s="44" t="str">
        <x:v>Not Started</x:v>
      </x:c>
      <x:c r="C2114" s="45" t="n">
        <x:v>42824</x:v>
      </x:c>
      <x:c r="D2114" s="33" t="str">
        <x:v>Chicago P.D.</x:v>
      </x:c>
      <x:c r="E2114" s="33" t="str">
        <x:v>One Chicago</x:v>
      </x:c>
      <x:c r="F2114" s="33" t="str">
        <x:v>core</x:v>
      </x:c>
      <x:c r="G2114" s="50" t="n">
        <x:v>4</x:v>
      </x:c>
      <x:c r="H2114" s="50" t="n">
        <x:v>18</x:v>
      </x:c>
      <x:c r="I2114" s="44" t="str">
        <x:v>04.18</x:v>
      </x:c>
      <x:c r="J2114" s="33" t="str">
        <x:v>Little Bit of Light</x:v>
      </x:c>
      <x:c r="K2114" s="33" t="str"/>
      <x:c r="L2114" s="33" t="str"/>
      <x:c r="M2114" s="44" t="str"/>
      <x:c r="N2114" s="50" t="n">
        <x:v>43</x:v>
      </x:c>
      <x:c r="O2114" s="53" t="str">
        <x:v>When Chicago's "Night Crawler" Bobby Trent is murdered over a single piece of mysterious footage, Intelligence must investigate one of Chicago's wealthiest families. Meanwhile, Burgess's sister Nicole arrives at the District for a visit, and presents an icy attitude towards Ruzek.</x:v>
      </x:c>
      <x:c r="P2114" s="53" t="str">
        <x:v>Core One Chicago franchise; crossovers with SVU/FBI</x:v>
      </x:c>
      <x:c r="Q2114" s="17" t="str">
        <x:v>2313328</x:v>
      </x:c>
      <x:c r="R2114" s="17" t="str">
        <x:v>tt6513822</x:v>
      </x:c>
      <x:c r="S2114" s="17" t="str"/>
    </x:row>
    <x:row r="2115">
      <x:c r="A2115" s="43" t="n">
        <x:v>2111</x:v>
      </x:c>
      <x:c r="B2115" s="44" t="str">
        <x:v>Not Started</x:v>
      </x:c>
      <x:c r="C2115" s="45" t="n">
        <x:v>42825</x:v>
      </x:c>
      <x:c r="D2115" s="33" t="str">
        <x:v>Chicago Med</x:v>
      </x:c>
      <x:c r="E2115" s="33" t="str">
        <x:v>One Chicago</x:v>
      </x:c>
      <x:c r="F2115" s="33" t="str">
        <x:v>core</x:v>
      </x:c>
      <x:c r="G2115" s="50" t="n">
        <x:v>2</x:v>
      </x:c>
      <x:c r="H2115" s="50" t="n">
        <x:v>18</x:v>
      </x:c>
      <x:c r="I2115" s="44" t="str">
        <x:v>02.18</x:v>
      </x:c>
      <x:c r="J2115" s="33" t="str">
        <x:v>Lesson Learned</x:v>
      </x:c>
      <x:c r="K2115" s="33" t="str"/>
      <x:c r="L2115" s="33" t="str"/>
      <x:c r="M2115" s="44" t="str"/>
      <x:c r="N2115" s="50" t="n">
        <x:v>43</x:v>
      </x:c>
      <x:c r="O2115" s="53" t="str">
        <x:v>Will is troubled with a moral decision when his former teacher, Dr. Bella Rowan, is faced with a life-threating disease. Dr. Rhodes and Dr. Bardovi get involved in a sensitive situation when Rhodes disagrees with the father of a young patient regarding a risky procedure. Dr. Charles and Sarah handle an unusual case with a pilot that causes Sarah to have memories of Jason Wheeler's suicide. Maggie takes an aggressive approach to training a new nurse.</x:v>
      </x:c>
      <x:c r="P2115" s="53" t="str">
        <x:v>Core One Chicago franchise</x:v>
      </x:c>
      <x:c r="Q2115" s="17" t="str">
        <x:v>2313900</x:v>
      </x:c>
      <x:c r="R2115" s="17" t="str">
        <x:v>tt5915450</x:v>
      </x:c>
      <x:c r="S2115" s="17" t="str"/>
    </x:row>
    <x:row r="2116">
      <x:c r="A2116" s="43" t="n">
        <x:v>2112</x:v>
      </x:c>
      <x:c r="B2116" s="44" t="str">
        <x:v>Not Started</x:v>
      </x:c>
      <x:c r="C2116" s="45" t="n">
        <x:v>42828</x:v>
      </x:c>
      <x:c r="D2116" s="33" t="str">
        <x:v>Chicago Justice</x:v>
      </x:c>
      <x:c r="E2116" s="33" t="str">
        <x:v>One Chicago</x:v>
      </x:c>
      <x:c r="F2116" s="33" t="str">
        <x:v>core</x:v>
      </x:c>
      <x:c r="G2116" s="50" t="n">
        <x:v>1</x:v>
      </x:c>
      <x:c r="H2116" s="50" t="n">
        <x:v>7</x:v>
      </x:c>
      <x:c r="I2116" s="44" t="str">
        <x:v>01.07</x:v>
      </x:c>
      <x:c r="J2116" s="33" t="str">
        <x:v>Double Helix</x:v>
      </x:c>
      <x:c r="K2116" s="33" t="str"/>
      <x:c r="L2116" s="33" t="str"/>
      <x:c r="M2116" s="44" t="str"/>
      <x:c r="N2116" s="50" t="n">
        <x:v>43</x:v>
      </x:c>
      <x:c r="O2116" s="53" t="str">
        <x:v>When a pregnant woman is found murdered and her baby cut out of her, the State's Attorney's Investigators race to find the baby and the killer. The case is complicated when it's revealed that the killer's DNA matches that of her father: a convicted serial killer already in prison. Both killers then attempt to use the DNA evidence as their ticket to freedom.</x:v>
      </x:c>
      <x:c r="P2116" s="53" t="str">
        <x:v>Core One Chicago legal spinoff</x:v>
      </x:c>
      <x:c r="Q2116" s="17" t="str">
        <x:v>2410434</x:v>
      </x:c>
      <x:c r="R2116" s="17" t="str">
        <x:v>tt6679614</x:v>
      </x:c>
      <x:c r="S2116" s="17" t="str"/>
    </x:row>
    <x:row r="2117">
      <x:c r="A2117" s="43" t="n">
        <x:v>2113</x:v>
      </x:c>
      <x:c r="B2117" s="44" t="str">
        <x:v>Not Started</x:v>
      </x:c>
      <x:c r="C2117" s="45" t="n">
        <x:v>42830</x:v>
      </x:c>
      <x:c r="D2117" s="33" t="str">
        <x:v>Chicago Fire</x:v>
      </x:c>
      <x:c r="E2117" s="33" t="str">
        <x:v>One Chicago</x:v>
      </x:c>
      <x:c r="F2117" s="33" t="str">
        <x:v>core</x:v>
      </x:c>
      <x:c r="G2117" s="50" t="n">
        <x:v>5</x:v>
      </x:c>
      <x:c r="H2117" s="50" t="n">
        <x:v>18</x:v>
      </x:c>
      <x:c r="I2117" s="44" t="str">
        <x:v>05.18</x:v>
      </x:c>
      <x:c r="J2117" s="33" t="str">
        <x:v>Take a Knee</x:v>
      </x:c>
      <x:c r="K2117" s="33" t="str"/>
      <x:c r="L2117" s="33" t="str"/>
      <x:c r="M2117" s="44" t="str"/>
      <x:c r="N2117" s="50" t="n">
        <x:v>42</x:v>
      </x:c>
      <x:c r="O2117" s="53" t="str">
        <x:v>Casey discovers a new crack house on the block that is harboring a female junkie. Dawson and Brett get assigned a new trainee for the shift. Meanwhile, Severide gets an unexpected visit from his father and Herrmann deals with family issues when his son gets into trouble at school.</x:v>
      </x:c>
      <x:c r="P2117" s="53" t="str">
        <x:v>Core One Chicago franchise</x:v>
      </x:c>
      <x:c r="Q2117" s="17" t="str">
        <x:v>2522042</x:v>
      </x:c>
      <x:c r="R2117" s="17" t="str">
        <x:v>tt6647064</x:v>
      </x:c>
      <x:c r="S2117" s="17" t="str"/>
    </x:row>
    <x:row r="2118">
      <x:c r="A2118" s="43" t="n">
        <x:v>2114</x:v>
      </x:c>
      <x:c r="B2118" s="44" t="str">
        <x:v>Not Started</x:v>
      </x:c>
      <x:c r="C2118" s="45" t="n">
        <x:v>42830</x:v>
      </x:c>
      <x:c r="D2118" s="33" t="str">
        <x:v>Law &amp; Order: Special Victims Unit</x:v>
      </x:c>
      <x:c r="E2118" s="33" t="str">
        <x:v>Law &amp; Order</x:v>
      </x:c>
      <x:c r="F2118" s="33" t="str">
        <x:v>core</x:v>
      </x:c>
      <x:c r="G2118" s="50" t="n">
        <x:v>18</x:v>
      </x:c>
      <x:c r="H2118" s="50" t="n">
        <x:v>15</x:v>
      </x:c>
      <x:c r="I2118" s="44" t="str">
        <x:v>18.15</x:v>
      </x:c>
      <x:c r="J2118" s="33" t="str">
        <x:v>Know It All</x:v>
      </x:c>
      <x:c r="K2118" s="33" t="str"/>
      <x:c r="L2118" s="33" t="str"/>
      <x:c r="M2118" s="44" t="str"/>
      <x:c r="N2118" s="50" t="n">
        <x:v>43</x:v>
      </x:c>
      <x:c r="O2118" s="53" t="str">
        <x:v>A man under investigation for rape and murder threatens to expose the secrets of those working the case.</x:v>
      </x:c>
      <x:c r="P2118" s="53" t="str">
        <x:v>Core Law &amp; Order franchise</x:v>
      </x:c>
      <x:c r="Q2118" s="17" t="str">
        <x:v>2520868</x:v>
      </x:c>
      <x:c r="R2118" s="17" t="str">
        <x:v>tt5902030</x:v>
      </x:c>
      <x:c r="S2118" s="17" t="str">
        <x:v>1396</x:v>
      </x:c>
    </x:row>
    <x:row r="2119">
      <x:c r="A2119" s="43" t="n">
        <x:v>2115</x:v>
      </x:c>
      <x:c r="B2119" s="44" t="str">
        <x:v>Not Started</x:v>
      </x:c>
      <x:c r="C2119" s="45" t="n">
        <x:v>42831</x:v>
      </x:c>
      <x:c r="D2119" s="33" t="str">
        <x:v>Chicago P.D.</x:v>
      </x:c>
      <x:c r="E2119" s="33" t="str">
        <x:v>One Chicago</x:v>
      </x:c>
      <x:c r="F2119" s="33" t="str">
        <x:v>core</x:v>
      </x:c>
      <x:c r="G2119" s="50" t="n">
        <x:v>4</x:v>
      </x:c>
      <x:c r="H2119" s="50" t="n">
        <x:v>19</x:v>
      </x:c>
      <x:c r="I2119" s="44" t="str">
        <x:v>04.19</x:v>
      </x:c>
      <x:c r="J2119" s="33" t="str">
        <x:v>Last Minute Resistance</x:v>
      </x:c>
      <x:c r="K2119" s="33" t="str"/>
      <x:c r="L2119" s="33" t="str"/>
      <x:c r="M2119" s="44" t="str"/>
      <x:c r="N2119" s="50" t="n">
        <x:v>43</x:v>
      </x:c>
      <x:c r="O2119" s="53" t="str">
        <x:v>After encouraging her sister to spend a night out with friends, Burgess wakes to find that Nicole never made it home. As the guilt begins to eat at Burgess, the team in Intelligence bands together to make finding Nicole their main priority.</x:v>
      </x:c>
      <x:c r="P2119" s="53" t="str">
        <x:v>Core One Chicago franchise; crossovers with SVU/FBI</x:v>
      </x:c>
      <x:c r="Q2119" s="17" t="str">
        <x:v>2313329</x:v>
      </x:c>
      <x:c r="R2119" s="17" t="str">
        <x:v>tt6647096</x:v>
      </x:c>
      <x:c r="S2119" s="17" t="str"/>
    </x:row>
    <x:row r="2120">
      <x:c r="A2120" s="43" t="n">
        <x:v>2116</x:v>
      </x:c>
      <x:c r="B2120" s="44" t="str">
        <x:v>Not Started</x:v>
      </x:c>
      <x:c r="C2120" s="45" t="n">
        <x:v>42832</x:v>
      </x:c>
      <x:c r="D2120" s="33" t="str">
        <x:v>Chicago Med</x:v>
      </x:c>
      <x:c r="E2120" s="33" t="str">
        <x:v>One Chicago</x:v>
      </x:c>
      <x:c r="F2120" s="33" t="str">
        <x:v>core</x:v>
      </x:c>
      <x:c r="G2120" s="50" t="n">
        <x:v>2</x:v>
      </x:c>
      <x:c r="H2120" s="50" t="n">
        <x:v>19</x:v>
      </x:c>
      <x:c r="I2120" s="44" t="str">
        <x:v>02.19</x:v>
      </x:c>
      <x:c r="J2120" s="33" t="str">
        <x:v>Ctrl Alt</x:v>
      </x:c>
      <x:c r="K2120" s="33" t="str"/>
      <x:c r="L2120" s="33" t="str"/>
      <x:c r="M2120" s="44" t="str"/>
      <x:c r="N2120" s="50" t="n">
        <x:v>43</x:v>
      </x:c>
      <x:c r="O2120" s="53" t="str">
        <x:v>A hacker demanding a ransom payment shuts down the hospital computer system, forcing the doctors to diagnose patients without the aid of technology. A stressed Goodwin struggles to keep the hospital afloat when an unexpected visit from her ex-husband Bert and his new girlfriend make matters worse. Making use of his former navy experience, Dr. Choi and Noah have to locate a bullet inside a patient with a gunshot wound. Meanwhile, Sarah feels Dr. Charles may be trying to push her out and Robin's unusual behavior worries Dr. Rhodes.</x:v>
      </x:c>
      <x:c r="P2120" s="53" t="str">
        <x:v>Core One Chicago franchise</x:v>
      </x:c>
      <x:c r="Q2120" s="17" t="str">
        <x:v>2522500</x:v>
      </x:c>
      <x:c r="R2120" s="17" t="str">
        <x:v>tt6647140</x:v>
      </x:c>
      <x:c r="S2120" s="17" t="str"/>
    </x:row>
    <x:row r="2121">
      <x:c r="A2121" s="43" t="n">
        <x:v>2117</x:v>
      </x:c>
      <x:c r="B2121" s="44" t="str">
        <x:v>Not Started</x:v>
      </x:c>
      <x:c r="C2121" s="45" t="n">
        <x:v>42835</x:v>
      </x:c>
      <x:c r="D2121" s="33" t="str">
        <x:v>Chicago Justice</x:v>
      </x:c>
      <x:c r="E2121" s="33" t="str">
        <x:v>One Chicago</x:v>
      </x:c>
      <x:c r="F2121" s="33" t="str">
        <x:v>core</x:v>
      </x:c>
      <x:c r="G2121" s="50" t="n">
        <x:v>1</x:v>
      </x:c>
      <x:c r="H2121" s="50" t="n">
        <x:v>8</x:v>
      </x:c>
      <x:c r="I2121" s="44" t="str">
        <x:v>01.08</x:v>
      </x:c>
      <x:c r="J2121" s="33" t="str">
        <x:v>Lily's Law</x:v>
      </x:c>
      <x:c r="K2121" s="33" t="str"/>
      <x:c r="L2121" s="33" t="str"/>
      <x:c r="M2121" s="44" t="str"/>
      <x:c r="N2121" s="50" t="n">
        <x:v>43</x:v>
      </x:c>
      <x:c r="O2121" s="53" t="str">
        <x:v>When a female juror on Stone's case against a gangbanger winds up dead, the team believes she was murdered because of her guilty vote. They later learn that she committed suicide - driven to it by the cyber harassment of her former boyfriend. Stone goes after him for murder.</x:v>
      </x:c>
      <x:c r="P2121" s="53" t="str">
        <x:v>Core One Chicago legal spinoff</x:v>
      </x:c>
      <x:c r="Q2121" s="17" t="str">
        <x:v>2448150</x:v>
      </x:c>
      <x:c r="R2121" s="17" t="str">
        <x:v>tt6315962</x:v>
      </x:c>
      <x:c r="S2121" s="17" t="str"/>
    </x:row>
    <x:row r="2122">
      <x:c r="A2122" s="43" t="n">
        <x:v>2118</x:v>
      </x:c>
      <x:c r="B2122" s="44" t="str">
        <x:v>Not Started</x:v>
      </x:c>
      <x:c r="C2122" s="45" t="n">
        <x:v>42839</x:v>
      </x:c>
      <x:c r="D2122" s="33" t="str">
        <x:v>Chicago Med</x:v>
      </x:c>
      <x:c r="E2122" s="33" t="str">
        <x:v>One Chicago</x:v>
      </x:c>
      <x:c r="F2122" s="33" t="str">
        <x:v>core</x:v>
      </x:c>
      <x:c r="G2122" s="50" t="n">
        <x:v>2</x:v>
      </x:c>
      <x:c r="H2122" s="50" t="n">
        <x:v>20</x:v>
      </x:c>
      <x:c r="I2122" s="44" t="str">
        <x:v>02.20</x:v>
      </x:c>
      <x:c r="J2122" s="33" t="str">
        <x:v>Generation Gap</x:v>
      </x:c>
      <x:c r="K2122" s="33" t="str"/>
      <x:c r="L2122" s="33" t="str"/>
      <x:c r="M2122" s="44" t="str"/>
      <x:c r="N2122" s="50" t="n">
        <x:v>44</x:v>
      </x:c>
      <x:c r="O2122" s="53" t="str">
        <x:v>Things get personal for Dr. Halstead when his unsupportive father is admitted to the hospital against his wishes. When treating Will's father, Dr. Rhodes reflects on his relationship with his dad. Dr. Charles gets involved when his daughter Robin's strange behavior continues to intensify and Dr. Choi struggles to help a teenage boy who is desperate to control his sexual urges. Dr. Manning feels the impact of being a working mother when a young boy is brought in for neglect. Meanwhile, Sarah teaches a group of high school students about the responsibilities of having a child by using fake baby dolls.</x:v>
      </x:c>
      <x:c r="P2122" s="53" t="str">
        <x:v>Core One Chicago franchise</x:v>
      </x:c>
      <x:c r="Q2122" s="17" t="str">
        <x:v>2525744</x:v>
      </x:c>
      <x:c r="R2122" s="17" t="str">
        <x:v>tt6681516</x:v>
      </x:c>
      <x:c r="S2122" s="17" t="str"/>
    </x:row>
    <x:row r="2123">
      <x:c r="A2123" s="43" t="n">
        <x:v>2119</x:v>
      </x:c>
      <x:c r="B2123" s="44" t="str">
        <x:v>Not Started</x:v>
      </x:c>
      <x:c r="C2123" s="45" t="n">
        <x:v>42842</x:v>
      </x:c>
      <x:c r="D2123" s="33" t="str">
        <x:v>Chicago Justice</x:v>
      </x:c>
      <x:c r="E2123" s="33" t="str">
        <x:v>One Chicago</x:v>
      </x:c>
      <x:c r="F2123" s="33" t="str">
        <x:v>core</x:v>
      </x:c>
      <x:c r="G2123" s="50" t="n">
        <x:v>1</x:v>
      </x:c>
      <x:c r="H2123" s="50" t="n">
        <x:v>9</x:v>
      </x:c>
      <x:c r="I2123" s="44" t="str">
        <x:v>01.09</x:v>
      </x:c>
      <x:c r="J2123" s="33" t="str">
        <x:v>Comma</x:v>
      </x:c>
      <x:c r="K2123" s="33" t="str"/>
      <x:c r="L2123" s="33" t="str"/>
      <x:c r="M2123" s="44" t="str"/>
      <x:c r="N2123" s="50" t="n">
        <x:v>43</x:v>
      </x:c>
      <x:c r="O2123" s="53" t="str">
        <x:v>When Abigail Chapman returns from Spain after being acquitted for murdering her boyfriend while studying abroad, she finds herself the prime suspect in another murder case involving a young college student. During the trial of the real killer, the Second Amendment is put to the test.</x:v>
      </x:c>
      <x:c r="P2123" s="53" t="str">
        <x:v>Core One Chicago legal spinoff</x:v>
      </x:c>
      <x:c r="Q2123" s="17" t="str">
        <x:v>2489805</x:v>
      </x:c>
      <x:c r="R2123" s="17" t="str">
        <x:v>tt6711072</x:v>
      </x:c>
      <x:c r="S2123" s="17" t="str"/>
    </x:row>
    <x:row r="2124">
      <x:c r="A2124" s="43" t="n">
        <x:v>2120</x:v>
      </x:c>
      <x:c r="B2124" s="44" t="str">
        <x:v>Not Started</x:v>
      </x:c>
      <x:c r="C2124" s="45" t="n">
        <x:v>42849</x:v>
      </x:c>
      <x:c r="D2124" s="33" t="str">
        <x:v>Chicago Justice</x:v>
      </x:c>
      <x:c r="E2124" s="33" t="str">
        <x:v>One Chicago</x:v>
      </x:c>
      <x:c r="F2124" s="33" t="str">
        <x:v>core</x:v>
      </x:c>
      <x:c r="G2124" s="50" t="n">
        <x:v>1</x:v>
      </x:c>
      <x:c r="H2124" s="50" t="n">
        <x:v>10</x:v>
      </x:c>
      <x:c r="I2124" s="44" t="str">
        <x:v>01.10</x:v>
      </x:c>
      <x:c r="J2124" s="33" t="str">
        <x:v>Drill</x:v>
      </x:c>
      <x:c r="K2124" s="33" t="str"/>
      <x:c r="L2124" s="33" t="str"/>
      <x:c r="M2124" s="44" t="str"/>
      <x:c r="N2124" s="50" t="n">
        <x:v>43</x:v>
      </x:c>
      <x:c r="O2124" s="53" t="str">
        <x:v>After an innocent girl is killed in a gang-related shooting that was instigated on social media, Stone's obsession for justice endangers the family of a cooperating witness. To salvage his crumbling case, Stone must go head-to-head in the courtroom against both the social media providers who inadvertently fueled the gang war and a cocky young man who may have pulled the trigger.</x:v>
      </x:c>
      <x:c r="P2124" s="53" t="str">
        <x:v>Core One Chicago legal spinoff</x:v>
      </x:c>
      <x:c r="Q2124" s="17" t="str">
        <x:v>2490802</x:v>
      </x:c>
      <x:c r="R2124" s="17" t="str">
        <x:v>tt6084060</x:v>
      </x:c>
      <x:c r="S2124" s="17" t="str"/>
    </x:row>
    <x:row r="2125">
      <x:c r="A2125" s="43" t="n">
        <x:v>2121</x:v>
      </x:c>
      <x:c r="B2125" s="44" t="str">
        <x:v>Not Started</x:v>
      </x:c>
      <x:c r="C2125" s="45" t="n">
        <x:v>42851</x:v>
      </x:c>
      <x:c r="D2125" s="33" t="str">
        <x:v>Chicago Fire</x:v>
      </x:c>
      <x:c r="E2125" s="33" t="str">
        <x:v>One Chicago</x:v>
      </x:c>
      <x:c r="F2125" s="33" t="str">
        <x:v>core</x:v>
      </x:c>
      <x:c r="G2125" s="50" t="n">
        <x:v>5</x:v>
      </x:c>
      <x:c r="H2125" s="50" t="n">
        <x:v>19</x:v>
      </x:c>
      <x:c r="I2125" s="44" t="str">
        <x:v>05.19</x:v>
      </x:c>
      <x:c r="J2125" s="33" t="str">
        <x:v>Carry Their Legacy</x:v>
      </x:c>
      <x:c r="K2125" s="33" t="str"/>
      <x:c r="L2125" s="33" t="str"/>
      <x:c r="M2125" s="44" t="str"/>
      <x:c r="N2125" s="50" t="n">
        <x:v>43</x:v>
      </x:c>
      <x:c r="O2125" s="53" t="str">
        <x:v>When the squad's rig breaks down in the field, Casey reunites with his old friend and colleague Jason Kannell from Squad 6. Dawson and Brett serve their time in retraining. Severide tries to remedy what is going on with Anna and finds support from unlikely sources. As Connie returns from her family engagement, the crew lays bets on how long her temporary replacement Marcy will last.</x:v>
      </x:c>
      <x:c r="P2125" s="53" t="str">
        <x:v>Core One Chicago franchise</x:v>
      </x:c>
      <x:c r="Q2125" s="17" t="str">
        <x:v>2539048</x:v>
      </x:c>
      <x:c r="R2125" s="17" t="str">
        <x:v>tt6681480</x:v>
      </x:c>
      <x:c r="S2125" s="17" t="str"/>
    </x:row>
    <x:row r="2126">
      <x:c r="A2126" s="43" t="n">
        <x:v>2122</x:v>
      </x:c>
      <x:c r="B2126" s="44" t="str">
        <x:v>Not Started</x:v>
      </x:c>
      <x:c r="C2126" s="45" t="n">
        <x:v>42851</x:v>
      </x:c>
      <x:c r="D2126" s="33" t="str">
        <x:v>Law &amp; Order: Special Victims Unit</x:v>
      </x:c>
      <x:c r="E2126" s="33" t="str">
        <x:v>Law &amp; Order</x:v>
      </x:c>
      <x:c r="F2126" s="33" t="str">
        <x:v>core</x:v>
      </x:c>
      <x:c r="G2126" s="50" t="n">
        <x:v>18</x:v>
      </x:c>
      <x:c r="H2126" s="50" t="n">
        <x:v>16</x:v>
      </x:c>
      <x:c r="I2126" s="44" t="str">
        <x:v>18.16</x:v>
      </x:c>
      <x:c r="J2126" s="33" t="str">
        <x:v>The Newsroom</x:v>
      </x:c>
      <x:c r="K2126" s="33" t="str"/>
      <x:c r="L2126" s="33" t="str"/>
      <x:c r="M2126" s="44" t="str"/>
      <x:c r="N2126" s="50" t="n">
        <x:v>43</x:v>
      </x:c>
      <x:c r="O2126" s="53" t="str">
        <x:v>Benson and Barba ask witnesses to put their jobs on the line after a news anchor makes an on-air disclosure of rape against her boss.</x:v>
      </x:c>
      <x:c r="P2126" s="53" t="str">
        <x:v>Core Law &amp; Order franchise</x:v>
      </x:c>
      <x:c r="Q2126" s="17" t="str">
        <x:v>2539040</x:v>
      </x:c>
      <x:c r="R2126" s="17" t="str">
        <x:v>tt5902032</x:v>
      </x:c>
      <x:c r="S2126" s="17" t="str">
        <x:v>1397</x:v>
      </x:c>
    </x:row>
    <x:row r="2127">
      <x:c r="A2127" s="43" t="n">
        <x:v>2123</x:v>
      </x:c>
      <x:c r="B2127" s="44" t="str">
        <x:v>Not Started</x:v>
      </x:c>
      <x:c r="C2127" s="45" t="n">
        <x:v>42852</x:v>
      </x:c>
      <x:c r="D2127" s="33" t="str">
        <x:v>Chicago P.D.</x:v>
      </x:c>
      <x:c r="E2127" s="33" t="str">
        <x:v>One Chicago</x:v>
      </x:c>
      <x:c r="F2127" s="33" t="str">
        <x:v>core</x:v>
      </x:c>
      <x:c r="G2127" s="50" t="n">
        <x:v>4</x:v>
      </x:c>
      <x:c r="H2127" s="50" t="n">
        <x:v>20</x:v>
      </x:c>
      <x:c r="I2127" s="44" t="str">
        <x:v>04.20</x:v>
      </x:c>
      <x:c r="J2127" s="33" t="str">
        <x:v>Grasping for Salvation</x:v>
      </x:c>
      <x:c r="K2127" s="33" t="str"/>
      <x:c r="L2127" s="33" t="str"/>
      <x:c r="M2127" s="44" t="str"/>
      <x:c r="N2127" s="50" t="n">
        <x:v>43</x:v>
      </x:c>
      <x:c r="O2127" s="53" t="str">
        <x:v>While investigating the murder of a teenage boy, Voight finds a connection with the murder weapon - linking it to a case that he worked on 17 years ago. While the victim's father, a prominent defense attorney, tries to get the case taken over by Area Central Homicide, Voight digs back into the old case under the watchful eye of his former partner, Lieutenant Denny Woods.</x:v>
      </x:c>
      <x:c r="P2127" s="53" t="str">
        <x:v>Core One Chicago franchise; crossovers with SVU/FBI</x:v>
      </x:c>
      <x:c r="Q2127" s="17" t="str">
        <x:v>2313330</x:v>
      </x:c>
      <x:c r="R2127" s="17" t="str">
        <x:v>tt6681458</x:v>
      </x:c>
      <x:c r="S2127" s="17" t="str"/>
    </x:row>
    <x:row r="2128">
      <x:c r="A2128" s="43" t="n">
        <x:v>2124</x:v>
      </x:c>
      <x:c r="B2128" s="44" t="str">
        <x:v>Not Started</x:v>
      </x:c>
      <x:c r="C2128" s="45" t="n">
        <x:v>42853</x:v>
      </x:c>
      <x:c r="D2128" s="33" t="str">
        <x:v>Chicago Med</x:v>
      </x:c>
      <x:c r="E2128" s="33" t="str">
        <x:v>One Chicago</x:v>
      </x:c>
      <x:c r="F2128" s="33" t="str">
        <x:v>core</x:v>
      </x:c>
      <x:c r="G2128" s="50" t="n">
        <x:v>2</x:v>
      </x:c>
      <x:c r="H2128" s="50" t="n">
        <x:v>21</x:v>
      </x:c>
      <x:c r="I2128" s="44" t="str">
        <x:v>02.21</x:v>
      </x:c>
      <x:c r="J2128" s="33" t="str">
        <x:v>Deliver Us</x:v>
      </x:c>
      <x:c r="K2128" s="33" t="str"/>
      <x:c r="L2128" s="33" t="str"/>
      <x:c r="M2128" s="44" t="str"/>
      <x:c r="N2128" s="50" t="n">
        <x:v>43</x:v>
      </x:c>
      <x:c r="O2128" s="53" t="str">
        <x:v>Dr. Rhodes fights to save a mother who's desperate to help her daughter beat cancer. Dr. Charles asks Sarah to conduct his daughter Robin's psych evaluation. When Will and Dr. Manning spend more time together at work, Nina goes to extreme measures to get Will's attention. Meanwhile, Dr. Choi puts pressure on Noah when a residency spot becomes available.</x:v>
      </x:c>
      <x:c r="P2128" s="53" t="str">
        <x:v>Core One Chicago franchise</x:v>
      </x:c>
      <x:c r="Q2128" s="17" t="str">
        <x:v>2537571</x:v>
      </x:c>
      <x:c r="R2128" s="17" t="str">
        <x:v>tt6681520</x:v>
      </x:c>
      <x:c r="S2128" s="17" t="str"/>
    </x:row>
    <x:row r="2129">
      <x:c r="A2129" s="43" t="n">
        <x:v>2125</x:v>
      </x:c>
      <x:c r="B2129" s="44" t="str">
        <x:v>Not Started</x:v>
      </x:c>
      <x:c r="C2129" s="45" t="n">
        <x:v>42856</x:v>
      </x:c>
      <x:c r="D2129" s="33" t="str">
        <x:v>Chicago Justice</x:v>
      </x:c>
      <x:c r="E2129" s="33" t="str">
        <x:v>One Chicago</x:v>
      </x:c>
      <x:c r="F2129" s="33" t="str">
        <x:v>core</x:v>
      </x:c>
      <x:c r="G2129" s="50" t="n">
        <x:v>1</x:v>
      </x:c>
      <x:c r="H2129" s="50" t="n">
        <x:v>11</x:v>
      </x:c>
      <x:c r="I2129" s="44" t="str">
        <x:v>01.11</x:v>
      </x:c>
      <x:c r="J2129" s="33" t="str">
        <x:v>AQD</x:v>
      </x:c>
      <x:c r="K2129" s="33" t="str"/>
      <x:c r="L2129" s="33" t="str"/>
      <x:c r="M2129" s="44" t="str"/>
      <x:c r="N2129" s="50" t="n">
        <x:v>43</x:v>
      </x:c>
      <x:c r="O2129" s="53" t="str">
        <x:v>When an anti-environmentalist Alderman is killed during a vicious hit-and-run, Antonio and Nagel go all out to track down the driver. But instead of this being an organized hit to save the environment, it turns out the driver is a frantic mother desperate to save her kidnapped daughter. When Valdez discovers the mother was victim of a scam, the legal question becomes complicated: who is responsible for the Alderman's death? The mother trying to save her daughter? Or the perpetrators of the scam?</x:v>
      </x:c>
      <x:c r="P2129" s="53" t="str">
        <x:v>Core One Chicago legal spinoff</x:v>
      </x:c>
      <x:c r="Q2129" s="17" t="str">
        <x:v>2490805</x:v>
      </x:c>
      <x:c r="R2129" s="17" t="str">
        <x:v>tt6451206</x:v>
      </x:c>
      <x:c r="S2129" s="17" t="str"/>
    </x:row>
    <x:row r="2130">
      <x:c r="A2130" s="43" t="n">
        <x:v>2126</x:v>
      </x:c>
      <x:c r="B2130" s="44" t="str">
        <x:v>Not Started</x:v>
      </x:c>
      <x:c r="C2130" s="45" t="n">
        <x:v>42858</x:v>
      </x:c>
      <x:c r="D2130" s="33" t="str">
        <x:v>Chicago Fire</x:v>
      </x:c>
      <x:c r="E2130" s="33" t="str">
        <x:v>One Chicago</x:v>
      </x:c>
      <x:c r="F2130" s="33" t="str">
        <x:v>core</x:v>
      </x:c>
      <x:c r="G2130" s="50" t="n">
        <x:v>5</x:v>
      </x:c>
      <x:c r="H2130" s="50" t="n">
        <x:v>20</x:v>
      </x:c>
      <x:c r="I2130" s="44" t="str">
        <x:v>05.20</x:v>
      </x:c>
      <x:c r="J2130" s="33" t="str">
        <x:v>Carry Me</x:v>
      </x:c>
      <x:c r="K2130" s="33" t="str"/>
      <x:c r="L2130" s="33" t="str"/>
      <x:c r="M2130" s="44" t="str"/>
      <x:c r="N2130" s="50" t="n">
        <x:v>42</x:v>
      </x:c>
      <x:c r="O2130" s="53" t="str">
        <x:v>Casey goes to drastic measures to help his friend Kannell. Lt. Severide helps an old widow come to terms with letting go, but realizes he may be the one needing help. Otis and Cruz deal with surprises when they find a new roommate to move in. Dawson and Brett get crafty to save a young girl.</x:v>
      </x:c>
      <x:c r="P2130" s="53" t="str">
        <x:v>Core One Chicago franchise</x:v>
      </x:c>
      <x:c r="Q2130" s="17" t="str">
        <x:v>2539049</x:v>
      </x:c>
      <x:c r="R2130" s="17" t="str">
        <x:v>tt6681484</x:v>
      </x:c>
      <x:c r="S2130" s="17" t="str"/>
    </x:row>
    <x:row r="2131">
      <x:c r="A2131" s="43" t="n">
        <x:v>2127</x:v>
      </x:c>
      <x:c r="B2131" s="44" t="str">
        <x:v>Not Started</x:v>
      </x:c>
      <x:c r="C2131" s="45" t="n">
        <x:v>42858</x:v>
      </x:c>
      <x:c r="D2131" s="33" t="str">
        <x:v>Law &amp; Order: Special Victims Unit</x:v>
      </x:c>
      <x:c r="E2131" s="33" t="str">
        <x:v>Law &amp; Order</x:v>
      </x:c>
      <x:c r="F2131" s="33" t="str">
        <x:v>core</x:v>
      </x:c>
      <x:c r="G2131" s="50" t="n">
        <x:v>18</x:v>
      </x:c>
      <x:c r="H2131" s="50" t="n">
        <x:v>17</x:v>
      </x:c>
      <x:c r="I2131" s="44" t="str">
        <x:v>18.17</x:v>
      </x:c>
      <x:c r="J2131" s="33" t="str">
        <x:v>Real Fake News</x:v>
      </x:c>
      <x:c r="K2131" s="33" t="str"/>
      <x:c r="L2131" s="33" t="str"/>
      <x:c r="M2131" s="44" t="str"/>
      <x:c r="N2131" s="50" t="n">
        <x:v>43</x:v>
      </x:c>
      <x:c r="O2131" s="53" t="str">
        <x:v>A fake news story leads the squad to a real child sex trafficking ring.</x:v>
      </x:c>
      <x:c r="P2131" s="53" t="str">
        <x:v>Core Law &amp; Order franchise</x:v>
      </x:c>
      <x:c r="Q2131" s="17" t="str">
        <x:v>2539041</x:v>
      </x:c>
      <x:c r="R2131" s="17" t="str">
        <x:v>tt5902034</x:v>
      </x:c>
      <x:c r="S2131" s="17" t="str">
        <x:v>1398</x:v>
      </x:c>
    </x:row>
    <x:row r="2132">
      <x:c r="A2132" s="43" t="n">
        <x:v>2128</x:v>
      </x:c>
      <x:c r="B2132" s="44" t="str">
        <x:v>Not Started</x:v>
      </x:c>
      <x:c r="C2132" s="45" t="n">
        <x:v>42859</x:v>
      </x:c>
      <x:c r="D2132" s="33" t="str">
        <x:v>Chicago P.D.</x:v>
      </x:c>
      <x:c r="E2132" s="33" t="str">
        <x:v>One Chicago</x:v>
      </x:c>
      <x:c r="F2132" s="33" t="str">
        <x:v>core</x:v>
      </x:c>
      <x:c r="G2132" s="50" t="n">
        <x:v>4</x:v>
      </x:c>
      <x:c r="H2132" s="50" t="n">
        <x:v>21</x:v>
      </x:c>
      <x:c r="I2132" s="44" t="str">
        <x:v>04.21</x:v>
      </x:c>
      <x:c r="J2132" s="33" t="str">
        <x:v>Fagin</x:v>
      </x:c>
      <x:c r="K2132" s="33" t="str"/>
      <x:c r="L2132" s="33" t="str"/>
      <x:c r="M2132" s="44" t="str"/>
      <x:c r="N2132" s="50" t="n">
        <x:v>43</x:v>
      </x:c>
      <x:c r="O2132" s="53" t="str">
        <x:v>When the team is called to an in-progress bank robbery, they come across Detective Hailey Upton trying to take over the crime scene with her Robbery-Homicide unit - butting heads with Voight in the process. As the robberies continue to be executed around the city, Lindsay is forced to make a decision in the heat of the moment.</x:v>
      </x:c>
      <x:c r="P2132" s="53" t="str">
        <x:v>Core One Chicago franchise; crossovers with SVU/FBI</x:v>
      </x:c>
      <x:c r="Q2132" s="17" t="str">
        <x:v>2313331</x:v>
      </x:c>
      <x:c r="R2132" s="17" t="str">
        <x:v>tt6681460</x:v>
      </x:c>
      <x:c r="S2132" s="17" t="str"/>
    </x:row>
    <x:row r="2133">
      <x:c r="A2133" s="43" t="n">
        <x:v>2129</x:v>
      </x:c>
      <x:c r="B2133" s="44" t="str">
        <x:v>Not Started</x:v>
      </x:c>
      <x:c r="C2133" s="45" t="n">
        <x:v>42860</x:v>
      </x:c>
      <x:c r="D2133" s="33" t="str">
        <x:v>Chicago Med</x:v>
      </x:c>
      <x:c r="E2133" s="33" t="str">
        <x:v>One Chicago</x:v>
      </x:c>
      <x:c r="F2133" s="33" t="str">
        <x:v>core</x:v>
      </x:c>
      <x:c r="G2133" s="50" t="n">
        <x:v>2</x:v>
      </x:c>
      <x:c r="H2133" s="50" t="n">
        <x:v>22</x:v>
      </x:c>
      <x:c r="I2133" s="44" t="str">
        <x:v>02.22</x:v>
      </x:c>
      <x:c r="J2133" s="33" t="str">
        <x:v>White Butterflies</x:v>
      </x:c>
      <x:c r="K2133" s="33" t="str"/>
      <x:c r="L2133" s="33" t="str"/>
      <x:c r="M2133" s="44" t="str"/>
      <x:c r="N2133" s="50" t="n">
        <x:v>43</x:v>
      </x:c>
      <x:c r="O2133" s="53" t="str">
        <x:v>Dr. Rhodes challenges Dr. Charles and other hospital staff over the proper treatment for Robin. Dr. Manning seeks help from Det. Halstead when a sensitive case involving a young girl turns into a crime. Dr. Choi and April work together on a conflicting case. Meanwhile, Goodwin helps a friend in distress and, after eagerly awaiting, the doctors are surprised to learn who the new med resident is.</x:v>
      </x:c>
      <x:c r="P2133" s="53" t="str">
        <x:v>Core One Chicago franchise</x:v>
      </x:c>
      <x:c r="Q2133" s="17" t="str">
        <x:v>2537572</x:v>
      </x:c>
      <x:c r="R2133" s="17" t="str">
        <x:v>tt6681522</x:v>
      </x:c>
      <x:c r="S2133" s="17" t="str"/>
    </x:row>
    <x:row r="2134">
      <x:c r="A2134" s="43" t="n">
        <x:v>2130</x:v>
      </x:c>
      <x:c r="B2134" s="44" t="str">
        <x:v>Not Started</x:v>
      </x:c>
      <x:c r="C2134" s="45" t="n">
        <x:v>42863</x:v>
      </x:c>
      <x:c r="D2134" s="33" t="str">
        <x:v>Chicago Justice</x:v>
      </x:c>
      <x:c r="E2134" s="33" t="str">
        <x:v>One Chicago</x:v>
      </x:c>
      <x:c r="F2134" s="33" t="str">
        <x:v>core</x:v>
      </x:c>
      <x:c r="G2134" s="50" t="n">
        <x:v>1</x:v>
      </x:c>
      <x:c r="H2134" s="50" t="n">
        <x:v>12</x:v>
      </x:c>
      <x:c r="I2134" s="44" t="str">
        <x:v>01.12</x:v>
      </x:c>
      <x:c r="J2134" s="33" t="str">
        <x:v>Fool Me Twice</x:v>
      </x:c>
      <x:c r="K2134" s="33" t="str"/>
      <x:c r="L2134" s="33" t="str"/>
      <x:c r="M2134" s="44" t="str"/>
      <x:c r="N2134" s="50" t="n">
        <x:v>43</x:v>
      </x:c>
      <x:c r="O2134" s="53" t="str">
        <x:v>After a man is shot multiple times and left for dead, and a kilo of diluted heroin is found in his car, Antonio discovers other similar cases where murder victims were found with the same type of adulterated drugs. Ultimately, the narcotics detectives involved in the case-one a decorated hero-appear to be the common thread. Meanwhile, Stone is hesitant to let Nagel be involved in the case, as she has a close connection to the victim.</x:v>
      </x:c>
      <x:c r="P2134" s="53" t="str">
        <x:v>Core One Chicago legal spinoff</x:v>
      </x:c>
      <x:c r="Q2134" s="17" t="str">
        <x:v>2490808</x:v>
      </x:c>
      <x:c r="R2134" s="17" t="str">
        <x:v>tt6486216</x:v>
      </x:c>
      <x:c r="S2134" s="17" t="str"/>
    </x:row>
    <x:row r="2135">
      <x:c r="A2135" s="43" t="n">
        <x:v>2131</x:v>
      </x:c>
      <x:c r="B2135" s="44" t="str">
        <x:v>Not Started</x:v>
      </x:c>
      <x:c r="C2135" s="45" t="n">
        <x:v>42865</x:v>
      </x:c>
      <x:c r="D2135" s="33" t="str">
        <x:v>Chicago Fire</x:v>
      </x:c>
      <x:c r="E2135" s="33" t="str">
        <x:v>One Chicago</x:v>
      </x:c>
      <x:c r="F2135" s="33" t="str">
        <x:v>core</x:v>
      </x:c>
      <x:c r="G2135" s="50" t="n">
        <x:v>5</x:v>
      </x:c>
      <x:c r="H2135" s="50" t="n">
        <x:v>21</x:v>
      </x:c>
      <x:c r="I2135" s="44" t="str">
        <x:v>05.21</x:v>
      </x:c>
      <x:c r="J2135" s="33" t="str">
        <x:v>Sixty Days</x:v>
      </x:c>
      <x:c r="K2135" s="33" t="str"/>
      <x:c r="L2135" s="33" t="str"/>
      <x:c r="M2135" s="44" t="str"/>
      <x:c r="N2135" s="50" t="n">
        <x:v>43</x:v>
      </x:c>
      <x:c r="O2135" s="53" t="str">
        <x:v>Cruz finds himself in a bad spot when an off-duty incident begins to unravel, prompting Mouch to step in and offer help in hopes of avoiding serious consequences from the CFD. Casey goes head to head with a big politician to get his measure for first responders passed. Lt. Severide makes life difficult for newest team member Jason Kannell and Dawson gets an unexpected visit from her father.</x:v>
      </x:c>
      <x:c r="P2135" s="53" t="str">
        <x:v>Core One Chicago franchise</x:v>
      </x:c>
      <x:c r="Q2135" s="17" t="str">
        <x:v>2539050</x:v>
      </x:c>
      <x:c r="R2135" s="17" t="str">
        <x:v>tt6681486</x:v>
      </x:c>
      <x:c r="S2135" s="17" t="str"/>
    </x:row>
    <x:row r="2136">
      <x:c r="A2136" s="43" t="n">
        <x:v>2132</x:v>
      </x:c>
      <x:c r="B2136" s="44" t="str">
        <x:v>Not Started</x:v>
      </x:c>
      <x:c r="C2136" s="45" t="n">
        <x:v>42865</x:v>
      </x:c>
      <x:c r="D2136" s="33" t="str">
        <x:v>Law &amp; Order: Special Victims Unit</x:v>
      </x:c>
      <x:c r="E2136" s="33" t="str">
        <x:v>Law &amp; Order</x:v>
      </x:c>
      <x:c r="F2136" s="33" t="str">
        <x:v>core</x:v>
      </x:c>
      <x:c r="G2136" s="50" t="n">
        <x:v>18</x:v>
      </x:c>
      <x:c r="H2136" s="50" t="n">
        <x:v>18</x:v>
      </x:c>
      <x:c r="I2136" s="44" t="str">
        <x:v>18.18</x:v>
      </x:c>
      <x:c r="J2136" s="33" t="str">
        <x:v>Spellbound</x:v>
      </x:c>
      <x:c r="K2136" s="33" t="str"/>
      <x:c r="L2136" s="33" t="str"/>
      <x:c r="M2136" s="44" t="str"/>
      <x:c r="N2136" s="50" t="n">
        <x:v>43</x:v>
      </x:c>
      <x:c r="O2136" s="53" t="str">
        <x:v>A popular spiritual guru with a dark past is accused of rape.</x:v>
      </x:c>
      <x:c r="P2136" s="53" t="str">
        <x:v>Core Law &amp; Order franchise</x:v>
      </x:c>
      <x:c r="Q2136" s="17" t="str">
        <x:v>2539042</x:v>
      </x:c>
      <x:c r="R2136" s="17" t="str">
        <x:v>tt5902036</x:v>
      </x:c>
      <x:c r="S2136" s="17" t="str">
        <x:v>1399</x:v>
      </x:c>
    </x:row>
    <x:row r="2137">
      <x:c r="A2137" s="43" t="n">
        <x:v>2133</x:v>
      </x:c>
      <x:c r="B2137" s="44" t="str">
        <x:v>Not Started</x:v>
      </x:c>
      <x:c r="C2137" s="45" t="n">
        <x:v>42866</x:v>
      </x:c>
      <x:c r="D2137" s="33" t="str">
        <x:v>Chicago P.D.</x:v>
      </x:c>
      <x:c r="E2137" s="33" t="str">
        <x:v>One Chicago</x:v>
      </x:c>
      <x:c r="F2137" s="33" t="str">
        <x:v>core</x:v>
      </x:c>
      <x:c r="G2137" s="50" t="n">
        <x:v>4</x:v>
      </x:c>
      <x:c r="H2137" s="50" t="n">
        <x:v>22</x:v>
      </x:c>
      <x:c r="I2137" s="44" t="str">
        <x:v>04.22</x:v>
      </x:c>
      <x:c r="J2137" s="33" t="str">
        <x:v>Army of One</x:v>
      </x:c>
      <x:c r="K2137" s="33" t="str"/>
      <x:c r="L2137" s="33" t="str"/>
      <x:c r="M2137" s="44" t="str"/>
      <x:c r="N2137" s="50" t="n">
        <x:v>43</x:v>
      </x:c>
      <x:c r="O2137" s="53" t="str">
        <x:v>A live video is streamed online showcasing a tortured man being beaten and burned alive. Upon further investigation, the victim's identity is traced back to that of a man who had been previously locked up for statutory rape. When another attack of a similar nature occurs, Intelligence finds a connection between the crimes, suspected pedophiles, and group named the Perv Hunters.</x:v>
      </x:c>
      <x:c r="P2137" s="53" t="str">
        <x:v>Core One Chicago franchise; crossovers with SVU/FBI</x:v>
      </x:c>
      <x:c r="Q2137" s="17" t="str">
        <x:v>2313332</x:v>
      </x:c>
      <x:c r="R2137" s="17" t="str">
        <x:v>tt6681462</x:v>
      </x:c>
      <x:c r="S2137" s="17" t="str"/>
    </x:row>
    <x:row r="2138">
      <x:c r="A2138" s="43" t="n">
        <x:v>2134</x:v>
      </x:c>
      <x:c r="B2138" s="44" t="str">
        <x:v>Not Started</x:v>
      </x:c>
      <x:c r="C2138" s="45" t="n">
        <x:v>42867</x:v>
      </x:c>
      <x:c r="D2138" s="33" t="str">
        <x:v>Chicago Med</x:v>
      </x:c>
      <x:c r="E2138" s="33" t="str">
        <x:v>One Chicago</x:v>
      </x:c>
      <x:c r="F2138" s="33" t="str">
        <x:v>core</x:v>
      </x:c>
      <x:c r="G2138" s="50" t="n">
        <x:v>2</x:v>
      </x:c>
      <x:c r="H2138" s="50" t="n">
        <x:v>23</x:v>
      </x:c>
      <x:c r="I2138" s="44" t="str">
        <x:v>02.23</x:v>
      </x:c>
      <x:c r="J2138" s="33" t="str">
        <x:v>Love Hurts</x:v>
      </x:c>
      <x:c r="K2138" s="33" t="str"/>
      <x:c r="L2138" s="33" t="str"/>
      <x:c r="M2138" s="44" t="str"/>
      <x:c r="N2138" s="50" t="n">
        <x:v>43</x:v>
      </x:c>
      <x:c r="O2138" s="53" t="str">
        <x:v>A new hotshot doctor arrives at Chicago Med causing competition for Dr. Rhodes, Dr. Halstead and Dr. Manning work together to diagnose a Syrian refugee without a medical record. When Robin is admitted back into the hospital for more complications, Dr. Reese takes a different approach to her treatment. Distracted from work because of Robin's worsening case, Dr. Charles is challenged by Goodwin and Noah hosts a graduation party that brings everyone together.</x:v>
      </x:c>
      <x:c r="P2138" s="53" t="str">
        <x:v>Core One Chicago franchise</x:v>
      </x:c>
      <x:c r="Q2138" s="17" t="str">
        <x:v>2537573</x:v>
      </x:c>
      <x:c r="R2138" s="17" t="str">
        <x:v>tt6681524</x:v>
      </x:c>
      <x:c r="S2138" s="17" t="str"/>
    </x:row>
    <x:row r="2139">
      <x:c r="A2139" s="43" t="n">
        <x:v>2135</x:v>
      </x:c>
      <x:c r="B2139" s="44" t="str">
        <x:v>Not Started</x:v>
      </x:c>
      <x:c r="C2139" s="45" t="n">
        <x:v>42870</x:v>
      </x:c>
      <x:c r="D2139" s="33" t="str">
        <x:v>Chicago Justice</x:v>
      </x:c>
      <x:c r="E2139" s="33" t="str">
        <x:v>One Chicago</x:v>
      </x:c>
      <x:c r="F2139" s="33" t="str">
        <x:v>core</x:v>
      </x:c>
      <x:c r="G2139" s="50" t="n">
        <x:v>1</x:v>
      </x:c>
      <x:c r="H2139" s="50" t="n">
        <x:v>13</x:v>
      </x:c>
      <x:c r="I2139" s="44" t="str">
        <x:v>01.13</x:v>
      </x:c>
      <x:c r="J2139" s="33" t="str">
        <x:v>Tycoon</x:v>
      </x:c>
      <x:c r="K2139" s="33" t="str"/>
      <x:c r="L2139" s="33" t="str"/>
      <x:c r="M2139" s="44" t="str"/>
      <x:c r="N2139" s="50" t="n">
        <x:v>43</x:v>
      </x:c>
      <x:c r="O2139" s="53" t="str">
        <x:v>A crane collapses at a construction site and kills the son-in-law of wealthy real estate developer, Frank Linden. Nagel and Antonio, with the help of and CFD Chief Boden discover that the collapse wasn't actually an accident. The team digs into Linden, who has made many enemies, more dangerous friends, and is accustomed to using his money to get his way.</x:v>
      </x:c>
      <x:c r="P2139" s="53" t="str">
        <x:v>Core One Chicago legal spinoff</x:v>
      </x:c>
      <x:c r="Q2139" s="17" t="str">
        <x:v>2490815</x:v>
      </x:c>
      <x:c r="R2139" s="17" t="str">
        <x:v>tt6349758</x:v>
      </x:c>
      <x:c r="S2139" s="17" t="str"/>
    </x:row>
    <x:row r="2140">
      <x:c r="A2140" s="43" t="n">
        <x:v>2136</x:v>
      </x:c>
      <x:c r="B2140" s="44" t="str">
        <x:v>Not Started</x:v>
      </x:c>
      <x:c r="C2140" s="45" t="n">
        <x:v>42872</x:v>
      </x:c>
      <x:c r="D2140" s="33" t="str">
        <x:v>Chicago Fire</x:v>
      </x:c>
      <x:c r="E2140" s="33" t="str">
        <x:v>One Chicago</x:v>
      </x:c>
      <x:c r="F2140" s="33" t="str">
        <x:v>core</x:v>
      </x:c>
      <x:c r="G2140" s="50" t="n">
        <x:v>5</x:v>
      </x:c>
      <x:c r="H2140" s="50" t="n">
        <x:v>22</x:v>
      </x:c>
      <x:c r="I2140" s="44" t="str">
        <x:v>05.22</x:v>
      </x:c>
      <x:c r="J2140" s="33" t="str">
        <x:v>My Miracle</x:v>
      </x:c>
      <x:c r="K2140" s="33" t="str"/>
      <x:c r="L2140" s="33" t="str"/>
      <x:c r="M2140" s="44" t="str"/>
      <x:c r="N2140" s="50" t="n">
        <x:v>43</x:v>
      </x:c>
      <x:c r="O2140" s="53" t="str">
        <x:v>A dangerous warehouse fire puts truck and squad at risk. Tensions are high for Dawson and Casey when Dawson's father overstays his welcome at their home. Meanwhile, Casey continues to fight for his first responders bill, Mouch makes a serious decision regarding his future and Herrmann goes to tremendous lengths to make a young boy smile.</x:v>
      </x:c>
      <x:c r="P2140" s="53" t="str">
        <x:v>Core One Chicago franchise</x:v>
      </x:c>
      <x:c r="Q2140" s="17" t="str">
        <x:v>2539051</x:v>
      </x:c>
      <x:c r="R2140" s="17" t="str">
        <x:v>tt6681488</x:v>
      </x:c>
      <x:c r="S2140" s="17" t="str"/>
    </x:row>
    <x:row r="2141">
      <x:c r="A2141" s="43" t="n">
        <x:v>2137</x:v>
      </x:c>
      <x:c r="B2141" s="44" t="str">
        <x:v>Not Started</x:v>
      </x:c>
      <x:c r="C2141" s="45" t="n">
        <x:v>42872</x:v>
      </x:c>
      <x:c r="D2141" s="33" t="str">
        <x:v>Law &amp; Order: Special Victims Unit</x:v>
      </x:c>
      <x:c r="E2141" s="33" t="str">
        <x:v>Law &amp; Order</x:v>
      </x:c>
      <x:c r="F2141" s="33" t="str">
        <x:v>core</x:v>
      </x:c>
      <x:c r="G2141" s="50" t="n">
        <x:v>18</x:v>
      </x:c>
      <x:c r="H2141" s="50" t="n">
        <x:v>19</x:v>
      </x:c>
      <x:c r="I2141" s="44" t="str">
        <x:v>18.19</x:v>
      </x:c>
      <x:c r="J2141" s="33" t="str">
        <x:v>Conversion</x:v>
      </x:c>
      <x:c r="K2141" s="33" t="str"/>
      <x:c r="L2141" s="33" t="str"/>
      <x:c r="M2141" s="44" t="str"/>
      <x:c r="N2141" s="50" t="n">
        <x:v>43</x:v>
      </x:c>
      <x:c r="O2141" s="53" t="str">
        <x:v>A young woman visiting NYC with her church group is raped by a friend.</x:v>
      </x:c>
      <x:c r="P2141" s="53" t="str">
        <x:v>Core Law &amp; Order franchise</x:v>
      </x:c>
      <x:c r="Q2141" s="17" t="str">
        <x:v>2539043</x:v>
      </x:c>
      <x:c r="R2141" s="17" t="str">
        <x:v>tt5902046</x:v>
      </x:c>
      <x:c r="S2141" s="17" t="str">
        <x:v>1400</x:v>
      </x:c>
    </x:row>
    <x:row r="2142">
      <x:c r="A2142" s="43" t="n">
        <x:v>2138</x:v>
      </x:c>
      <x:c r="B2142" s="44" t="str">
        <x:v>Not Started</x:v>
      </x:c>
      <x:c r="C2142" s="45" t="n">
        <x:v>42873</x:v>
      </x:c>
      <x:c r="D2142" s="33" t="str">
        <x:v>Chicago P.D.</x:v>
      </x:c>
      <x:c r="E2142" s="33" t="str">
        <x:v>One Chicago</x:v>
      </x:c>
      <x:c r="F2142" s="33" t="str">
        <x:v>core</x:v>
      </x:c>
      <x:c r="G2142" s="50" t="n">
        <x:v>4</x:v>
      </x:c>
      <x:c r="H2142" s="50" t="n">
        <x:v>23</x:v>
      </x:c>
      <x:c r="I2142" s="44" t="str">
        <x:v>04.23</x:v>
      </x:c>
      <x:c r="J2142" s="33" t="str">
        <x:v>Fork in the Road</x:v>
      </x:c>
      <x:c r="K2142" s="33" t="str"/>
      <x:c r="L2142" s="33" t="str"/>
      <x:c r="M2142" s="44" t="str"/>
      <x:c r="N2142" s="50" t="n">
        <x:v>43</x:v>
      </x:c>
      <x:c r="O2142" s="53" t="str">
        <x:v>When Lindsay receives a panicked call from her mother Bunny whose boyfriend had just been shot, Lindsay must figure out the best way to approach the situation, as her mother is now a murder suspect. The case opens up when a group of high school students OD, and the drugs in question relate back to the situation with Bunny. In addition to her mother's issues, Lindsay finds herself up against the review board dealing with consequences of her actions.</x:v>
      </x:c>
      <x:c r="P2142" s="53" t="str">
        <x:v>Core One Chicago franchise; crossovers with SVU/FBI</x:v>
      </x:c>
      <x:c r="Q2142" s="17" t="str">
        <x:v>2539055</x:v>
      </x:c>
      <x:c r="R2142" s="17" t="str">
        <x:v>tt6681468</x:v>
      </x:c>
      <x:c r="S2142" s="17" t="str"/>
    </x:row>
    <x:row r="2143">
      <x:c r="A2143" s="43" t="n">
        <x:v>2139</x:v>
      </x:c>
      <x:c r="B2143" s="44" t="str">
        <x:v>Not Started</x:v>
      </x:c>
      <x:c r="C2143" s="45" t="n">
        <x:v>42879</x:v>
      </x:c>
      <x:c r="D2143" s="33" t="str">
        <x:v>Law &amp; Order: Special Victims Unit</x:v>
      </x:c>
      <x:c r="E2143" s="33" t="str">
        <x:v>Law &amp; Order</x:v>
      </x:c>
      <x:c r="F2143" s="33" t="str">
        <x:v>core</x:v>
      </x:c>
      <x:c r="G2143" s="50" t="n">
        <x:v>18</x:v>
      </x:c>
      <x:c r="H2143" s="50" t="n">
        <x:v>20</x:v>
      </x:c>
      <x:c r="I2143" s="44" t="str">
        <x:v>18.20</x:v>
      </x:c>
      <x:c r="J2143" s="33" t="str">
        <x:v>American Dream (1)</x:v>
      </x:c>
      <x:c r="K2143" s="33" t="str"/>
      <x:c r="L2143" s="33" t="str"/>
      <x:c r="M2143" s="44" t="str"/>
      <x:c r="N2143" s="50" t="n">
        <x:v>43</x:v>
      </x:c>
      <x:c r="O2143" s="53" t="str">
        <x:v>A hate crime is committed against a Muslim family, resulting in the death of their daughter. Things get complicated when a crucial witness in the case is deported, forcing Barba to drop the charges against a suspect.</x:v>
      </x:c>
      <x:c r="P2143" s="53" t="str">
        <x:v>Core Law &amp; Order franchise</x:v>
      </x:c>
      <x:c r="Q2143" s="17" t="str">
        <x:v>2539044</x:v>
      </x:c>
      <x:c r="R2143" s="17" t="str">
        <x:v>tt5902048</x:v>
      </x:c>
      <x:c r="S2143" s="17" t="str">
        <x:v>1401</x:v>
      </x:c>
    </x:row>
    <x:row r="2144">
      <x:c r="A2144" s="43" t="n">
        <x:v>2140</x:v>
      </x:c>
      <x:c r="B2144" s="44" t="str">
        <x:v>Not Started</x:v>
      </x:c>
      <x:c r="C2144" s="45" t="n">
        <x:v>42879</x:v>
      </x:c>
      <x:c r="D2144" s="33" t="str">
        <x:v>Law &amp; Order: Special Victims Unit</x:v>
      </x:c>
      <x:c r="E2144" s="33" t="str">
        <x:v>Law &amp; Order</x:v>
      </x:c>
      <x:c r="F2144" s="33" t="str">
        <x:v>core</x:v>
      </x:c>
      <x:c r="G2144" s="50" t="n">
        <x:v>18</x:v>
      </x:c>
      <x:c r="H2144" s="50" t="n">
        <x:v>21</x:v>
      </x:c>
      <x:c r="I2144" s="44" t="str">
        <x:v>18.21</x:v>
      </x:c>
      <x:c r="J2144" s="33" t="str">
        <x:v>Sanctuary (2)</x:v>
      </x:c>
      <x:c r="K2144" s="33" t="str"/>
      <x:c r="L2144" s="33" t="str"/>
      <x:c r="M2144" s="44" t="str"/>
      <x:c r="N2144" s="50" t="n">
        <x:v>43</x:v>
      </x:c>
      <x:c r="O2144" s="53" t="str">
        <x:v>In the 18th-season finale, two families seek justice for their loved ones in the wake of a suspect's unexpected release. Soon, public protests on the matter escalate to violence, leading Benson to go to desperate lengths to make an arrest.</x:v>
      </x:c>
      <x:c r="P2144" s="53" t="str">
        <x:v>Core Law &amp; Order franchise</x:v>
      </x:c>
      <x:c r="Q2144" s="17" t="str">
        <x:v>2539045</x:v>
      </x:c>
      <x:c r="R2144" s="17" t="str">
        <x:v>tt5902050</x:v>
      </x:c>
      <x:c r="S2144" s="17" t="str">
        <x:v>1402</x:v>
      </x:c>
    </x:row>
    <x:row r="2145">
      <x:c r="A2145" s="43" t="n">
        <x:v>2141</x:v>
      </x:c>
      <x:c r="B2145" s="44" t="str">
        <x:v>Not Started</x:v>
      </x:c>
      <x:c r="C2145" s="45" t="n">
        <x:v>42939</x:v>
      </x:c>
      <x:c r="D2145" s="33" t="str">
        <x:v>Cold Justice</x:v>
      </x:c>
      <x:c r="E2145" s="33" t="str">
        <x:v>Crossover Adjacent</x:v>
      </x:c>
      <x:c r="F2145" s="33" t="str">
        <x:v>complete</x:v>
      </x:c>
      <x:c r="G2145" s="50" t="n">
        <x:v>4</x:v>
      </x:c>
      <x:c r="H2145" s="50" t="n">
        <x:v>1</x:v>
      </x:c>
      <x:c r="I2145" s="44" t="str">
        <x:v>04.01</x:v>
      </x:c>
      <x:c r="J2145" s="33" t="str">
        <x:v>One of Our Own</x:v>
      </x:c>
      <x:c r="K2145" s="33" t="str"/>
      <x:c r="L2145" s="33" t="str"/>
      <x:c r="M2145" s="44" t="str"/>
      <x:c r="N2145" s="50" t="n">
        <x:v>42</x:v>
      </x:c>
      <x:c r="O2145" s="53" t="str">
        <x:v>Kelly is back on her own turf in Texas to look into a cold case she’s never forgotten – the 1991 murder of Mary Jane LeFlore, a 35-year-old wife, mother of two young boys and employee of the Texas Department of Criminal Justice. Kelly and Steve join local law enforcement to reinvestigate the case to see if there is any evidence that could help solve this tragic homicide.</x:v>
      </x:c>
      <x:c r="P2145" s="53" t="str">
        <x:v>Wolf Entertainment unscripted true-crime series</x:v>
      </x:c>
      <x:c r="Q2145" s="17" t="str">
        <x:v>2487062</x:v>
      </x:c>
      <x:c r="R2145" s="17" t="str"/>
      <x:c r="S2145" s="17" t="str"/>
    </x:row>
    <x:row r="2146">
      <x:c r="A2146" s="43" t="n">
        <x:v>2142</x:v>
      </x:c>
      <x:c r="B2146" s="44" t="str">
        <x:v>Not Started</x:v>
      </x:c>
      <x:c r="C2146" s="45" t="n">
        <x:v>42946</x:v>
      </x:c>
      <x:c r="D2146" s="33" t="str">
        <x:v>Cold Justice</x:v>
      </x:c>
      <x:c r="E2146" s="33" t="str">
        <x:v>Crossover Adjacent</x:v>
      </x:c>
      <x:c r="F2146" s="33" t="str">
        <x:v>complete</x:v>
      </x:c>
      <x:c r="G2146" s="50" t="n">
        <x:v>4</x:v>
      </x:c>
      <x:c r="H2146" s="50" t="n">
        <x:v>2</x:v>
      </x:c>
      <x:c r="I2146" s="44" t="str">
        <x:v>04.02</x:v>
      </x:c>
      <x:c r="J2146" s="33" t="str">
        <x:v>Fresh Wounds</x:v>
      </x:c>
      <x:c r="K2146" s="33" t="str"/>
      <x:c r="L2146" s="33" t="str"/>
      <x:c r="M2146" s="44" t="str"/>
      <x:c r="N2146" s="50" t="n">
        <x:v>42</x:v>
      </x:c>
      <x:c r="O2146" s="53" t="str">
        <x:v>Kelly and Johnny aid local law enforcement and dig into their freshest case yet, the two-year-old disappearance of a professional photographer. DNA testing and cell phone data analysis could be the key to cracking the case.</x:v>
      </x:c>
      <x:c r="P2146" s="53" t="str">
        <x:v>Wolf Entertainment unscripted true-crime series</x:v>
      </x:c>
      <x:c r="Q2146" s="17" t="str">
        <x:v>2665438</x:v>
      </x:c>
      <x:c r="R2146" s="17" t="str"/>
      <x:c r="S2146" s="17" t="str"/>
    </x:row>
    <x:row r="2147">
      <x:c r="A2147" s="43" t="n">
        <x:v>2143</x:v>
      </x:c>
      <x:c r="B2147" s="44" t="str">
        <x:v>Not Started</x:v>
      </x:c>
      <x:c r="C2147" s="45" t="n">
        <x:v>42953</x:v>
      </x:c>
      <x:c r="D2147" s="33" t="str">
        <x:v>Cold Justice</x:v>
      </x:c>
      <x:c r="E2147" s="33" t="str">
        <x:v>Crossover Adjacent</x:v>
      </x:c>
      <x:c r="F2147" s="33" t="str">
        <x:v>complete</x:v>
      </x:c>
      <x:c r="G2147" s="50" t="n">
        <x:v>4</x:v>
      </x:c>
      <x:c r="H2147" s="50" t="n">
        <x:v>3</x:v>
      </x:c>
      <x:c r="I2147" s="44" t="str">
        <x:v>04.03</x:v>
      </x:c>
      <x:c r="J2147" s="33" t="str">
        <x:v>A Deadly Inheritance</x:v>
      </x:c>
      <x:c r="K2147" s="33" t="str"/>
      <x:c r="L2147" s="33" t="str"/>
      <x:c r="M2147" s="44" t="str"/>
      <x:c r="N2147" s="50" t="n">
        <x:v>42</x:v>
      </x:c>
      <x:c r="O2147" s="53" t="str">
        <x:v>Kelly and her team head to Oregon to investigate the mysterious disappearance of a man who vanished from home without a trace. There are seven suspects, missing gold coins and serious questions about what happened to Glenn Pennie.</x:v>
      </x:c>
      <x:c r="P2147" s="53" t="str">
        <x:v>Wolf Entertainment unscripted true-crime series</x:v>
      </x:c>
      <x:c r="Q2147" s="17" t="str">
        <x:v>2679051</x:v>
      </x:c>
      <x:c r="R2147" s="17" t="str"/>
      <x:c r="S2147" s="17" t="str"/>
    </x:row>
    <x:row r="2148">
      <x:c r="A2148" s="43" t="n">
        <x:v>2144</x:v>
      </x:c>
      <x:c r="B2148" s="44" t="str">
        <x:v>Not Started</x:v>
      </x:c>
      <x:c r="C2148" s="45" t="n">
        <x:v>42960</x:v>
      </x:c>
      <x:c r="D2148" s="33" t="str">
        <x:v>Cold Justice</x:v>
      </x:c>
      <x:c r="E2148" s="33" t="str">
        <x:v>Crossover Adjacent</x:v>
      </x:c>
      <x:c r="F2148" s="33" t="str">
        <x:v>complete</x:v>
      </x:c>
      <x:c r="G2148" s="50" t="n">
        <x:v>4</x:v>
      </x:c>
      <x:c r="H2148" s="50" t="n">
        <x:v>4</x:v>
      </x:c>
      <x:c r="I2148" s="44" t="str">
        <x:v>04.04</x:v>
      </x:c>
      <x:c r="J2148" s="33" t="str">
        <x:v>Beyond The Grave</x:v>
      </x:c>
      <x:c r="K2148" s="33" t="str"/>
      <x:c r="L2148" s="33" t="str"/>
      <x:c r="M2148" s="44" t="str"/>
      <x:c r="N2148" s="50" t="n">
        <x:v>42</x:v>
      </x:c>
      <x:c r="O2148" s="53" t="str">
        <x:v>Facing their oldest case yet, Kelly and Johnny head to Mississippi to find out if the tragic death of a young man was a suicide, accident, or murder. It’s a Cold Justice first when local law enforcement exhumes the body of the victim.</x:v>
      </x:c>
      <x:c r="P2148" s="53" t="str">
        <x:v>Wolf Entertainment unscripted true-crime series</x:v>
      </x:c>
      <x:c r="Q2148" s="17" t="str">
        <x:v>2681022</x:v>
      </x:c>
      <x:c r="R2148" s="17" t="str"/>
      <x:c r="S2148" s="17" t="str"/>
    </x:row>
    <x:row r="2149">
      <x:c r="A2149" s="43" t="n">
        <x:v>2145</x:v>
      </x:c>
      <x:c r="B2149" s="44" t="str">
        <x:v>Not Started</x:v>
      </x:c>
      <x:c r="C2149" s="45" t="n">
        <x:v>42967</x:v>
      </x:c>
      <x:c r="D2149" s="33" t="str">
        <x:v>Cold Justice</x:v>
      </x:c>
      <x:c r="E2149" s="33" t="str">
        <x:v>Crossover Adjacent</x:v>
      </x:c>
      <x:c r="F2149" s="33" t="str">
        <x:v>complete</x:v>
      </x:c>
      <x:c r="G2149" s="50" t="n">
        <x:v>4</x:v>
      </x:c>
      <x:c r="H2149" s="50" t="n">
        <x:v>5</x:v>
      </x:c>
      <x:c r="I2149" s="44" t="str">
        <x:v>04.05</x:v>
      </x:c>
      <x:c r="J2149" s="33" t="str">
        <x:v>Home Alone</x:v>
      </x:c>
      <x:c r="K2149" s="33" t="str"/>
      <x:c r="L2149" s="33" t="str"/>
      <x:c r="M2149" s="44" t="str"/>
      <x:c r="N2149" s="50" t="n">
        <x:v>42</x:v>
      </x:c>
      <x:c r="O2149" s="53" t="str">
        <x:v>In Hope, Arkansas, Kelly and Johnny investigate the murder of a young mother who was brutally executed in her home. The clues to her killer’s identity may rest in the hands of her 10-year-old son who was in his bedroom at the time.</x:v>
      </x:c>
      <x:c r="P2149" s="53" t="str">
        <x:v>Wolf Entertainment unscripted true-crime series</x:v>
      </x:c>
      <x:c r="Q2149" s="17" t="str">
        <x:v>2681024</x:v>
      </x:c>
      <x:c r="R2149" s="17" t="str">
        <x:v>tt7278148</x:v>
      </x:c>
      <x:c r="S2149" s="17" t="str"/>
    </x:row>
    <x:row r="2150">
      <x:c r="A2150" s="43" t="n">
        <x:v>2146</x:v>
      </x:c>
      <x:c r="B2150" s="44" t="str">
        <x:v>Not Started</x:v>
      </x:c>
      <x:c r="C2150" s="45" t="n">
        <x:v>42981</x:v>
      </x:c>
      <x:c r="D2150" s="33" t="str">
        <x:v>Cold Justice</x:v>
      </x:c>
      <x:c r="E2150" s="33" t="str">
        <x:v>Crossover Adjacent</x:v>
      </x:c>
      <x:c r="F2150" s="33" t="str">
        <x:v>complete</x:v>
      </x:c>
      <x:c r="G2150" s="50" t="n">
        <x:v>4</x:v>
      </x:c>
      <x:c r="H2150" s="50" t="n">
        <x:v>6</x:v>
      </x:c>
      <x:c r="I2150" s="44" t="str">
        <x:v>04.06</x:v>
      </x:c>
      <x:c r="J2150" s="33" t="str">
        <x:v>The Widow</x:v>
      </x:c>
      <x:c r="K2150" s="33" t="str"/>
      <x:c r="L2150" s="33" t="str"/>
      <x:c r="M2150" s="44" t="str"/>
      <x:c r="N2150" s="50" t="n">
        <x:v>42</x:v>
      </x:c>
      <x:c r="O2150" s="53" t="str">
        <x:v>In a crime that terrified a community, Kelly and Tonya investigate the tragic stabbing death of an elderly woman in her own home just one week after she buried her husband.</x:v>
      </x:c>
      <x:c r="P2150" s="53" t="str">
        <x:v>Wolf Entertainment unscripted true-crime series</x:v>
      </x:c>
      <x:c r="Q2150" s="17" t="str">
        <x:v>2710326</x:v>
      </x:c>
      <x:c r="R2150" s="17" t="str"/>
      <x:c r="S2150" s="17" t="str"/>
    </x:row>
    <x:row r="2151">
      <x:c r="A2151" s="43" t="n">
        <x:v>2147</x:v>
      </x:c>
      <x:c r="B2151" s="44" t="str">
        <x:v>Not Started</x:v>
      </x:c>
      <x:c r="C2151" s="45" t="n">
        <x:v>42988</x:v>
      </x:c>
      <x:c r="D2151" s="33" t="str">
        <x:v>Cold Justice</x:v>
      </x:c>
      <x:c r="E2151" s="33" t="str">
        <x:v>Crossover Adjacent</x:v>
      </x:c>
      <x:c r="F2151" s="33" t="str">
        <x:v>complete</x:v>
      </x:c>
      <x:c r="G2151" s="50" t="n">
        <x:v>4</x:v>
      </x:c>
      <x:c r="H2151" s="50" t="n">
        <x:v>7</x:v>
      </x:c>
      <x:c r="I2151" s="44" t="str">
        <x:v>04.07</x:v>
      </x:c>
      <x:c r="J2151" s="33" t="str">
        <x:v>If I Can't Have You, No One Can</x:v>
      </x:c>
      <x:c r="K2151" s="33" t="str"/>
      <x:c r="L2151" s="33" t="str"/>
      <x:c r="M2151" s="44" t="str"/>
      <x:c r="N2151" s="50" t="n">
        <x:v>42</x:v>
      </x:c>
      <x:c r="O2151" s="53" t="str">
        <x:v>Kelly and her team tackle one of their most emotional cases yet involving the murder of a beautiful college student killed in her bedroom while packing for a trip to visit her parents for Thanksgiving.</x:v>
      </x:c>
      <x:c r="P2151" s="53" t="str">
        <x:v>Wolf Entertainment unscripted true-crime series</x:v>
      </x:c>
      <x:c r="Q2151" s="17" t="str">
        <x:v>2722070</x:v>
      </x:c>
      <x:c r="R2151" s="17" t="str"/>
      <x:c r="S2151" s="17" t="str"/>
    </x:row>
    <x:row r="2152">
      <x:c r="A2152" s="43" t="n">
        <x:v>2148</x:v>
      </x:c>
      <x:c r="B2152" s="44" t="str">
        <x:v>Not Started</x:v>
      </x:c>
      <x:c r="C2152" s="45" t="n">
        <x:v>43001</x:v>
      </x:c>
      <x:c r="D2152" s="33" t="str">
        <x:v>Cold Justice</x:v>
      </x:c>
      <x:c r="E2152" s="33" t="str">
        <x:v>Crossover Adjacent</x:v>
      </x:c>
      <x:c r="F2152" s="33" t="str">
        <x:v>complete</x:v>
      </x:c>
      <x:c r="G2152" s="50" t="n">
        <x:v>4</x:v>
      </x:c>
      <x:c r="H2152" s="50" t="n">
        <x:v>8</x:v>
      </x:c>
      <x:c r="I2152" s="44" t="str">
        <x:v>04.08</x:v>
      </x:c>
      <x:c r="J2152" s="33" t="str">
        <x:v>Cabin in the Woods</x:v>
      </x:c>
      <x:c r="K2152" s="33" t="str"/>
      <x:c r="L2152" s="33" t="str"/>
      <x:c r="M2152" s="44" t="str"/>
      <x:c r="N2152" s="50" t="n">
        <x:v>42</x:v>
      </x:c>
      <x:c r="O2152" s="53" t="str">
        <x:v>Kelly and Steve take on a case in his home state of Wisconsin and must navigate a tangled family tree of witnesses and suspects to find the killer of a loving husband fatally shot in his cabin.</x:v>
      </x:c>
      <x:c r="P2152" s="53" t="str">
        <x:v>Wolf Entertainment unscripted true-crime series</x:v>
      </x:c>
      <x:c r="Q2152" s="17" t="str">
        <x:v>2725505</x:v>
      </x:c>
      <x:c r="R2152" s="17" t="str"/>
      <x:c r="S2152" s="17" t="str"/>
    </x:row>
    <x:row r="2153">
      <x:c r="A2153" s="43" t="n">
        <x:v>2149</x:v>
      </x:c>
      <x:c r="B2153" s="44" t="str">
        <x:v>Not Started</x:v>
      </x:c>
      <x:c r="C2153" s="45" t="n">
        <x:v>43004</x:v>
      </x:c>
      <x:c r="D2153" s="33" t="str">
        <x:v>Law &amp; Order True Crime</x:v>
      </x:c>
      <x:c r="E2153" s="33" t="str">
        <x:v>Law &amp; Order</x:v>
      </x:c>
      <x:c r="F2153" s="33" t="str">
        <x:v>core</x:v>
      </x:c>
      <x:c r="G2153" s="50" t="n">
        <x:v>1</x:v>
      </x:c>
      <x:c r="H2153" s="50" t="n">
        <x:v>1</x:v>
      </x:c>
      <x:c r="I2153" s="44" t="str">
        <x:v>01.01</x:v>
      </x:c>
      <x:c r="J2153" s="33" t="str">
        <x:v>Episode 1</x:v>
      </x:c>
      <x:c r="K2153" s="33" t="str"/>
      <x:c r="L2153" s="33" t="str"/>
      <x:c r="M2153" s="44" t="str"/>
      <x:c r="N2153" s="50" t="n">
        <x:v>43</x:v>
      </x:c>
      <x:c r="O2153" s="53" t="str">
        <x:v>When Lyle and Erik Menendez become prime suspects in the murder of their parents Kitty and Jose, tenacious defense attorney Leslie Abramson to take an interest in their case.</x:v>
      </x:c>
      <x:c r="P2153" s="53" t="str">
        <x:v>Law &amp; Order anthology spinoff</x:v>
      </x:c>
      <x:c r="Q2153" s="17" t="str">
        <x:v>2588882</x:v>
      </x:c>
      <x:c r="R2153" s="17" t="str">
        <x:v>tt6500266</x:v>
      </x:c>
      <x:c r="S2153" s="17" t="str">
        <x:v>1403</x:v>
      </x:c>
    </x:row>
    <x:row r="2154">
      <x:c r="A2154" s="43" t="n">
        <x:v>2150</x:v>
      </x:c>
      <x:c r="B2154" s="44" t="str">
        <x:v>Not Started</x:v>
      </x:c>
      <x:c r="C2154" s="45" t="n">
        <x:v>43005</x:v>
      </x:c>
      <x:c r="D2154" s="33" t="str">
        <x:v>Law &amp; Order: Special Victims Unit</x:v>
      </x:c>
      <x:c r="E2154" s="33" t="str">
        <x:v>Law &amp; Order</x:v>
      </x:c>
      <x:c r="F2154" s="33" t="str">
        <x:v>core</x:v>
      </x:c>
      <x:c r="G2154" s="50" t="n">
        <x:v>19</x:v>
      </x:c>
      <x:c r="H2154" s="50" t="n">
        <x:v>1</x:v>
      </x:c>
      <x:c r="I2154" s="44" t="str">
        <x:v>19.01</x:v>
      </x:c>
      <x:c r="J2154" s="33" t="str">
        <x:v>Gone Fishin'</x:v>
      </x:c>
      <x:c r="K2154" s="33" t="str"/>
      <x:c r="L2154" s="33" t="str"/>
      <x:c r="M2154" s="44" t="str"/>
      <x:c r="N2154" s="50" t="n">
        <x:v>43</x:v>
      </x:c>
      <x:c r="O2154" s="53" t="str">
        <x:v>Fin's decision to capture a fugitive rapist in a foreign country creates political complications for Barba's case, and an old friend returns with a shocking allegation against Benson.</x:v>
      </x:c>
      <x:c r="P2154" s="53" t="str">
        <x:v>Core Law &amp; Order franchise</x:v>
      </x:c>
      <x:c r="Q2154" s="17" t="str">
        <x:v>2618599</x:v>
      </x:c>
      <x:c r="R2154" s="17" t="str">
        <x:v>tt6882956</x:v>
      </x:c>
      <x:c r="S2154" s="17" t="str">
        <x:v>1404</x:v>
      </x:c>
    </x:row>
    <x:row r="2155">
      <x:c r="A2155" s="43" t="n">
        <x:v>2151</x:v>
      </x:c>
      <x:c r="B2155" s="44" t="str">
        <x:v>Not Started</x:v>
      </x:c>
      <x:c r="C2155" s="45" t="n">
        <x:v>43006</x:v>
      </x:c>
      <x:c r="D2155" s="33" t="str">
        <x:v>Chicago P.D.</x:v>
      </x:c>
      <x:c r="E2155" s="33" t="str">
        <x:v>One Chicago</x:v>
      </x:c>
      <x:c r="F2155" s="33" t="str">
        <x:v>core</x:v>
      </x:c>
      <x:c r="G2155" s="50" t="n">
        <x:v>5</x:v>
      </x:c>
      <x:c r="H2155" s="50" t="n">
        <x:v>1</x:v>
      </x:c>
      <x:c r="I2155" s="44" t="str">
        <x:v>05.01</x:v>
      </x:c>
      <x:c r="J2155" s="33" t="str">
        <x:v>Reform</x:v>
      </x:c>
      <x:c r="K2155" s="33" t="str"/>
      <x:c r="L2155" s="33" t="str"/>
      <x:c r="M2155" s="44" t="str"/>
      <x:c r="N2155" s="50" t="n">
        <x:v>45</x:v>
      </x:c>
      <x:c r="O2155" s="53" t="str">
        <x:v>The district is in a state of change - Lindsay has moved to New York- and the CPD is under scrutiny about the corrupt nature of its institution. Under the watchful eye of the city, the team attempts to bust a gun deal that quickly turns dicey when innocent civilians and children get involved. Tension erupts when Chief brings in Denny Woods to review the shootout, and Halstead becomes a key player in the outcome of the case.</x:v>
      </x:c>
      <x:c r="P2155" s="53" t="str">
        <x:v>Core One Chicago franchise; crossovers with SVU/FBI</x:v>
      </x:c>
      <x:c r="Q2155" s="17" t="str">
        <x:v>2618704</x:v>
      </x:c>
      <x:c r="R2155" s="17" t="str">
        <x:v>tt6884434</x:v>
      </x:c>
      <x:c r="S2155" s="17" t="str"/>
    </x:row>
    <x:row r="2156">
      <x:c r="A2156" s="43" t="n">
        <x:v>2152</x:v>
      </x:c>
      <x:c r="B2156" s="44" t="str">
        <x:v>Not Started</x:v>
      </x:c>
      <x:c r="C2156" s="45" t="n">
        <x:v>43007</x:v>
      </x:c>
      <x:c r="D2156" s="33" t="str">
        <x:v>Chicago Fire</x:v>
      </x:c>
      <x:c r="E2156" s="33" t="str">
        <x:v>One Chicago</x:v>
      </x:c>
      <x:c r="F2156" s="33" t="str">
        <x:v>core</x:v>
      </x:c>
      <x:c r="G2156" s="50" t="n">
        <x:v>6</x:v>
      </x:c>
      <x:c r="H2156" s="50" t="n">
        <x:v>1</x:v>
      </x:c>
      <x:c r="I2156" s="44" t="str">
        <x:v>06.01</x:v>
      </x:c>
      <x:c r="J2156" s="33" t="str">
        <x:v>It Wasn't Enough</x:v>
      </x:c>
      <x:c r="K2156" s="33" t="str"/>
      <x:c r="L2156" s="33" t="str"/>
      <x:c r="M2156" s="44" t="str"/>
      <x:c r="N2156" s="50" t="n">
        <x:v>41</x:v>
      </x:c>
      <x:c r="O2156" s="53" t="str">
        <x:v>With most of the squad still trapped inside the burning warehouse fire, Chief Boden makes a risky last-minute decision in an effort to save his men. Dawson continues to deal with her father, who has new plans for himself. Brett's childhood friend Hope visits the Windy City and strikes the attention of someone within the firehouse, while Kidd goes head-to-head with her landlord. Meanwhile, a fire at a high school hits close to home for Boden.</x:v>
      </x:c>
      <x:c r="P2156" s="53" t="str">
        <x:v>Core One Chicago franchise</x:v>
      </x:c>
      <x:c r="Q2156" s="17" t="str">
        <x:v>2618161</x:v>
      </x:c>
      <x:c r="R2156" s="17" t="str">
        <x:v>tt6884430</x:v>
      </x:c>
      <x:c r="S2156" s="17" t="str"/>
    </x:row>
    <x:row r="2157">
      <x:c r="A2157" s="43" t="n">
        <x:v>2153</x:v>
      </x:c>
      <x:c r="B2157" s="44" t="str">
        <x:v>Not Started</x:v>
      </x:c>
      <x:c r="C2157" s="45" t="n">
        <x:v>43009</x:v>
      </x:c>
      <x:c r="D2157" s="33" t="str">
        <x:v>Cold Justice</x:v>
      </x:c>
      <x:c r="E2157" s="33" t="str">
        <x:v>Crossover Adjacent</x:v>
      </x:c>
      <x:c r="F2157" s="33" t="str">
        <x:v>complete</x:v>
      </x:c>
      <x:c r="G2157" s="50" t="n">
        <x:v>4</x:v>
      </x:c>
      <x:c r="H2157" s="50" t="n">
        <x:v>9</x:v>
      </x:c>
      <x:c r="I2157" s="44" t="str">
        <x:v>04.09</x:v>
      </x:c>
      <x:c r="J2157" s="33" t="str">
        <x:v>Dying Declaration</x:v>
      </x:c>
      <x:c r="K2157" s="33" t="str"/>
      <x:c r="L2157" s="33" t="str"/>
      <x:c r="M2157" s="44" t="str"/>
      <x:c r="N2157" s="50" t="n">
        <x:v>42</x:v>
      </x:c>
      <x:c r="O2157" s="53" t="str">
        <x:v>Kelly and Steve head to Flint, Michigan, to investigate the 1991 shooting of a woman murdered right outside her home. As she died in her sister's arms, her final words could provide insight into who killed her.</x:v>
      </x:c>
      <x:c r="P2157" s="53" t="str">
        <x:v>Wolf Entertainment unscripted true-crime series</x:v>
      </x:c>
      <x:c r="Q2157" s="17" t="str">
        <x:v>2725506</x:v>
      </x:c>
      <x:c r="R2157" s="17" t="str"/>
      <x:c r="S2157" s="17" t="str"/>
    </x:row>
    <x:row r="2158">
      <x:c r="A2158" s="43" t="n">
        <x:v>2154</x:v>
      </x:c>
      <x:c r="B2158" s="44" t="str">
        <x:v>Not Started</x:v>
      </x:c>
      <x:c r="C2158" s="45" t="n">
        <x:v>43011</x:v>
      </x:c>
      <x:c r="D2158" s="33" t="str">
        <x:v>Law &amp; Order True Crime</x:v>
      </x:c>
      <x:c r="E2158" s="33" t="str">
        <x:v>Law &amp; Order</x:v>
      </x:c>
      <x:c r="F2158" s="33" t="str">
        <x:v>core</x:v>
      </x:c>
      <x:c r="G2158" s="50" t="n">
        <x:v>1</x:v>
      </x:c>
      <x:c r="H2158" s="50" t="n">
        <x:v>2</x:v>
      </x:c>
      <x:c r="I2158" s="44" t="str">
        <x:v>01.02</x:v>
      </x:c>
      <x:c r="J2158" s="33" t="str">
        <x:v>Episode 2</x:v>
      </x:c>
      <x:c r="K2158" s="33" t="str"/>
      <x:c r="L2158" s="33" t="str"/>
      <x:c r="M2158" s="44" t="str"/>
      <x:c r="N2158" s="50" t="n">
        <x:v>43</x:v>
      </x:c>
      <x:c r="O2158" s="53" t="str">
        <x:v>Erik makes a shocking confession to his psychiatrist, Dr. Jerome Oziel, whose mistress, Judalon Smyth, gives the police a pivotal tip. Leslie makes a move to represent the Menendez brothers.</x:v>
      </x:c>
      <x:c r="P2158" s="53" t="str">
        <x:v>Law &amp; Order anthology spinoff</x:v>
      </x:c>
      <x:c r="Q2158" s="17" t="str">
        <x:v>2673530</x:v>
      </x:c>
      <x:c r="R2158" s="17" t="str">
        <x:v>tt6551092</x:v>
      </x:c>
      <x:c r="S2158" s="17" t="str">
        <x:v>1405</x:v>
      </x:c>
    </x:row>
    <x:row r="2159">
      <x:c r="A2159" s="43" t="n">
        <x:v>2155</x:v>
      </x:c>
      <x:c r="B2159" s="44" t="str">
        <x:v>Not Started</x:v>
      </x:c>
      <x:c r="C2159" s="45" t="n">
        <x:v>43012</x:v>
      </x:c>
      <x:c r="D2159" s="33" t="str">
        <x:v>Law &amp; Order: Special Victims Unit</x:v>
      </x:c>
      <x:c r="E2159" s="33" t="str">
        <x:v>Law &amp; Order</x:v>
      </x:c>
      <x:c r="F2159" s="33" t="str">
        <x:v>core</x:v>
      </x:c>
      <x:c r="G2159" s="50" t="n">
        <x:v>19</x:v>
      </x:c>
      <x:c r="H2159" s="50" t="n">
        <x:v>2</x:v>
      </x:c>
      <x:c r="I2159" s="44" t="str">
        <x:v>19.02</x:v>
      </x:c>
      <x:c r="J2159" s="33" t="str">
        <x:v>Mood</x:v>
      </x:c>
      <x:c r="K2159" s="33" t="str"/>
      <x:c r="L2159" s="33" t="str"/>
      <x:c r="M2159" s="44" t="str"/>
      <x:c r="N2159" s="50" t="n">
        <x:v>43</x:v>
      </x:c>
      <x:c r="O2159" s="53" t="str">
        <x:v>The bizarre details of a woman's rape put the SVU at odds when Rollins and Carisi think her story is fabricated. Meanwhile, Benson goes on the offensive when her personal life is scrutinized.</x:v>
      </x:c>
      <x:c r="P2159" s="53" t="str">
        <x:v>Core Law &amp; Order franchise</x:v>
      </x:c>
      <x:c r="Q2159" s="17" t="str">
        <x:v>2705898</x:v>
      </x:c>
      <x:c r="R2159" s="17" t="str">
        <x:v>tt6884416</x:v>
      </x:c>
      <x:c r="S2159" s="17" t="str">
        <x:v>1406</x:v>
      </x:c>
    </x:row>
    <x:row r="2160">
      <x:c r="A2160" s="43" t="n">
        <x:v>2156</x:v>
      </x:c>
      <x:c r="B2160" s="44" t="str">
        <x:v>Not Started</x:v>
      </x:c>
      <x:c r="C2160" s="45" t="n">
        <x:v>43013</x:v>
      </x:c>
      <x:c r="D2160" s="33" t="str">
        <x:v>Chicago P.D.</x:v>
      </x:c>
      <x:c r="E2160" s="33" t="str">
        <x:v>One Chicago</x:v>
      </x:c>
      <x:c r="F2160" s="33" t="str">
        <x:v>core</x:v>
      </x:c>
      <x:c r="G2160" s="50" t="n">
        <x:v>5</x:v>
      </x:c>
      <x:c r="H2160" s="50" t="n">
        <x:v>2</x:v>
      </x:c>
      <x:c r="I2160" s="44" t="str">
        <x:v>05.02</x:v>
      </x:c>
      <x:c r="J2160" s="33" t="str">
        <x:v>The Thing About Heroes</x:v>
      </x:c>
      <x:c r="K2160" s="33" t="str"/>
      <x:c r="L2160" s="33" t="str"/>
      <x:c r="M2160" s="44" t="str"/>
      <x:c r="N2160" s="50" t="n">
        <x:v>45</x:v>
      </x:c>
      <x:c r="O2160" s="53" t="str">
        <x:v>After a van explodes during a Chicago street festival, a Muslim patrol officer Frank Toma goes missing and evidence quickly piles up pointing to his involvement. Burgess - who helped train Toma - is desperate to prove his innocence, even if that means going against her superiors.</x:v>
      </x:c>
      <x:c r="P2160" s="53" t="str">
        <x:v>Core One Chicago franchise; crossovers with SVU/FBI</x:v>
      </x:c>
      <x:c r="Q2160" s="17" t="str">
        <x:v>2674675</x:v>
      </x:c>
      <x:c r="R2160" s="17" t="str">
        <x:v>tt7204826</x:v>
      </x:c>
      <x:c r="S2160" s="17" t="str"/>
    </x:row>
    <x:row r="2161">
      <x:c r="A2161" s="43" t="n">
        <x:v>2157</x:v>
      </x:c>
      <x:c r="B2161" s="44" t="str">
        <x:v>Not Started</x:v>
      </x:c>
      <x:c r="C2161" s="45" t="n">
        <x:v>43014</x:v>
      </x:c>
      <x:c r="D2161" s="33" t="str">
        <x:v>Chicago Fire</x:v>
      </x:c>
      <x:c r="E2161" s="33" t="str">
        <x:v>One Chicago</x:v>
      </x:c>
      <x:c r="F2161" s="33" t="str">
        <x:v>core</x:v>
      </x:c>
      <x:c r="G2161" s="50" t="n">
        <x:v>6</x:v>
      </x:c>
      <x:c r="H2161" s="50" t="n">
        <x:v>2</x:v>
      </x:c>
      <x:c r="I2161" s="44" t="str">
        <x:v>06.02</x:v>
      </x:c>
      <x:c r="J2161" s="33" t="str">
        <x:v>Ignite on Contact</x:v>
      </x:c>
      <x:c r="K2161" s="33" t="str"/>
      <x:c r="L2161" s="33" t="str"/>
      <x:c r="M2161" s="44" t="str"/>
      <x:c r="N2161" s="50" t="n">
        <x:v>41</x:v>
      </x:c>
      <x:c r="O2161" s="53" t="str">
        <x:v>After learning the school fire wasn't an accident, Chief Boden turns up the pressure on Severide and Casey to investigate the cause of the fire that trapped his wife. Fueled by a competitive bet against Firehouse 87, Mouch pushes all of the wrong buttons in his need to win the competitive challenge known as the firefighter muster. Meanwhile, as Kidd settles into her new living arrangement, her unresolved feelings prompt her to question the intentions of newcomer Hope.</x:v>
      </x:c>
      <x:c r="P2161" s="53" t="str">
        <x:v>Core One Chicago franchise</x:v>
      </x:c>
      <x:c r="Q2161" s="17" t="str">
        <x:v>2674785</x:v>
      </x:c>
      <x:c r="R2161" s="17" t="str">
        <x:v>tt7204822</x:v>
      </x:c>
      <x:c r="S2161" s="17" t="str"/>
    </x:row>
    <x:row r="2162">
      <x:c r="A2162" s="43" t="n">
        <x:v>2158</x:v>
      </x:c>
      <x:c r="B2162" s="44" t="str">
        <x:v>Not Started</x:v>
      </x:c>
      <x:c r="C2162" s="45" t="n">
        <x:v>43018</x:v>
      </x:c>
      <x:c r="D2162" s="33" t="str">
        <x:v>Law &amp; Order True Crime</x:v>
      </x:c>
      <x:c r="E2162" s="33" t="str">
        <x:v>Law &amp; Order</x:v>
      </x:c>
      <x:c r="F2162" s="33" t="str">
        <x:v>core</x:v>
      </x:c>
      <x:c r="G2162" s="50" t="n">
        <x:v>1</x:v>
      </x:c>
      <x:c r="H2162" s="50" t="n">
        <x:v>3</x:v>
      </x:c>
      <x:c r="I2162" s="44" t="str">
        <x:v>01.03</x:v>
      </x:c>
      <x:c r="J2162" s="33" t="str">
        <x:v>Episode 3</x:v>
      </x:c>
      <x:c r="K2162" s="33" t="str"/>
      <x:c r="L2162" s="33" t="str"/>
      <x:c r="M2162" s="44" t="str"/>
      <x:c r="N2162" s="50" t="n">
        <x:v>43</x:v>
      </x:c>
      <x:c r="O2162" s="53" t="str">
        <x:v>Leslie Abramson and Jill Lansing struggle to understand the brothers' motives, and the DA puts Judalon Smyth on the stand as the trial gets underway, sending the media into a frenzy.</x:v>
      </x:c>
      <x:c r="P2162" s="53" t="str">
        <x:v>Law &amp; Order anthology spinoff</x:v>
      </x:c>
      <x:c r="Q2162" s="17" t="str">
        <x:v>2673534</x:v>
      </x:c>
      <x:c r="R2162" s="17" t="str">
        <x:v>tt6551098</x:v>
      </x:c>
      <x:c r="S2162" s="17" t="str">
        <x:v>1407</x:v>
      </x:c>
    </x:row>
    <x:row r="2163">
      <x:c r="A2163" s="43" t="n">
        <x:v>2159</x:v>
      </x:c>
      <x:c r="B2163" s="44" t="str">
        <x:v>Not Started</x:v>
      </x:c>
      <x:c r="C2163" s="45" t="n">
        <x:v>43019</x:v>
      </x:c>
      <x:c r="D2163" s="33" t="str">
        <x:v>Law &amp; Order: Special Victims Unit</x:v>
      </x:c>
      <x:c r="E2163" s="33" t="str">
        <x:v>Law &amp; Order</x:v>
      </x:c>
      <x:c r="F2163" s="33" t="str">
        <x:v>core</x:v>
      </x:c>
      <x:c r="G2163" s="50" t="n">
        <x:v>19</x:v>
      </x:c>
      <x:c r="H2163" s="50" t="n">
        <x:v>3</x:v>
      </x:c>
      <x:c r="I2163" s="44" t="str">
        <x:v>19.03</x:v>
      </x:c>
      <x:c r="J2163" s="33" t="str">
        <x:v>Contrapasso</x:v>
      </x:c>
      <x:c r="K2163" s="33" t="str"/>
      <x:c r="L2163" s="33" t="str"/>
      <x:c r="M2163" s="44" t="str"/>
      <x:c r="N2163" s="50" t="n">
        <x:v>43</x:v>
      </x:c>
      <x:c r="O2163" s="53" t="str">
        <x:v>When a man is found castrated and left for dead, Rollins and Carisi uncover three female suspects with possible motives. Meanwhile, Langan brings devastating news for Benson.</x:v>
      </x:c>
      <x:c r="P2163" s="53" t="str">
        <x:v>Core Law &amp; Order franchise</x:v>
      </x:c>
      <x:c r="Q2163" s="17" t="str">
        <x:v>2737732</x:v>
      </x:c>
      <x:c r="R2163" s="17" t="str">
        <x:v>tt6930594</x:v>
      </x:c>
      <x:c r="S2163" s="17" t="str">
        <x:v>1408</x:v>
      </x:c>
    </x:row>
    <x:row r="2164">
      <x:c r="A2164" s="43" t="n">
        <x:v>2160</x:v>
      </x:c>
      <x:c r="B2164" s="44" t="str">
        <x:v>Not Started</x:v>
      </x:c>
      <x:c r="C2164" s="45" t="n">
        <x:v>43020</x:v>
      </x:c>
      <x:c r="D2164" s="33" t="str">
        <x:v>Chicago P.D.</x:v>
      </x:c>
      <x:c r="E2164" s="33" t="str">
        <x:v>One Chicago</x:v>
      </x:c>
      <x:c r="F2164" s="33" t="str">
        <x:v>core</x:v>
      </x:c>
      <x:c r="G2164" s="50" t="n">
        <x:v>5</x:v>
      </x:c>
      <x:c r="H2164" s="50" t="n">
        <x:v>3</x:v>
      </x:c>
      <x:c r="I2164" s="44" t="str">
        <x:v>05.03</x:v>
      </x:c>
      <x:c r="J2164" s="33" t="str">
        <x:v>Promise</x:v>
      </x:c>
      <x:c r="K2164" s="33" t="str"/>
      <x:c r="L2164" s="33" t="str"/>
      <x:c r="M2164" s="44" t="str"/>
      <x:c r="N2164" s="50" t="n">
        <x:v>44</x:v>
      </x:c>
      <x:c r="O2164" s="53" t="str">
        <x:v>When a young Latina woman is brutally murdered, Intelligence suspects she may have been working as a drug mule. With Antonio leading the case, the team's investigation takes them into the grim world of meat processing, and the discovery that there may be a different motive behind her death.</x:v>
      </x:c>
      <x:c r="P2164" s="53" t="str">
        <x:v>Core One Chicago franchise; crossovers with SVU/FBI</x:v>
      </x:c>
      <x:c r="Q2164" s="17" t="str">
        <x:v>2684403</x:v>
      </x:c>
      <x:c r="R2164" s="17" t="str">
        <x:v>tt7249180</x:v>
      </x:c>
      <x:c r="S2164" s="17" t="str"/>
    </x:row>
    <x:row r="2165">
      <x:c r="A2165" s="43" t="n">
        <x:v>2161</x:v>
      </x:c>
      <x:c r="B2165" s="44" t="str">
        <x:v>Not Started</x:v>
      </x:c>
      <x:c r="C2165" s="45" t="n">
        <x:v>43021</x:v>
      </x:c>
      <x:c r="D2165" s="33" t="str">
        <x:v>Chicago Fire</x:v>
      </x:c>
      <x:c r="E2165" s="33" t="str">
        <x:v>One Chicago</x:v>
      </x:c>
      <x:c r="F2165" s="33" t="str">
        <x:v>core</x:v>
      </x:c>
      <x:c r="G2165" s="50" t="n">
        <x:v>6</x:v>
      </x:c>
      <x:c r="H2165" s="50" t="n">
        <x:v>3</x:v>
      </x:c>
      <x:c r="I2165" s="44" t="str">
        <x:v>06.03</x:v>
      </x:c>
      <x:c r="J2165" s="33" t="str">
        <x:v>An Even Bigger Surprise</x:v>
      </x:c>
      <x:c r="K2165" s="33" t="str"/>
      <x:c r="L2165" s="33" t="str"/>
      <x:c r="M2165" s="44" t="str"/>
      <x:c r="N2165" s="50" t="n">
        <x:v>40</x:v>
      </x:c>
      <x:c r="O2165" s="53" t="str">
        <x:v>Lt. Casey gets off on the wrong foot with Sam Mullins, a temporary Chief who is filling in for Boden at House 51 for the morning. When Casey later makes a risky move in an attempt to save a distraught man from jumping off a building, Mullins has a surprise that Casey does not expect. Mouch flies in Cruz's brother Leon as a birthday surprise, but the rest of the squad struggles to keep it a secret. Meanwhile, Brett is caught off guard when she learns new information about her hometown friend Hope.</x:v>
      </x:c>
      <x:c r="P2165" s="53" t="str">
        <x:v>Core One Chicago franchise</x:v>
      </x:c>
      <x:c r="Q2165" s="17" t="str">
        <x:v>2680440</x:v>
      </x:c>
      <x:c r="R2165" s="17" t="str">
        <x:v>tt7395808</x:v>
      </x:c>
      <x:c r="S2165" s="17" t="str"/>
    </x:row>
    <x:row r="2166">
      <x:c r="A2166" s="43" t="n">
        <x:v>2162</x:v>
      </x:c>
      <x:c r="B2166" s="44" t="str">
        <x:v>Not Started</x:v>
      </x:c>
      <x:c r="C2166" s="45" t="n">
        <x:v>43025</x:v>
      </x:c>
      <x:c r="D2166" s="33" t="str">
        <x:v>Law &amp; Order True Crime</x:v>
      </x:c>
      <x:c r="E2166" s="33" t="str">
        <x:v>Law &amp; Order</x:v>
      </x:c>
      <x:c r="F2166" s="33" t="str">
        <x:v>core</x:v>
      </x:c>
      <x:c r="G2166" s="50" t="n">
        <x:v>1</x:v>
      </x:c>
      <x:c r="H2166" s="50" t="n">
        <x:v>4</x:v>
      </x:c>
      <x:c r="I2166" s="44" t="str">
        <x:v>01.04</x:v>
      </x:c>
      <x:c r="J2166" s="33" t="str">
        <x:v>Episode 4</x:v>
      </x:c>
      <x:c r="K2166" s="33" t="str"/>
      <x:c r="L2166" s="33" t="str"/>
      <x:c r="M2166" s="44" t="str"/>
      <x:c r="N2166" s="50" t="n">
        <x:v>43</x:v>
      </x:c>
      <x:c r="O2166" s="53" t="str">
        <x:v>After Erik and Lyle confess, Leslie and Jill seek hard evidence to support the brothers' claims of abuse at the hands of their parents; Leslie tries to get Dr. Oziel's tapes thrown out of court.</x:v>
      </x:c>
      <x:c r="P2166" s="53" t="str">
        <x:v>Law &amp; Order anthology spinoff</x:v>
      </x:c>
      <x:c r="Q2166" s="17" t="str">
        <x:v>2673540</x:v>
      </x:c>
      <x:c r="R2166" s="17" t="str">
        <x:v>tt6723458</x:v>
      </x:c>
      <x:c r="S2166" s="17" t="str">
        <x:v>1409</x:v>
      </x:c>
    </x:row>
    <x:row r="2167">
      <x:c r="A2167" s="43" t="n">
        <x:v>2163</x:v>
      </x:c>
      <x:c r="B2167" s="44" t="str">
        <x:v>Not Started</x:v>
      </x:c>
      <x:c r="C2167" s="45" t="n">
        <x:v>43026</x:v>
      </x:c>
      <x:c r="D2167" s="33" t="str">
        <x:v>Law &amp; Order: Special Victims Unit</x:v>
      </x:c>
      <x:c r="E2167" s="33" t="str">
        <x:v>Law &amp; Order</x:v>
      </x:c>
      <x:c r="F2167" s="33" t="str">
        <x:v>core</x:v>
      </x:c>
      <x:c r="G2167" s="50" t="n">
        <x:v>19</x:v>
      </x:c>
      <x:c r="H2167" s="50" t="n">
        <x:v>4</x:v>
      </x:c>
      <x:c r="I2167" s="44" t="str">
        <x:v>19.04</x:v>
      </x:c>
      <x:c r="J2167" s="33" t="str">
        <x:v>No Good Reason</x:v>
      </x:c>
      <x:c r="K2167" s="33" t="str"/>
      <x:c r="L2167" s="33" t="str"/>
      <x:c r="M2167" s="44" t="str"/>
      <x:c r="N2167" s="50" t="n">
        <x:v>43</x:v>
      </x:c>
      <x:c r="O2167" s="53" t="str">
        <x:v>A teenager disappears after schoolmates make her the subject of a vicious cyberbullying attack.</x:v>
      </x:c>
      <x:c r="P2167" s="53" t="str">
        <x:v>Core Law &amp; Order franchise</x:v>
      </x:c>
      <x:c r="Q2167" s="17" t="str">
        <x:v>2737733</x:v>
      </x:c>
      <x:c r="R2167" s="17" t="str">
        <x:v>tt7195314</x:v>
      </x:c>
      <x:c r="S2167" s="17" t="str">
        <x:v>1410</x:v>
      </x:c>
    </x:row>
    <x:row r="2168">
      <x:c r="A2168" s="43" t="n">
        <x:v>2164</x:v>
      </x:c>
      <x:c r="B2168" s="44" t="str">
        <x:v>Not Started</x:v>
      </x:c>
      <x:c r="C2168" s="45" t="n">
        <x:v>43027</x:v>
      </x:c>
      <x:c r="D2168" s="33" t="str">
        <x:v>Chicago P.D.</x:v>
      </x:c>
      <x:c r="E2168" s="33" t="str">
        <x:v>One Chicago</x:v>
      </x:c>
      <x:c r="F2168" s="33" t="str">
        <x:v>core</x:v>
      </x:c>
      <x:c r="G2168" s="50" t="n">
        <x:v>5</x:v>
      </x:c>
      <x:c r="H2168" s="50" t="n">
        <x:v>4</x:v>
      </x:c>
      <x:c r="I2168" s="44" t="str">
        <x:v>05.04</x:v>
      </x:c>
      <x:c r="J2168" s="33" t="str">
        <x:v>Snitch</x:v>
      </x:c>
      <x:c r="K2168" s="33" t="str"/>
      <x:c r="L2168" s="33" t="str"/>
      <x:c r="M2168" s="44" t="str"/>
      <x:c r="N2168" s="50" t="n">
        <x:v>45</x:v>
      </x:c>
      <x:c r="O2168" s="53" t="str">
        <x:v>While investigating a drug-related homicide, Intelligence is stonewalled by the 'no-snitch' culture of the neighborhood. And Atwater discovers a personal connection to the case. Meanwhile, the police's own code of silence is put to the test when Upton is asked about Ruzek's rough altercation with a suspect.</x:v>
      </x:c>
      <x:c r="P2168" s="53" t="str">
        <x:v>Core One Chicago franchise; crossovers with SVU/FBI</x:v>
      </x:c>
      <x:c r="Q2168" s="17" t="str">
        <x:v>2702990</x:v>
      </x:c>
      <x:c r="R2168" s="17" t="str">
        <x:v>tt7249184</x:v>
      </x:c>
      <x:c r="S2168" s="17" t="str"/>
    </x:row>
    <x:row r="2169">
      <x:c r="A2169" s="43" t="n">
        <x:v>2165</x:v>
      </x:c>
      <x:c r="B2169" s="44" t="str">
        <x:v>Not Started</x:v>
      </x:c>
      <x:c r="C2169" s="45" t="n">
        <x:v>43028</x:v>
      </x:c>
      <x:c r="D2169" s="33" t="str">
        <x:v>Chicago Fire</x:v>
      </x:c>
      <x:c r="E2169" s="33" t="str">
        <x:v>One Chicago</x:v>
      </x:c>
      <x:c r="F2169" s="33" t="str">
        <x:v>core</x:v>
      </x:c>
      <x:c r="G2169" s="50" t="n">
        <x:v>6</x:v>
      </x:c>
      <x:c r="H2169" s="50" t="n">
        <x:v>4</x:v>
      </x:c>
      <x:c r="I2169" s="44" t="str">
        <x:v>06.04</x:v>
      </x:c>
      <x:c r="J2169" s="33" t="str">
        <x:v>A Breaking Point</x:v>
      </x:c>
      <x:c r="K2169" s="33" t="str"/>
      <x:c r="L2169" s="33" t="str"/>
      <x:c r="M2169" s="44" t="str"/>
      <x:c r="N2169" s="50" t="n">
        <x:v>41</x:v>
      </x:c>
      <x:c r="O2169" s="53" t="str">
        <x:v>While running a secret errand, Dawson finds herself trapped in a collapsed parking structure. With all paths of exit blocked, she is forced to improvise and works double-duty to keep a number of injured individuals alive while trying to maintain peace among those trapped. Meanwhile, pressure is mounting on Casey as he begins to take on additional duties, Kidd grows increasingly skeptical of Hope after learning about rumors circulating and the firehouse receives a surprise visitor.</x:v>
      </x:c>
      <x:c r="P2169" s="53" t="str">
        <x:v>Core One Chicago franchise</x:v>
      </x:c>
      <x:c r="Q2169" s="17" t="str">
        <x:v>2680570</x:v>
      </x:c>
      <x:c r="R2169" s="17" t="str">
        <x:v>tt7436434</x:v>
      </x:c>
      <x:c r="S2169" s="17" t="str"/>
    </x:row>
    <x:row r="2170">
      <x:c r="A2170" s="43" t="n">
        <x:v>2166</x:v>
      </x:c>
      <x:c r="B2170" s="44" t="str">
        <x:v>Not Started</x:v>
      </x:c>
      <x:c r="C2170" s="45" t="n">
        <x:v>43032</x:v>
      </x:c>
      <x:c r="D2170" s="33" t="str">
        <x:v>Law &amp; Order True Crime</x:v>
      </x:c>
      <x:c r="E2170" s="33" t="str">
        <x:v>Law &amp; Order</x:v>
      </x:c>
      <x:c r="F2170" s="33" t="str">
        <x:v>core</x:v>
      </x:c>
      <x:c r="G2170" s="50" t="n">
        <x:v>1</x:v>
      </x:c>
      <x:c r="H2170" s="50" t="n">
        <x:v>5</x:v>
      </x:c>
      <x:c r="I2170" s="44" t="str">
        <x:v>01.05</x:v>
      </x:c>
      <x:c r="J2170" s="33" t="str">
        <x:v>Episode 5</x:v>
      </x:c>
      <x:c r="K2170" s="33" t="str"/>
      <x:c r="L2170" s="33" t="str"/>
      <x:c r="M2170" s="44" t="str"/>
      <x:c r="N2170" s="50" t="n">
        <x:v>43</x:v>
      </x:c>
      <x:c r="O2170" s="53" t="str">
        <x:v>Judge Weisberg allows the trial to be broadcast on TV; Dr. Oziel's credibility is challenged when he takes the stand; Leslie struggles to make her defense of the Lyle and Erik understood, as she and her husband more forward with their adoption plans.</x:v>
      </x:c>
      <x:c r="P2170" s="53" t="str">
        <x:v>Law &amp; Order anthology spinoff</x:v>
      </x:c>
      <x:c r="Q2170" s="17" t="str">
        <x:v>2673556</x:v>
      </x:c>
      <x:c r="R2170" s="17" t="str">
        <x:v>tt6723464</x:v>
      </x:c>
      <x:c r="S2170" s="17" t="str">
        <x:v>1411</x:v>
      </x:c>
    </x:row>
    <x:row r="2171">
      <x:c r="A2171" s="43" t="n">
        <x:v>2167</x:v>
      </x:c>
      <x:c r="B2171" s="44" t="str">
        <x:v>Not Started</x:v>
      </x:c>
      <x:c r="C2171" s="45" t="n">
        <x:v>43033</x:v>
      </x:c>
      <x:c r="D2171" s="33" t="str">
        <x:v>Law &amp; Order: Special Victims Unit</x:v>
      </x:c>
      <x:c r="E2171" s="33" t="str">
        <x:v>Law &amp; Order</x:v>
      </x:c>
      <x:c r="F2171" s="33" t="str">
        <x:v>core</x:v>
      </x:c>
      <x:c r="G2171" s="50" t="n">
        <x:v>19</x:v>
      </x:c>
      <x:c r="H2171" s="50" t="n">
        <x:v>5</x:v>
      </x:c>
      <x:c r="I2171" s="44" t="str">
        <x:v>19.05</x:v>
      </x:c>
      <x:c r="J2171" s="33" t="str">
        <x:v>Complicated</x:v>
      </x:c>
      <x:c r="K2171" s="33" t="str"/>
      <x:c r="L2171" s="33" t="str"/>
      <x:c r="M2171" s="44" t="str"/>
      <x:c r="N2171" s="50" t="n">
        <x:v>43</x:v>
      </x:c>
      <x:c r="O2171" s="53" t="str">
        <x:v>A 10-year-old kidnapping case is reopened when a young woman is found wandering Central Park alone. Meanwhile, Carisi's conversation with a newspaper reporter puts him in hot water.</x:v>
      </x:c>
      <x:c r="P2171" s="53" t="str">
        <x:v>Core Law &amp; Order franchise</x:v>
      </x:c>
      <x:c r="Q2171" s="17" t="str">
        <x:v>2740979</x:v>
      </x:c>
      <x:c r="R2171" s="17" t="str">
        <x:v>tt7195344</x:v>
      </x:c>
      <x:c r="S2171" s="17" t="str">
        <x:v>1412</x:v>
      </x:c>
    </x:row>
    <x:row r="2172">
      <x:c r="A2172" s="43" t="n">
        <x:v>2168</x:v>
      </x:c>
      <x:c r="B2172" s="44" t="str">
        <x:v>Not Started</x:v>
      </x:c>
      <x:c r="C2172" s="45" t="n">
        <x:v>43034</x:v>
      </x:c>
      <x:c r="D2172" s="33" t="str">
        <x:v>Chicago P.D.</x:v>
      </x:c>
      <x:c r="E2172" s="33" t="str">
        <x:v>One Chicago</x:v>
      </x:c>
      <x:c r="F2172" s="33" t="str">
        <x:v>core</x:v>
      </x:c>
      <x:c r="G2172" s="50" t="n">
        <x:v>5</x:v>
      </x:c>
      <x:c r="H2172" s="50" t="n">
        <x:v>5</x:v>
      </x:c>
      <x:c r="I2172" s="44" t="str">
        <x:v>05.05</x:v>
      </x:c>
      <x:c r="J2172" s="33" t="str">
        <x:v>Home</x:v>
      </x:c>
      <x:c r="K2172" s="33" t="str"/>
      <x:c r="L2172" s="33" t="str"/>
      <x:c r="M2172" s="44" t="str"/>
      <x:c r="N2172" s="50" t="n">
        <x:v>45</x:v>
      </x:c>
      <x:c r="O2172" s="53" t="str">
        <x:v>When Intelligence busts a meth lab run by gang leader Marshall Carter, they uncover a re-homing scam in which children adopted from foreign countries are abandoned, then sold online. Meanwhile, Atwater struggles with the difficult decision about whether to move his siblings Jordan and Vinessa to a safer environment outside of Chicago.</x:v>
      </x:c>
      <x:c r="P2172" s="53" t="str">
        <x:v>Core One Chicago franchise; crossovers with SVU/FBI</x:v>
      </x:c>
      <x:c r="Q2172" s="17" t="str">
        <x:v>2702992</x:v>
      </x:c>
      <x:c r="R2172" s="17" t="str">
        <x:v>tt7271622</x:v>
      </x:c>
      <x:c r="S2172" s="17" t="str"/>
    </x:row>
    <x:row r="2173">
      <x:c r="A2173" s="43" t="n">
        <x:v>2169</x:v>
      </x:c>
      <x:c r="B2173" s="44" t="str">
        <x:v>Not Started</x:v>
      </x:c>
      <x:c r="C2173" s="45" t="n">
        <x:v>43035</x:v>
      </x:c>
      <x:c r="D2173" s="33" t="str">
        <x:v>Chicago Fire</x:v>
      </x:c>
      <x:c r="E2173" s="33" t="str">
        <x:v>One Chicago</x:v>
      </x:c>
      <x:c r="F2173" s="33" t="str">
        <x:v>core</x:v>
      </x:c>
      <x:c r="G2173" s="50" t="n">
        <x:v>6</x:v>
      </x:c>
      <x:c r="H2173" s="50" t="n">
        <x:v>5</x:v>
      </x:c>
      <x:c r="I2173" s="44" t="str">
        <x:v>06.05</x:v>
      </x:c>
      <x:c r="J2173" s="33" t="str">
        <x:v>Devil's Bargain</x:v>
      </x:c>
      <x:c r="K2173" s="33" t="str"/>
      <x:c r="L2173" s="33" t="str"/>
      <x:c r="M2173" s="44" t="str"/>
      <x:c r="N2173" s="50" t="n">
        <x:v>41</x:v>
      </x:c>
      <x:c r="O2173" s="53" t="str">
        <x:v>Casey and Severide find themselves at odds after Casey argues with him over the best way to save a teenager entangled in barbed wire. When Casey looks to Boden for help smoothing out the situation, he comes to the realization that he will have to fix it himself. Elsewhere, Otis tries to convince Casey to participate in the beta test for an expensive piece of new firefighting equipment imported from Japan. Meanwhile, Kidd and Hope come to blows over a payroll issue and Brett goes on a date with a doctor she meets during an ambo call.</x:v>
      </x:c>
      <x:c r="P2173" s="53" t="str">
        <x:v>Core One Chicago franchise</x:v>
      </x:c>
      <x:c r="Q2173" s="17" t="str">
        <x:v>2702991</x:v>
      </x:c>
      <x:c r="R2173" s="17" t="str">
        <x:v>tt7511096</x:v>
      </x:c>
      <x:c r="S2173" s="17" t="str"/>
    </x:row>
    <x:row r="2174">
      <x:c r="A2174" s="43" t="n">
        <x:v>2170</x:v>
      </x:c>
      <x:c r="B2174" s="44" t="str">
        <x:v>Not Started</x:v>
      </x:c>
      <x:c r="C2174" s="45" t="n">
        <x:v>43037</x:v>
      </x:c>
      <x:c r="D2174" s="33" t="str">
        <x:v>Cold Justice</x:v>
      </x:c>
      <x:c r="E2174" s="33" t="str">
        <x:v>Crossover Adjacent</x:v>
      </x:c>
      <x:c r="F2174" s="33" t="str">
        <x:v>complete</x:v>
      </x:c>
      <x:c r="G2174" s="50" t="n">
        <x:v>4</x:v>
      </x:c>
      <x:c r="H2174" s="50" t="n">
        <x:v>10</x:v>
      </x:c>
      <x:c r="I2174" s="44" t="str">
        <x:v>04.10</x:v>
      </x:c>
      <x:c r="J2174" s="33" t="str">
        <x:v>Covet</x:v>
      </x:c>
      <x:c r="K2174" s="33" t="str"/>
      <x:c r="L2174" s="33" t="str"/>
      <x:c r="M2174" s="44" t="str"/>
      <x:c r="N2174" s="50" t="n">
        <x:v>42</x:v>
      </x:c>
      <x:c r="O2174" s="53" t="str">
        <x:v>Kelly and Aaron Sam head to Lake Charles, Louisiana to investigate the shocking murder of a young man who was gunned down in his car after attending church on Palm Sunday.</x:v>
      </x:c>
      <x:c r="P2174" s="53" t="str">
        <x:v>Wolf Entertainment unscripted true-crime series</x:v>
      </x:c>
      <x:c r="Q2174" s="17" t="str">
        <x:v>2777434</x:v>
      </x:c>
      <x:c r="R2174" s="17" t="str"/>
      <x:c r="S2174" s="17" t="str"/>
    </x:row>
    <x:row r="2175">
      <x:c r="A2175" s="43" t="n">
        <x:v>2171</x:v>
      </x:c>
      <x:c r="B2175" s="44" t="str">
        <x:v>Not Started</x:v>
      </x:c>
      <x:c r="C2175" s="45" t="n">
        <x:v>43039</x:v>
      </x:c>
      <x:c r="D2175" s="33" t="str">
        <x:v>Law &amp; Order True Crime</x:v>
      </x:c>
      <x:c r="E2175" s="33" t="str">
        <x:v>Law &amp; Order</x:v>
      </x:c>
      <x:c r="F2175" s="33" t="str">
        <x:v>core</x:v>
      </x:c>
      <x:c r="G2175" s="50" t="n">
        <x:v>1</x:v>
      </x:c>
      <x:c r="H2175" s="50" t="n">
        <x:v>6</x:v>
      </x:c>
      <x:c r="I2175" s="44" t="str">
        <x:v>01.06</x:v>
      </x:c>
      <x:c r="J2175" s="33" t="str">
        <x:v>Episode 6</x:v>
      </x:c>
      <x:c r="K2175" s="33" t="str"/>
      <x:c r="L2175" s="33" t="str"/>
      <x:c r="M2175" s="44" t="str"/>
      <x:c r="N2175" s="50" t="n">
        <x:v>43</x:v>
      </x:c>
      <x:c r="O2175" s="53" t="str">
        <x:v>The brothers testify about their years of abuse; Judge Weisberg agrees to unseal the tape of Lyle and Erik's confession to Dr. Oziel; after closing arguments, the jury begins deliberation; Leslie and her husband welcome their adopted son.</x:v>
      </x:c>
      <x:c r="P2175" s="53" t="str">
        <x:v>Law &amp; Order anthology spinoff</x:v>
      </x:c>
      <x:c r="Q2175" s="17" t="str">
        <x:v>2673573</x:v>
      </x:c>
      <x:c r="R2175" s="17" t="str">
        <x:v>tt6723466</x:v>
      </x:c>
      <x:c r="S2175" s="17" t="str">
        <x:v>1413</x:v>
      </x:c>
    </x:row>
    <x:row r="2176">
      <x:c r="A2176" s="43" t="n">
        <x:v>2172</x:v>
      </x:c>
      <x:c r="B2176" s="44" t="str">
        <x:v>Not Started</x:v>
      </x:c>
      <x:c r="C2176" s="45" t="n">
        <x:v>43042</x:v>
      </x:c>
      <x:c r="D2176" s="33" t="str">
        <x:v>Chicago Fire</x:v>
      </x:c>
      <x:c r="E2176" s="33" t="str">
        <x:v>One Chicago</x:v>
      </x:c>
      <x:c r="F2176" s="33" t="str">
        <x:v>core</x:v>
      </x:c>
      <x:c r="G2176" s="50" t="n">
        <x:v>6</x:v>
      </x:c>
      <x:c r="H2176" s="50" t="n">
        <x:v>6</x:v>
      </x:c>
      <x:c r="I2176" s="44" t="str">
        <x:v>06.06</x:v>
      </x:c>
      <x:c r="J2176" s="33" t="str">
        <x:v>Down Is Better</x:v>
      </x:c>
      <x:c r="K2176" s="33" t="str"/>
      <x:c r="L2176" s="33" t="str"/>
      <x:c r="M2176" s="44" t="str"/>
      <x:c r="N2176" s="50" t="n">
        <x:v>41</x:v>
      </x:c>
      <x:c r="O2176" s="53" t="str">
        <x:v>After heroically saving a mother and newborn baby from a rooftop fire, Kidd receives surprising news when she discovers she is being transferred out of the firehouse. Severide and Casey believe something is off about the turn of events, prompting them to investigate the situation. Otis and Herrmann discuss the possibilities of taking over a rundown bar and Dawson's frustration with her father, Ramon, reaches a boiling point.</x:v>
      </x:c>
      <x:c r="P2176" s="53" t="str">
        <x:v>Core One Chicago franchise</x:v>
      </x:c>
      <x:c r="Q2176" s="17" t="str">
        <x:v>2723621</x:v>
      </x:c>
      <x:c r="R2176" s="17" t="str">
        <x:v>tt7389604</x:v>
      </x:c>
      <x:c r="S2176" s="17" t="str"/>
    </x:row>
    <x:row r="2177">
      <x:c r="A2177" s="43" t="n">
        <x:v>2173</x:v>
      </x:c>
      <x:c r="B2177" s="44" t="str">
        <x:v>Not Started</x:v>
      </x:c>
      <x:c r="C2177" s="45" t="n">
        <x:v>43046</x:v>
      </x:c>
      <x:c r="D2177" s="33" t="str">
        <x:v>Law &amp; Order True Crime</x:v>
      </x:c>
      <x:c r="E2177" s="33" t="str">
        <x:v>Law &amp; Order</x:v>
      </x:c>
      <x:c r="F2177" s="33" t="str">
        <x:v>core</x:v>
      </x:c>
      <x:c r="G2177" s="50" t="n">
        <x:v>1</x:v>
      </x:c>
      <x:c r="H2177" s="50" t="n">
        <x:v>7</x:v>
      </x:c>
      <x:c r="I2177" s="44" t="str">
        <x:v>01.07</x:v>
      </x:c>
      <x:c r="J2177" s="33" t="str">
        <x:v>Episode 7</x:v>
      </x:c>
      <x:c r="K2177" s="33" t="str"/>
      <x:c r="L2177" s="33" t="str"/>
      <x:c r="M2177" s="44" t="str"/>
      <x:c r="N2177" s="50" t="n">
        <x:v>43</x:v>
      </x:c>
      <x:c r="O2177" s="53" t="str">
        <x:v>As Lyle and Erik's juries struggle to reach unanimous verdicts, the possibility of mistrial has Leslie hopeful for a deal with the DA's office.</x:v>
      </x:c>
      <x:c r="P2177" s="53" t="str">
        <x:v>Law &amp; Order anthology spinoff</x:v>
      </x:c>
      <x:c r="Q2177" s="17" t="str">
        <x:v>2681108</x:v>
      </x:c>
      <x:c r="R2177" s="17" t="str">
        <x:v>tt6723468</x:v>
      </x:c>
      <x:c r="S2177" s="17" t="str">
        <x:v>1414</x:v>
      </x:c>
    </x:row>
    <x:row r="2178">
      <x:c r="A2178" s="43" t="n">
        <x:v>2174</x:v>
      </x:c>
      <x:c r="B2178" s="44" t="str">
        <x:v>Not Started</x:v>
      </x:c>
      <x:c r="C2178" s="45" t="n">
        <x:v>43047</x:v>
      </x:c>
      <x:c r="D2178" s="33" t="str">
        <x:v>Law &amp; Order: Special Victims Unit</x:v>
      </x:c>
      <x:c r="E2178" s="33" t="str">
        <x:v>Law &amp; Order</x:v>
      </x:c>
      <x:c r="F2178" s="33" t="str">
        <x:v>core</x:v>
      </x:c>
      <x:c r="G2178" s="50" t="n">
        <x:v>19</x:v>
      </x:c>
      <x:c r="H2178" s="50" t="n">
        <x:v>6</x:v>
      </x:c>
      <x:c r="I2178" s="44" t="str">
        <x:v>19.06</x:v>
      </x:c>
      <x:c r="J2178" s="33" t="str">
        <x:v>Unintended Consequences</x:v>
      </x:c>
      <x:c r="K2178" s="33" t="str"/>
      <x:c r="L2178" s="33" t="str"/>
      <x:c r="M2178" s="44" t="str"/>
      <x:c r="N2178" s="50" t="n">
        <x:v>43</x:v>
      </x:c>
      <x:c r="O2178" s="53" t="str">
        <x:v>When a teenaged girl is found dead, Rollins goes undercover at a high-end rehab center where the victim was last seen alive. Meanwhile, Benson tries to overcome her doubts about Sheila.</x:v>
      </x:c>
      <x:c r="P2178" s="53" t="str">
        <x:v>Core Law &amp; Order franchise</x:v>
      </x:c>
      <x:c r="Q2178" s="17" t="str">
        <x:v>2740982</x:v>
      </x:c>
      <x:c r="R2178" s="17" t="str">
        <x:v>tt7195346</x:v>
      </x:c>
      <x:c r="S2178" s="17" t="str">
        <x:v>1415</x:v>
      </x:c>
    </x:row>
    <x:row r="2179">
      <x:c r="A2179" s="43" t="n">
        <x:v>2175</x:v>
      </x:c>
      <x:c r="B2179" s="44" t="str">
        <x:v>Not Started</x:v>
      </x:c>
      <x:c r="C2179" s="45" t="n">
        <x:v>43048</x:v>
      </x:c>
      <x:c r="D2179" s="33" t="str">
        <x:v>Chicago P.D.</x:v>
      </x:c>
      <x:c r="E2179" s="33" t="str">
        <x:v>One Chicago</x:v>
      </x:c>
      <x:c r="F2179" s="33" t="str">
        <x:v>core</x:v>
      </x:c>
      <x:c r="G2179" s="50" t="n">
        <x:v>5</x:v>
      </x:c>
      <x:c r="H2179" s="50" t="n">
        <x:v>6</x:v>
      </x:c>
      <x:c r="I2179" s="44" t="str">
        <x:v>05.06</x:v>
      </x:c>
      <x:c r="J2179" s="33" t="str">
        <x:v>Fallen</x:v>
      </x:c>
      <x:c r="K2179" s="33" t="str"/>
      <x:c r="L2179" s="33" t="str"/>
      <x:c r="M2179" s="44" t="str"/>
      <x:c r="N2179" s="50" t="n">
        <x:v>44</x:v>
      </x:c>
      <x:c r="O2179" s="53" t="str">
        <x:v>A picture perfect family is shot dead in their home and the team goes in search of a drug dealer with a likely connection. Voight asks for the help of Vice Sergeant Sean McGrady who has an old beef with Upton. When McGrady turns up dead during the investigation, the case takes an unlikely turn.</x:v>
      </x:c>
      <x:c r="P2179" s="53" t="str">
        <x:v>Core One Chicago franchise; crossovers with SVU/FBI</x:v>
      </x:c>
      <x:c r="Q2179" s="17" t="str">
        <x:v>2745186</x:v>
      </x:c>
      <x:c r="R2179" s="17" t="str">
        <x:v>tt7271636</x:v>
      </x:c>
      <x:c r="S2179" s="17" t="str"/>
    </x:row>
    <x:row r="2180">
      <x:c r="A2180" s="43" t="n">
        <x:v>2176</x:v>
      </x:c>
      <x:c r="B2180" s="44" t="str">
        <x:v>Not Started</x:v>
      </x:c>
      <x:c r="C2180" s="45" t="n">
        <x:v>43053</x:v>
      </x:c>
      <x:c r="D2180" s="33" t="str">
        <x:v>Law &amp; Order True Crime</x:v>
      </x:c>
      <x:c r="E2180" s="33" t="str">
        <x:v>Law &amp; Order</x:v>
      </x:c>
      <x:c r="F2180" s="33" t="str">
        <x:v>core</x:v>
      </x:c>
      <x:c r="G2180" s="50" t="n">
        <x:v>1</x:v>
      </x:c>
      <x:c r="H2180" s="50" t="n">
        <x:v>8</x:v>
      </x:c>
      <x:c r="I2180" s="44" t="str">
        <x:v>01.08</x:v>
      </x:c>
      <x:c r="J2180" s="33" t="str">
        <x:v>Episode 8</x:v>
      </x:c>
      <x:c r="K2180" s="33" t="str"/>
      <x:c r="L2180" s="33" t="str"/>
      <x:c r="M2180" s="44" t="str"/>
      <x:c r="N2180" s="50" t="n">
        <x:v>43</x:v>
      </x:c>
      <x:c r="O2180" s="53" t="str">
        <x:v>After the first trial results in a hung jury, Barry Levin joins the defense; Judge Weisberg cracks down during the Menendez brothers' second trial. Season finale.</x:v>
      </x:c>
      <x:c r="P2180" s="53" t="str">
        <x:v>Law &amp; Order anthology spinoff</x:v>
      </x:c>
      <x:c r="Q2180" s="17" t="str">
        <x:v>2681109</x:v>
      </x:c>
      <x:c r="R2180" s="17" t="str">
        <x:v>tt6722840</x:v>
      </x:c>
      <x:c r="S2180" s="17" t="str">
        <x:v>1416</x:v>
      </x:c>
    </x:row>
    <x:row r="2181">
      <x:c r="A2181" s="43" t="n">
        <x:v>2177</x:v>
      </x:c>
      <x:c r="B2181" s="44" t="str">
        <x:v>Not Started</x:v>
      </x:c>
      <x:c r="C2181" s="45" t="n">
        <x:v>43055</x:v>
      </x:c>
      <x:c r="D2181" s="33" t="str">
        <x:v>Chicago P.D.</x:v>
      </x:c>
      <x:c r="E2181" s="33" t="str">
        <x:v>One Chicago</x:v>
      </x:c>
      <x:c r="F2181" s="33" t="str">
        <x:v>core</x:v>
      </x:c>
      <x:c r="G2181" s="50" t="n">
        <x:v>5</x:v>
      </x:c>
      <x:c r="H2181" s="50" t="n">
        <x:v>7</x:v>
      </x:c>
      <x:c r="I2181" s="44" t="str">
        <x:v>05.07</x:v>
      </x:c>
      <x:c r="J2181" s="33" t="str">
        <x:v>Care Under Fire</x:v>
      </x:c>
      <x:c r="K2181" s="33" t="str"/>
      <x:c r="L2181" s="33" t="str"/>
      <x:c r="M2181" s="44" t="str"/>
      <x:c r="N2181" s="50" t="n">
        <x:v>45</x:v>
      </x:c>
      <x:c r="O2181" s="53" t="str">
        <x:v>In the wake of several gang-related child abductions, Intelligence must race against time to find a kidnapped boy. Owing to their swiftness and military precision, the team scours the VA records and tracks the suspects to a former Army Ranger. With his previous experience as a Ranger, Halstead convinces Voight to send him undercover to try and get information from inside.</x:v>
      </x:c>
      <x:c r="P2181" s="53" t="str">
        <x:v>Core One Chicago franchise; crossovers with SVU/FBI</x:v>
      </x:c>
      <x:c r="Q2181" s="17" t="str">
        <x:v>2765249</x:v>
      </x:c>
      <x:c r="R2181" s="17" t="str">
        <x:v>tt7271646</x:v>
      </x:c>
      <x:c r="S2181" s="17" t="str"/>
    </x:row>
    <x:row r="2182">
      <x:c r="A2182" s="43" t="n">
        <x:v>2178</x:v>
      </x:c>
      <x:c r="B2182" s="44" t="str">
        <x:v>Not Started</x:v>
      </x:c>
      <x:c r="C2182" s="45" t="n">
        <x:v>43061</x:v>
      </x:c>
      <x:c r="D2182" s="33" t="str">
        <x:v>Chicago Med</x:v>
      </x:c>
      <x:c r="E2182" s="33" t="str">
        <x:v>One Chicago</x:v>
      </x:c>
      <x:c r="F2182" s="33" t="str">
        <x:v>core</x:v>
      </x:c>
      <x:c r="G2182" s="50" t="n">
        <x:v>3</x:v>
      </x:c>
      <x:c r="H2182" s="50" t="n">
        <x:v>1</x:v>
      </x:c>
      <x:c r="I2182" s="44" t="str">
        <x:v>03.01</x:v>
      </x:c>
      <x:c r="J2182" s="33" t="str">
        <x:v>Speak Your Truth</x:v>
      </x:c>
      <x:c r="K2182" s="33" t="str"/>
      <x:c r="L2182" s="33" t="str"/>
      <x:c r="M2182" s="44" t="str"/>
      <x:c r="N2182" s="50" t="n">
        <x:v>42</x:v>
      </x:c>
      <x:c r="O2182" s="53" t="str">
        <x:v>The doctors of Chicago Med take their opinions to the extreme as they try to bring justice to the perpetrator in the shooting of Dr. Charles. Dr. Halstead and Dr. Manning work on a heart-wrenching case that forces them to examine their own matters of the heart. Though Robin’s brain tumor was removed and she is discharged from the rehabilitation center, Dr. Rhodes remains on edge that her problems are not quite resolved. Meanwhile, Rhodes gets blindsided by his colleague Dr. Bekkar, Maggie sticks up for a patient and Dr. Choi and April try to navigate their new working relationship.</x:v>
      </x:c>
      <x:c r="P2182" s="53" t="str">
        <x:v>Core One Chicago franchise</x:v>
      </x:c>
      <x:c r="Q2182" s="17" t="str">
        <x:v>2675260</x:v>
      </x:c>
      <x:c r="R2182" s="17" t="str">
        <x:v>tt6884428</x:v>
      </x:c>
      <x:c r="S2182" s="17" t="str"/>
    </x:row>
    <x:row r="2183">
      <x:c r="A2183" s="43" t="n">
        <x:v>2179</x:v>
      </x:c>
      <x:c r="B2183" s="44" t="str">
        <x:v>Not Started</x:v>
      </x:c>
      <x:c r="C2183" s="45" t="n">
        <x:v>43068</x:v>
      </x:c>
      <x:c r="D2183" s="33" t="str">
        <x:v>Chicago Med</x:v>
      </x:c>
      <x:c r="E2183" s="33" t="str">
        <x:v>One Chicago</x:v>
      </x:c>
      <x:c r="F2183" s="33" t="str">
        <x:v>core</x:v>
      </x:c>
      <x:c r="G2183" s="50" t="n">
        <x:v>3</x:v>
      </x:c>
      <x:c r="H2183" s="50" t="n">
        <x:v>2</x:v>
      </x:c>
      <x:c r="I2183" s="44" t="str">
        <x:v>03.02</x:v>
      </x:c>
      <x:c r="J2183" s="33" t="str">
        <x:v>Nothing to Fear</x:v>
      </x:c>
      <x:c r="K2183" s="33" t="str"/>
      <x:c r="L2183" s="33" t="str"/>
      <x:c r="M2183" s="44" t="str"/>
      <x:c r="N2183" s="50" t="n">
        <x:v>43</x:v>
      </x:c>
      <x:c r="O2183" s="53" t="str">
        <x:v>Dr. Manning goes to extremely measures to help a fearful pregnant woman whose baby is severely underdeveloped. April is angered by Dr. Choi when he uses their personal relationship as leverage to convince a patient of a risky procedure. As Dr. Rhodes attempts to balance his personal and professional life, it appears the stress of his current situation may have caused him to make a huge mistake.</x:v>
      </x:c>
      <x:c r="P2183" s="53" t="str">
        <x:v>Core One Chicago franchise</x:v>
      </x:c>
      <x:c r="Q2183" s="17" t="str">
        <x:v>2675264</x:v>
      </x:c>
      <x:c r="R2183" s="17" t="str">
        <x:v>tt7042822</x:v>
      </x:c>
      <x:c r="S2183" s="17" t="str"/>
    </x:row>
    <x:row r="2184">
      <x:c r="A2184" s="43" t="n">
        <x:v>2180</x:v>
      </x:c>
      <x:c r="B2184" s="44" t="str">
        <x:v>Not Started</x:v>
      </x:c>
      <x:c r="C2184" s="45" t="n">
        <x:v>43068</x:v>
      </x:c>
      <x:c r="D2184" s="33" t="str">
        <x:v>Law &amp; Order: Special Victims Unit</x:v>
      </x:c>
      <x:c r="E2184" s="33" t="str">
        <x:v>Law &amp; Order</x:v>
      </x:c>
      <x:c r="F2184" s="33" t="str">
        <x:v>core</x:v>
      </x:c>
      <x:c r="G2184" s="50" t="n">
        <x:v>19</x:v>
      </x:c>
      <x:c r="H2184" s="50" t="n">
        <x:v>7</x:v>
      </x:c>
      <x:c r="I2184" s="44" t="str">
        <x:v>19.07</x:v>
      </x:c>
      <x:c r="J2184" s="33" t="str">
        <x:v>Something Happened</x:v>
      </x:c>
      <x:c r="K2184" s="33" t="str"/>
      <x:c r="L2184" s="33" t="str"/>
      <x:c r="M2184" s="44" t="str"/>
      <x:c r="N2184" s="50" t="n">
        <x:v>43</x:v>
      </x:c>
      <x:c r="O2184" s="53" t="str">
        <x:v>Benson must disclose the secrets of her past to help a rape victim recall the details of one terrible, traumatic night.</x:v>
      </x:c>
      <x:c r="P2184" s="53" t="str">
        <x:v>Core Law &amp; Order franchise</x:v>
      </x:c>
      <x:c r="Q2184" s="17" t="str">
        <x:v>2779856</x:v>
      </x:c>
      <x:c r="R2184" s="17" t="str">
        <x:v>tt7195348</x:v>
      </x:c>
      <x:c r="S2184" s="17" t="str">
        <x:v>1417</x:v>
      </x:c>
    </x:row>
    <x:row r="2185">
      <x:c r="A2185" s="43" t="n">
        <x:v>2181</x:v>
      </x:c>
      <x:c r="B2185" s="44" t="str">
        <x:v>Not Started</x:v>
      </x:c>
      <x:c r="C2185" s="45" t="n">
        <x:v>43069</x:v>
      </x:c>
      <x:c r="D2185" s="33" t="str">
        <x:v>Chicago P.D.</x:v>
      </x:c>
      <x:c r="E2185" s="33" t="str">
        <x:v>One Chicago</x:v>
      </x:c>
      <x:c r="F2185" s="33" t="str">
        <x:v>core</x:v>
      </x:c>
      <x:c r="G2185" s="50" t="n">
        <x:v>5</x:v>
      </x:c>
      <x:c r="H2185" s="50" t="n">
        <x:v>8</x:v>
      </x:c>
      <x:c r="I2185" s="44" t="str">
        <x:v>05.08</x:v>
      </x:c>
      <x:c r="J2185" s="33" t="str">
        <x:v>Politics</x:v>
      </x:c>
      <x:c r="K2185" s="33" t="str"/>
      <x:c r="L2185" s="33" t="str"/>
      <x:c r="M2185" s="44" t="str"/>
      <x:c r="N2185" s="50" t="n">
        <x:v>44</x:v>
      </x:c>
      <x:c r="O2185" s="53" t="str">
        <x:v>One of Voight's friends, Congressman Scott Graynor is found passed out in his hotel room with a dead Ukranian girl. When Intelligence discovers the murder is connected to a sting and Burgess' boyfriend is working with the Feds, Burgess must choose between compromising her case or her boyfriend's case.</x:v>
      </x:c>
      <x:c r="P2185" s="53" t="str">
        <x:v>Core One Chicago franchise; crossovers with SVU/FBI</x:v>
      </x:c>
      <x:c r="Q2185" s="17" t="str">
        <x:v>2768389</x:v>
      </x:c>
      <x:c r="R2185" s="17" t="str">
        <x:v>tt7271650</x:v>
      </x:c>
      <x:c r="S2185" s="17" t="str"/>
    </x:row>
    <x:row r="2186">
      <x:c r="A2186" s="43" t="n">
        <x:v>2182</x:v>
      </x:c>
      <x:c r="B2186" s="44" t="str">
        <x:v>Not Started</x:v>
      </x:c>
      <x:c r="C2186" s="45" t="n">
        <x:v>43075</x:v>
      </x:c>
      <x:c r="D2186" s="33" t="str">
        <x:v>Chicago Med</x:v>
      </x:c>
      <x:c r="E2186" s="33" t="str">
        <x:v>One Chicago</x:v>
      </x:c>
      <x:c r="F2186" s="33" t="str">
        <x:v>core</x:v>
      </x:c>
      <x:c r="G2186" s="50" t="n">
        <x:v>3</x:v>
      </x:c>
      <x:c r="H2186" s="50" t="n">
        <x:v>3</x:v>
      </x:c>
      <x:c r="I2186" s="44" t="str">
        <x:v>03.03</x:v>
      </x:c>
      <x:c r="J2186" s="33" t="str">
        <x:v>Trust Your Gut</x:v>
      </x:c>
      <x:c r="K2186" s="33" t="str"/>
      <x:c r="L2186" s="33" t="str"/>
      <x:c r="M2186" s="44" t="str"/>
      <x:c r="N2186" s="50" t="n">
        <x:v>42</x:v>
      </x:c>
      <x:c r="O2186" s="53" t="str">
        <x:v>When Goodwin receives financial complaints from the hospital board, she is forced to implement new guidelines that cause headaches for the doctors. Dr. Rhodes and Ava continue to compete in the operating room, while Dr. Charles and Dr. Reese are surprised when they treat a man who has a peculiar theory about his sickness. Dr. Manning and Dr. Cho can't figure out what is wrong with a young girl, leading them to look to a questionable source for answers.</x:v>
      </x:c>
      <x:c r="P2186" s="53" t="str">
        <x:v>Core One Chicago franchise</x:v>
      </x:c>
      <x:c r="Q2186" s="17" t="str">
        <x:v>2675266</x:v>
      </x:c>
      <x:c r="R2186" s="17" t="str">
        <x:v>tt7042832</x:v>
      </x:c>
      <x:c r="S2186" s="17" t="str"/>
    </x:row>
    <x:row r="2187">
      <x:c r="A2187" s="43" t="n">
        <x:v>2183</x:v>
      </x:c>
      <x:c r="B2187" s="44" t="str">
        <x:v>Not Started</x:v>
      </x:c>
      <x:c r="C2187" s="45" t="n">
        <x:v>43075</x:v>
      </x:c>
      <x:c r="D2187" s="33" t="str">
        <x:v>Law &amp; Order: Special Victims Unit</x:v>
      </x:c>
      <x:c r="E2187" s="33" t="str">
        <x:v>Law &amp; Order</x:v>
      </x:c>
      <x:c r="F2187" s="33" t="str">
        <x:v>core</x:v>
      </x:c>
      <x:c r="G2187" s="50" t="n">
        <x:v>19</x:v>
      </x:c>
      <x:c r="H2187" s="50" t="n">
        <x:v>8</x:v>
      </x:c>
      <x:c r="I2187" s="44" t="str">
        <x:v>19.08</x:v>
      </x:c>
      <x:c r="J2187" s="33" t="str">
        <x:v>Intent</x:v>
      </x:c>
      <x:c r="K2187" s="33" t="str"/>
      <x:c r="L2187" s="33" t="str"/>
      <x:c r="M2187" s="44" t="str"/>
      <x:c r="N2187" s="50" t="n">
        <x:v>43</x:v>
      </x:c>
      <x:c r="O2187" s="53" t="str">
        <x:v>The cops get tangled in an elaborate online hoax that leads to the rape of a popular social media star; Benson sets firm ground rules with Sheila.</x:v>
      </x:c>
      <x:c r="P2187" s="53" t="str">
        <x:v>Core Law &amp; Order franchise</x:v>
      </x:c>
      <x:c r="Q2187" s="17" t="str">
        <x:v>2788971</x:v>
      </x:c>
      <x:c r="R2187" s="17" t="str">
        <x:v>tt7195350</x:v>
      </x:c>
      <x:c r="S2187" s="17" t="str">
        <x:v>1418</x:v>
      </x:c>
    </x:row>
    <x:row r="2188">
      <x:c r="A2188" s="43" t="n">
        <x:v>2184</x:v>
      </x:c>
      <x:c r="B2188" s="44" t="str">
        <x:v>Not Started</x:v>
      </x:c>
      <x:c r="C2188" s="45" t="n">
        <x:v>43076</x:v>
      </x:c>
      <x:c r="D2188" s="33" t="str">
        <x:v>Chicago P.D.</x:v>
      </x:c>
      <x:c r="E2188" s="33" t="str">
        <x:v>One Chicago</x:v>
      </x:c>
      <x:c r="F2188" s="33" t="str">
        <x:v>core</x:v>
      </x:c>
      <x:c r="G2188" s="50" t="n">
        <x:v>5</x:v>
      </x:c>
      <x:c r="H2188" s="50" t="n">
        <x:v>9</x:v>
      </x:c>
      <x:c r="I2188" s="44" t="str">
        <x:v>05.09</x:v>
      </x:c>
      <x:c r="J2188" s="33" t="str">
        <x:v>Monster</x:v>
      </x:c>
      <x:c r="K2188" s="33" t="str"/>
      <x:c r="L2188" s="33" t="str"/>
      <x:c r="M2188" s="44" t="str"/>
      <x:c r="N2188" s="50" t="n">
        <x:v>45</x:v>
      </x:c>
      <x:c r="O2188" s="53" t="str">
        <x:v>The death of Judge Tommy Wells' daughter puts Intelligence on the track of a pill mill spreading into the suburbs of Chicago and the doctor enabling it. Meanwhile, Voight discovers who's been leaking information from the 21st.</x:v>
      </x:c>
      <x:c r="P2188" s="53" t="str">
        <x:v>Core One Chicago franchise; crossovers with SVU/FBI</x:v>
      </x:c>
      <x:c r="Q2188" s="17" t="str">
        <x:v>2789245</x:v>
      </x:c>
      <x:c r="R2188" s="17" t="str">
        <x:v>tt7601314</x:v>
      </x:c>
      <x:c r="S2188" s="17" t="str"/>
    </x:row>
    <x:row r="2189">
      <x:c r="A2189" s="43" t="n">
        <x:v>2185</x:v>
      </x:c>
      <x:c r="B2189" s="44" t="str">
        <x:v>Not Started</x:v>
      </x:c>
      <x:c r="C2189" s="45" t="n">
        <x:v>43082</x:v>
      </x:c>
      <x:c r="D2189" s="33" t="str">
        <x:v>Chicago Med</x:v>
      </x:c>
      <x:c r="E2189" s="33" t="str">
        <x:v>One Chicago</x:v>
      </x:c>
      <x:c r="F2189" s="33" t="str">
        <x:v>core</x:v>
      </x:c>
      <x:c r="G2189" s="50" t="n">
        <x:v>3</x:v>
      </x:c>
      <x:c r="H2189" s="50" t="n">
        <x:v>4</x:v>
      </x:c>
      <x:c r="I2189" s="44" t="str">
        <x:v>03.04</x:v>
      </x:c>
      <x:c r="J2189" s="33" t="str">
        <x:v>Naughty or Nice</x:v>
      </x:c>
      <x:c r="K2189" s="33" t="str"/>
      <x:c r="L2189" s="33" t="str"/>
      <x:c r="M2189" s="44" t="str"/>
      <x:c r="N2189" s="50" t="n">
        <x:v>43</x:v>
      </x:c>
      <x:c r="O2189" s="53" t="str">
        <x:v>Dr. Charles learns a troubling fact about the man who shot him. Dr. Rhodes and Dr. Bekker come to an agreement during a complicated surgery. Will and Natalie are trapped by legal ethics when an unfaithful husband refuses to tell his wife about his inconclusive Zika test. Meanwhile, April and Noah discover working together isn't always easy while Goodwin continues to argue with the board over hospital costs after an avoidable patient death.</x:v>
      </x:c>
      <x:c r="P2189" s="53" t="str">
        <x:v>Core One Chicago franchise</x:v>
      </x:c>
      <x:c r="Q2189" s="17" t="str">
        <x:v>2684396</x:v>
      </x:c>
      <x:c r="R2189" s="17" t="str">
        <x:v>tt7042826</x:v>
      </x:c>
      <x:c r="S2189" s="17" t="str"/>
    </x:row>
    <x:row r="2190">
      <x:c r="A2190" s="43" t="n">
        <x:v>2186</x:v>
      </x:c>
      <x:c r="B2190" s="44" t="str">
        <x:v>Not Started</x:v>
      </x:c>
      <x:c r="C2190" s="45" t="n">
        <x:v>43103</x:v>
      </x:c>
      <x:c r="D2190" s="33" t="str">
        <x:v>Chicago Med</x:v>
      </x:c>
      <x:c r="E2190" s="33" t="str">
        <x:v>One Chicago</x:v>
      </x:c>
      <x:c r="F2190" s="33" t="str">
        <x:v>core</x:v>
      </x:c>
      <x:c r="G2190" s="50" t="n">
        <x:v>3</x:v>
      </x:c>
      <x:c r="H2190" s="50" t="n">
        <x:v>5</x:v>
      </x:c>
      <x:c r="I2190" s="44" t="str">
        <x:v>03.05</x:v>
      </x:c>
      <x:c r="J2190" s="33" t="str">
        <x:v>Mountains and Molehills</x:v>
      </x:c>
      <x:c r="K2190" s="33" t="str"/>
      <x:c r="L2190" s="33" t="str"/>
      <x:c r="M2190" s="44" t="str"/>
      <x:c r="N2190" s="50" t="n">
        <x:v>43</x:v>
      </x:c>
      <x:c r="O2190" s="53" t="str">
        <x:v>When a young woman with HIV symptoms and no insurance refuses to take the test, Goodwin and Dr. Choi attempt to treat her without taking a toll on the hospital's resources. Natalie and Will try to diagnose a young girl with increasing paralysis. Noah deals with his first death as a resident and takes it upon himself to inform the family. Sarah continues to avoid work as her fear over the hospital's security increases.</x:v>
      </x:c>
      <x:c r="P2190" s="53" t="str">
        <x:v>Core One Chicago franchise</x:v>
      </x:c>
      <x:c r="Q2190" s="17" t="str">
        <x:v>2703156</x:v>
      </x:c>
      <x:c r="R2190" s="17" t="str">
        <x:v>tt7042860</x:v>
      </x:c>
      <x:c r="S2190" s="17" t="str"/>
    </x:row>
    <x:row r="2191">
      <x:c r="A2191" s="43" t="n">
        <x:v>2187</x:v>
      </x:c>
      <x:c r="B2191" s="44" t="str">
        <x:v>Not Started</x:v>
      </x:c>
      <x:c r="C2191" s="45" t="n">
        <x:v>43103</x:v>
      </x:c>
      <x:c r="D2191" s="33" t="str">
        <x:v>Law &amp; Order: Special Victims Unit</x:v>
      </x:c>
      <x:c r="E2191" s="33" t="str">
        <x:v>Law &amp; Order</x:v>
      </x:c>
      <x:c r="F2191" s="33" t="str">
        <x:v>core</x:v>
      </x:c>
      <x:c r="G2191" s="50" t="n">
        <x:v>19</x:v>
      </x:c>
      <x:c r="H2191" s="50" t="n">
        <x:v>9</x:v>
      </x:c>
      <x:c r="I2191" s="44" t="str">
        <x:v>19.09</x:v>
      </x:c>
      <x:c r="J2191" s="33" t="str">
        <x:v>Gone Baby Gone</x:v>
      </x:c>
      <x:c r="K2191" s="33" t="str"/>
      <x:c r="L2191" s="33" t="str"/>
      <x:c r="M2191" s="44" t="str"/>
      <x:c r="N2191" s="50" t="n">
        <x:v>43</x:v>
      </x:c>
      <x:c r="O2191" s="53" t="str">
        <x:v>Emotions run high as the SVU squad embarks on a frantic search for Benson's missing son.</x:v>
      </x:c>
      <x:c r="P2191" s="53" t="str">
        <x:v>Core Law &amp; Order franchise</x:v>
      </x:c>
      <x:c r="Q2191" s="17" t="str">
        <x:v>2803039</x:v>
      </x:c>
      <x:c r="R2191" s="17" t="str">
        <x:v>tt7195352</x:v>
      </x:c>
      <x:c r="S2191" s="17" t="str">
        <x:v>1419</x:v>
      </x:c>
    </x:row>
    <x:row r="2192">
      <x:c r="A2192" s="43" t="n">
        <x:v>2188</x:v>
      </x:c>
      <x:c r="B2192" s="44" t="str">
        <x:v>Not Started</x:v>
      </x:c>
      <x:c r="C2192" s="45" t="n">
        <x:v>43104</x:v>
      </x:c>
      <x:c r="D2192" s="33" t="str">
        <x:v>Chicago P.D.</x:v>
      </x:c>
      <x:c r="E2192" s="33" t="str">
        <x:v>One Chicago</x:v>
      </x:c>
      <x:c r="F2192" s="33" t="str">
        <x:v>core</x:v>
      </x:c>
      <x:c r="G2192" s="50" t="n">
        <x:v>5</x:v>
      </x:c>
      <x:c r="H2192" s="50" t="n">
        <x:v>10</x:v>
      </x:c>
      <x:c r="I2192" s="44" t="str">
        <x:v>05.10</x:v>
      </x:c>
      <x:c r="J2192" s="33" t="str">
        <x:v>Rabbit Hole</x:v>
      </x:c>
      <x:c r="K2192" s="33" t="str"/>
      <x:c r="L2192" s="33" t="str"/>
      <x:c r="M2192" s="44" t="str"/>
      <x:c r="N2192" s="50" t="n">
        <x:v>45</x:v>
      </x:c>
      <x:c r="O2192" s="53" t="str">
        <x:v>Halstead's partying with Camila unintentionally puts him in the middle of a drug-related homicide. He's forced to choose between loyalty to his unit and his girl. Meanwhile, Voight finally discovers the mole in his unit.</x:v>
      </x:c>
      <x:c r="P2192" s="53" t="str">
        <x:v>Core One Chicago franchise; crossovers with SVU/FBI</x:v>
      </x:c>
      <x:c r="Q2192" s="17" t="str">
        <x:v>2795873</x:v>
      </x:c>
      <x:c r="R2192" s="17" t="str">
        <x:v>tt7716984</x:v>
      </x:c>
      <x:c r="S2192" s="17" t="str"/>
    </x:row>
    <x:row r="2193">
      <x:c r="A2193" s="43" t="n">
        <x:v>2189</x:v>
      </x:c>
      <x:c r="B2193" s="44" t="str">
        <x:v>Not Started</x:v>
      </x:c>
      <x:c r="C2193" s="45" t="n">
        <x:v>43105</x:v>
      </x:c>
      <x:c r="D2193" s="33" t="str">
        <x:v>Chicago Fire</x:v>
      </x:c>
      <x:c r="E2193" s="33" t="str">
        <x:v>One Chicago</x:v>
      </x:c>
      <x:c r="F2193" s="33" t="str">
        <x:v>core</x:v>
      </x:c>
      <x:c r="G2193" s="50" t="n">
        <x:v>6</x:v>
      </x:c>
      <x:c r="H2193" s="50" t="n">
        <x:v>7</x:v>
      </x:c>
      <x:c r="I2193" s="44" t="str">
        <x:v>06.07</x:v>
      </x:c>
      <x:c r="J2193" s="33" t="str">
        <x:v>A Man's Legacy</x:v>
      </x:c>
      <x:c r="K2193" s="33" t="str"/>
      <x:c r="L2193" s="33" t="str"/>
      <x:c r="M2193" s="44" t="str"/>
      <x:c r="N2193" s="50" t="n">
        <x:v>41</x:v>
      </x:c>
      <x:c r="O2193" s="53" t="str">
        <x:v>Brett attempts to make a lifesaving decision in the field to someone near and dear to the firehouse family. In an effort to impress Lily, Otis scrambles to get everything together for the grand opening of Molly's North. Meanwhile, Boden becomes emotional following the rescue of a famous blues player from a burning apartment building and Dawson struggles to come to terms with how she has been dealing with her father.</x:v>
      </x:c>
      <x:c r="P2193" s="53" t="str">
        <x:v>Core One Chicago franchise</x:v>
      </x:c>
      <x:c r="Q2193" s="17" t="str">
        <x:v>2781799</x:v>
      </x:c>
      <x:c r="R2193" s="17" t="str">
        <x:v>tt7589540</x:v>
      </x:c>
      <x:c r="S2193" s="17" t="str"/>
    </x:row>
    <x:row r="2194">
      <x:c r="A2194" s="43" t="n">
        <x:v>2190</x:v>
      </x:c>
      <x:c r="B2194" s="44" t="str">
        <x:v>Not Started</x:v>
      </x:c>
      <x:c r="C2194" s="45" t="n">
        <x:v>43110</x:v>
      </x:c>
      <x:c r="D2194" s="33" t="str">
        <x:v>Chicago Med</x:v>
      </x:c>
      <x:c r="E2194" s="33" t="str">
        <x:v>One Chicago</x:v>
      </x:c>
      <x:c r="F2194" s="33" t="str">
        <x:v>core</x:v>
      </x:c>
      <x:c r="G2194" s="50" t="n">
        <x:v>3</x:v>
      </x:c>
      <x:c r="H2194" s="50" t="n">
        <x:v>6</x:v>
      </x:c>
      <x:c r="I2194" s="44" t="str">
        <x:v>03.06</x:v>
      </x:c>
      <x:c r="J2194" s="33" t="str">
        <x:v>Ties That Bind</x:v>
      </x:c>
      <x:c r="K2194" s="33" t="str"/>
      <x:c r="L2194" s="33" t="str"/>
      <x:c r="M2194" s="44" t="str"/>
      <x:c r="N2194" s="50" t="n">
        <x:v>44</x:v>
      </x:c>
      <x:c r="O2194" s="53" t="str">
        <x:v>Ethan attempts to diagnose a man with no symptoms while Sarah's paranoia goes to the extreme when she uses pepper spray on an aggressive patient. Will treats a young couple willing to sacrifice anything in order to have a baby. Meanwhile, Natalie must inform a woman that she was sterilized as a young girl without knowledge, and Goodwin and Maggie devise a way to persuade paramedics to bring in more patients.</x:v>
      </x:c>
      <x:c r="P2194" s="53" t="str">
        <x:v>Core One Chicago franchise</x:v>
      </x:c>
      <x:c r="Q2194" s="17" t="str">
        <x:v>2703157</x:v>
      </x:c>
      <x:c r="R2194" s="17" t="str">
        <x:v>tt7042852</x:v>
      </x:c>
      <x:c r="S2194" s="17" t="str"/>
    </x:row>
    <x:row r="2195">
      <x:c r="A2195" s="43" t="n">
        <x:v>2191</x:v>
      </x:c>
      <x:c r="B2195" s="44" t="str">
        <x:v>Not Started</x:v>
      </x:c>
      <x:c r="C2195" s="45" t="n">
        <x:v>43110</x:v>
      </x:c>
      <x:c r="D2195" s="33" t="str">
        <x:v>Law &amp; Order: Special Victims Unit</x:v>
      </x:c>
      <x:c r="E2195" s="33" t="str">
        <x:v>Law &amp; Order</x:v>
      </x:c>
      <x:c r="F2195" s="33" t="str">
        <x:v>core</x:v>
      </x:c>
      <x:c r="G2195" s="50" t="n">
        <x:v>19</x:v>
      </x:c>
      <x:c r="H2195" s="50" t="n">
        <x:v>10</x:v>
      </x:c>
      <x:c r="I2195" s="44" t="str">
        <x:v>19.10</x:v>
      </x:c>
      <x:c r="J2195" s="33" t="str">
        <x:v>Pathological</x:v>
      </x:c>
      <x:c r="K2195" s="33" t="str"/>
      <x:c r="L2195" s="33" t="str"/>
      <x:c r="M2195" s="44" t="str"/>
      <x:c r="N2195" s="50" t="n">
        <x:v>43</x:v>
      </x:c>
      <x:c r="O2195" s="53" t="str">
        <x:v>When the SVU investigates a case involving two students in a special needs school, Rollins discovers that one child's medical issues stem from a surprising source.</x:v>
      </x:c>
      <x:c r="P2195" s="53" t="str">
        <x:v>Core Law &amp; Order franchise</x:v>
      </x:c>
      <x:c r="Q2195" s="17" t="str">
        <x:v>2803045</x:v>
      </x:c>
      <x:c r="R2195" s="17" t="str">
        <x:v>tt7195354</x:v>
      </x:c>
      <x:c r="S2195" s="17" t="str">
        <x:v>1420</x:v>
      </x:c>
    </x:row>
    <x:row r="2196">
      <x:c r="A2196" s="43" t="n">
        <x:v>2192</x:v>
      </x:c>
      <x:c r="B2196" s="44" t="str">
        <x:v>Not Started</x:v>
      </x:c>
      <x:c r="C2196" s="45" t="n">
        <x:v>43111</x:v>
      </x:c>
      <x:c r="D2196" s="33" t="str">
        <x:v>Chicago P.D.</x:v>
      </x:c>
      <x:c r="E2196" s="33" t="str">
        <x:v>One Chicago</x:v>
      </x:c>
      <x:c r="F2196" s="33" t="str">
        <x:v>core</x:v>
      </x:c>
      <x:c r="G2196" s="50" t="n">
        <x:v>5</x:v>
      </x:c>
      <x:c r="H2196" s="50" t="n">
        <x:v>11</x:v>
      </x:c>
      <x:c r="I2196" s="44" t="str">
        <x:v>05.11</x:v>
      </x:c>
      <x:c r="J2196" s="33" t="str">
        <x:v>Confidential</x:v>
      </x:c>
      <x:c r="K2196" s="33" t="str"/>
      <x:c r="L2196" s="33" t="str"/>
      <x:c r="M2196" s="44" t="str"/>
      <x:c r="N2196" s="50" t="n">
        <x:v>44</x:v>
      </x:c>
      <x:c r="O2196" s="53" t="str">
        <x:v>While trying to find the pimp, Intelligence stumbles on the women's shelter where he's scouting out girls. And Burgess moves the case forward with a series of confidential tips, but risks putting her informant in harm's way.</x:v>
      </x:c>
      <x:c r="P2196" s="53" t="str">
        <x:v>Core One Chicago franchise; crossovers with SVU/FBI</x:v>
      </x:c>
      <x:c r="Q2196" s="17" t="str">
        <x:v>2823751</x:v>
      </x:c>
      <x:c r="R2196" s="17" t="str">
        <x:v>tt7676232</x:v>
      </x:c>
      <x:c r="S2196" s="17" t="str"/>
    </x:row>
    <x:row r="2197">
      <x:c r="A2197" s="43" t="n">
        <x:v>2193</x:v>
      </x:c>
      <x:c r="B2197" s="44" t="str">
        <x:v>Not Started</x:v>
      </x:c>
      <x:c r="C2197" s="45" t="n">
        <x:v>43112</x:v>
      </x:c>
      <x:c r="D2197" s="33" t="str">
        <x:v>Chicago Fire</x:v>
      </x:c>
      <x:c r="E2197" s="33" t="str">
        <x:v>One Chicago</x:v>
      </x:c>
      <x:c r="F2197" s="33" t="str">
        <x:v>core</x:v>
      </x:c>
      <x:c r="G2197" s="50" t="n">
        <x:v>6</x:v>
      </x:c>
      <x:c r="H2197" s="50" t="n">
        <x:v>8</x:v>
      </x:c>
      <x:c r="I2197" s="44" t="str">
        <x:v>06.08</x:v>
      </x:c>
      <x:c r="J2197" s="33" t="str">
        <x:v>The Whole Point of Being Roommates</x:v>
      </x:c>
      <x:c r="K2197" s="33" t="str"/>
      <x:c r="L2197" s="33" t="str"/>
      <x:c r="M2197" s="44" t="str"/>
      <x:c r="N2197" s="50" t="n">
        <x:v>41</x:v>
      </x:c>
      <x:c r="O2197" s="53" t="str">
        <x:v>After saving a young girl, Dawson is forced to make a tough decision when she finds out the girl's father is addicted to painkillers. Herrmann loses his cool and gets into an altercation with a police officer after responding to a call. Otis and Cruz are on a mission to find out who Brett is dating. Meanwhile, Boden is skeptical when Donna's brother Julian unexpectedly comes to town.</x:v>
      </x:c>
      <x:c r="P2197" s="53" t="str">
        <x:v>Core One Chicago franchise</x:v>
      </x:c>
      <x:c r="Q2197" s="17" t="str">
        <x:v>2823827</x:v>
      </x:c>
      <x:c r="R2197" s="17" t="str">
        <x:v>tt7614862</x:v>
      </x:c>
      <x:c r="S2197" s="17" t="str"/>
    </x:row>
    <x:row r="2198">
      <x:c r="A2198" s="43" t="n">
        <x:v>2194</x:v>
      </x:c>
      <x:c r="B2198" s="44" t="str">
        <x:v>Not Started</x:v>
      </x:c>
      <x:c r="C2198" s="45" t="n">
        <x:v>43117</x:v>
      </x:c>
      <x:c r="D2198" s="33" t="str">
        <x:v>Chicago Med</x:v>
      </x:c>
      <x:c r="E2198" s="33" t="str">
        <x:v>One Chicago</x:v>
      </x:c>
      <x:c r="F2198" s="33" t="str">
        <x:v>core</x:v>
      </x:c>
      <x:c r="G2198" s="50" t="n">
        <x:v>3</x:v>
      </x:c>
      <x:c r="H2198" s="50" t="n">
        <x:v>7</x:v>
      </x:c>
      <x:c r="I2198" s="44" t="str">
        <x:v>03.07</x:v>
      </x:c>
      <x:c r="J2198" s="33" t="str">
        <x:v>Over Troubled Water</x:v>
      </x:c>
      <x:c r="K2198" s="33" t="str"/>
      <x:c r="L2198" s="33" t="str"/>
      <x:c r="M2198" s="44" t="str"/>
      <x:c r="N2198" s="50" t="n">
        <x:v>44</x:v>
      </x:c>
      <x:c r="O2198" s="53" t="str">
        <x:v>Dr. Charles feels pressure when Dr. Choi and Dr. Manning criticize his medical decision regarding an ill newborn baby. Dr. Rhodes comes to terms with his relationship issues. Goodwin helps Bert understand Lyla's sickness.</x:v>
      </x:c>
      <x:c r="P2198" s="53" t="str">
        <x:v>Core One Chicago franchise</x:v>
      </x:c>
      <x:c r="Q2198" s="17" t="str">
        <x:v>2764553</x:v>
      </x:c>
      <x:c r="R2198" s="17" t="str">
        <x:v>tt7042856</x:v>
      </x:c>
      <x:c r="S2198" s="17" t="str"/>
    </x:row>
    <x:row r="2199">
      <x:c r="A2199" s="43" t="n">
        <x:v>2195</x:v>
      </x:c>
      <x:c r="B2199" s="44" t="str">
        <x:v>Not Started</x:v>
      </x:c>
      <x:c r="C2199" s="45" t="n">
        <x:v>43117</x:v>
      </x:c>
      <x:c r="D2199" s="33" t="str">
        <x:v>Law &amp; Order: Special Victims Unit</x:v>
      </x:c>
      <x:c r="E2199" s="33" t="str">
        <x:v>Law &amp; Order</x:v>
      </x:c>
      <x:c r="F2199" s="33" t="str">
        <x:v>core</x:v>
      </x:c>
      <x:c r="G2199" s="50" t="n">
        <x:v>19</x:v>
      </x:c>
      <x:c r="H2199" s="50" t="n">
        <x:v>11</x:v>
      </x:c>
      <x:c r="I2199" s="44" t="str">
        <x:v>19.11</x:v>
      </x:c>
      <x:c r="J2199" s="33" t="str">
        <x:v>Flight Risk</x:v>
      </x:c>
      <x:c r="K2199" s="33" t="str"/>
      <x:c r="L2199" s="33" t="str"/>
      <x:c r="M2199" s="44" t="str"/>
      <x:c r="N2199" s="50" t="n">
        <x:v>43</x:v>
      </x:c>
      <x:c r="O2199" s="53" t="str">
        <x:v>When an airline pilot accuses her captain of sexual assault, Barba convenes a Grand Jury to determine their employer's complicity in the crime. Meanwhile, Fin takes steps to ensure Benson is protected at work.</x:v>
      </x:c>
      <x:c r="P2199" s="53" t="str">
        <x:v>Core Law &amp; Order franchise</x:v>
      </x:c>
      <x:c r="Q2199" s="17" t="str">
        <x:v>2803052</x:v>
      </x:c>
      <x:c r="R2199" s="17" t="str">
        <x:v>tt7195356</x:v>
      </x:c>
      <x:c r="S2199" s="17" t="str">
        <x:v>1421</x:v>
      </x:c>
    </x:row>
    <x:row r="2200">
      <x:c r="A2200" s="43" t="n">
        <x:v>2196</x:v>
      </x:c>
      <x:c r="B2200" s="44" t="str">
        <x:v>Not Started</x:v>
      </x:c>
      <x:c r="C2200" s="45" t="n">
        <x:v>43118</x:v>
      </x:c>
      <x:c r="D2200" s="33" t="str">
        <x:v>Chicago P.D.</x:v>
      </x:c>
      <x:c r="E2200" s="33" t="str">
        <x:v>One Chicago</x:v>
      </x:c>
      <x:c r="F2200" s="33" t="str">
        <x:v>core</x:v>
      </x:c>
      <x:c r="G2200" s="50" t="n">
        <x:v>5</x:v>
      </x:c>
      <x:c r="H2200" s="50" t="n">
        <x:v>12</x:v>
      </x:c>
      <x:c r="I2200" s="44" t="str">
        <x:v>05.12</x:v>
      </x:c>
      <x:c r="J2200" s="33" t="str">
        <x:v>Captive</x:v>
      </x:c>
      <x:c r="K2200" s="33" t="str"/>
      <x:c r="L2200" s="33" t="str"/>
      <x:c r="M2200" s="44" t="str"/>
      <x:c r="N2200" s="50" t="n">
        <x:v>45</x:v>
      </x:c>
      <x:c r="O2200" s="53" t="str">
        <x:v>When Atwater disappears at the house of a convicted felon, the evidence doesn't look promising - with his belongings and his blood left behind. Intelligence rallies to rescue him before it's too late. And Atwater struggles for survival faced with not only his captor but also a difficult connection to his past.</x:v>
      </x:c>
      <x:c r="P2200" s="53" t="str">
        <x:v>Core One Chicago franchise; crossovers with SVU/FBI</x:v>
      </x:c>
      <x:c r="Q2200" s="17" t="str">
        <x:v>2832030</x:v>
      </x:c>
      <x:c r="R2200" s="17" t="str">
        <x:v>tt7684032</x:v>
      </x:c>
      <x:c r="S2200" s="17" t="str"/>
    </x:row>
    <x:row r="2201">
      <x:c r="A2201" s="43" t="n">
        <x:v>2197</x:v>
      </x:c>
      <x:c r="B2201" s="44" t="str">
        <x:v>Not Started</x:v>
      </x:c>
      <x:c r="C2201" s="45" t="n">
        <x:v>43119</x:v>
      </x:c>
      <x:c r="D2201" s="33" t="str">
        <x:v>Chicago Fire</x:v>
      </x:c>
      <x:c r="E2201" s="33" t="str">
        <x:v>One Chicago</x:v>
      </x:c>
      <x:c r="F2201" s="33" t="str">
        <x:v>core</x:v>
      </x:c>
      <x:c r="G2201" s="50" t="n">
        <x:v>6</x:v>
      </x:c>
      <x:c r="H2201" s="50" t="n">
        <x:v>9</x:v>
      </x:c>
      <x:c r="I2201" s="44" t="str">
        <x:v>06.09</x:v>
      </x:c>
      <x:c r="J2201" s="33" t="str">
        <x:v>Foul Is Fair</x:v>
      </x:c>
      <x:c r="K2201" s="33" t="str"/>
      <x:c r="L2201" s="33" t="str"/>
      <x:c r="M2201" s="44" t="str"/>
      <x:c r="N2201" s="50" t="n">
        <x:v>41</x:v>
      </x:c>
      <x:c r="O2201" s="53" t="str">
        <x:v>After learning unsettling news, Dawson enlists Severide to help her out. Elsewhere, Casey and Dawson struggle with communication issues while Brett and Kidd compete to win the heart of Zach, a Hazmat officer. Meanwhile, Otis, Herrmann and Mouch are on a mission to locate the source of a horrible stench that is making life unpleasant at Firehouse 51.</x:v>
      </x:c>
      <x:c r="P2201" s="53" t="str">
        <x:v>Core One Chicago franchise</x:v>
      </x:c>
      <x:c r="Q2201" s="17" t="str">
        <x:v>2832013</x:v>
      </x:c>
      <x:c r="R2201" s="17" t="str">
        <x:v>tt7794250</x:v>
      </x:c>
      <x:c r="S2201" s="17" t="str"/>
    </x:row>
    <x:row r="2202">
      <x:c r="A2202" s="43" t="n">
        <x:v>2198</x:v>
      </x:c>
      <x:c r="B2202" s="44" t="str">
        <x:v>Not Started</x:v>
      </x:c>
      <x:c r="C2202" s="45" t="n">
        <x:v>43124</x:v>
      </x:c>
      <x:c r="D2202" s="33" t="str">
        <x:v>Chicago Med</x:v>
      </x:c>
      <x:c r="E2202" s="33" t="str">
        <x:v>One Chicago</x:v>
      </x:c>
      <x:c r="F2202" s="33" t="str">
        <x:v>core</x:v>
      </x:c>
      <x:c r="G2202" s="50" t="n">
        <x:v>3</x:v>
      </x:c>
      <x:c r="H2202" s="50" t="n">
        <x:v>8</x:v>
      </x:c>
      <x:c r="I2202" s="44" t="str">
        <x:v>03.08</x:v>
      </x:c>
      <x:c r="J2202" s="33" t="str">
        <x:v>Lemons and Lemonade</x:v>
      </x:c>
      <x:c r="K2202" s="33" t="str"/>
      <x:c r="L2202" s="33" t="str"/>
      <x:c r="M2202" s="44" t="str"/>
      <x:c r="N2202" s="50" t="n">
        <x:v>43</x:v>
      </x:c>
      <x:c r="O2202" s="53" t="str">
        <x:v>Dr. Choi struggles to help a woman cope with anorexia. After a two-week suspension, Dr. Reese is immediately put to the test upon her return by Dr. Charles. Dr. Rhodes takes a stand when one of his patients is forcibly transferred. Meanwhile, Dr. Halstead is on a mission to get Dr. Manning's son to like him.</x:v>
      </x:c>
      <x:c r="P2202" s="53" t="str">
        <x:v>Core One Chicago franchise</x:v>
      </x:c>
      <x:c r="Q2202" s="17" t="str">
        <x:v>2764554</x:v>
      </x:c>
      <x:c r="R2202" s="17" t="str">
        <x:v>tt7042858</x:v>
      </x:c>
      <x:c r="S2202" s="17" t="str"/>
    </x:row>
    <x:row r="2203">
      <x:c r="A2203" s="43" t="n">
        <x:v>2199</x:v>
      </x:c>
      <x:c r="B2203" s="44" t="str">
        <x:v>Not Started</x:v>
      </x:c>
      <x:c r="C2203" s="45" t="n">
        <x:v>43126</x:v>
      </x:c>
      <x:c r="D2203" s="33" t="str">
        <x:v>Chicago Fire</x:v>
      </x:c>
      <x:c r="E2203" s="33" t="str">
        <x:v>One Chicago</x:v>
      </x:c>
      <x:c r="F2203" s="33" t="str">
        <x:v>core</x:v>
      </x:c>
      <x:c r="G2203" s="50" t="n">
        <x:v>6</x:v>
      </x:c>
      <x:c r="H2203" s="50" t="n">
        <x:v>10</x:v>
      </x:c>
      <x:c r="I2203" s="44" t="str">
        <x:v>06.10</x:v>
      </x:c>
      <x:c r="J2203" s="33" t="str">
        <x:v>Slamigan</x:v>
      </x:c>
      <x:c r="K2203" s="33" t="str"/>
      <x:c r="L2203" s="33" t="str"/>
      <x:c r="M2203" s="44" t="str"/>
      <x:c r="N2203" s="50" t="n">
        <x:v>41</x:v>
      </x:c>
      <x:c r="O2203" s="53" t="str">
        <x:v>Dawson and Casey do everything they can to locate Bria's whereabouts after discovering important new information. Lt. Severide reunites with Chief Grissom, and old family friend. Meanwhile, Cruz enlists the help of Brett and Mouch to create a new tool and Kidd and Zach go on a date.</x:v>
      </x:c>
      <x:c r="P2203" s="53" t="str">
        <x:v>Core One Chicago franchise</x:v>
      </x:c>
      <x:c r="Q2203" s="17" t="str">
        <x:v>2844482</x:v>
      </x:c>
      <x:c r="R2203" s="17" t="str">
        <x:v>tt7826016</x:v>
      </x:c>
      <x:c r="S2203" s="17" t="str"/>
    </x:row>
    <x:row r="2204">
      <x:c r="A2204" s="43" t="n">
        <x:v>2200</x:v>
      </x:c>
      <x:c r="B2204" s="44" t="str">
        <x:v>Not Started</x:v>
      </x:c>
      <x:c r="C2204" s="45" t="n">
        <x:v>43131</x:v>
      </x:c>
      <x:c r="D2204" s="33" t="str">
        <x:v>Law &amp; Order: Special Victims Unit</x:v>
      </x:c>
      <x:c r="E2204" s="33" t="str">
        <x:v>Law &amp; Order</x:v>
      </x:c>
      <x:c r="F2204" s="33" t="str">
        <x:v>core</x:v>
      </x:c>
      <x:c r="G2204" s="50" t="n">
        <x:v>19</x:v>
      </x:c>
      <x:c r="H2204" s="50" t="n">
        <x:v>12</x:v>
      </x:c>
      <x:c r="I2204" s="44" t="str">
        <x:v>19.12</x:v>
      </x:c>
      <x:c r="J2204" s="33" t="str">
        <x:v>Info Wars</x:v>
      </x:c>
      <x:c r="K2204" s="33" t="str"/>
      <x:c r="L2204" s="33" t="str"/>
      <x:c r="M2204" s="44" t="str"/>
      <x:c r="N2204" s="50" t="n">
        <x:v>43</x:v>
      </x:c>
      <x:c r="O2204" s="53" t="str">
        <x:v>After a female pundit is assaulted during a protest, Benson and Barba struggle to put their political beliefs aside in order to help bring the attacker to justice.</x:v>
      </x:c>
      <x:c r="P2204" s="53" t="str">
        <x:v>Core Law &amp; Order franchise</x:v>
      </x:c>
      <x:c r="Q2204" s="17" t="str">
        <x:v>2844519</x:v>
      </x:c>
      <x:c r="R2204" s="17" t="str">
        <x:v>tt7195358</x:v>
      </x:c>
      <x:c r="S2204" s="17" t="str">
        <x:v>1422</x:v>
      </x:c>
    </x:row>
    <x:row r="2205">
      <x:c r="A2205" s="43" t="n">
        <x:v>2201</x:v>
      </x:c>
      <x:c r="B2205" s="44" t="str">
        <x:v>Not Started</x:v>
      </x:c>
      <x:c r="C2205" s="45" t="n">
        <x:v>43132</x:v>
      </x:c>
      <x:c r="D2205" s="33" t="str">
        <x:v>Chicago P.D.</x:v>
      </x:c>
      <x:c r="E2205" s="33" t="str">
        <x:v>One Chicago</x:v>
      </x:c>
      <x:c r="F2205" s="33" t="str">
        <x:v>core</x:v>
      </x:c>
      <x:c r="G2205" s="50" t="n">
        <x:v>5</x:v>
      </x:c>
      <x:c r="H2205" s="50" t="n">
        <x:v>13</x:v>
      </x:c>
      <x:c r="I2205" s="44" t="str">
        <x:v>05.13</x:v>
      </x:c>
      <x:c r="J2205" s="33" t="str">
        <x:v>Chasing Monsters</x:v>
      </x:c>
      <x:c r="K2205" s="33" t="str"/>
      <x:c r="L2205" s="33" t="str"/>
      <x:c r="M2205" s="44" t="str"/>
      <x:c r="N2205" s="50" t="n">
        <x:v>45</x:v>
      </x:c>
      <x:c r="O2205" s="53" t="str">
        <x:v>When a gang from El Salvador infiltrates Chicago, Intelligence works with a visiting detective to put an end to the crew's brutal tactics. Meanwhile, Antonio finds himself getting close to Salvadoran Detective Marcella Gomez and  Voight learns that the body of his son's killer has been found.</x:v>
      </x:c>
      <x:c r="P2205" s="53" t="str">
        <x:v>Core One Chicago franchise; crossovers with SVU/FBI</x:v>
      </x:c>
      <x:c r="Q2205" s="17" t="str">
        <x:v>2852854</x:v>
      </x:c>
      <x:c r="R2205" s="17" t="str">
        <x:v>tt7727756</x:v>
      </x:c>
      <x:c r="S2205" s="17" t="str"/>
    </x:row>
    <x:row r="2206">
      <x:c r="A2206" s="43" t="n">
        <x:v>2202</x:v>
      </x:c>
      <x:c r="B2206" s="44" t="str">
        <x:v>Not Started</x:v>
      </x:c>
      <x:c r="C2206" s="45" t="n">
        <x:v>43133</x:v>
      </x:c>
      <x:c r="D2206" s="33" t="str">
        <x:v>Chicago Fire</x:v>
      </x:c>
      <x:c r="E2206" s="33" t="str">
        <x:v>One Chicago</x:v>
      </x:c>
      <x:c r="F2206" s="33" t="str">
        <x:v>core</x:v>
      </x:c>
      <x:c r="G2206" s="50" t="n">
        <x:v>6</x:v>
      </x:c>
      <x:c r="H2206" s="50" t="n">
        <x:v>11</x:v>
      </x:c>
      <x:c r="I2206" s="44" t="str">
        <x:v>06.11</x:v>
      </x:c>
      <x:c r="J2206" s="33" t="str">
        <x:v>Law of the Jungle</x:v>
      </x:c>
      <x:c r="K2206" s="33" t="str"/>
      <x:c r="L2206" s="33" t="str"/>
      <x:c r="M2206" s="44" t="str"/>
      <x:c r="N2206" s="50" t="n">
        <x:v>40</x:v>
      </x:c>
      <x:c r="O2206" s="53" t="str">
        <x:v>After responding to a time-sensitive rescue, Casey and Severide don't see eye to eye on the best course of action. Herrmann struggles to entertain his daughter on "bring your child to work day." Brett is joined by a surprise guest during a spa getaway, courtesy of Dawson, while Kidd's social life gets a boost.</x:v>
      </x:c>
      <x:c r="P2206" s="53" t="str">
        <x:v>Core One Chicago franchise</x:v>
      </x:c>
      <x:c r="Q2206" s="17" t="str">
        <x:v>2852763</x:v>
      </x:c>
      <x:c r="R2206" s="17" t="str">
        <x:v>tt7852548</x:v>
      </x:c>
      <x:c r="S2206" s="17" t="str"/>
    </x:row>
    <x:row r="2207">
      <x:c r="A2207" s="43" t="n">
        <x:v>2203</x:v>
      </x:c>
      <x:c r="B2207" s="44" t="str">
        <x:v>Not Started</x:v>
      </x:c>
      <x:c r="C2207" s="45" t="n">
        <x:v>43138</x:v>
      </x:c>
      <x:c r="D2207" s="33" t="str">
        <x:v>Chicago Med</x:v>
      </x:c>
      <x:c r="E2207" s="33" t="str">
        <x:v>One Chicago</x:v>
      </x:c>
      <x:c r="F2207" s="33" t="str">
        <x:v>core</x:v>
      </x:c>
      <x:c r="G2207" s="50" t="n">
        <x:v>3</x:v>
      </x:c>
      <x:c r="H2207" s="50" t="n">
        <x:v>9</x:v>
      </x:c>
      <x:c r="I2207" s="44" t="str">
        <x:v>03.09</x:v>
      </x:c>
      <x:c r="J2207" s="33" t="str">
        <x:v>On Shaky Ground</x:v>
      </x:c>
      <x:c r="K2207" s="33" t="str"/>
      <x:c r="L2207" s="33" t="str"/>
      <x:c r="M2207" s="44" t="str"/>
      <x:c r="N2207" s="50" t="n">
        <x:v>43</x:v>
      </x:c>
      <x:c r="O2207" s="53" t="str">
        <x:v>After discovering that a patient's family might have been abusive, Dr. Choi and April contemplate calling child services. Dr. Manning and Dr. Halstead struggle to see eye to eye in guiding a family who is dealing with their premature baby. Dr. Rhodes is persuaded into preforming a risky surgery on Dr. Bekker's mentor. Meanwhile, Dr. Reese joins Dr. Charles on a visit to the Cook County jail.</x:v>
      </x:c>
      <x:c r="P2207" s="53" t="str">
        <x:v>Core One Chicago franchise</x:v>
      </x:c>
      <x:c r="Q2207" s="17" t="str">
        <x:v>2764556</x:v>
      </x:c>
      <x:c r="R2207" s="17" t="str">
        <x:v>tt7042866</x:v>
      </x:c>
      <x:c r="S2207" s="17" t="str"/>
    </x:row>
    <x:row r="2208">
      <x:c r="A2208" s="43" t="n">
        <x:v>2204</x:v>
      </x:c>
      <x:c r="B2208" s="44" t="str">
        <x:v>Not Started</x:v>
      </x:c>
      <x:c r="C2208" s="45" t="n">
        <x:v>43138</x:v>
      </x:c>
      <x:c r="D2208" s="33" t="str">
        <x:v>Law &amp; Order: Special Victims Unit</x:v>
      </x:c>
      <x:c r="E2208" s="33" t="str">
        <x:v>Law &amp; Order</x:v>
      </x:c>
      <x:c r="F2208" s="33" t="str">
        <x:v>core</x:v>
      </x:c>
      <x:c r="G2208" s="50" t="n">
        <x:v>19</x:v>
      </x:c>
      <x:c r="H2208" s="50" t="n">
        <x:v>13</x:v>
      </x:c>
      <x:c r="I2208" s="44" t="str">
        <x:v>19.13</x:v>
      </x:c>
      <x:c r="J2208" s="33" t="str">
        <x:v>The Undiscovered Country</x:v>
      </x:c>
      <x:c r="K2208" s="33" t="str"/>
      <x:c r="L2208" s="33" t="str"/>
      <x:c r="M2208" s="44" t="str"/>
      <x:c r="N2208" s="50" t="n">
        <x:v>43</x:v>
      </x:c>
      <x:c r="O2208" s="53" t="str">
        <x:v>When an infant goes missing, the SVU finds themselves taking sides in a family's right-to-die court case. Meanwhile, Barba's interference in the case puts the entire DA's office in jeopardy.</x:v>
      </x:c>
      <x:c r="P2208" s="53" t="str">
        <x:v>Core Law &amp; Order franchise</x:v>
      </x:c>
      <x:c r="Q2208" s="17" t="str">
        <x:v>2844521</x:v>
      </x:c>
      <x:c r="R2208" s="17" t="str">
        <x:v>tt7195362</x:v>
      </x:c>
      <x:c r="S2208" s="17" t="str">
        <x:v>1423</x:v>
      </x:c>
    </x:row>
    <x:row r="2209">
      <x:c r="A2209" s="43" t="n">
        <x:v>2205</x:v>
      </x:c>
      <x:c r="B2209" s="44" t="str">
        <x:v>Not Started</x:v>
      </x:c>
      <x:c r="C2209" s="45" t="n">
        <x:v>43139</x:v>
      </x:c>
      <x:c r="D2209" s="33" t="str">
        <x:v>Chicago P.D.</x:v>
      </x:c>
      <x:c r="E2209" s="33" t="str">
        <x:v>One Chicago</x:v>
      </x:c>
      <x:c r="F2209" s="33" t="str">
        <x:v>core</x:v>
      </x:c>
      <x:c r="G2209" s="50" t="n">
        <x:v>5</x:v>
      </x:c>
      <x:c r="H2209" s="50" t="n">
        <x:v>14</x:v>
      </x:c>
      <x:c r="I2209" s="44" t="str">
        <x:v>05.14</x:v>
      </x:c>
      <x:c r="J2209" s="33" t="str">
        <x:v>Anthem</x:v>
      </x:c>
      <x:c r="K2209" s="33" t="str"/>
      <x:c r="L2209" s="33" t="str"/>
      <x:c r="M2209" s="44" t="str"/>
      <x:c r="N2209" s="50" t="n">
        <x:v>44</x:v>
      </x:c>
      <x:c r="O2209" s="53" t="str">
        <x:v>When a basketball star is found murdered after an anti-police rally, Intelligence navigates a politically charged environment to track down the killer. To complicate matters further, Woods' daughter Brianna is tangled up in the case.</x:v>
      </x:c>
      <x:c r="P2209" s="53" t="str">
        <x:v>Core One Chicago franchise; crossovers with SVU/FBI</x:v>
      </x:c>
      <x:c r="Q2209" s="17" t="str">
        <x:v>2868693</x:v>
      </x:c>
      <x:c r="R2209" s="17" t="str">
        <x:v>tt7834176</x:v>
      </x:c>
      <x:c r="S2209" s="17" t="str"/>
    </x:row>
    <x:row r="2210">
      <x:c r="A2210" s="43" t="n">
        <x:v>2206</x:v>
      </x:c>
      <x:c r="B2210" s="44" t="str">
        <x:v>Not Started</x:v>
      </x:c>
      <x:c r="C2210" s="45" t="n">
        <x:v>43159</x:v>
      </x:c>
      <x:c r="D2210" s="33" t="str">
        <x:v>Chicago Med</x:v>
      </x:c>
      <x:c r="E2210" s="33" t="str">
        <x:v>One Chicago</x:v>
      </x:c>
      <x:c r="F2210" s="33" t="str">
        <x:v>core</x:v>
      </x:c>
      <x:c r="G2210" s="50" t="n">
        <x:v>3</x:v>
      </x:c>
      <x:c r="H2210" s="50" t="n">
        <x:v>10</x:v>
      </x:c>
      <x:c r="I2210" s="44" t="str">
        <x:v>03.10</x:v>
      </x:c>
      <x:c r="J2210" s="33" t="str">
        <x:v>Down By Law</x:v>
      </x:c>
      <x:c r="K2210" s="33" t="str"/>
      <x:c r="L2210" s="33" t="str"/>
      <x:c r="M2210" s="44" t="str"/>
      <x:c r="N2210" s="50" t="n">
        <x:v>43</x:v>
      </x:c>
      <x:c r="O2210" s="53" t="str">
        <x:v>After witnessing a drive-by shooting and hitting her head, Dr. Manning struggles with the aftermath of a head injury. Complicating matters, she and Dr. Halstead deal with a teenage patient and her overbearing older husband, who might not be looking out for his young wife's best interests. Dr. Rhodes finds himself in a unique situation when he learns alarming information about the woman he went on a date with. Maggie is surprised to discover some unexpected things about the man she has been seeing. Dr. Charles is frustrated when Dr. Reese disobeys his orders and puts herself at risk.</x:v>
      </x:c>
      <x:c r="P2210" s="53" t="str">
        <x:v>Core One Chicago franchise</x:v>
      </x:c>
      <x:c r="Q2210" s="17" t="str">
        <x:v>2883770</x:v>
      </x:c>
      <x:c r="R2210" s="17" t="str">
        <x:v>tt7042868</x:v>
      </x:c>
      <x:c r="S2210" s="17" t="str"/>
    </x:row>
    <x:row r="2211">
      <x:c r="A2211" s="43" t="n">
        <x:v>2207</x:v>
      </x:c>
      <x:c r="B2211" s="44" t="str">
        <x:v>Not Started</x:v>
      </x:c>
      <x:c r="C2211" s="45" t="n">
        <x:v>43159</x:v>
      </x:c>
      <x:c r="D2211" s="33" t="str">
        <x:v>Law &amp; Order: Special Victims Unit</x:v>
      </x:c>
      <x:c r="E2211" s="33" t="str">
        <x:v>Law &amp; Order</x:v>
      </x:c>
      <x:c r="F2211" s="33" t="str">
        <x:v>core</x:v>
      </x:c>
      <x:c r="G2211" s="50" t="n">
        <x:v>19</x:v>
      </x:c>
      <x:c r="H2211" s="50" t="n">
        <x:v>14</x:v>
      </x:c>
      <x:c r="I2211" s="44" t="str">
        <x:v>19.14</x:v>
      </x:c>
      <x:c r="J2211" s="33" t="str">
        <x:v>Chasing Demons</x:v>
      </x:c>
      <x:c r="K2211" s="33" t="str"/>
      <x:c r="L2211" s="33" t="str"/>
      <x:c r="M2211" s="44" t="str"/>
      <x:c r="N2211" s="50" t="n">
        <x:v>43</x:v>
      </x:c>
      <x:c r="O2211" s="53" t="str">
        <x:v>A doctor arrested for sexually abusing his patients is set free after Cassidy's testimony causes a mistrial.</x:v>
      </x:c>
      <x:c r="P2211" s="53" t="str">
        <x:v>Core Law &amp; Order franchise</x:v>
      </x:c>
      <x:c r="Q2211" s="17" t="str">
        <x:v>2844523</x:v>
      </x:c>
      <x:c r="R2211" s="17" t="str">
        <x:v>tt7195366</x:v>
      </x:c>
      <x:c r="S2211" s="17" t="str">
        <x:v>1424</x:v>
      </x:c>
    </x:row>
    <x:row r="2212">
      <x:c r="A2212" s="43" t="n">
        <x:v>2208</x:v>
      </x:c>
      <x:c r="B2212" s="44" t="str">
        <x:v>Not Started</x:v>
      </x:c>
      <x:c r="C2212" s="45" t="n">
        <x:v>43160</x:v>
      </x:c>
      <x:c r="D2212" s="33" t="str">
        <x:v>Chicago P.D.</x:v>
      </x:c>
      <x:c r="E2212" s="33" t="str">
        <x:v>One Chicago</x:v>
      </x:c>
      <x:c r="F2212" s="33" t="str">
        <x:v>core</x:v>
      </x:c>
      <x:c r="G2212" s="50" t="n">
        <x:v>5</x:v>
      </x:c>
      <x:c r="H2212" s="50" t="n">
        <x:v>15</x:v>
      </x:c>
      <x:c r="I2212" s="44" t="str">
        <x:v>05.15</x:v>
      </x:c>
      <x:c r="J2212" s="33" t="str">
        <x:v>Sisterhood</x:v>
      </x:c>
      <x:c r="K2212" s="33" t="str"/>
      <x:c r="L2212" s="33" t="str"/>
      <x:c r="M2212" s="44" t="str"/>
      <x:c r="N2212" s="50" t="n">
        <x:v>45</x:v>
      </x:c>
      <x:c r="O2212" s="53" t="str">
        <x:v>Intelligence tracks down a vigilante killing rapists. The investigation hits home for Burgess, who begins to question if the men who attacked her sister truly paid for their actions.</x:v>
      </x:c>
      <x:c r="P2212" s="53" t="str">
        <x:v>Core One Chicago franchise; crossovers with SVU/FBI</x:v>
      </x:c>
      <x:c r="Q2212" s="17" t="str">
        <x:v>2883383</x:v>
      </x:c>
      <x:c r="R2212" s="17" t="str">
        <x:v>tt7874426</x:v>
      </x:c>
      <x:c r="S2212" s="17" t="str"/>
    </x:row>
    <x:row r="2213">
      <x:c r="A2213" s="43" t="n">
        <x:v>2209</x:v>
      </x:c>
      <x:c r="B2213" s="44" t="str">
        <x:v>Not Started</x:v>
      </x:c>
      <x:c r="C2213" s="45" t="n">
        <x:v>43161</x:v>
      </x:c>
      <x:c r="D2213" s="33" t="str">
        <x:v>Chicago Fire</x:v>
      </x:c>
      <x:c r="E2213" s="33" t="str">
        <x:v>One Chicago</x:v>
      </x:c>
      <x:c r="F2213" s="33" t="str">
        <x:v>core</x:v>
      </x:c>
      <x:c r="G2213" s="50" t="n">
        <x:v>6</x:v>
      </x:c>
      <x:c r="H2213" s="50" t="n">
        <x:v>12</x:v>
      </x:c>
      <x:c r="I2213" s="44" t="str">
        <x:v>06.12</x:v>
      </x:c>
      <x:c r="J2213" s="33" t="str">
        <x:v>The F Is For</x:v>
      </x:c>
      <x:c r="K2213" s="33" t="str"/>
      <x:c r="L2213" s="33" t="str"/>
      <x:c r="M2213" s="44" t="str"/>
      <x:c r="N2213" s="50" t="n">
        <x:v>41</x:v>
      </x:c>
      <x:c r="O2213" s="53" t="str">
        <x:v>After photos of Casey and Severide jumping off the roof during a heroic rescue make the front page of the newspaper, Boden unwillingly agrees for the photographer to chronicle a day-in-the-life story at the Firehouse. Dawson and Brett are on a mission to find out what keeps happening to Gerald, a frequent flier they know who lives on the streets. Meanwhile, Herrmann decides to take up life-coaching as a side job and Kidd makes a decision regarding her living arrangement with Severide.</x:v>
      </x:c>
      <x:c r="P2213" s="53" t="str">
        <x:v>Core One Chicago franchise</x:v>
      </x:c>
      <x:c r="Q2213" s="17" t="str">
        <x:v>2869326</x:v>
      </x:c>
      <x:c r="R2213" s="17" t="str">
        <x:v>tt7874448</x:v>
      </x:c>
      <x:c r="S2213" s="17" t="str"/>
    </x:row>
    <x:row r="2214">
      <x:c r="A2214" s="43" t="n">
        <x:v>2210</x:v>
      </x:c>
      <x:c r="B2214" s="44" t="str">
        <x:v>Not Started</x:v>
      </x:c>
      <x:c r="C2214" s="45" t="n">
        <x:v>43166</x:v>
      </x:c>
      <x:c r="D2214" s="33" t="str">
        <x:v>Chicago Med</x:v>
      </x:c>
      <x:c r="E2214" s="33" t="str">
        <x:v>One Chicago</x:v>
      </x:c>
      <x:c r="F2214" s="33" t="str">
        <x:v>core</x:v>
      </x:c>
      <x:c r="G2214" s="50" t="n">
        <x:v>3</x:v>
      </x:c>
      <x:c r="H2214" s="50" t="n">
        <x:v>11</x:v>
      </x:c>
      <x:c r="I2214" s="44" t="str">
        <x:v>03.11</x:v>
      </x:c>
      <x:c r="J2214" s="33" t="str">
        <x:v>Folie à Deux</x:v>
      </x:c>
      <x:c r="K2214" s="33" t="str"/>
      <x:c r="L2214" s="33" t="str"/>
      <x:c r="M2214" s="44" t="str"/>
      <x:c r="N2214" s="50" t="n">
        <x:v>42</x:v>
      </x:c>
      <x:c r="O2214" s="53" t="str">
        <x:v>After a neighbor is stabbed, Dr. Choi enlists the help of April to figure out who is the real cause of the incident. Dr. Bekker and Dr. Rhodes expertise is put to the test when Noah misdiagnoses a patient. Dr. Charles is put in an uncomfortable position when Dr. Reese's estranged father comes to him as a patient without her knowledge. Meanwhile, Dr. Manning rushes to save a baby with whooping cough.</x:v>
      </x:c>
      <x:c r="P2214" s="53" t="str">
        <x:v>Core One Chicago franchise</x:v>
      </x:c>
      <x:c r="Q2214" s="17" t="str">
        <x:v>2890292</x:v>
      </x:c>
      <x:c r="R2214" s="17" t="str">
        <x:v>tt7042870</x:v>
      </x:c>
      <x:c r="S2214" s="17" t="str"/>
    </x:row>
    <x:row r="2215">
      <x:c r="A2215" s="43" t="n">
        <x:v>2211</x:v>
      </x:c>
      <x:c r="B2215" s="44" t="str">
        <x:v>Not Started</x:v>
      </x:c>
      <x:c r="C2215" s="45" t="n">
        <x:v>43166</x:v>
      </x:c>
      <x:c r="D2215" s="33" t="str">
        <x:v>Law &amp; Order: Special Victims Unit</x:v>
      </x:c>
      <x:c r="E2215" s="33" t="str">
        <x:v>Law &amp; Order</x:v>
      </x:c>
      <x:c r="F2215" s="33" t="str">
        <x:v>core</x:v>
      </x:c>
      <x:c r="G2215" s="50" t="n">
        <x:v>19</x:v>
      </x:c>
      <x:c r="H2215" s="50" t="n">
        <x:v>15</x:v>
      </x:c>
      <x:c r="I2215" s="44" t="str">
        <x:v>19.15</x:v>
      </x:c>
      <x:c r="J2215" s="33" t="str">
        <x:v>In Loco Parentis</x:v>
      </x:c>
      <x:c r="K2215" s="33" t="str"/>
      <x:c r="L2215" s="33" t="str"/>
      <x:c r="M2215" s="44" t="str"/>
      <x:c r="N2215" s="50" t="n">
        <x:v>43</x:v>
      </x:c>
      <x:c r="O2215" s="53" t="str">
        <x:v>Carisi opens a police investigation when his niece reports a classmate for sexual assault, and Stone learns there are no perfect witnesses when it comes to sex crimes.</x:v>
      </x:c>
      <x:c r="P2215" s="53" t="str">
        <x:v>Core Law &amp; Order franchise</x:v>
      </x:c>
      <x:c r="Q2215" s="17" t="str">
        <x:v>2844562</x:v>
      </x:c>
      <x:c r="R2215" s="17" t="str">
        <x:v>tt7195370</x:v>
      </x:c>
      <x:c r="S2215" s="17" t="str">
        <x:v>1425</x:v>
      </x:c>
    </x:row>
    <x:row r="2216">
      <x:c r="A2216" s="43" t="n">
        <x:v>2212</x:v>
      </x:c>
      <x:c r="B2216" s="44" t="str">
        <x:v>Not Started</x:v>
      </x:c>
      <x:c r="C2216" s="45" t="n">
        <x:v>43167</x:v>
      </x:c>
      <x:c r="D2216" s="33" t="str">
        <x:v>Chicago P.D.</x:v>
      </x:c>
      <x:c r="E2216" s="33" t="str">
        <x:v>One Chicago</x:v>
      </x:c>
      <x:c r="F2216" s="33" t="str">
        <x:v>core</x:v>
      </x:c>
      <x:c r="G2216" s="50" t="n">
        <x:v>5</x:v>
      </x:c>
      <x:c r="H2216" s="50" t="n">
        <x:v>16</x:v>
      </x:c>
      <x:c r="I2216" s="44" t="str">
        <x:v>05.16</x:v>
      </x:c>
      <x:c r="J2216" s="33" t="str">
        <x:v>Profiles (I)</x:v>
      </x:c>
      <x:c r="K2216" s="33" t="str">
        <x:v>Crossover</x:v>
      </x:c>
      <x:c r="L2216" s="33" t="str">
        <x:v>Profiles / Hiding Not Seeking</x:v>
      </x:c>
      <x:c r="M2216" s="44" t="str">
        <x:v>1/2</x:v>
      </x:c>
      <x:c r="N2216" s="50" t="n">
        <x:v>42</x:v>
      </x:c>
      <x:c r="O2216" s="53" t="str">
        <x:v>Intelligence investigates a string of bombings targeting members of the media. Racing against a ticking clock, the team enlists Firehouse 51 to help examine the devices and prevent the next attack.
The crossover continues on Chicago Fire S06E013 Hiding Not Seeking (II).</x:v>
      </x:c>
      <x:c r="P2216" s="53" t="str">
        <x:v>Core One Chicago franchise; crossovers with SVU/FBI</x:v>
      </x:c>
      <x:c r="Q2216" s="17" t="str">
        <x:v>2890293</x:v>
      </x:c>
      <x:c r="R2216" s="17" t="str">
        <x:v>tt7945808</x:v>
      </x:c>
      <x:c r="S2216" s="17" t="str">
        <x:v>https://one-chicago-fbi.fandom.com/wiki/Crossovers_and_Milestones</x:v>
      </x:c>
    </x:row>
    <x:row r="2217">
      <x:c r="A2217" s="43" t="n">
        <x:v>2213</x:v>
      </x:c>
      <x:c r="B2217" s="44" t="str">
        <x:v>Not Started</x:v>
      </x:c>
      <x:c r="C2217" s="45" t="n">
        <x:v>43168</x:v>
      </x:c>
      <x:c r="D2217" s="33" t="str">
        <x:v>Chicago Fire</x:v>
      </x:c>
      <x:c r="E2217" s="33" t="str">
        <x:v>One Chicago</x:v>
      </x:c>
      <x:c r="F2217" s="33" t="str">
        <x:v>core</x:v>
      </x:c>
      <x:c r="G2217" s="50" t="n">
        <x:v>6</x:v>
      </x:c>
      <x:c r="H2217" s="50" t="n">
        <x:v>13</x:v>
      </x:c>
      <x:c r="I2217" s="44" t="str">
        <x:v>06.13</x:v>
      </x:c>
      <x:c r="J2217" s="33" t="str">
        <x:v>Hiding Not Seeking (II)</x:v>
      </x:c>
      <x:c r="K2217" s="33" t="str">
        <x:v>Crossover</x:v>
      </x:c>
      <x:c r="L2217" s="33" t="str">
        <x:v>Profiles / Hiding Not Seeking</x:v>
      </x:c>
      <x:c r="M2217" s="44" t="str">
        <x:v>2/2</x:v>
      </x:c>
      <x:c r="N2217" s="50" t="n">
        <x:v>40</x:v>
      </x:c>
      <x:c r="O2217" s="53" t="str">
        <x:v>Brett and Dawson go undercover at Voight's request, and Boden and Severide provide critical intel for P.D. as they race to stop a serial bomber.
The crossover starts on Chicago P.D. S05E016 Profiles (I).</x:v>
      </x:c>
      <x:c r="P2217" s="53" t="str">
        <x:v>Core One Chicago franchise</x:v>
      </x:c>
      <x:c r="Q2217" s="17" t="str">
        <x:v>2890295</x:v>
      </x:c>
      <x:c r="R2217" s="17" t="str">
        <x:v>tt8010254</x:v>
      </x:c>
      <x:c r="S2217" s="17" t="str">
        <x:v>https://one-chicago-fbi.fandom.com/wiki/Crossovers_and_Milestones</x:v>
      </x:c>
    </x:row>
    <x:row r="2218">
      <x:c r="A2218" s="43" t="n">
        <x:v>2214</x:v>
      </x:c>
      <x:c r="B2218" s="44" t="str">
        <x:v>Not Started</x:v>
      </x:c>
      <x:c r="C2218" s="45" t="n">
        <x:v>43173</x:v>
      </x:c>
      <x:c r="D2218" s="33" t="str">
        <x:v>Law &amp; Order: Special Victims Unit</x:v>
      </x:c>
      <x:c r="E2218" s="33" t="str">
        <x:v>Law &amp; Order</x:v>
      </x:c>
      <x:c r="F2218" s="33" t="str">
        <x:v>core</x:v>
      </x:c>
      <x:c r="G2218" s="50" t="n">
        <x:v>19</x:v>
      </x:c>
      <x:c r="H2218" s="50" t="n">
        <x:v>16</x:v>
      </x:c>
      <x:c r="I2218" s="44" t="str">
        <x:v>19.16</x:v>
      </x:c>
      <x:c r="J2218" s="33" t="str">
        <x:v>Dare</x:v>
      </x:c>
      <x:c r="K2218" s="33" t="str"/>
      <x:c r="L2218" s="33" t="str"/>
      <x:c r="M2218" s="44" t="str"/>
      <x:c r="N2218" s="50" t="n">
        <x:v>43</x:v>
      </x:c>
      <x:c r="O2218" s="53" t="str">
        <x:v>A girl's tragic death becomes a criminal case when a surgeon harvests her organs without parental consent.</x:v>
      </x:c>
      <x:c r="P2218" s="53" t="str">
        <x:v>Core Law &amp; Order franchise</x:v>
      </x:c>
      <x:c r="Q2218" s="17" t="str">
        <x:v>2844642</x:v>
      </x:c>
      <x:c r="R2218" s="17" t="str">
        <x:v>tt7195372</x:v>
      </x:c>
      <x:c r="S2218" s="17" t="str">
        <x:v>1426</x:v>
      </x:c>
    </x:row>
    <x:row r="2219">
      <x:c r="A2219" s="43" t="n">
        <x:v>2215</x:v>
      </x:c>
      <x:c r="B2219" s="44" t="str">
        <x:v>Not Started</x:v>
      </x:c>
      <x:c r="C2219" s="45" t="n">
        <x:v>43174</x:v>
      </x:c>
      <x:c r="D2219" s="33" t="str">
        <x:v>Chicago P.D.</x:v>
      </x:c>
      <x:c r="E2219" s="33" t="str">
        <x:v>One Chicago</x:v>
      </x:c>
      <x:c r="F2219" s="33" t="str">
        <x:v>core</x:v>
      </x:c>
      <x:c r="G2219" s="50" t="n">
        <x:v>5</x:v>
      </x:c>
      <x:c r="H2219" s="50" t="n">
        <x:v>17</x:v>
      </x:c>
      <x:c r="I2219" s="44" t="str">
        <x:v>05.17</x:v>
      </x:c>
      <x:c r="J2219" s="33" t="str">
        <x:v>Breaking Point</x:v>
      </x:c>
      <x:c r="K2219" s="33" t="str"/>
      <x:c r="L2219" s="33" t="str"/>
      <x:c r="M2219" s="44" t="str"/>
      <x:c r="N2219" s="50" t="n">
        <x:v>44</x:v>
      </x:c>
      <x:c r="O2219" s="53" t="str">
        <x:v>When a prominent Alderman known for his urban revitalization efforts is killed, Intelligence looks into the corruption haunting his neighborhood. Meanwhile Olinsky feels pressure after receiving an ultimatum from Woods.</x:v>
      </x:c>
      <x:c r="P2219" s="53" t="str">
        <x:v>Core One Chicago franchise; crossovers with SVU/FBI</x:v>
      </x:c>
      <x:c r="Q2219" s="17" t="str">
        <x:v>2901686</x:v>
      </x:c>
      <x:c r="R2219" s="17" t="str">
        <x:v>tt7975718</x:v>
      </x:c>
      <x:c r="S2219" s="17" t="str"/>
    </x:row>
    <x:row r="2220">
      <x:c r="A2220" s="43" t="n">
        <x:v>2216</x:v>
      </x:c>
      <x:c r="B2220" s="44" t="str">
        <x:v>Not Started</x:v>
      </x:c>
      <x:c r="C2220" s="45" t="n">
        <x:v>43180</x:v>
      </x:c>
      <x:c r="D2220" s="33" t="str">
        <x:v>Chicago Med</x:v>
      </x:c>
      <x:c r="E2220" s="33" t="str">
        <x:v>One Chicago</x:v>
      </x:c>
      <x:c r="F2220" s="33" t="str">
        <x:v>core</x:v>
      </x:c>
      <x:c r="G2220" s="50" t="n">
        <x:v>3</x:v>
      </x:c>
      <x:c r="H2220" s="50" t="n">
        <x:v>12</x:v>
      </x:c>
      <x:c r="I2220" s="44" t="str">
        <x:v>03.12</x:v>
      </x:c>
      <x:c r="J2220" s="33" t="str">
        <x:v>Born This Way</x:v>
      </x:c>
      <x:c r="K2220" s="33" t="str"/>
      <x:c r="L2220" s="33" t="str"/>
      <x:c r="M2220" s="44" t="str"/>
      <x:c r="N2220" s="50" t="n">
        <x:v>43</x:v>
      </x:c>
      <x:c r="O2220" s="53" t="str">
        <x:v>Upon hearing news of a pregnant teen, Dr. Manning and Dr. Choi venture to a homeless encampment to help deliver a baby under dire circumstances. Dr. Rhodes and Dr. Bekker argue about the best way to treat a young boy with a chronic disease. Dr. Halstead and April are put in an uncomfortable situation when they find out their patient is a pedophile. Goodwin and Maggie have to deal with a lawsuit against the hospital. Dr. Charles learns of important news pertaining to Dr. Reese's father.</x:v>
      </x:c>
      <x:c r="P2220" s="53" t="str">
        <x:v>Core One Chicago franchise</x:v>
      </x:c>
      <x:c r="Q2220" s="17" t="str">
        <x:v>2910910</x:v>
      </x:c>
      <x:c r="R2220" s="17" t="str">
        <x:v>tt7042872</x:v>
      </x:c>
      <x:c r="S2220" s="17" t="str"/>
    </x:row>
    <x:row r="2221">
      <x:c r="A2221" s="43" t="n">
        <x:v>2217</x:v>
      </x:c>
      <x:c r="B2221" s="44" t="str">
        <x:v>Not Started</x:v>
      </x:c>
      <x:c r="C2221" s="45" t="n">
        <x:v>43180</x:v>
      </x:c>
      <x:c r="D2221" s="33" t="str">
        <x:v>Law &amp; Order: Special Victims Unit</x:v>
      </x:c>
      <x:c r="E2221" s="33" t="str">
        <x:v>Law &amp; Order</x:v>
      </x:c>
      <x:c r="F2221" s="33" t="str">
        <x:v>core</x:v>
      </x:c>
      <x:c r="G2221" s="50" t="n">
        <x:v>19</x:v>
      </x:c>
      <x:c r="H2221" s="50" t="n">
        <x:v>17</x:v>
      </x:c>
      <x:c r="I2221" s="44" t="str">
        <x:v>19.17</x:v>
      </x:c>
      <x:c r="J2221" s="33" t="str">
        <x:v>Send in the Clowns</x:v>
      </x:c>
      <x:c r="K2221" s="33" t="str"/>
      <x:c r="L2221" s="33" t="str"/>
      <x:c r="M2221" s="44" t="str"/>
      <x:c r="N2221" s="50" t="n">
        <x:v>43</x:v>
      </x:c>
      <x:c r="O2221" s="53" t="str">
        <x:v>When a student disappears during a school trip to New York City, the cops race to find a mysterious masked man. Meanwhile, Fin and Stone both get visits from family.</x:v>
      </x:c>
      <x:c r="P2221" s="53" t="str">
        <x:v>Core Law &amp; Order franchise</x:v>
      </x:c>
      <x:c r="Q2221" s="17" t="str">
        <x:v>2844680</x:v>
      </x:c>
      <x:c r="R2221" s="17" t="str">
        <x:v>tt7195374</x:v>
      </x:c>
      <x:c r="S2221" s="17" t="str">
        <x:v>1427</x:v>
      </x:c>
    </x:row>
    <x:row r="2222">
      <x:c r="A2222" s="43" t="n">
        <x:v>2218</x:v>
      </x:c>
      <x:c r="B2222" s="44" t="str">
        <x:v>Not Started</x:v>
      </x:c>
      <x:c r="C2222" s="45" t="n">
        <x:v>43181</x:v>
      </x:c>
      <x:c r="D2222" s="33" t="str">
        <x:v>Chicago P.D.</x:v>
      </x:c>
      <x:c r="E2222" s="33" t="str">
        <x:v>One Chicago</x:v>
      </x:c>
      <x:c r="F2222" s="33" t="str">
        <x:v>core</x:v>
      </x:c>
      <x:c r="G2222" s="50" t="n">
        <x:v>5</x:v>
      </x:c>
      <x:c r="H2222" s="50" t="n">
        <x:v>18</x:v>
      </x:c>
      <x:c r="I2222" s="44" t="str">
        <x:v>05.18</x:v>
      </x:c>
      <x:c r="J2222" s="33" t="str">
        <x:v>Ghosts</x:v>
      </x:c>
      <x:c r="K2222" s="33" t="str"/>
      <x:c r="L2222" s="33" t="str"/>
      <x:c r="M2222" s="44" t="str"/>
      <x:c r="N2222" s="50" t="n">
        <x:v>45</x:v>
      </x:c>
      <x:c r="O2222" s="53" t="str">
        <x:v>Upton brings back an old undercover identity to help take down a meth ring spearheaded by a former criminal contact. And with pressure from Woods mounting, Voight calls in a favor for Olinksy.</x:v>
      </x:c>
      <x:c r="P2222" s="53" t="str">
        <x:v>Core One Chicago franchise; crossovers with SVU/FBI</x:v>
      </x:c>
      <x:c r="Q2222" s="17" t="str">
        <x:v>2910883</x:v>
      </x:c>
      <x:c r="R2222" s="17" t="str">
        <x:v>tt8044930</x:v>
      </x:c>
      <x:c r="S2222" s="17" t="str"/>
    </x:row>
    <x:row r="2223">
      <x:c r="A2223" s="43" t="n">
        <x:v>2219</x:v>
      </x:c>
      <x:c r="B2223" s="44" t="str">
        <x:v>Not Started</x:v>
      </x:c>
      <x:c r="C2223" s="45" t="n">
        <x:v>43182</x:v>
      </x:c>
      <x:c r="D2223" s="33" t="str">
        <x:v>Chicago Fire</x:v>
      </x:c>
      <x:c r="E2223" s="33" t="str">
        <x:v>One Chicago</x:v>
      </x:c>
      <x:c r="F2223" s="33" t="str">
        <x:v>core</x:v>
      </x:c>
      <x:c r="G2223" s="50" t="n">
        <x:v>6</x:v>
      </x:c>
      <x:c r="H2223" s="50" t="n">
        <x:v>14</x:v>
      </x:c>
      <x:c r="I2223" s="44" t="str">
        <x:v>06.14</x:v>
      </x:c>
      <x:c r="J2223" s="33" t="str">
        <x:v>Looking for a Lifeline</x:v>
      </x:c>
      <x:c r="K2223" s="33" t="str"/>
      <x:c r="L2223" s="33" t="str"/>
      <x:c r="M2223" s="44" t="str"/>
      <x:c r="N2223" s="50" t="n">
        <x:v>41</x:v>
      </x:c>
      <x:c r="O2223" s="53" t="str">
        <x:v>After responding to a car accident, Casey and Dawson become skeptical when a domineering husband continues to answer for his injured wife. Cruz becomes frustrated with Herrmann and Mouch when he discovers they have contacted people regarding his "Slamigan" invention without his knowledge. Kidd uncovers something meaningful and important to Severide while Brett discovers some potentially unsettling news.</x:v>
      </x:c>
      <x:c r="P2223" s="53" t="str">
        <x:v>Core One Chicago franchise</x:v>
      </x:c>
      <x:c r="Q2223" s="17" t="str">
        <x:v>2910892</x:v>
      </x:c>
      <x:c r="R2223" s="17" t="str">
        <x:v>tt8070860</x:v>
      </x:c>
      <x:c r="S2223" s="17" t="str"/>
    </x:row>
    <x:row r="2224">
      <x:c r="A2224" s="43" t="n">
        <x:v>2220</x:v>
      </x:c>
      <x:c r="B2224" s="44" t="str">
        <x:v>Not Started</x:v>
      </x:c>
      <x:c r="C2224" s="45" t="n">
        <x:v>43182</x:v>
      </x:c>
      <x:c r="D2224" s="33" t="str">
        <x:v>Chicago Fire</x:v>
      </x:c>
      <x:c r="E2224" s="33" t="str">
        <x:v>One Chicago</x:v>
      </x:c>
      <x:c r="F2224" s="33" t="str">
        <x:v>core</x:v>
      </x:c>
      <x:c r="G2224" s="50" t="n">
        <x:v>6</x:v>
      </x:c>
      <x:c r="H2224" s="50" t="n">
        <x:v>15</x:v>
      </x:c>
      <x:c r="I2224" s="44" t="str">
        <x:v>06.15</x:v>
      </x:c>
      <x:c r="J2224" s="33" t="str">
        <x:v>The Chance to Forgive</x:v>
      </x:c>
      <x:c r="K2224" s="33" t="str"/>
      <x:c r="L2224" s="33" t="str"/>
      <x:c r="M2224" s="44" t="str"/>
      <x:c r="N2224" s="50" t="n">
        <x:v>41</x:v>
      </x:c>
      <x:c r="O2224" s="53" t="str">
        <x:v>In response to a call involving a residential fire, Otis and Kidd's lives are suddenly put in jeopardy when gunfire goes off inside the house. Dawson comforts Brett during an especially trying time. Meanwhile, Casey begins to notice that romance might be going on within the firehouse.</x:v>
      </x:c>
      <x:c r="P2224" s="53" t="str">
        <x:v>Core One Chicago franchise</x:v>
      </x:c>
      <x:c r="Q2224" s="17" t="str">
        <x:v>2910893</x:v>
      </x:c>
      <x:c r="R2224" s="17" t="str">
        <x:v>tt7712060</x:v>
      </x:c>
      <x:c r="S2224" s="17" t="str"/>
    </x:row>
    <x:row r="2225">
      <x:c r="A2225" s="43" t="n">
        <x:v>2221</x:v>
      </x:c>
      <x:c r="B2225" s="44" t="str">
        <x:v>Not Started</x:v>
      </x:c>
      <x:c r="C2225" s="45" t="n">
        <x:v>43187</x:v>
      </x:c>
      <x:c r="D2225" s="33" t="str">
        <x:v>Chicago Med</x:v>
      </x:c>
      <x:c r="E2225" s="33" t="str">
        <x:v>One Chicago</x:v>
      </x:c>
      <x:c r="F2225" s="33" t="str">
        <x:v>core</x:v>
      </x:c>
      <x:c r="G2225" s="50" t="n">
        <x:v>3</x:v>
      </x:c>
      <x:c r="H2225" s="50" t="n">
        <x:v>13</x:v>
      </x:c>
      <x:c r="I2225" s="44" t="str">
        <x:v>03.13</x:v>
      </x:c>
      <x:c r="J2225" s="33" t="str">
        <x:v>Best Laid Plans</x:v>
      </x:c>
      <x:c r="K2225" s="33" t="str"/>
      <x:c r="L2225" s="33" t="str"/>
      <x:c r="M2225" s="44" t="str"/>
      <x:c r="N2225" s="50" t="n">
        <x:v>43</x:v>
      </x:c>
      <x:c r="O2225" s="53" t="str">
        <x:v>Dr. Halstead and Dr. Manning are at odds over the care of a vegetative man; Dr. Rhodes goes behind Dr. Bekker's back to get his patient at the top of the transplant list; a woman in the waiting room falls asleep and won't wake up.</x:v>
      </x:c>
      <x:c r="P2225" s="53" t="str">
        <x:v>Core One Chicago franchise</x:v>
      </x:c>
      <x:c r="Q2225" s="17" t="str">
        <x:v>2919546</x:v>
      </x:c>
      <x:c r="R2225" s="17" t="str">
        <x:v>tt7042876</x:v>
      </x:c>
      <x:c r="S2225" s="17" t="str"/>
    </x:row>
    <x:row r="2226">
      <x:c r="A2226" s="43" t="n">
        <x:v>2222</x:v>
      </x:c>
      <x:c r="B2226" s="44" t="str">
        <x:v>Not Started</x:v>
      </x:c>
      <x:c r="C2226" s="45" t="n">
        <x:v>43189</x:v>
      </x:c>
      <x:c r="D2226" s="33" t="str">
        <x:v>Chicago Fire</x:v>
      </x:c>
      <x:c r="E2226" s="33" t="str">
        <x:v>One Chicago</x:v>
      </x:c>
      <x:c r="F2226" s="33" t="str">
        <x:v>core</x:v>
      </x:c>
      <x:c r="G2226" s="50" t="n">
        <x:v>6</x:v>
      </x:c>
      <x:c r="H2226" s="50" t="n">
        <x:v>16</x:v>
      </x:c>
      <x:c r="I2226" s="44" t="str">
        <x:v>06.16</x:v>
      </x:c>
      <x:c r="J2226" s="33" t="str">
        <x:v>The One That Matters Most</x:v>
      </x:c>
      <x:c r="K2226" s="33" t="str"/>
      <x:c r="L2226" s="33" t="str"/>
      <x:c r="M2226" s="44" t="str"/>
      <x:c r="N2226" s="50" t="n">
        <x:v>41</x:v>
      </x:c>
      <x:c r="O2226" s="53" t="str">
        <x:v>The crew struggles to come to terms with an injury to one of their own; a temporary replacement must be dealt with; Boden ponders some interesting news; Kidd has a hard time keeping a secret.</x:v>
      </x:c>
      <x:c r="P2226" s="53" t="str">
        <x:v>Core One Chicago franchise</x:v>
      </x:c>
      <x:c r="Q2226" s="17" t="str">
        <x:v>2919489</x:v>
      </x:c>
      <x:c r="R2226" s="17" t="str">
        <x:v>tt8008028</x:v>
      </x:c>
      <x:c r="S2226" s="17" t="str"/>
    </x:row>
    <x:row r="2227">
      <x:c r="A2227" s="43" t="n">
        <x:v>2223</x:v>
      </x:c>
      <x:c r="B2227" s="44" t="str">
        <x:v>Not Started</x:v>
      </x:c>
      <x:c r="C2227" s="45" t="n">
        <x:v>43194</x:v>
      </x:c>
      <x:c r="D2227" s="33" t="str">
        <x:v>Chicago Med</x:v>
      </x:c>
      <x:c r="E2227" s="33" t="str">
        <x:v>One Chicago</x:v>
      </x:c>
      <x:c r="F2227" s="33" t="str">
        <x:v>core</x:v>
      </x:c>
      <x:c r="G2227" s="50" t="n">
        <x:v>3</x:v>
      </x:c>
      <x:c r="H2227" s="50" t="n">
        <x:v>14</x:v>
      </x:c>
      <x:c r="I2227" s="44" t="str">
        <x:v>03.14</x:v>
      </x:c>
      <x:c r="J2227" s="33" t="str">
        <x:v>Lock It Down</x:v>
      </x:c>
      <x:c r="K2227" s="33" t="str"/>
      <x:c r="L2227" s="33" t="str"/>
      <x:c r="M2227" s="44" t="str"/>
      <x:c r="N2227" s="50" t="n">
        <x:v>42</x:v>
      </x:c>
      <x:c r="O2227" s="53" t="str">
        <x:v>After a baby is abducted from Med, Goodwin enlists the help of Dr. Charles and Dr. Reese to find the suspect. Due to the lockdown, Dr. Rhodes must figure out a way to get into the operating room to help perform open-heart surgery. Dr. Manning and Dr. Halstead disagree on the right treatment for a patient.</x:v>
      </x:c>
      <x:c r="P2227" s="53" t="str">
        <x:v>Core One Chicago franchise</x:v>
      </x:c>
      <x:c r="Q2227" s="17" t="str">
        <x:v>2924471</x:v>
      </x:c>
      <x:c r="R2227" s="17" t="str">
        <x:v>tt8119300</x:v>
      </x:c>
      <x:c r="S2227" s="17" t="str"/>
    </x:row>
    <x:row r="2228">
      <x:c r="A2228" s="43" t="n">
        <x:v>2224</x:v>
      </x:c>
      <x:c r="B2228" s="44" t="str">
        <x:v>Not Started</x:v>
      </x:c>
      <x:c r="C2228" s="45" t="n">
        <x:v>43196</x:v>
      </x:c>
      <x:c r="D2228" s="33" t="str">
        <x:v>Chicago Fire</x:v>
      </x:c>
      <x:c r="E2228" s="33" t="str">
        <x:v>One Chicago</x:v>
      </x:c>
      <x:c r="F2228" s="33" t="str">
        <x:v>core</x:v>
      </x:c>
      <x:c r="G2228" s="50" t="n">
        <x:v>6</x:v>
      </x:c>
      <x:c r="H2228" s="50" t="n">
        <x:v>17</x:v>
      </x:c>
      <x:c r="I2228" s="44" t="str">
        <x:v>06.17</x:v>
      </x:c>
      <x:c r="J2228" s="33" t="str">
        <x:v>Put White On Me</x:v>
      </x:c>
      <x:c r="K2228" s="33" t="str"/>
      <x:c r="L2228" s="33" t="str"/>
      <x:c r="M2228" s="44" t="str"/>
      <x:c r="N2228" s="50" t="n">
        <x:v>41</x:v>
      </x:c>
      <x:c r="O2228" s="53" t="str">
        <x:v>Boden has a lapse in judgment in the aftermath of rescuing a young boy. Kidd struggles to win the approval of Severide's mom after a surprise visit and Otis takes on new responsibilities at the firehouse.</x:v>
      </x:c>
      <x:c r="P2228" s="53" t="str">
        <x:v>Core One Chicago franchise</x:v>
      </x:c>
      <x:c r="Q2228" s="17" t="str">
        <x:v>2925088</x:v>
      </x:c>
      <x:c r="R2228" s="17" t="str">
        <x:v>tt8032244</x:v>
      </x:c>
      <x:c r="S2228" s="17" t="str"/>
    </x:row>
    <x:row r="2229">
      <x:c r="A2229" s="43" t="n">
        <x:v>2225</x:v>
      </x:c>
      <x:c r="B2229" s="44" t="str">
        <x:v>Not Started</x:v>
      </x:c>
      <x:c r="C2229" s="45" t="n">
        <x:v>43201</x:v>
      </x:c>
      <x:c r="D2229" s="33" t="str">
        <x:v>Chicago Med</x:v>
      </x:c>
      <x:c r="E2229" s="33" t="str">
        <x:v>One Chicago</x:v>
      </x:c>
      <x:c r="F2229" s="33" t="str">
        <x:v>core</x:v>
      </x:c>
      <x:c r="G2229" s="50" t="n">
        <x:v>3</x:v>
      </x:c>
      <x:c r="H2229" s="50" t="n">
        <x:v>15</x:v>
      </x:c>
      <x:c r="I2229" s="44" t="str">
        <x:v>03.15</x:v>
      </x:c>
      <x:c r="J2229" s="33" t="str">
        <x:v>Devil in Disguise</x:v>
      </x:c>
      <x:c r="K2229" s="33" t="str"/>
      <x:c r="L2229" s="33" t="str"/>
      <x:c r="M2229" s="44" t="str"/>
      <x:c r="N2229" s="50" t="n">
        <x:v>44</x:v>
      </x:c>
      <x:c r="O2229" s="53" t="str">
        <x:v>Dr. Charles and Dr. Reese search for answers when a mother brings in her daughter claiming she is possessed. Dr. Rhodes and Dr. Bekker are tasked with finding a way to save a pair of conjoined twins. Dr. Halstead struggles to get Dr. Manning's attention. Maggie measures her options in the wake of her recent actions.</x:v>
      </x:c>
      <x:c r="P2229" s="53" t="str">
        <x:v>Core One Chicago franchise</x:v>
      </x:c>
      <x:c r="Q2229" s="17" t="str">
        <x:v>2924472</x:v>
      </x:c>
      <x:c r="R2229" s="17" t="str">
        <x:v>tt8119306</x:v>
      </x:c>
      <x:c r="S2229" s="17" t="str"/>
    </x:row>
    <x:row r="2230">
      <x:c r="A2230" s="43" t="n">
        <x:v>2226</x:v>
      </x:c>
      <x:c r="B2230" s="44" t="str">
        <x:v>Not Started</x:v>
      </x:c>
      <x:c r="C2230" s="45" t="n">
        <x:v>43201</x:v>
      </x:c>
      <x:c r="D2230" s="33" t="str">
        <x:v>Law &amp; Order: Special Victims Unit</x:v>
      </x:c>
      <x:c r="E2230" s="33" t="str">
        <x:v>Law &amp; Order</x:v>
      </x:c>
      <x:c r="F2230" s="33" t="str">
        <x:v>core</x:v>
      </x:c>
      <x:c r="G2230" s="50" t="n">
        <x:v>19</x:v>
      </x:c>
      <x:c r="H2230" s="50" t="n">
        <x:v>18</x:v>
      </x:c>
      <x:c r="I2230" s="44" t="str">
        <x:v>19.18</x:v>
      </x:c>
      <x:c r="J2230" s="33" t="str">
        <x:v>Service</x:v>
      </x:c>
      <x:c r="K2230" s="33" t="str"/>
      <x:c r="L2230" s="33" t="str"/>
      <x:c r="M2230" s="44" t="str"/>
      <x:c r="N2230" s="50" t="n">
        <x:v>43</x:v>
      </x:c>
      <x:c r="O2230" s="53" t="str">
        <x:v>The SVU must break through military red tape when a soldier is suspected of sexual assault.</x:v>
      </x:c>
      <x:c r="P2230" s="53" t="str">
        <x:v>Core Law &amp; Order franchise</x:v>
      </x:c>
      <x:c r="Q2230" s="17" t="str">
        <x:v>2844758</x:v>
      </x:c>
      <x:c r="R2230" s="17" t="str">
        <x:v>tt7195376</x:v>
      </x:c>
      <x:c r="S2230" s="17" t="str">
        <x:v>1428</x:v>
      </x:c>
    </x:row>
    <x:row r="2231">
      <x:c r="A2231" s="43" t="n">
        <x:v>2227</x:v>
      </x:c>
      <x:c r="B2231" s="44" t="str">
        <x:v>Not Started</x:v>
      </x:c>
      <x:c r="C2231" s="45" t="n">
        <x:v>43202</x:v>
      </x:c>
      <x:c r="D2231" s="33" t="str">
        <x:v>Chicago P.D.</x:v>
      </x:c>
      <x:c r="E2231" s="33" t="str">
        <x:v>One Chicago</x:v>
      </x:c>
      <x:c r="F2231" s="33" t="str">
        <x:v>core</x:v>
      </x:c>
      <x:c r="G2231" s="50" t="n">
        <x:v>5</x:v>
      </x:c>
      <x:c r="H2231" s="50" t="n">
        <x:v>19</x:v>
      </x:c>
      <x:c r="I2231" s="44" t="str">
        <x:v>05.19</x:v>
      </x:c>
      <x:c r="J2231" s="33" t="str">
        <x:v>Payback</x:v>
      </x:c>
      <x:c r="K2231" s="33" t="str"/>
      <x:c r="L2231" s="33" t="str"/>
      <x:c r="M2231" s="44" t="str"/>
      <x:c r="N2231" s="50" t="n">
        <x:v>45</x:v>
      </x:c>
      <x:c r="O2231" s="53" t="str">
        <x:v>A string of stash house robberies lead back to an unlikely individual. Voight  confronts a key witness in the Bingham investigation.</x:v>
      </x:c>
      <x:c r="P2231" s="53" t="str">
        <x:v>Core One Chicago franchise; crossovers with SVU/FBI</x:v>
      </x:c>
      <x:c r="Q2231" s="17" t="str">
        <x:v>2924222</x:v>
      </x:c>
      <x:c r="R2231" s="17" t="str">
        <x:v>tt8123962</x:v>
      </x:c>
      <x:c r="S2231" s="17" t="str"/>
    </x:row>
    <x:row r="2232">
      <x:c r="A2232" s="43" t="n">
        <x:v>2228</x:v>
      </x:c>
      <x:c r="B2232" s="44" t="str">
        <x:v>Not Started</x:v>
      </x:c>
      <x:c r="C2232" s="45" t="n">
        <x:v>43203</x:v>
      </x:c>
      <x:c r="D2232" s="33" t="str">
        <x:v>Chicago Fire</x:v>
      </x:c>
      <x:c r="E2232" s="33" t="str">
        <x:v>One Chicago</x:v>
      </x:c>
      <x:c r="F2232" s="33" t="str">
        <x:v>core</x:v>
      </x:c>
      <x:c r="G2232" s="50" t="n">
        <x:v>6</x:v>
      </x:c>
      <x:c r="H2232" s="50" t="n">
        <x:v>18</x:v>
      </x:c>
      <x:c r="I2232" s="44" t="str">
        <x:v>06.18</x:v>
      </x:c>
      <x:c r="J2232" s="33" t="str">
        <x:v>When They See Us Coming</x:v>
      </x:c>
      <x:c r="K2232" s="33" t="str"/>
      <x:c r="L2232" s="33" t="str"/>
      <x:c r="M2232" s="44" t="str"/>
      <x:c r="N2232" s="50" t="n">
        <x:v>41</x:v>
      </x:c>
      <x:c r="O2232" s="53" t="str">
        <x:v>When the FBI takes over Firehouse 51 for an undercover mission, Casey and Severide volunteer to assist with the investigation. Kidd attempts to help Severide come to terms with recent developments he's been managing.</x:v>
      </x:c>
      <x:c r="P2232" s="53" t="str">
        <x:v>Core One Chicago franchise</x:v>
      </x:c>
      <x:c r="Q2232" s="17" t="str">
        <x:v>2925090</x:v>
      </x:c>
      <x:c r="R2232" s="17" t="str">
        <x:v>tt7975030</x:v>
      </x:c>
      <x:c r="S2232" s="17" t="str"/>
    </x:row>
    <x:row r="2233">
      <x:c r="A2233" s="43" t="n">
        <x:v>2229</x:v>
      </x:c>
      <x:c r="B2233" s="44" t="str">
        <x:v>Not Started</x:v>
      </x:c>
      <x:c r="C2233" s="45" t="n">
        <x:v>43208</x:v>
      </x:c>
      <x:c r="D2233" s="33" t="str">
        <x:v>Chicago Med</x:v>
      </x:c>
      <x:c r="E2233" s="33" t="str">
        <x:v>One Chicago</x:v>
      </x:c>
      <x:c r="F2233" s="33" t="str">
        <x:v>core</x:v>
      </x:c>
      <x:c r="G2233" s="50" t="n">
        <x:v>3</x:v>
      </x:c>
      <x:c r="H2233" s="50" t="n">
        <x:v>16</x:v>
      </x:c>
      <x:c r="I2233" s="44" t="str">
        <x:v>03.16</x:v>
      </x:c>
      <x:c r="J2233" s="33" t="str">
        <x:v>An Inconvenient Truth</x:v>
      </x:c>
      <x:c r="K2233" s="33" t="str"/>
      <x:c r="L2233" s="33" t="str"/>
      <x:c r="M2233" s="44" t="str"/>
      <x:c r="N2233" s="50" t="n">
        <x:v>44</x:v>
      </x:c>
      <x:c r="O2233" s="53" t="str">
        <x:v>After taking the lead on a surgery, Dr. Bekker feels the heat after something goes wrong. Dr. Manning and Dr. Charles are faced with a tough decision concerning the gender of a 9-year-old girl. April and Dr. Reese rush to find the son of a dying patient. Goodwin's godson is admitted to the hospital.</x:v>
      </x:c>
      <x:c r="P2233" s="53" t="str">
        <x:v>Core One Chicago franchise</x:v>
      </x:c>
      <x:c r="Q2233" s="17" t="str">
        <x:v>2924473</x:v>
      </x:c>
      <x:c r="R2233" s="17" t="str">
        <x:v>tt8119314</x:v>
      </x:c>
      <x:c r="S2233" s="17" t="str"/>
    </x:row>
    <x:row r="2234">
      <x:c r="A2234" s="43" t="n">
        <x:v>2230</x:v>
      </x:c>
      <x:c r="B2234" s="44" t="str">
        <x:v>Not Started</x:v>
      </x:c>
      <x:c r="C2234" s="45" t="n">
        <x:v>43208</x:v>
      </x:c>
      <x:c r="D2234" s="33" t="str">
        <x:v>Law &amp; Order: Special Victims Unit</x:v>
      </x:c>
      <x:c r="E2234" s="33" t="str">
        <x:v>Law &amp; Order</x:v>
      </x:c>
      <x:c r="F2234" s="33" t="str">
        <x:v>core</x:v>
      </x:c>
      <x:c r="G2234" s="50" t="n">
        <x:v>19</x:v>
      </x:c>
      <x:c r="H2234" s="50" t="n">
        <x:v>19</x:v>
      </x:c>
      <x:c r="I2234" s="44" t="str">
        <x:v>19.19</x:v>
      </x:c>
      <x:c r="J2234" s="33" t="str">
        <x:v>Sunk Cost Fallacy</x:v>
      </x:c>
      <x:c r="K2234" s="33" t="str"/>
      <x:c r="L2234" s="33" t="str"/>
      <x:c r="M2234" s="44" t="str"/>
      <x:c r="N2234" s="50" t="n">
        <x:v>43</x:v>
      </x:c>
      <x:c r="O2234" s="53" t="str">
        <x:v>The search for an abducted woman and her young daughter leads Lt. Benson to cross paths with an old friend. Meanwhile, Stone must make a tough decision on behalf of his sister.</x:v>
      </x:c>
      <x:c r="P2234" s="53" t="str">
        <x:v>Core Law &amp; Order franchise</x:v>
      </x:c>
      <x:c r="Q2234" s="17" t="str">
        <x:v>2844813</x:v>
      </x:c>
      <x:c r="R2234" s="17" t="str">
        <x:v>tt7195378</x:v>
      </x:c>
      <x:c r="S2234" s="17" t="str">
        <x:v>1429</x:v>
      </x:c>
    </x:row>
    <x:row r="2235">
      <x:c r="A2235" s="43" t="n">
        <x:v>2231</x:v>
      </x:c>
      <x:c r="B2235" s="44" t="str">
        <x:v>Not Started</x:v>
      </x:c>
      <x:c r="C2235" s="45" t="n">
        <x:v>43209</x:v>
      </x:c>
      <x:c r="D2235" s="33" t="str">
        <x:v>Chicago P.D.</x:v>
      </x:c>
      <x:c r="E2235" s="33" t="str">
        <x:v>One Chicago</x:v>
      </x:c>
      <x:c r="F2235" s="33" t="str">
        <x:v>core</x:v>
      </x:c>
      <x:c r="G2235" s="50" t="n">
        <x:v>5</x:v>
      </x:c>
      <x:c r="H2235" s="50" t="n">
        <x:v>20</x:v>
      </x:c>
      <x:c r="I2235" s="44" t="str">
        <x:v>05.20</x:v>
      </x:c>
      <x:c r="J2235" s="33" t="str">
        <x:v>Saved</x:v>
      </x:c>
      <x:c r="K2235" s="33" t="str"/>
      <x:c r="L2235" s="33" t="str"/>
      <x:c r="M2235" s="44" t="str"/>
      <x:c r="N2235" s="50" t="n">
        <x:v>44</x:v>
      </x:c>
      <x:c r="O2235" s="53" t="str">
        <x:v>After Voight witnesses the kidnapping of a young woman with a mysterious connection to his past, Intelligence works to find a connection between her kidnapping and several bank robberies. Ruzek gets a tip that a grand jury has been summoned, putting Olinsky one step closer to standing trial for Bingham’s murder.</x:v>
      </x:c>
      <x:c r="P2235" s="53" t="str">
        <x:v>Core One Chicago franchise; crossovers with SVU/FBI</x:v>
      </x:c>
      <x:c r="Q2235" s="17" t="str">
        <x:v>2924223</x:v>
      </x:c>
      <x:c r="R2235" s="17" t="str">
        <x:v>tt8123964</x:v>
      </x:c>
      <x:c r="S2235" s="17" t="str"/>
    </x:row>
    <x:row r="2236">
      <x:c r="A2236" s="43" t="n">
        <x:v>2232</x:v>
      </x:c>
      <x:c r="B2236" s="44" t="str">
        <x:v>Not Started</x:v>
      </x:c>
      <x:c r="C2236" s="45" t="n">
        <x:v>43210</x:v>
      </x:c>
      <x:c r="D2236" s="33" t="str">
        <x:v>Chicago Fire</x:v>
      </x:c>
      <x:c r="E2236" s="33" t="str">
        <x:v>One Chicago</x:v>
      </x:c>
      <x:c r="F2236" s="33" t="str">
        <x:v>core</x:v>
      </x:c>
      <x:c r="G2236" s="50" t="n">
        <x:v>6</x:v>
      </x:c>
      <x:c r="H2236" s="50" t="n">
        <x:v>19</x:v>
      </x:c>
      <x:c r="I2236" s="44" t="str">
        <x:v>06.19</x:v>
      </x:c>
      <x:c r="J2236" s="33" t="str">
        <x:v>Where I Want to Be</x:v>
      </x:c>
      <x:c r="K2236" s="33" t="str"/>
      <x:c r="L2236" s="33" t="str"/>
      <x:c r="M2236" s="44" t="str"/>
      <x:c r="N2236" s="50" t="n">
        <x:v>41</x:v>
      </x:c>
      <x:c r="O2236" s="53" t="str">
        <x:v>After responding to a residential fire at a property belonging to a Mexican drug cartel, Casey is skeptical of Cordova after a hefty amount of money was found missing from the crime scene. Elsewhere, Kidd makes a big decision.</x:v>
      </x:c>
      <x:c r="P2236" s="53" t="str">
        <x:v>Core One Chicago franchise</x:v>
      </x:c>
      <x:c r="Q2236" s="17" t="str">
        <x:v>2925092</x:v>
      </x:c>
      <x:c r="R2236" s="17" t="str">
        <x:v>tt8183300</x:v>
      </x:c>
      <x:c r="S2236" s="17" t="str"/>
    </x:row>
    <x:row r="2237">
      <x:c r="A2237" s="43" t="n">
        <x:v>2233</x:v>
      </x:c>
      <x:c r="B2237" s="44" t="str">
        <x:v>Not Started</x:v>
      </x:c>
      <x:c r="C2237" s="45" t="n">
        <x:v>43215</x:v>
      </x:c>
      <x:c r="D2237" s="33" t="str">
        <x:v>Chicago Med</x:v>
      </x:c>
      <x:c r="E2237" s="33" t="str">
        <x:v>One Chicago</x:v>
      </x:c>
      <x:c r="F2237" s="33" t="str">
        <x:v>core</x:v>
      </x:c>
      <x:c r="G2237" s="50" t="n">
        <x:v>3</x:v>
      </x:c>
      <x:c r="H2237" s="50" t="n">
        <x:v>17</x:v>
      </x:c>
      <x:c r="I2237" s="44" t="str">
        <x:v>03.17</x:v>
      </x:c>
      <x:c r="J2237" s="33" t="str">
        <x:v>The Parent Trap</x:v>
      </x:c>
      <x:c r="K2237" s="33" t="str"/>
      <x:c r="L2237" s="33" t="str"/>
      <x:c r="M2237" s="44" t="str"/>
      <x:c r="N2237" s="50" t="n">
        <x:v>43</x:v>
      </x:c>
      <x:c r="O2237" s="53" t="str">
        <x:v>After a 10-year-old boy is admitted to the hospital, Dr. Manning and Dr. Halstead disagree on how to best handle the boy's parents. Dr. Rhodes rushes to fix a heart that will be given to Dr. Reese's estranged father.</x:v>
      </x:c>
      <x:c r="P2237" s="53" t="str">
        <x:v>Core One Chicago franchise</x:v>
      </x:c>
      <x:c r="Q2237" s="17" t="str">
        <x:v>2924474</x:v>
      </x:c>
      <x:c r="R2237" s="17" t="str">
        <x:v>tt8123694</x:v>
      </x:c>
      <x:c r="S2237" s="17" t="str"/>
    </x:row>
    <x:row r="2238">
      <x:c r="A2238" s="43" t="n">
        <x:v>2234</x:v>
      </x:c>
      <x:c r="B2238" s="44" t="str">
        <x:v>Not Started</x:v>
      </x:c>
      <x:c r="C2238" s="45" t="n">
        <x:v>43217</x:v>
      </x:c>
      <x:c r="D2238" s="33" t="str">
        <x:v>Chicago Fire</x:v>
      </x:c>
      <x:c r="E2238" s="33" t="str">
        <x:v>One Chicago</x:v>
      </x:c>
      <x:c r="F2238" s="33" t="str">
        <x:v>core</x:v>
      </x:c>
      <x:c r="G2238" s="50" t="n">
        <x:v>6</x:v>
      </x:c>
      <x:c r="H2238" s="50" t="n">
        <x:v>20</x:v>
      </x:c>
      <x:c r="I2238" s="44" t="str">
        <x:v>06.20</x:v>
      </x:c>
      <x:c r="J2238" s="33" t="str">
        <x:v>The Strongest Among Us</x:v>
      </x:c>
      <x:c r="K2238" s="33" t="str"/>
      <x:c r="L2238" s="33" t="str"/>
      <x:c r="M2238" s="44" t="str"/>
      <x:c r="N2238" s="50" t="n">
        <x:v>41</x:v>
      </x:c>
      <x:c r="O2238" s="53" t="str">
        <x:v>After saving a girl from a car accident, Chief Boden and Lt. Severide are taken aback when they receive a surprise package. Brett struggles to keep quiet about Cruz reacquainting with his now-married high school sweetheart and Otis tackles his next challenge. A crisis brings Bria back into Dawson's life.</x:v>
      </x:c>
      <x:c r="P2238" s="53" t="str">
        <x:v>Core One Chicago franchise</x:v>
      </x:c>
      <x:c r="Q2238" s="17" t="str">
        <x:v>2925093</x:v>
      </x:c>
      <x:c r="R2238" s="17" t="str">
        <x:v>tt8183306</x:v>
      </x:c>
      <x:c r="S2238" s="17" t="str"/>
    </x:row>
    <x:row r="2239">
      <x:c r="A2239" s="43" t="n">
        <x:v>2235</x:v>
      </x:c>
      <x:c r="B2239" s="44" t="str">
        <x:v>Not Started</x:v>
      </x:c>
      <x:c r="C2239" s="45" t="n">
        <x:v>43222</x:v>
      </x:c>
      <x:c r="D2239" s="33" t="str">
        <x:v>Chicago Med</x:v>
      </x:c>
      <x:c r="E2239" s="33" t="str">
        <x:v>One Chicago</x:v>
      </x:c>
      <x:c r="F2239" s="33" t="str">
        <x:v>core</x:v>
      </x:c>
      <x:c r="G2239" s="50" t="n">
        <x:v>3</x:v>
      </x:c>
      <x:c r="H2239" s="50" t="n">
        <x:v>18</x:v>
      </x:c>
      <x:c r="I2239" s="44" t="str">
        <x:v>03.18</x:v>
      </x:c>
      <x:c r="J2239" s="33" t="str">
        <x:v>This Is Now</x:v>
      </x:c>
      <x:c r="K2239" s="33" t="str"/>
      <x:c r="L2239" s="33" t="str"/>
      <x:c r="M2239" s="44" t="str"/>
      <x:c r="N2239" s="50" t="n">
        <x:v>43</x:v>
      </x:c>
      <x:c r="O2239" s="53" t="str">
        <x:v>After a shooting occurs during a block party, the staff is overrun with victims; Dr. Choi devises a new mass casualty plan; Dr. Manning struggles to stay focused when she realizes her son and nanny might have been at the scene.</x:v>
      </x:c>
      <x:c r="P2239" s="53" t="str">
        <x:v>Core One Chicago franchise</x:v>
      </x:c>
      <x:c r="Q2239" s="17" t="str">
        <x:v>2924475</x:v>
      </x:c>
      <x:c r="R2239" s="17" t="str">
        <x:v>tt8123700</x:v>
      </x:c>
      <x:c r="S2239" s="17" t="str"/>
    </x:row>
    <x:row r="2240">
      <x:c r="A2240" s="43" t="n">
        <x:v>2236</x:v>
      </x:c>
      <x:c r="B2240" s="44" t="str">
        <x:v>Not Started</x:v>
      </x:c>
      <x:c r="C2240" s="45" t="n">
        <x:v>43222</x:v>
      </x:c>
      <x:c r="D2240" s="33" t="str">
        <x:v>Law &amp; Order: Special Victims Unit</x:v>
      </x:c>
      <x:c r="E2240" s="33" t="str">
        <x:v>Law &amp; Order</x:v>
      </x:c>
      <x:c r="F2240" s="33" t="str">
        <x:v>core</x:v>
      </x:c>
      <x:c r="G2240" s="50" t="n">
        <x:v>19</x:v>
      </x:c>
      <x:c r="H2240" s="50" t="n">
        <x:v>20</x:v>
      </x:c>
      <x:c r="I2240" s="44" t="str">
        <x:v>19.20</x:v>
      </x:c>
      <x:c r="J2240" s="33" t="str">
        <x:v>The Book of Esther</x:v>
      </x:c>
      <x:c r="K2240" s="33" t="str"/>
      <x:c r="L2240" s="33" t="str"/>
      <x:c r="M2240" s="44" t="str"/>
      <x:c r="N2240" s="50" t="n">
        <x:v>43</x:v>
      </x:c>
      <x:c r="O2240" s="53" t="str">
        <x:v>Rollins races to rescue a girl being held captive by her father.</x:v>
      </x:c>
      <x:c r="P2240" s="53" t="str">
        <x:v>Core Law &amp; Order franchise</x:v>
      </x:c>
      <x:c r="Q2240" s="17" t="str">
        <x:v>2845103</x:v>
      </x:c>
      <x:c r="R2240" s="17" t="str">
        <x:v>tt7195380</x:v>
      </x:c>
      <x:c r="S2240" s="17" t="str">
        <x:v>1430</x:v>
      </x:c>
    </x:row>
    <x:row r="2241">
      <x:c r="A2241" s="43" t="n">
        <x:v>2237</x:v>
      </x:c>
      <x:c r="B2241" s="44" t="str">
        <x:v>Not Started</x:v>
      </x:c>
      <x:c r="C2241" s="45" t="n">
        <x:v>43223</x:v>
      </x:c>
      <x:c r="D2241" s="33" t="str">
        <x:v>Chicago P.D.</x:v>
      </x:c>
      <x:c r="E2241" s="33" t="str">
        <x:v>One Chicago</x:v>
      </x:c>
      <x:c r="F2241" s="33" t="str">
        <x:v>core</x:v>
      </x:c>
      <x:c r="G2241" s="50" t="n">
        <x:v>5</x:v>
      </x:c>
      <x:c r="H2241" s="50" t="n">
        <x:v>21</x:v>
      </x:c>
      <x:c r="I2241" s="44" t="str">
        <x:v>05.21</x:v>
      </x:c>
      <x:c r="J2241" s="33" t="str">
        <x:v>Allegiance</x:v>
      </x:c>
      <x:c r="K2241" s="33" t="str"/>
      <x:c r="L2241" s="33" t="str"/>
      <x:c r="M2241" s="44" t="str"/>
      <x:c r="N2241" s="50" t="n">
        <x:v>42</x:v>
      </x:c>
      <x:c r="O2241" s="53" t="str">
        <x:v>Halstead and Atwater go under cover to prevent military-grade weapons from hitting the street; Voight calls in a favor to clear Olinsky's name for Bingham's murder.</x:v>
      </x:c>
      <x:c r="P2241" s="53" t="str">
        <x:v>Core One Chicago franchise; crossovers with SVU/FBI</x:v>
      </x:c>
      <x:c r="Q2241" s="17" t="str">
        <x:v>2950502</x:v>
      </x:c>
      <x:c r="R2241" s="17" t="str">
        <x:v>tt8179554</x:v>
      </x:c>
      <x:c r="S2241" s="17" t="str"/>
    </x:row>
    <x:row r="2242">
      <x:c r="A2242" s="43" t="n">
        <x:v>2238</x:v>
      </x:c>
      <x:c r="B2242" s="44" t="str">
        <x:v>Not Started</x:v>
      </x:c>
      <x:c r="C2242" s="45" t="n">
        <x:v>43224</x:v>
      </x:c>
      <x:c r="D2242" s="33" t="str">
        <x:v>Chicago Fire</x:v>
      </x:c>
      <x:c r="E2242" s="33" t="str">
        <x:v>One Chicago</x:v>
      </x:c>
      <x:c r="F2242" s="33" t="str">
        <x:v>core</x:v>
      </x:c>
      <x:c r="G2242" s="50" t="n">
        <x:v>6</x:v>
      </x:c>
      <x:c r="H2242" s="50" t="n">
        <x:v>21</x:v>
      </x:c>
      <x:c r="I2242" s="44" t="str">
        <x:v>06.21</x:v>
      </x:c>
      <x:c r="J2242" s="33" t="str">
        <x:v>The Unrivaled Standard</x:v>
      </x:c>
      <x:c r="K2242" s="33" t="str"/>
      <x:c r="L2242" s="33" t="str"/>
      <x:c r="M2242" s="44" t="str"/>
      <x:c r="N2242" s="50" t="n">
        <x:v>41</x:v>
      </x:c>
      <x:c r="O2242" s="53" t="str">
        <x:v>Lt. Severide is shocked when Rene Royce resurfaces; Casey comes up with a plan to help Chief Boden in his latest pursuit; Kidd regrets a decision she made regarding Severide; Herrmann clashes with Lt. Colannino over their son's basketball team.</x:v>
      </x:c>
      <x:c r="P2242" s="53" t="str">
        <x:v>Core One Chicago franchise</x:v>
      </x:c>
      <x:c r="Q2242" s="17" t="str">
        <x:v>2949779</x:v>
      </x:c>
      <x:c r="R2242" s="17" t="str">
        <x:v>tt8201968</x:v>
      </x:c>
      <x:c r="S2242" s="17" t="str"/>
    </x:row>
    <x:row r="2243">
      <x:c r="A2243" s="43" t="n">
        <x:v>2239</x:v>
      </x:c>
      <x:c r="B2243" s="44" t="str">
        <x:v>Not Started</x:v>
      </x:c>
      <x:c r="C2243" s="45" t="n">
        <x:v>43229</x:v>
      </x:c>
      <x:c r="D2243" s="33" t="str">
        <x:v>Chicago Med</x:v>
      </x:c>
      <x:c r="E2243" s="33" t="str">
        <x:v>One Chicago</x:v>
      </x:c>
      <x:c r="F2243" s="33" t="str">
        <x:v>core</x:v>
      </x:c>
      <x:c r="G2243" s="50" t="n">
        <x:v>3</x:v>
      </x:c>
      <x:c r="H2243" s="50" t="n">
        <x:v>19</x:v>
      </x:c>
      <x:c r="I2243" s="44" t="str">
        <x:v>03.19</x:v>
      </x:c>
      <x:c r="J2243" s="33" t="str">
        <x:v>Crisis of Confidence</x:v>
      </x:c>
      <x:c r="K2243" s="33" t="str"/>
      <x:c r="L2243" s="33" t="str"/>
      <x:c r="M2243" s="44" t="str"/>
      <x:c r="N2243" s="50" t="n">
        <x:v>43</x:v>
      </x:c>
      <x:c r="O2243" s="53" t="str">
        <x:v>Dr. Manning rushes to save a young boy with a life-threatening case of the flu; April suspects Dr. Choi's sister stole opioid pain killers; Dr. Rhodes and Dr. Bekker disagree over the best treatment for a cardiac patient who is 21 weeks pregnant.</x:v>
      </x:c>
      <x:c r="P2243" s="53" t="str">
        <x:v>Core One Chicago franchise</x:v>
      </x:c>
      <x:c r="Q2243" s="17" t="str">
        <x:v>2924476</x:v>
      </x:c>
      <x:c r="R2243" s="17" t="str">
        <x:v>tt8123760</x:v>
      </x:c>
      <x:c r="S2243" s="17" t="str"/>
    </x:row>
    <x:row r="2244">
      <x:c r="A2244" s="43" t="n">
        <x:v>2240</x:v>
      </x:c>
      <x:c r="B2244" s="44" t="str">
        <x:v>Not Started</x:v>
      </x:c>
      <x:c r="C2244" s="45" t="n">
        <x:v>43229</x:v>
      </x:c>
      <x:c r="D2244" s="33" t="str">
        <x:v>Law &amp; Order: Special Victims Unit</x:v>
      </x:c>
      <x:c r="E2244" s="33" t="str">
        <x:v>Law &amp; Order</x:v>
      </x:c>
      <x:c r="F2244" s="33" t="str">
        <x:v>core</x:v>
      </x:c>
      <x:c r="G2244" s="50" t="n">
        <x:v>19</x:v>
      </x:c>
      <x:c r="H2244" s="50" t="n">
        <x:v>21</x:v>
      </x:c>
      <x:c r="I2244" s="44" t="str">
        <x:v>19.21</x:v>
      </x:c>
      <x:c r="J2244" s="33" t="str">
        <x:v>Guardian</x:v>
      </x:c>
      <x:c r="K2244" s="33" t="str"/>
      <x:c r="L2244" s="33" t="str"/>
      <x:c r="M2244" s="44" t="str"/>
      <x:c r="N2244" s="50" t="n">
        <x:v>43</x:v>
      </x:c>
      <x:c r="O2244" s="53" t="str">
        <x:v>Fin investigates a man's claim that his sister was gang raped.</x:v>
      </x:c>
      <x:c r="P2244" s="53" t="str">
        <x:v>Core Law &amp; Order franchise</x:v>
      </x:c>
      <x:c r="Q2244" s="17" t="str">
        <x:v>2845118</x:v>
      </x:c>
      <x:c r="R2244" s="17" t="str">
        <x:v>tt7195384</x:v>
      </x:c>
      <x:c r="S2244" s="17" t="str">
        <x:v>1431</x:v>
      </x:c>
    </x:row>
    <x:row r="2245">
      <x:c r="A2245" s="43" t="n">
        <x:v>2241</x:v>
      </x:c>
      <x:c r="B2245" s="44" t="str">
        <x:v>Not Started</x:v>
      </x:c>
      <x:c r="C2245" s="45" t="n">
        <x:v>43230</x:v>
      </x:c>
      <x:c r="D2245" s="33" t="str">
        <x:v>Chicago P.D.</x:v>
      </x:c>
      <x:c r="E2245" s="33" t="str">
        <x:v>One Chicago</x:v>
      </x:c>
      <x:c r="F2245" s="33" t="str">
        <x:v>core</x:v>
      </x:c>
      <x:c r="G2245" s="50" t="n">
        <x:v>5</x:v>
      </x:c>
      <x:c r="H2245" s="50" t="n">
        <x:v>22</x:v>
      </x:c>
      <x:c r="I2245" s="44" t="str">
        <x:v>05.22</x:v>
      </x:c>
      <x:c r="J2245" s="33" t="str">
        <x:v>Homecoming</x:v>
      </x:c>
      <x:c r="K2245" s="33" t="str"/>
      <x:c r="L2245" s="33" t="str"/>
      <x:c r="M2245" s="44" t="str"/>
      <x:c r="N2245" s="50" t="n">
        <x:v>45</x:v>
      </x:c>
      <x:c r="O2245" s="53" t="str">
        <x:v>Tensions run high as Intelligence seeks justice for Olinsky after he's stabbed in prison; Antonio's loyalty is put to the test; Woods looks to take down Voight once and for all. Season Finale.</x:v>
      </x:c>
      <x:c r="P2245" s="53" t="str">
        <x:v>Core One Chicago franchise; crossovers with SVU/FBI</x:v>
      </x:c>
      <x:c r="Q2245" s="17" t="str">
        <x:v>2950503</x:v>
      </x:c>
      <x:c r="R2245" s="17" t="str">
        <x:v>tt8231942</x:v>
      </x:c>
      <x:c r="S2245" s="17" t="str"/>
    </x:row>
    <x:row r="2246">
      <x:c r="A2246" s="43" t="n">
        <x:v>2242</x:v>
      </x:c>
      <x:c r="B2246" s="44" t="str">
        <x:v>Not Started</x:v>
      </x:c>
      <x:c r="C2246" s="45" t="n">
        <x:v>43231</x:v>
      </x:c>
      <x:c r="D2246" s="33" t="str">
        <x:v>Chicago Fire</x:v>
      </x:c>
      <x:c r="E2246" s="33" t="str">
        <x:v>One Chicago</x:v>
      </x:c>
      <x:c r="F2246" s="33" t="str">
        <x:v>core</x:v>
      </x:c>
      <x:c r="G2246" s="50" t="n">
        <x:v>6</x:v>
      </x:c>
      <x:c r="H2246" s="50" t="n">
        <x:v>22</x:v>
      </x:c>
      <x:c r="I2246" s="44" t="str">
        <x:v>06.22</x:v>
      </x:c>
      <x:c r="J2246" s="33" t="str">
        <x:v>One for the Ages</x:v>
      </x:c>
      <x:c r="K2246" s="33" t="str"/>
      <x:c r="L2246" s="33" t="str"/>
      <x:c r="M2246" s="44" t="str"/>
      <x:c r="N2246" s="50" t="n">
        <x:v>42</x:v>
      </x:c>
      <x:c r="O2246" s="53" t="str">
        <x:v>Boden takes a big step in the pursuit of a major career decision. Kidd becomes increasingly distrustful of Renee's motives with Severide. Herrmann has trouble bouncing back after a tragedy.</x:v>
      </x:c>
      <x:c r="P2246" s="53" t="str">
        <x:v>Core One Chicago franchise</x:v>
      </x:c>
      <x:c r="Q2246" s="17" t="str">
        <x:v>2949780</x:v>
      </x:c>
      <x:c r="R2246" s="17" t="str">
        <x:v>tt8201970</x:v>
      </x:c>
      <x:c r="S2246" s="17" t="str"/>
    </x:row>
    <x:row r="2247">
      <x:c r="A2247" s="43" t="n">
        <x:v>2243</x:v>
      </x:c>
      <x:c r="B2247" s="44" t="str">
        <x:v>Not Started</x:v>
      </x:c>
      <x:c r="C2247" s="45" t="n">
        <x:v>43231</x:v>
      </x:c>
      <x:c r="D2247" s="33" t="str">
        <x:v>Chicago Fire</x:v>
      </x:c>
      <x:c r="E2247" s="33" t="str">
        <x:v>One Chicago</x:v>
      </x:c>
      <x:c r="F2247" s="33" t="str">
        <x:v>core</x:v>
      </x:c>
      <x:c r="G2247" s="50" t="n">
        <x:v>6</x:v>
      </x:c>
      <x:c r="H2247" s="50" t="n">
        <x:v>23</x:v>
      </x:c>
      <x:c r="I2247" s="44" t="str">
        <x:v>06.23</x:v>
      </x:c>
      <x:c r="J2247" s="33" t="str">
        <x:v>The Grand Gesture</x:v>
      </x:c>
      <x:c r="K2247" s="33" t="str"/>
      <x:c r="L2247" s="33" t="str"/>
      <x:c r="M2247" s="44" t="str"/>
      <x:c r="N2247" s="50" t="n">
        <x:v>42</x:v>
      </x:c>
      <x:c r="O2247" s="53" t="str">
        <x:v>Boden's chances for a promotion are met with potential complications. Dawson and Casey don't see eye to eye on an important decision, while Kidd finds herself struggling to find time with Severide. Brett and Dawson respond to a tough call that quickly turns dangerous.</x:v>
      </x:c>
      <x:c r="P2247" s="53" t="str">
        <x:v>Core One Chicago franchise</x:v>
      </x:c>
      <x:c r="Q2247" s="17" t="str">
        <x:v>2949781</x:v>
      </x:c>
      <x:c r="R2247" s="17" t="str">
        <x:v>tt8201972</x:v>
      </x:c>
      <x:c r="S2247" s="17" t="str"/>
    </x:row>
    <x:row r="2248">
      <x:c r="A2248" s="43" t="n">
        <x:v>2244</x:v>
      </x:c>
      <x:c r="B2248" s="44" t="str">
        <x:v>Not Started</x:v>
      </x:c>
      <x:c r="C2248" s="45" t="n">
        <x:v>43236</x:v>
      </x:c>
      <x:c r="D2248" s="33" t="str">
        <x:v>Chicago Med</x:v>
      </x:c>
      <x:c r="E2248" s="33" t="str">
        <x:v>One Chicago</x:v>
      </x:c>
      <x:c r="F2248" s="33" t="str">
        <x:v>core</x:v>
      </x:c>
      <x:c r="G2248" s="50" t="n">
        <x:v>3</x:v>
      </x:c>
      <x:c r="H2248" s="50" t="n">
        <x:v>20</x:v>
      </x:c>
      <x:c r="I2248" s="44" t="str">
        <x:v>03.20</x:v>
      </x:c>
      <x:c r="J2248" s="33" t="str">
        <x:v>The Tipping Point</x:v>
      </x:c>
      <x:c r="K2248" s="33" t="str"/>
      <x:c r="L2248" s="33" t="str"/>
      <x:c r="M2248" s="44" t="str"/>
      <x:c r="N2248" s="50" t="n">
        <x:v>44</x:v>
      </x:c>
      <x:c r="O2248" s="53" t="str">
        <x:v>Dr. Rhodes second guesses removing himself from the team working to separate conjoined twins; Dr. Choi and April make a startling discovery about his sister; Dr. Charles uncovers troubling information concerning Dr. Reese's father.</x:v>
      </x:c>
      <x:c r="P2248" s="53" t="str">
        <x:v>Core One Chicago franchise</x:v>
      </x:c>
      <x:c r="Q2248" s="17" t="str">
        <x:v>2924479</x:v>
      </x:c>
      <x:c r="R2248" s="17" t="str">
        <x:v>tt8123770</x:v>
      </x:c>
      <x:c r="S2248" s="17" t="str"/>
    </x:row>
    <x:row r="2249">
      <x:c r="A2249" s="43" t="n">
        <x:v>2245</x:v>
      </x:c>
      <x:c r="B2249" s="44" t="str">
        <x:v>Not Started</x:v>
      </x:c>
      <x:c r="C2249" s="45" t="n">
        <x:v>43236</x:v>
      </x:c>
      <x:c r="D2249" s="33" t="str">
        <x:v>Law &amp; Order: Special Victims Unit</x:v>
      </x:c>
      <x:c r="E2249" s="33" t="str">
        <x:v>Law &amp; Order</x:v>
      </x:c>
      <x:c r="F2249" s="33" t="str">
        <x:v>core</x:v>
      </x:c>
      <x:c r="G2249" s="50" t="n">
        <x:v>19</x:v>
      </x:c>
      <x:c r="H2249" s="50" t="n">
        <x:v>22</x:v>
      </x:c>
      <x:c r="I2249" s="44" t="str">
        <x:v>19.22</x:v>
      </x:c>
      <x:c r="J2249" s="33" t="str">
        <x:v>Mama</x:v>
      </x:c>
      <x:c r="K2249" s="33" t="str"/>
      <x:c r="L2249" s="33" t="str"/>
      <x:c r="M2249" s="44" t="str"/>
      <x:c r="N2249" s="50" t="n">
        <x:v>43</x:v>
      </x:c>
      <x:c r="O2249" s="53" t="str">
        <x:v>An Alzheimer's patient claims she was raped, but her illness casts doubt on the case. Meanwhile, Fin's sergeant orders come in.</x:v>
      </x:c>
      <x:c r="P2249" s="53" t="str">
        <x:v>Core Law &amp; Order franchise</x:v>
      </x:c>
      <x:c r="Q2249" s="17" t="str">
        <x:v>2845130</x:v>
      </x:c>
      <x:c r="R2249" s="17" t="str">
        <x:v>tt7195386</x:v>
      </x:c>
      <x:c r="S2249" s="17" t="str">
        <x:v>1432</x:v>
      </x:c>
    </x:row>
    <x:row r="2250">
      <x:c r="A2250" s="43" t="n">
        <x:v>2246</x:v>
      </x:c>
      <x:c r="B2250" s="44" t="str">
        <x:v>Not Started</x:v>
      </x:c>
      <x:c r="C2250" s="45" t="n">
        <x:v>43243</x:v>
      </x:c>
      <x:c r="D2250" s="33" t="str">
        <x:v>Law &amp; Order: Special Victims Unit</x:v>
      </x:c>
      <x:c r="E2250" s="33" t="str">
        <x:v>Law &amp; Order</x:v>
      </x:c>
      <x:c r="F2250" s="33" t="str">
        <x:v>core</x:v>
      </x:c>
      <x:c r="G2250" s="50" t="n">
        <x:v>19</x:v>
      </x:c>
      <x:c r="H2250" s="50" t="n">
        <x:v>23</x:v>
      </x:c>
      <x:c r="I2250" s="44" t="str">
        <x:v>19.23</x:v>
      </x:c>
      <x:c r="J2250" s="33" t="str">
        <x:v>Remember Me (1)</x:v>
      </x:c>
      <x:c r="K2250" s="33" t="str"/>
      <x:c r="L2250" s="33" t="str"/>
      <x:c r="M2250" s="44" t="str"/>
      <x:c r="N2250" s="50" t="n">
        <x:v>43</x:v>
      </x:c>
      <x:c r="O2250" s="53" t="str">
        <x:v>When a young woman takes a man hostage at gunpoint, Benson makes a dangerous attempt to defuse the situation. Meanwhile, the SVU discovers the shocking motive behind the abduction.</x:v>
      </x:c>
      <x:c r="P2250" s="53" t="str">
        <x:v>Core Law &amp; Order franchise</x:v>
      </x:c>
      <x:c r="Q2250" s="17" t="str">
        <x:v>2968038</x:v>
      </x:c>
      <x:c r="R2250" s="17" t="str">
        <x:v>tt7846626</x:v>
      </x:c>
      <x:c r="S2250" s="17" t="str">
        <x:v>1433</x:v>
      </x:c>
    </x:row>
    <x:row r="2251">
      <x:c r="A2251" s="43" t="n">
        <x:v>2247</x:v>
      </x:c>
      <x:c r="B2251" s="44" t="str">
        <x:v>Not Started</x:v>
      </x:c>
      <x:c r="C2251" s="45" t="n">
        <x:v>43243</x:v>
      </x:c>
      <x:c r="D2251" s="33" t="str">
        <x:v>Law &amp; Order: Special Victims Unit</x:v>
      </x:c>
      <x:c r="E2251" s="33" t="str">
        <x:v>Law &amp; Order</x:v>
      </x:c>
      <x:c r="F2251" s="33" t="str">
        <x:v>core</x:v>
      </x:c>
      <x:c r="G2251" s="50" t="n">
        <x:v>19</x:v>
      </x:c>
      <x:c r="H2251" s="50" t="n">
        <x:v>24</x:v>
      </x:c>
      <x:c r="I2251" s="44" t="str">
        <x:v>19.24</x:v>
      </x:c>
      <x:c r="J2251" s="33" t="str">
        <x:v>Remember Me Too (2)</x:v>
      </x:c>
      <x:c r="K2251" s="33" t="str"/>
      <x:c r="L2251" s="33" t="str"/>
      <x:c r="M2251" s="44" t="str"/>
      <x:c r="N2251" s="50" t="n">
        <x:v>43</x:v>
      </x:c>
      <x:c r="O2251" s="53" t="str">
        <x:v>Lieutenant Benson's suspicions about a kidnapping victim uncover a dangerous criminal network prepared to silence anyone who gets in their way.</x:v>
      </x:c>
      <x:c r="P2251" s="53" t="str">
        <x:v>Core Law &amp; Order franchise</x:v>
      </x:c>
      <x:c r="Q2251" s="17" t="str">
        <x:v>2968039</x:v>
      </x:c>
      <x:c r="R2251" s="17" t="str">
        <x:v>tt7846634</x:v>
      </x:c>
      <x:c r="S2251" s="17" t="str">
        <x:v>1434</x:v>
      </x:c>
    </x:row>
    <x:row r="2252">
      <x:c r="A2252" s="43" t="n">
        <x:v>2248</x:v>
      </x:c>
      <x:c r="B2252" s="44" t="str">
        <x:v>Not Started</x:v>
      </x:c>
      <x:c r="C2252" s="45" t="n">
        <x:v>43317</x:v>
      </x:c>
      <x:c r="D2252" s="33" t="str">
        <x:v>Cold Justice</x:v>
      </x:c>
      <x:c r="E2252" s="33" t="str">
        <x:v>Crossover Adjacent</x:v>
      </x:c>
      <x:c r="F2252" s="33" t="str">
        <x:v>complete</x:v>
      </x:c>
      <x:c r="G2252" s="50" t="n">
        <x:v>5</x:v>
      </x:c>
      <x:c r="H2252" s="50" t="n">
        <x:v>1</x:v>
      </x:c>
      <x:c r="I2252" s="44" t="str">
        <x:v>05.01</x:v>
      </x:c>
      <x:c r="J2252" s="33" t="str">
        <x:v>Small Town Secrets</x:v>
      </x:c>
      <x:c r="K2252" s="33" t="str"/>
      <x:c r="L2252" s="33" t="str"/>
      <x:c r="M2252" s="44" t="str"/>
      <x:c r="N2252" s="50" t="n">
        <x:v>42</x:v>
      </x:c>
      <x:c r="O2252" s="53" t="str">
        <x:v>Kelly and Steve head to Wisconsin to investigate a homicide; the case becomes personal after they receive a letter from the victim’s daughters; their search uncovers a town’s dark side, crimes against children and lies within a church.</x:v>
      </x:c>
      <x:c r="P2252" s="53" t="str">
        <x:v>Wolf Entertainment unscripted true-crime series</x:v>
      </x:c>
      <x:c r="Q2252" s="17" t="str">
        <x:v>3059570</x:v>
      </x:c>
      <x:c r="R2252" s="17" t="str"/>
      <x:c r="S2252" s="17" t="str"/>
    </x:row>
    <x:row r="2253">
      <x:c r="A2253" s="43" t="n">
        <x:v>2249</x:v>
      </x:c>
      <x:c r="B2253" s="44" t="str">
        <x:v>Not Started</x:v>
      </x:c>
      <x:c r="C2253" s="45" t="n">
        <x:v>43325</x:v>
      </x:c>
      <x:c r="D2253" s="33" t="str">
        <x:v>Cold Justice</x:v>
      </x:c>
      <x:c r="E2253" s="33" t="str">
        <x:v>Crossover Adjacent</x:v>
      </x:c>
      <x:c r="F2253" s="33" t="str">
        <x:v>complete</x:v>
      </x:c>
      <x:c r="G2253" s="50" t="n">
        <x:v>5</x:v>
      </x:c>
      <x:c r="H2253" s="50" t="n">
        <x:v>2</x:v>
      </x:c>
      <x:c r="I2253" s="44" t="str">
        <x:v>05.02</x:v>
      </x:c>
      <x:c r="J2253" s="33" t="str">
        <x:v>The Professors End</x:v>
      </x:c>
      <x:c r="K2253" s="33" t="str"/>
      <x:c r="L2253" s="33" t="str"/>
      <x:c r="M2253" s="44" t="str"/>
      <x:c r="N2253" s="50" t="n">
        <x:v>42</x:v>
      </x:c>
      <x:c r="O2253" s="53" t="str">
        <x:v>Kelly and Tonya investigate the strange death of a retired college professor in Tonya’s home town, whose cremation was halted by an anonymous tip call hinting at murder; an autopsy proves the tipster’s information is accurate.</x:v>
      </x:c>
      <x:c r="P2253" s="53" t="str">
        <x:v>Wolf Entertainment unscripted true-crime series</x:v>
      </x:c>
      <x:c r="Q2253" s="17" t="str">
        <x:v>3087220</x:v>
      </x:c>
      <x:c r="R2253" s="17" t="str"/>
      <x:c r="S2253" s="17" t="str"/>
    </x:row>
    <x:row r="2254">
      <x:c r="A2254" s="43" t="n">
        <x:v>2250</x:v>
      </x:c>
      <x:c r="B2254" s="44" t="str">
        <x:v>Not Started</x:v>
      </x:c>
      <x:c r="C2254" s="45" t="n">
        <x:v>43331</x:v>
      </x:c>
      <x:c r="D2254" s="33" t="str">
        <x:v>Cold Justice</x:v>
      </x:c>
      <x:c r="E2254" s="33" t="str">
        <x:v>Crossover Adjacent</x:v>
      </x:c>
      <x:c r="F2254" s="33" t="str">
        <x:v>complete</x:v>
      </x:c>
      <x:c r="G2254" s="50" t="n">
        <x:v>5</x:v>
      </x:c>
      <x:c r="H2254" s="50" t="n">
        <x:v>3</x:v>
      </x:c>
      <x:c r="I2254" s="44" t="str">
        <x:v>05.03</x:v>
      </x:c>
      <x:c r="J2254" s="33" t="str">
        <x:v>Holding Onto Hope</x:v>
      </x:c>
      <x:c r="K2254" s="33" t="str"/>
      <x:c r="L2254" s="33" t="str"/>
      <x:c r="M2254" s="44" t="str"/>
      <x:c r="N2254" s="50" t="n">
        <x:v>42</x:v>
      </x:c>
      <x:c r="O2254" s="53" t="str">
        <x:v>Kelly and Johnny return to their home state of Texas to look into the disappearance of a young mother in 2000, whose family has never given up on her; while some suspect murder, others claim to have seen her on the run with a mystery man.</x:v>
      </x:c>
      <x:c r="P2254" s="53" t="str">
        <x:v>Wolf Entertainment unscripted true-crime series</x:v>
      </x:c>
      <x:c r="Q2254" s="17" t="str">
        <x:v>3126073</x:v>
      </x:c>
      <x:c r="R2254" s="17" t="str"/>
      <x:c r="S2254" s="17" t="str"/>
    </x:row>
    <x:row r="2255">
      <x:c r="A2255" s="43" t="n">
        <x:v>2251</x:v>
      </x:c>
      <x:c r="B2255" s="44" t="str">
        <x:v>Not Started</x:v>
      </x:c>
      <x:c r="C2255" s="45" t="n">
        <x:v>43338</x:v>
      </x:c>
      <x:c r="D2255" s="33" t="str">
        <x:v>Cold Justice</x:v>
      </x:c>
      <x:c r="E2255" s="33" t="str">
        <x:v>Crossover Adjacent</x:v>
      </x:c>
      <x:c r="F2255" s="33" t="str">
        <x:v>complete</x:v>
      </x:c>
      <x:c r="G2255" s="50" t="n">
        <x:v>5</x:v>
      </x:c>
      <x:c r="H2255" s="50" t="n">
        <x:v>4</x:v>
      </x:c>
      <x:c r="I2255" s="44" t="str">
        <x:v>05.04</x:v>
      </x:c>
      <x:c r="J2255" s="33" t="str">
        <x:v>Down By the Lake</x:v>
      </x:c>
      <x:c r="K2255" s="33" t="str"/>
      <x:c r="L2255" s="33" t="str"/>
      <x:c r="M2255" s="44" t="str"/>
      <x:c r="N2255" s="50" t="n">
        <x:v>42</x:v>
      </x:c>
      <x:c r="O2255" s="53" t="str">
        <x:v>Ruled accidental, Kelly and Johnny Bonds look into the 2011 drowning death of 19-year-old Blayne Davis, whose mother suspects foul play.</x:v>
      </x:c>
      <x:c r="P2255" s="53" t="str">
        <x:v>Wolf Entertainment unscripted true-crime series</x:v>
      </x:c>
      <x:c r="Q2255" s="17" t="str">
        <x:v>3126074</x:v>
      </x:c>
      <x:c r="R2255" s="17" t="str"/>
      <x:c r="S2255" s="17" t="str"/>
    </x:row>
    <x:row r="2256">
      <x:c r="A2256" s="43" t="n">
        <x:v>2252</x:v>
      </x:c>
      <x:c r="B2256" s="44" t="str">
        <x:v>Not Started</x:v>
      </x:c>
      <x:c r="C2256" s="45" t="n">
        <x:v>43345</x:v>
      </x:c>
      <x:c r="D2256" s="33" t="str">
        <x:v>Cold Justice</x:v>
      </x:c>
      <x:c r="E2256" s="33" t="str">
        <x:v>Crossover Adjacent</x:v>
      </x:c>
      <x:c r="F2256" s="33" t="str">
        <x:v>complete</x:v>
      </x:c>
      <x:c r="G2256" s="50" t="n">
        <x:v>5</x:v>
      </x:c>
      <x:c r="H2256" s="50" t="n">
        <x:v>5</x:v>
      </x:c>
      <x:c r="I2256" s="44" t="str">
        <x:v>05.05</x:v>
      </x:c>
      <x:c r="J2256" s="33" t="str">
        <x:v>Danger at Dawn</x:v>
      </x:c>
      <x:c r="K2256" s="33" t="str"/>
      <x:c r="L2256" s="33" t="str"/>
      <x:c r="M2256" s="44" t="str"/>
      <x:c r="N2256" s="50" t="n">
        <x:v>42</x:v>
      </x:c>
      <x:c r="O2256" s="53" t="str">
        <x:v>Kelly and Abbey investigate the cold-blooded murder of a fun-loving Texas country boy shot in the back of his head; it could the result of a love triangle gone tragically wrong.</x:v>
      </x:c>
      <x:c r="P2256" s="53" t="str">
        <x:v>Wolf Entertainment unscripted true-crime series</x:v>
      </x:c>
      <x:c r="Q2256" s="17" t="str">
        <x:v>3126075</x:v>
      </x:c>
      <x:c r="R2256" s="17" t="str"/>
      <x:c r="S2256" s="17" t="str"/>
    </x:row>
    <x:row r="2257">
      <x:c r="A2257" s="43" t="n">
        <x:v>2253</x:v>
      </x:c>
      <x:c r="B2257" s="44" t="str">
        <x:v>Not Started</x:v>
      </x:c>
      <x:c r="C2257" s="45" t="n">
        <x:v>43352</x:v>
      </x:c>
      <x:c r="D2257" s="33" t="str">
        <x:v>Cold Justice</x:v>
      </x:c>
      <x:c r="E2257" s="33" t="str">
        <x:v>Crossover Adjacent</x:v>
      </x:c>
      <x:c r="F2257" s="33" t="str">
        <x:v>complete</x:v>
      </x:c>
      <x:c r="G2257" s="50" t="n">
        <x:v>5</x:v>
      </x:c>
      <x:c r="H2257" s="50" t="n">
        <x:v>6</x:v>
      </x:c>
      <x:c r="I2257" s="44" t="str">
        <x:v>05.06</x:v>
      </x:c>
      <x:c r="J2257" s="33" t="str">
        <x:v>Preacher's Mother</x:v>
      </x:c>
      <x:c r="K2257" s="33" t="str"/>
      <x:c r="L2257" s="33" t="str"/>
      <x:c r="M2257" s="44" t="str"/>
      <x:c r="N2257" s="50" t="n">
        <x:v>42</x:v>
      </x:c>
      <x:c r="O2257" s="53" t="str">
        <x:v>Kelly and Steve investigate the brutal slaying of beloved mother Eloise Payne, who was stabbed 38 times in her Michigan home; a mysterious car spotted in the area may hold the key to identifying her killer.</x:v>
      </x:c>
      <x:c r="P2257" s="53" t="str">
        <x:v>Wolf Entertainment unscripted true-crime series</x:v>
      </x:c>
      <x:c r="Q2257" s="17" t="str">
        <x:v>3132904</x:v>
      </x:c>
      <x:c r="R2257" s="17" t="str"/>
      <x:c r="S2257" s="17" t="str"/>
    </x:row>
    <x:row r="2258">
      <x:c r="A2258" s="43" t="n">
        <x:v>2254</x:v>
      </x:c>
      <x:c r="B2258" s="44" t="str">
        <x:v>Not Started</x:v>
      </x:c>
      <x:c r="C2258" s="45" t="n">
        <x:v>43359</x:v>
      </x:c>
      <x:c r="D2258" s="33" t="str">
        <x:v>Cold Justice</x:v>
      </x:c>
      <x:c r="E2258" s="33" t="str">
        <x:v>Crossover Adjacent</x:v>
      </x:c>
      <x:c r="F2258" s="33" t="str">
        <x:v>complete</x:v>
      </x:c>
      <x:c r="G2258" s="50" t="n">
        <x:v>5</x:v>
      </x:c>
      <x:c r="H2258" s="50" t="n">
        <x:v>7</x:v>
      </x:c>
      <x:c r="I2258" s="44" t="str">
        <x:v>05.07</x:v>
      </x:c>
      <x:c r="J2258" s="33" t="str">
        <x:v>No Safe Return</x:v>
      </x:c>
      <x:c r="K2258" s="33" t="str"/>
      <x:c r="L2258" s="33" t="str"/>
      <x:c r="M2258" s="44" t="str"/>
      <x:c r="N2258" s="50" t="n">
        <x:v>42</x:v>
      </x:c>
      <x:c r="O2258" s="53" t="str">
        <x:v>Kelly and Aaron Sam look into the disappearance of a father who tragically vanished just before he could move back home to his family; they ask if a financial windfall could have had something to do with the man's disappearance.</x:v>
      </x:c>
      <x:c r="P2258" s="53" t="str">
        <x:v>Wolf Entertainment unscripted true-crime series</x:v>
      </x:c>
      <x:c r="Q2258" s="17" t="str">
        <x:v>3149512</x:v>
      </x:c>
      <x:c r="R2258" s="17" t="str"/>
      <x:c r="S2258" s="17" t="str"/>
    </x:row>
    <x:row r="2259">
      <x:c r="A2259" s="43" t="n">
        <x:v>2255</x:v>
      </x:c>
      <x:c r="B2259" s="44" t="str">
        <x:v>Not Started</x:v>
      </x:c>
      <x:c r="C2259" s="45" t="n">
        <x:v>43366</x:v>
      </x:c>
      <x:c r="D2259" s="33" t="str">
        <x:v>Cold Justice</x:v>
      </x:c>
      <x:c r="E2259" s="33" t="str">
        <x:v>Crossover Adjacent</x:v>
      </x:c>
      <x:c r="F2259" s="33" t="str">
        <x:v>complete</x:v>
      </x:c>
      <x:c r="G2259" s="50" t="n">
        <x:v>5</x:v>
      </x:c>
      <x:c r="H2259" s="50" t="n">
        <x:v>8</x:v>
      </x:c>
      <x:c r="I2259" s="44" t="str">
        <x:v>05.08</x:v>
      </x:c>
      <x:c r="J2259" s="33" t="str">
        <x:v>Bound and Burnt</x:v>
      </x:c>
      <x:c r="K2259" s="33" t="str"/>
      <x:c r="L2259" s="33" t="str"/>
      <x:c r="M2259" s="44" t="str"/>
      <x:c r="N2259" s="50" t="n">
        <x:v>42</x:v>
      </x:c>
      <x:c r="O2259" s="53" t="str">
        <x:v>Kelly and Johnny investigate the twisted murder of a new grandmother who was strangled and set on fire in an abandoned school bus; things get personal when the primary suspects turn out to be Kelly's neighbors.</x:v>
      </x:c>
      <x:c r="P2259" s="53" t="str">
        <x:v>Wolf Entertainment unscripted true-crime series</x:v>
      </x:c>
      <x:c r="Q2259" s="17" t="str">
        <x:v>3149513</x:v>
      </x:c>
      <x:c r="R2259" s="17" t="str"/>
      <x:c r="S2259" s="17" t="str"/>
    </x:row>
    <x:row r="2260">
      <x:c r="A2260" s="43" t="n">
        <x:v>2256</x:v>
      </x:c>
      <x:c r="B2260" s="44" t="str">
        <x:v>Not Started</x:v>
      </x:c>
      <x:c r="C2260" s="45" t="n">
        <x:v>43369</x:v>
      </x:c>
      <x:c r="D2260" s="33" t="str">
        <x:v>FBI</x:v>
      </x:c>
      <x:c r="E2260" s="33" t="str">
        <x:v>FBI</x:v>
      </x:c>
      <x:c r="F2260" s="33" t="str">
        <x:v>core</x:v>
      </x:c>
      <x:c r="G2260" s="50" t="n">
        <x:v>1</x:v>
      </x:c>
      <x:c r="H2260" s="50" t="n">
        <x:v>1</x:v>
      </x:c>
      <x:c r="I2260" s="44" t="str">
        <x:v>01.01</x:v>
      </x:c>
      <x:c r="J2260" s="33" t="str">
        <x:v>Pilot</x:v>
      </x:c>
      <x:c r="K2260" s="33" t="str"/>
      <x:c r="L2260" s="33" t="str"/>
      <x:c r="M2260" s="44" t="str"/>
      <x:c r="N2260" s="50" t="n">
        <x:v>43</x:v>
      </x:c>
      <x:c r="O2260" s="53" t="str">
        <x:v>After a bomb explosion devastates a residential apartment building, special agents Maggie Bell and Omar Adom “OA” Zidan of the New York office of the Federal Bureau of Investigation investigate a possible war between rival gangs – that is, until their prime suspects are discovered brutally murdered.</x:v>
      </x:c>
      <x:c r="P2260" s="53" t="str">
        <x:v>Core FBI franchise</x:v>
      </x:c>
      <x:c r="Q2260" s="17" t="str">
        <x:v>3077827</x:v>
      </x:c>
      <x:c r="R2260" s="17" t="str">
        <x:v>tt7943330</x:v>
      </x:c>
      <x:c r="S2260" s="17" t="str"/>
    </x:row>
    <x:row r="2261">
      <x:c r="A2261" s="43" t="n">
        <x:v>2257</x:v>
      </x:c>
      <x:c r="B2261" s="44" t="str">
        <x:v>Not Started</x:v>
      </x:c>
      <x:c r="C2261" s="45" t="n">
        <x:v>43370</x:v>
      </x:c>
      <x:c r="D2261" s="33" t="str">
        <x:v>Chicago Med</x:v>
      </x:c>
      <x:c r="E2261" s="33" t="str">
        <x:v>One Chicago</x:v>
      </x:c>
      <x:c r="F2261" s="33" t="str">
        <x:v>core</x:v>
      </x:c>
      <x:c r="G2261" s="50" t="n">
        <x:v>4</x:v>
      </x:c>
      <x:c r="H2261" s="50" t="n">
        <x:v>1</x:v>
      </x:c>
      <x:c r="I2261" s="44" t="str">
        <x:v>04.01</x:v>
      </x:c>
      <x:c r="J2261" s="33" t="str">
        <x:v>Be My Better Half</x:v>
      </x:c>
      <x:c r="K2261" s="33" t="str"/>
      <x:c r="L2261" s="33" t="str"/>
      <x:c r="M2261" s="44" t="str"/>
      <x:c r="N2261" s="50" t="n">
        <x:v>43</x:v>
      </x:c>
      <x:c r="O2261" s="53" t="str">
        <x:v>Bekker takes drastic action to keep Rhodes from leaving Med for good. Meanwhile, Halstead questions Manning's feelings about their upcoming wedding, Ethan receives shocking news about his sister, and Dr. Charles mourns a loss.</x:v>
      </x:c>
      <x:c r="P2261" s="53" t="str">
        <x:v>Core One Chicago franchise</x:v>
      </x:c>
      <x:c r="Q2261" s="17" t="str">
        <x:v>3052512</x:v>
      </x:c>
      <x:c r="R2261" s="17" t="str">
        <x:v>tt8473872</x:v>
      </x:c>
      <x:c r="S2261" s="17" t="str"/>
    </x:row>
    <x:row r="2262">
      <x:c r="A2262" s="43" t="n">
        <x:v>2258</x:v>
      </x:c>
      <x:c r="B2262" s="44" t="str">
        <x:v>Not Started</x:v>
      </x:c>
      <x:c r="C2262" s="45" t="n">
        <x:v>43370</x:v>
      </x:c>
      <x:c r="D2262" s="33" t="str">
        <x:v>Chicago P.D.</x:v>
      </x:c>
      <x:c r="E2262" s="33" t="str">
        <x:v>One Chicago</x:v>
      </x:c>
      <x:c r="F2262" s="33" t="str">
        <x:v>core</x:v>
      </x:c>
      <x:c r="G2262" s="50" t="n">
        <x:v>6</x:v>
      </x:c>
      <x:c r="H2262" s="50" t="n">
        <x:v>1</x:v>
      </x:c>
      <x:c r="I2262" s="44" t="str">
        <x:v>06.01</x:v>
      </x:c>
      <x:c r="J2262" s="33" t="str">
        <x:v>New Normal</x:v>
      </x:c>
      <x:c r="K2262" s="33" t="str"/>
      <x:c r="L2262" s="33" t="str"/>
      <x:c r="M2262" s="44" t="str"/>
      <x:c r="N2262" s="50" t="n">
        <x:v>42</x:v>
      </x:c>
      <x:c r="O2262" s="53" t="str">
        <x:v>Bad heroin is causing overdoses in Chicago, and Intelligence is a man down with Voight suspended. Antonio takes charge, but Ruzek undermines his authority.</x:v>
      </x:c>
      <x:c r="P2262" s="53" t="str">
        <x:v>Core One Chicago franchise; crossovers with SVU/FBI</x:v>
      </x:c>
      <x:c r="Q2262" s="17" t="str">
        <x:v>3052440</x:v>
      </x:c>
      <x:c r="R2262" s="17" t="str">
        <x:v>tt8473924</x:v>
      </x:c>
      <x:c r="S2262" s="17" t="str"/>
    </x:row>
    <x:row r="2263">
      <x:c r="A2263" s="43" t="n">
        <x:v>2259</x:v>
      </x:c>
      <x:c r="B2263" s="44" t="str">
        <x:v>Not Started</x:v>
      </x:c>
      <x:c r="C2263" s="45" t="n">
        <x:v>43370</x:v>
      </x:c>
      <x:c r="D2263" s="33" t="str">
        <x:v>Chicago Fire</x:v>
      </x:c>
      <x:c r="E2263" s="33" t="str">
        <x:v>One Chicago</x:v>
      </x:c>
      <x:c r="F2263" s="33" t="str">
        <x:v>core</x:v>
      </x:c>
      <x:c r="G2263" s="50" t="n">
        <x:v>7</x:v>
      </x:c>
      <x:c r="H2263" s="50" t="n">
        <x:v>1</x:v>
      </x:c>
      <x:c r="I2263" s="44" t="str">
        <x:v>07.01</x:v>
      </x:c>
      <x:c r="J2263" s="33" t="str">
        <x:v>A Closer Eye</x:v>
      </x:c>
      <x:c r="K2263" s="33" t="str"/>
      <x:c r="L2263" s="33" t="str"/>
      <x:c r="M2263" s="44" t="str"/>
      <x:c r="N2263" s="50" t="n">
        <x:v>41</x:v>
      </x:c>
      <x:c r="O2263" s="53" t="str">
        <x:v>Casey tries to deal with his unsettled personal life and the firehouse welcomes a new member. Boden clashes with new Assistant Deputy Commissioner Jerry Gorsch.</x:v>
      </x:c>
      <x:c r="P2263" s="53" t="str">
        <x:v>Core One Chicago franchise</x:v>
      </x:c>
      <x:c r="Q2263" s="17" t="str">
        <x:v>3052656</x:v>
      </x:c>
      <x:c r="R2263" s="17" t="str">
        <x:v>tt8474102</x:v>
      </x:c>
      <x:c r="S2263" s="17" t="str"/>
    </x:row>
    <x:row r="2264">
      <x:c r="A2264" s="43" t="n">
        <x:v>2260</x:v>
      </x:c>
      <x:c r="B2264" s="44" t="str">
        <x:v>Not Started</x:v>
      </x:c>
      <x:c r="C2264" s="45" t="n">
        <x:v>43370</x:v>
      </x:c>
      <x:c r="D2264" s="33" t="str">
        <x:v>Law &amp; Order: Special Victims Unit</x:v>
      </x:c>
      <x:c r="E2264" s="33" t="str">
        <x:v>Law &amp; Order</x:v>
      </x:c>
      <x:c r="F2264" s="33" t="str">
        <x:v>core</x:v>
      </x:c>
      <x:c r="G2264" s="50" t="n">
        <x:v>20</x:v>
      </x:c>
      <x:c r="H2264" s="50" t="n">
        <x:v>1</x:v>
      </x:c>
      <x:c r="I2264" s="44" t="str">
        <x:v>20.01</x:v>
      </x:c>
      <x:c r="J2264" s="33" t="str">
        <x:v>Man Up</x:v>
      </x:c>
      <x:c r="K2264" s="33" t="str"/>
      <x:c r="L2264" s="33" t="str"/>
      <x:c r="M2264" s="44" t="str"/>
      <x:c r="N2264" s="50" t="n">
        <x:v>43</x:v>
      </x:c>
      <x:c r="O2264" s="53" t="str">
        <x:v>Teenager Sam Conway shows evidence of rape but refuses to name his attacker. Meanwhile, Benson and Rollins confess to some major life changes.</x:v>
      </x:c>
      <x:c r="P2264" s="53" t="str">
        <x:v>Core Law &amp; Order franchise</x:v>
      </x:c>
      <x:c r="Q2264" s="17" t="str">
        <x:v>3052532</x:v>
      </x:c>
      <x:c r="R2264" s="17" t="str">
        <x:v>tt8395466</x:v>
      </x:c>
      <x:c r="S2264" s="17" t="str">
        <x:v>1435</x:v>
      </x:c>
    </x:row>
    <x:row r="2265">
      <x:c r="A2265" s="43" t="n">
        <x:v>2261</x:v>
      </x:c>
      <x:c r="B2265" s="44" t="str">
        <x:v>Not Started</x:v>
      </x:c>
      <x:c r="C2265" s="45" t="n">
        <x:v>43370</x:v>
      </x:c>
      <x:c r="D2265" s="33" t="str">
        <x:v>Law &amp; Order: Special Victims Unit</x:v>
      </x:c>
      <x:c r="E2265" s="33" t="str">
        <x:v>Law &amp; Order</x:v>
      </x:c>
      <x:c r="F2265" s="33" t="str">
        <x:v>core</x:v>
      </x:c>
      <x:c r="G2265" s="50" t="n">
        <x:v>20</x:v>
      </x:c>
      <x:c r="H2265" s="50" t="n">
        <x:v>2</x:v>
      </x:c>
      <x:c r="I2265" s="44" t="str">
        <x:v>20.02</x:v>
      </x:c>
      <x:c r="J2265" s="33" t="str">
        <x:v>Man Down</x:v>
      </x:c>
      <x:c r="K2265" s="33" t="str"/>
      <x:c r="L2265" s="33" t="str"/>
      <x:c r="M2265" s="44" t="str"/>
      <x:c r="N2265" s="50" t="n">
        <x:v>43</x:v>
      </x:c>
      <x:c r="O2265" s="53" t="str">
        <x:v>In the conclusion to the season premiere, ADA Stone blames himself for the shocking verdict in Sam's case, and before Benson can offer help, Sam makes a tragic decision.</x:v>
      </x:c>
      <x:c r="P2265" s="53" t="str">
        <x:v>Core Law &amp; Order franchise</x:v>
      </x:c>
      <x:c r="Q2265" s="17" t="str">
        <x:v>3052535</x:v>
      </x:c>
      <x:c r="R2265" s="17" t="str">
        <x:v>tt8585606</x:v>
      </x:c>
      <x:c r="S2265" s="17" t="str">
        <x:v>1436</x:v>
      </x:c>
    </x:row>
    <x:row r="2266">
      <x:c r="A2266" s="43" t="n">
        <x:v>2262</x:v>
      </x:c>
      <x:c r="B2266" s="44" t="str">
        <x:v>Not Started</x:v>
      </x:c>
      <x:c r="C2266" s="45" t="n">
        <x:v>43374</x:v>
      </x:c>
      <x:c r="D2266" s="33" t="str">
        <x:v>Cold Justice</x:v>
      </x:c>
      <x:c r="E2266" s="33" t="str">
        <x:v>Crossover Adjacent</x:v>
      </x:c>
      <x:c r="F2266" s="33" t="str">
        <x:v>complete</x:v>
      </x:c>
      <x:c r="G2266" s="50" t="n">
        <x:v>5</x:v>
      </x:c>
      <x:c r="H2266" s="50" t="n">
        <x:v>9</x:v>
      </x:c>
      <x:c r="I2266" s="44" t="str">
        <x:v>05.09</x:v>
      </x:c>
      <x:c r="J2266" s="33" t="str">
        <x:v>Pain in Pawhuska</x:v>
      </x:c>
      <x:c r="K2266" s="33" t="str"/>
      <x:c r="L2266" s="33" t="str"/>
      <x:c r="M2266" s="44" t="str"/>
      <x:c r="N2266" s="50" t="n">
        <x:v>42</x:v>
      </x:c>
      <x:c r="O2266" s="53" t="str">
        <x:v>Kelly and Steve investigate the brutal slaying of an Oklahoma teenager whose night of cruising and partying turned deadly. Could a scandalous town rumor have led to her death? The team searches for justice 22 years later.</x:v>
      </x:c>
      <x:c r="P2266" s="53" t="str">
        <x:v>Wolf Entertainment unscripted true-crime series</x:v>
      </x:c>
      <x:c r="Q2266" s="17" t="str">
        <x:v>3149514</x:v>
      </x:c>
      <x:c r="R2266" s="17" t="str"/>
      <x:c r="S2266" s="17" t="str"/>
    </x:row>
    <x:row r="2267">
      <x:c r="A2267" s="43" t="n">
        <x:v>2263</x:v>
      </x:c>
      <x:c r="B2267" s="44" t="str">
        <x:v>Not Started</x:v>
      </x:c>
      <x:c r="C2267" s="45" t="n">
        <x:v>43376</x:v>
      </x:c>
      <x:c r="D2267" s="33" t="str">
        <x:v>FBI</x:v>
      </x:c>
      <x:c r="E2267" s="33" t="str">
        <x:v>FBI</x:v>
      </x:c>
      <x:c r="F2267" s="33" t="str">
        <x:v>core</x:v>
      </x:c>
      <x:c r="G2267" s="50" t="n">
        <x:v>1</x:v>
      </x:c>
      <x:c r="H2267" s="50" t="n">
        <x:v>2</x:v>
      </x:c>
      <x:c r="I2267" s="44" t="str">
        <x:v>01.02</x:v>
      </x:c>
      <x:c r="J2267" s="33" t="str">
        <x:v>Green Birds</x:v>
      </x:c>
      <x:c r="K2267" s="33" t="str"/>
      <x:c r="L2267" s="33" t="str"/>
      <x:c r="M2267" s="44" t="str"/>
      <x:c r="N2267" s="50" t="n">
        <x:v>43</x:v>
      </x:c>
      <x:c r="O2267" s="53" t="str">
        <x:v>After eight people are fatally poisoned at a deli in New York City, special agents Maggie Bell and OA Zidan trace the crime to an unlikely culprit and conduct a sting operation to prevent further attacks.</x:v>
      </x:c>
      <x:c r="P2267" s="53" t="str">
        <x:v>Core FBI franchise</x:v>
      </x:c>
      <x:c r="Q2267" s="17" t="str">
        <x:v>3121172</x:v>
      </x:c>
      <x:c r="R2267" s="17" t="str">
        <x:v>tt8081324</x:v>
      </x:c>
      <x:c r="S2267" s="17" t="str"/>
    </x:row>
    <x:row r="2268">
      <x:c r="A2268" s="43" t="n">
        <x:v>2264</x:v>
      </x:c>
      <x:c r="B2268" s="44" t="str">
        <x:v>Not Started</x:v>
      </x:c>
      <x:c r="C2268" s="45" t="n">
        <x:v>43377</x:v>
      </x:c>
      <x:c r="D2268" s="33" t="str">
        <x:v>Chicago Med</x:v>
      </x:c>
      <x:c r="E2268" s="33" t="str">
        <x:v>One Chicago</x:v>
      </x:c>
      <x:c r="F2268" s="33" t="str">
        <x:v>core</x:v>
      </x:c>
      <x:c r="G2268" s="50" t="n">
        <x:v>4</x:v>
      </x:c>
      <x:c r="H2268" s="50" t="n">
        <x:v>2</x:v>
      </x:c>
      <x:c r="I2268" s="44" t="str">
        <x:v>04.02</x:v>
      </x:c>
      <x:c r="J2268" s="33" t="str">
        <x:v>When to Let Go (II)</x:v>
      </x:c>
      <x:c r="K2268" s="33" t="str">
        <x:v>Crossover</x:v>
      </x:c>
      <x:c r="L2268" s="33" t="str">
        <x:v>Going to War</x:v>
      </x:c>
      <x:c r="M2268" s="44" t="str">
        <x:v>2/3</x:v>
      </x:c>
      <x:c r="N2268" s="50" t="n">
        <x:v>43</x:v>
      </x:c>
      <x:c r="O2268" s="53" t="str">
        <x:v>The doctors and nurses of Chicago Med find themselves on high alert when an overflow of patients are rushed into the doors following a terrifying apartment complex blaze. Dr. Rhodes fights to save the life of one of Chicago Fire's own, while Dr. Halstead and his brother Jay struggle with their own personal battle.
The crossover starts on Chicago Fire S07E02 Going to War (I). It continues on Chicago P.D. S06E02 Endings (III).</x:v>
      </x:c>
      <x:c r="P2268" s="53" t="str">
        <x:v>Core One Chicago franchise</x:v>
      </x:c>
      <x:c r="Q2268" s="17" t="str">
        <x:v>3113280</x:v>
      </x:c>
      <x:c r="R2268" s="17" t="str">
        <x:v>tt8828472</x:v>
      </x:c>
      <x:c r="S2268" s="17" t="str">
        <x:v>https://one-chicago-fbi.fandom.com/wiki/Crossovers_and_Milestones</x:v>
      </x:c>
    </x:row>
    <x:row r="2269">
      <x:c r="A2269" s="43" t="n">
        <x:v>2265</x:v>
      </x:c>
      <x:c r="B2269" s="44" t="str">
        <x:v>Not Started</x:v>
      </x:c>
      <x:c r="C2269" s="45" t="n">
        <x:v>43377</x:v>
      </x:c>
      <x:c r="D2269" s="33" t="str">
        <x:v>Chicago P.D.</x:v>
      </x:c>
      <x:c r="E2269" s="33" t="str">
        <x:v>One Chicago</x:v>
      </x:c>
      <x:c r="F2269" s="33" t="str">
        <x:v>core</x:v>
      </x:c>
      <x:c r="G2269" s="50" t="n">
        <x:v>6</x:v>
      </x:c>
      <x:c r="H2269" s="50" t="n">
        <x:v>2</x:v>
      </x:c>
      <x:c r="I2269" s="44" t="str">
        <x:v>06.02</x:v>
      </x:c>
      <x:c r="J2269" s="33" t="str">
        <x:v>Endings (III)</x:v>
      </x:c>
      <x:c r="K2269" s="33" t="str">
        <x:v>Crossover</x:v>
      </x:c>
      <x:c r="L2269" s="33" t="str">
        <x:v>Going to War</x:v>
      </x:c>
      <x:c r="M2269" s="44" t="str">
        <x:v>3/3</x:v>
      </x:c>
      <x:c r="N2269" s="50" t="n">
        <x:v>42</x:v>
      </x:c>
      <x:c r="O2269" s="53" t="str">
        <x:v>After discovering the true cause of the high-rise fire, Intelligence races to find the man responsible. And for Halstead, it’s personal.
The crossover starts on Chicago Fire S07E02 Going to War (I) and Chicago Med S04E02 When to Let Go (II).</x:v>
      </x:c>
      <x:c r="P2269" s="53" t="str">
        <x:v>Core One Chicago franchise; crossovers with SVU/FBI</x:v>
      </x:c>
      <x:c r="Q2269" s="17" t="str">
        <x:v>3113175</x:v>
      </x:c>
      <x:c r="R2269" s="17" t="str">
        <x:v>tt8785902</x:v>
      </x:c>
      <x:c r="S2269" s="17" t="str">
        <x:v>https://one-chicago-fbi.fandom.com/wiki/Crossovers_and_Milestones</x:v>
      </x:c>
    </x:row>
    <x:row r="2270">
      <x:c r="A2270" s="43" t="n">
        <x:v>2266</x:v>
      </x:c>
      <x:c r="B2270" s="44" t="str">
        <x:v>Not Started</x:v>
      </x:c>
      <x:c r="C2270" s="45" t="n">
        <x:v>43377</x:v>
      </x:c>
      <x:c r="D2270" s="33" t="str">
        <x:v>Chicago Fire</x:v>
      </x:c>
      <x:c r="E2270" s="33" t="str">
        <x:v>One Chicago</x:v>
      </x:c>
      <x:c r="F2270" s="33" t="str">
        <x:v>core</x:v>
      </x:c>
      <x:c r="G2270" s="50" t="n">
        <x:v>7</x:v>
      </x:c>
      <x:c r="H2270" s="50" t="n">
        <x:v>2</x:v>
      </x:c>
      <x:c r="I2270" s="44" t="str">
        <x:v>07.02</x:v>
      </x:c>
      <x:c r="J2270" s="33" t="str">
        <x:v>Going to War (I)</x:v>
      </x:c>
      <x:c r="K2270" s="33" t="str">
        <x:v>Crossover</x:v>
      </x:c>
      <x:c r="L2270" s="33" t="str">
        <x:v>Going to War</x:v>
      </x:c>
      <x:c r="M2270" s="44" t="str">
        <x:v>1/3</x:v>
      </x:c>
      <x:c r="N2270" s="50" t="n">
        <x:v>41</x:v>
      </x:c>
      <x:c r="O2270" s="53" t="str">
        <x:v>Firehouse 51 is faced with a daunting challenge when an out-of-control blaze consumes a 15-story apartment complex, trapping victims on the top floors. Complicating the rapidly escalating situation, members soon discover that someone close to home may be one of the trapped victims.
The crossover continues on Chicago Med S04E02 When to Let Go (II) and Chicago P.D. S06E02 Endings (III).</x:v>
      </x:c>
      <x:c r="P2270" s="53" t="str">
        <x:v>Core One Chicago franchise</x:v>
      </x:c>
      <x:c r="Q2270" s="17" t="str">
        <x:v>3113043</x:v>
      </x:c>
      <x:c r="R2270" s="17" t="str">
        <x:v>tt8986666</x:v>
      </x:c>
      <x:c r="S2270" s="17" t="str">
        <x:v>https://one-chicago-fbi.fandom.com/wiki/Crossovers_and_Milestones</x:v>
      </x:c>
    </x:row>
    <x:row r="2271">
      <x:c r="A2271" s="43" t="n">
        <x:v>2267</x:v>
      </x:c>
      <x:c r="B2271" s="44" t="str">
        <x:v>Not Started</x:v>
      </x:c>
      <x:c r="C2271" s="45" t="n">
        <x:v>43377</x:v>
      </x:c>
      <x:c r="D2271" s="33" t="str">
        <x:v>Law &amp; Order: Special Victims Unit</x:v>
      </x:c>
      <x:c r="E2271" s="33" t="str">
        <x:v>Law &amp; Order</x:v>
      </x:c>
      <x:c r="F2271" s="33" t="str">
        <x:v>core</x:v>
      </x:c>
      <x:c r="G2271" s="50" t="n">
        <x:v>20</x:v>
      </x:c>
      <x:c r="H2271" s="50" t="n">
        <x:v>3</x:v>
      </x:c>
      <x:c r="I2271" s="44" t="str">
        <x:v>20.03</x:v>
      </x:c>
      <x:c r="J2271" s="33" t="str">
        <x:v>Zero Tolerance</x:v>
      </x:c>
      <x:c r="K2271" s="33" t="str"/>
      <x:c r="L2271" s="33" t="str"/>
      <x:c r="M2271" s="44" t="str"/>
      <x:c r="N2271" s="50" t="n">
        <x:v>43</x:v>
      </x:c>
      <x:c r="O2271" s="53" t="str">
        <x:v>After the rescue of a young girl from a sex trafficker, Benson and Stone must take drastic measures to reunite her with her mother. Meanwhile, Rollins decides to give her rocky relationship another chance.</x:v>
      </x:c>
      <x:c r="P2271" s="53" t="str">
        <x:v>Core Law &amp; Order franchise</x:v>
      </x:c>
      <x:c r="Q2271" s="17" t="str">
        <x:v>3113679</x:v>
      </x:c>
      <x:c r="R2271" s="17" t="str">
        <x:v>tt8794144</x:v>
      </x:c>
      <x:c r="S2271" s="17" t="str">
        <x:v>1437</x:v>
      </x:c>
    </x:row>
    <x:row r="2272">
      <x:c r="A2272" s="43" t="n">
        <x:v>2268</x:v>
      </x:c>
      <x:c r="B2272" s="44" t="str">
        <x:v>Not Started</x:v>
      </x:c>
      <x:c r="C2272" s="45" t="n">
        <x:v>43380</x:v>
      </x:c>
      <x:c r="D2272" s="33" t="str">
        <x:v>Cold Justice</x:v>
      </x:c>
      <x:c r="E2272" s="33" t="str">
        <x:v>Crossover Adjacent</x:v>
      </x:c>
      <x:c r="F2272" s="33" t="str">
        <x:v>complete</x:v>
      </x:c>
      <x:c r="G2272" s="50" t="n">
        <x:v>5</x:v>
      </x:c>
      <x:c r="H2272" s="50" t="n">
        <x:v>10</x:v>
      </x:c>
      <x:c r="I2272" s="44" t="str">
        <x:v>05.10</x:v>
      </x:c>
      <x:c r="J2272" s="33" t="str">
        <x:v>The Case Behind the Billboards</x:v>
      </x:c>
      <x:c r="K2272" s="33" t="str"/>
      <x:c r="L2272" s="33" t="str"/>
      <x:c r="M2272" s="44" t="str"/>
      <x:c r="N2272" s="50" t="n">
        <x:v>42</x:v>
      </x:c>
      <x:c r="O2272" s="53" t="str">
        <x:v>Kelly and Johnny uncover new details in the tragic 27-year-old unsolved murder of Kathy Page, a case that shocked a small town and inspired the award winning film “Three Billboards Outside Ebbing, Missouri.”</x:v>
      </x:c>
      <x:c r="P2272" s="53" t="str">
        <x:v>Wolf Entertainment unscripted true-crime series</x:v>
      </x:c>
      <x:c r="Q2272" s="17" t="str">
        <x:v>3178175</x:v>
      </x:c>
      <x:c r="R2272" s="17" t="str"/>
      <x:c r="S2272" s="17" t="str"/>
    </x:row>
    <x:row r="2273">
      <x:c r="A2273" s="43" t="n">
        <x:v>2269</x:v>
      </x:c>
      <x:c r="B2273" s="44" t="str">
        <x:v>Not Started</x:v>
      </x:c>
      <x:c r="C2273" s="45" t="n">
        <x:v>43383</x:v>
      </x:c>
      <x:c r="D2273" s="33" t="str">
        <x:v>FBI</x:v>
      </x:c>
      <x:c r="E2273" s="33" t="str">
        <x:v>FBI</x:v>
      </x:c>
      <x:c r="F2273" s="33" t="str">
        <x:v>core</x:v>
      </x:c>
      <x:c r="G2273" s="50" t="n">
        <x:v>1</x:v>
      </x:c>
      <x:c r="H2273" s="50" t="n">
        <x:v>3</x:v>
      </x:c>
      <x:c r="I2273" s="44" t="str">
        <x:v>01.03</x:v>
      </x:c>
      <x:c r="J2273" s="33" t="str">
        <x:v>Prey</x:v>
      </x:c>
      <x:c r="K2273" s="33" t="str"/>
      <x:c r="L2273" s="33" t="str"/>
      <x:c r="M2273" s="44" t="str"/>
      <x:c r="N2273" s="50" t="n">
        <x:v>43</x:v>
      </x:c>
      <x:c r="O2273" s="53" t="str">
        <x:v>Special Agent Maggie Bell, Special Agent OA Zidan and the team investigate the murders of 18 young women with help from a survivor associated with the deceased.</x:v>
      </x:c>
      <x:c r="P2273" s="53" t="str">
        <x:v>Core FBI franchise</x:v>
      </x:c>
      <x:c r="Q2273" s="17" t="str">
        <x:v>3135907</x:v>
      </x:c>
      <x:c r="R2273" s="17" t="str">
        <x:v>tt8851426</x:v>
      </x:c>
      <x:c r="S2273" s="17" t="str"/>
    </x:row>
    <x:row r="2274">
      <x:c r="A2274" s="43" t="n">
        <x:v>2270</x:v>
      </x:c>
      <x:c r="B2274" s="44" t="str">
        <x:v>Not Started</x:v>
      </x:c>
      <x:c r="C2274" s="45" t="n">
        <x:v>43384</x:v>
      </x:c>
      <x:c r="D2274" s="33" t="str">
        <x:v>Chicago Med</x:v>
      </x:c>
      <x:c r="E2274" s="33" t="str">
        <x:v>One Chicago</x:v>
      </x:c>
      <x:c r="F2274" s="33" t="str">
        <x:v>core</x:v>
      </x:c>
      <x:c r="G2274" s="50" t="n">
        <x:v>4</x:v>
      </x:c>
      <x:c r="H2274" s="50" t="n">
        <x:v>3</x:v>
      </x:c>
      <x:c r="I2274" s="44" t="str">
        <x:v>04.03</x:v>
      </x:c>
      <x:c r="J2274" s="33" t="str">
        <x:v>Heavy Is the Head</x:v>
      </x:c>
      <x:c r="K2274" s="33" t="str"/>
      <x:c r="L2274" s="33" t="str"/>
      <x:c r="M2274" s="44" t="str"/>
      <x:c r="N2274" s="50" t="n">
        <x:v>41</x:v>
      </x:c>
      <x:c r="O2274" s="53" t="str">
        <x:v>When a sick boy is brought in, Ethan is faced with a tough decision that quickly escalates into a complicated and dangerous situation. Connor and Maggie are put to the test, while Natalie and Ethan aren't sure what to make of Elsa, the new third year medical student.</x:v>
      </x:c>
      <x:c r="P2274" s="53" t="str">
        <x:v>Core One Chicago franchise</x:v>
      </x:c>
      <x:c r="Q2274" s="17" t="str">
        <x:v>3113293</x:v>
      </x:c>
      <x:c r="R2274" s="17" t="str">
        <x:v>tt8828482</x:v>
      </x:c>
      <x:c r="S2274" s="17" t="str"/>
    </x:row>
    <x:row r="2275">
      <x:c r="A2275" s="43" t="n">
        <x:v>2271</x:v>
      </x:c>
      <x:c r="B2275" s="44" t="str">
        <x:v>Not Started</x:v>
      </x:c>
      <x:c r="C2275" s="45" t="n">
        <x:v>43384</x:v>
      </x:c>
      <x:c r="D2275" s="33" t="str">
        <x:v>Chicago P.D.</x:v>
      </x:c>
      <x:c r="E2275" s="33" t="str">
        <x:v>One Chicago</x:v>
      </x:c>
      <x:c r="F2275" s="33" t="str">
        <x:v>core</x:v>
      </x:c>
      <x:c r="G2275" s="50" t="n">
        <x:v>6</x:v>
      </x:c>
      <x:c r="H2275" s="50" t="n">
        <x:v>3</x:v>
      </x:c>
      <x:c r="I2275" s="44" t="str">
        <x:v>06.03</x:v>
      </x:c>
      <x:c r="J2275" s="33" t="str">
        <x:v>Bad Boys</x:v>
      </x:c>
      <x:c r="K2275" s="33" t="str"/>
      <x:c r="L2275" s="33" t="str"/>
      <x:c r="M2275" s="44" t="str"/>
      <x:c r="N2275" s="50" t="n">
        <x:v>42</x:v>
      </x:c>
      <x:c r="O2275" s="53" t="str">
        <x:v>Politics get in the way as the team tries to rescue a teenage girl kidnapped by a robbery crew. Voight and Platt try to exonerate Olinsky.</x:v>
      </x:c>
      <x:c r="P2275" s="53" t="str">
        <x:v>Core One Chicago franchise; crossovers with SVU/FBI</x:v>
      </x:c>
      <x:c r="Q2275" s="17" t="str">
        <x:v>3113182</x:v>
      </x:c>
      <x:c r="R2275" s="17" t="str">
        <x:v>tt8889964</x:v>
      </x:c>
      <x:c r="S2275" s="17" t="str"/>
    </x:row>
    <x:row r="2276">
      <x:c r="A2276" s="43" t="n">
        <x:v>2272</x:v>
      </x:c>
      <x:c r="B2276" s="44" t="str">
        <x:v>Not Started</x:v>
      </x:c>
      <x:c r="C2276" s="45" t="n">
        <x:v>43384</x:v>
      </x:c>
      <x:c r="D2276" s="33" t="str">
        <x:v>Chicago Fire</x:v>
      </x:c>
      <x:c r="E2276" s="33" t="str">
        <x:v>One Chicago</x:v>
      </x:c>
      <x:c r="F2276" s="33" t="str">
        <x:v>core</x:v>
      </x:c>
      <x:c r="G2276" s="50" t="n">
        <x:v>7</x:v>
      </x:c>
      <x:c r="H2276" s="50" t="n">
        <x:v>3</x:v>
      </x:c>
      <x:c r="I2276" s="44" t="str">
        <x:v>07.03</x:v>
      </x:c>
      <x:c r="J2276" s="33" t="str">
        <x:v>Thirty Percent Sleight of Hand</x:v>
      </x:c>
      <x:c r="K2276" s="33" t="str"/>
      <x:c r="L2276" s="33" t="str"/>
      <x:c r="M2276" s="44" t="str"/>
      <x:c r="N2276" s="50" t="n">
        <x:v>42</x:v>
      </x:c>
      <x:c r="O2276" s="53" t="str">
        <x:v>Chief Boden becomes increasingly skeptical of Assistant Deputy Commissioner Gorsch's motives, while Severide gets wrapped up in a difficult situation following the rescue of a child from a car wreck. Trying to fit in with the rest of the firehouse, Foster is tasked with doling out some personal advice to Cruz.</x:v>
      </x:c>
      <x:c r="P2276" s="53" t="str">
        <x:v>Core One Chicago franchise</x:v>
      </x:c>
      <x:c r="Q2276" s="17" t="str">
        <x:v>3113047</x:v>
      </x:c>
      <x:c r="R2276" s="17" t="str">
        <x:v>tt8875792</x:v>
      </x:c>
      <x:c r="S2276" s="17" t="str"/>
    </x:row>
    <x:row r="2277">
      <x:c r="A2277" s="43" t="n">
        <x:v>2273</x:v>
      </x:c>
      <x:c r="B2277" s="44" t="str">
        <x:v>Not Started</x:v>
      </x:c>
      <x:c r="C2277" s="45" t="n">
        <x:v>43384</x:v>
      </x:c>
      <x:c r="D2277" s="33" t="str">
        <x:v>Law &amp; Order: Special Victims Unit</x:v>
      </x:c>
      <x:c r="E2277" s="33" t="str">
        <x:v>Law &amp; Order</x:v>
      </x:c>
      <x:c r="F2277" s="33" t="str">
        <x:v>core</x:v>
      </x:c>
      <x:c r="G2277" s="50" t="n">
        <x:v>20</x:v>
      </x:c>
      <x:c r="H2277" s="50" t="n">
        <x:v>4</x:v>
      </x:c>
      <x:c r="I2277" s="44" t="str">
        <x:v>20.04</x:v>
      </x:c>
      <x:c r="J2277" s="33" t="str">
        <x:v>Revenge</x:v>
      </x:c>
      <x:c r="K2277" s="33" t="str"/>
      <x:c r="L2277" s="33" t="str"/>
      <x:c r="M2277" s="44" t="str"/>
      <x:c r="N2277" s="50" t="n">
        <x:v>43</x:v>
      </x:c>
      <x:c r="O2277" s="53" t="str">
        <x:v>As a string of break-in assaults grows more violent, the cops investigate an online incel group to identify a suspect.</x:v>
      </x:c>
      <x:c r="P2277" s="53" t="str">
        <x:v>Core Law &amp; Order franchise</x:v>
      </x:c>
      <x:c r="Q2277" s="17" t="str">
        <x:v>3113680</x:v>
      </x:c>
      <x:c r="R2277" s="17" t="str">
        <x:v>tt8815444</x:v>
      </x:c>
      <x:c r="S2277" s="17" t="str">
        <x:v>1438</x:v>
      </x:c>
    </x:row>
    <x:row r="2278">
      <x:c r="A2278" s="43" t="n">
        <x:v>2274</x:v>
      </x:c>
      <x:c r="B2278" s="44" t="str">
        <x:v>Not Started</x:v>
      </x:c>
      <x:c r="C2278" s="45" t="n">
        <x:v>43390</x:v>
      </x:c>
      <x:c r="D2278" s="33" t="str">
        <x:v>FBI</x:v>
      </x:c>
      <x:c r="E2278" s="33" t="str">
        <x:v>FBI</x:v>
      </x:c>
      <x:c r="F2278" s="33" t="str">
        <x:v>core</x:v>
      </x:c>
      <x:c r="G2278" s="50" t="n">
        <x:v>1</x:v>
      </x:c>
      <x:c r="H2278" s="50" t="n">
        <x:v>4</x:v>
      </x:c>
      <x:c r="I2278" s="44" t="str">
        <x:v>01.04</x:v>
      </x:c>
      <x:c r="J2278" s="33" t="str">
        <x:v>Crossfire</x:v>
      </x:c>
      <x:c r="K2278" s="33" t="str"/>
      <x:c r="L2278" s="33" t="str"/>
      <x:c r="M2278" s="44" t="str"/>
      <x:c r="N2278" s="50" t="n">
        <x:v>43</x:v>
      </x:c>
      <x:c r="O2278" s="53" t="str">
        <x:v>Special Agents Maggie Bell and OA Zidan rush to track down an active sniper with an elusive motive as the body count continues to rise.</x:v>
      </x:c>
      <x:c r="P2278" s="53" t="str">
        <x:v>Core FBI franchise</x:v>
      </x:c>
      <x:c r="Q2278" s="17" t="str">
        <x:v>3135921</x:v>
      </x:c>
      <x:c r="R2278" s="17" t="str">
        <x:v>tt9082144</x:v>
      </x:c>
      <x:c r="S2278" s="17" t="str"/>
    </x:row>
    <x:row r="2279">
      <x:c r="A2279" s="43" t="n">
        <x:v>2275</x:v>
      </x:c>
      <x:c r="B2279" s="44" t="str">
        <x:v>Not Started</x:v>
      </x:c>
      <x:c r="C2279" s="45" t="n">
        <x:v>43391</x:v>
      </x:c>
      <x:c r="D2279" s="33" t="str">
        <x:v>Chicago Med</x:v>
      </x:c>
      <x:c r="E2279" s="33" t="str">
        <x:v>One Chicago</x:v>
      </x:c>
      <x:c r="F2279" s="33" t="str">
        <x:v>core</x:v>
      </x:c>
      <x:c r="G2279" s="50" t="n">
        <x:v>4</x:v>
      </x:c>
      <x:c r="H2279" s="50" t="n">
        <x:v>4</x:v>
      </x:c>
      <x:c r="I2279" s="44" t="str">
        <x:v>04.04</x:v>
      </x:c>
      <x:c r="J2279" s="33" t="str">
        <x:v>Backed Against the Wall</x:v>
      </x:c>
      <x:c r="K2279" s="33" t="str"/>
      <x:c r="L2279" s="33" t="str"/>
      <x:c r="M2279" s="44" t="str"/>
      <x:c r="N2279" s="50" t="n">
        <x:v>42</x:v>
      </x:c>
      <x:c r="O2279" s="53" t="str">
        <x:v>Dr. Halstead gets an unplanned visit from the CPD while Ethan is skeptical of a woman who is experiencing chronic pain. Natalie tends to a cancer patient whose brother has strong feelings on why he is refusing to lend his assistance</x:v>
      </x:c>
      <x:c r="P2279" s="53" t="str">
        <x:v>Core One Chicago franchise</x:v>
      </x:c>
      <x:c r="Q2279" s="17" t="str">
        <x:v>3113296</x:v>
      </x:c>
      <x:c r="R2279" s="17" t="str">
        <x:v>tt8828488</x:v>
      </x:c>
      <x:c r="S2279" s="17" t="str"/>
    </x:row>
    <x:row r="2280">
      <x:c r="A2280" s="43" t="n">
        <x:v>2276</x:v>
      </x:c>
      <x:c r="B2280" s="44" t="str">
        <x:v>Not Started</x:v>
      </x:c>
      <x:c r="C2280" s="45" t="n">
        <x:v>43391</x:v>
      </x:c>
      <x:c r="D2280" s="33" t="str">
        <x:v>Chicago P.D.</x:v>
      </x:c>
      <x:c r="E2280" s="33" t="str">
        <x:v>One Chicago</x:v>
      </x:c>
      <x:c r="F2280" s="33" t="str">
        <x:v>core</x:v>
      </x:c>
      <x:c r="G2280" s="50" t="n">
        <x:v>6</x:v>
      </x:c>
      <x:c r="H2280" s="50" t="n">
        <x:v>4</x:v>
      </x:c>
      <x:c r="I2280" s="44" t="str">
        <x:v>06.04</x:v>
      </x:c>
      <x:c r="J2280" s="33" t="str">
        <x:v>Ride Along</x:v>
      </x:c>
      <x:c r="K2280" s="33" t="str"/>
      <x:c r="L2280" s="33" t="str"/>
      <x:c r="M2280" s="44" t="str"/>
      <x:c r="N2280" s="50" t="n">
        <x:v>42</x:v>
      </x:c>
      <x:c r="O2280" s="53" t="str">
        <x:v>A ride along goes sideways, and Burgess is faced with a difficult choice: follow the advice of Voight, or a potential new ally.</x:v>
      </x:c>
      <x:c r="P2280" s="53" t="str">
        <x:v>Core One Chicago franchise; crossovers with SVU/FBI</x:v>
      </x:c>
      <x:c r="Q2280" s="17" t="str">
        <x:v>3133524</x:v>
      </x:c>
      <x:c r="R2280" s="17" t="str">
        <x:v>tt8918482</x:v>
      </x:c>
      <x:c r="S2280" s="17" t="str"/>
    </x:row>
    <x:row r="2281">
      <x:c r="A2281" s="43" t="n">
        <x:v>2277</x:v>
      </x:c>
      <x:c r="B2281" s="44" t="str">
        <x:v>Not Started</x:v>
      </x:c>
      <x:c r="C2281" s="45" t="n">
        <x:v>43391</x:v>
      </x:c>
      <x:c r="D2281" s="33" t="str">
        <x:v>Chicago Fire</x:v>
      </x:c>
      <x:c r="E2281" s="33" t="str">
        <x:v>One Chicago</x:v>
      </x:c>
      <x:c r="F2281" s="33" t="str">
        <x:v>core</x:v>
      </x:c>
      <x:c r="G2281" s="50" t="n">
        <x:v>7</x:v>
      </x:c>
      <x:c r="H2281" s="50" t="n">
        <x:v>4</x:v>
      </x:c>
      <x:c r="I2281" s="44" t="str">
        <x:v>07.04</x:v>
      </x:c>
      <x:c r="J2281" s="33" t="str">
        <x:v>This Isn't Charity</x:v>
      </x:c>
      <x:c r="K2281" s="33" t="str"/>
      <x:c r="L2281" s="33" t="str"/>
      <x:c r="M2281" s="44" t="str"/>
      <x:c r="N2281" s="50" t="n">
        <x:v>42</x:v>
      </x:c>
      <x:c r="O2281" s="53" t="str">
        <x:v>Firehouse 51 is on high alert when a series of explosions rock the city. Herrmann adjusts to his new duties and Kidd gets a visit from an old friend.</x:v>
      </x:c>
      <x:c r="P2281" s="53" t="str">
        <x:v>Core One Chicago franchise</x:v>
      </x:c>
      <x:c r="Q2281" s="17" t="str">
        <x:v>3113049</x:v>
      </x:c>
      <x:c r="R2281" s="17" t="str">
        <x:v>tt9029182</x:v>
      </x:c>
      <x:c r="S2281" s="17" t="str"/>
    </x:row>
    <x:row r="2282">
      <x:c r="A2282" s="43" t="n">
        <x:v>2278</x:v>
      </x:c>
      <x:c r="B2282" s="44" t="str">
        <x:v>Not Started</x:v>
      </x:c>
      <x:c r="C2282" s="45" t="n">
        <x:v>43391</x:v>
      </x:c>
      <x:c r="D2282" s="33" t="str">
        <x:v>Law &amp; Order: Special Victims Unit</x:v>
      </x:c>
      <x:c r="E2282" s="33" t="str">
        <x:v>Law &amp; Order</x:v>
      </x:c>
      <x:c r="F2282" s="33" t="str">
        <x:v>core</x:v>
      </x:c>
      <x:c r="G2282" s="50" t="n">
        <x:v>20</x:v>
      </x:c>
      <x:c r="H2282" s="50" t="n">
        <x:v>5</x:v>
      </x:c>
      <x:c r="I2282" s="44" t="str">
        <x:v>20.05</x:v>
      </x:c>
      <x:c r="J2282" s="33" t="str">
        <x:v>Accredo</x:v>
      </x:c>
      <x:c r="K2282" s="33" t="str"/>
      <x:c r="L2282" s="33" t="str"/>
      <x:c r="M2282" s="44" t="str"/>
      <x:c r="N2282" s="50" t="n">
        <x:v>43</x:v>
      </x:c>
      <x:c r="O2282" s="53" t="str">
        <x:v>A member of a women's empowerment group is found murdered, leading the cops to the group's charismatic male leader. Meanwhile, Rollins keeps her pregnancy under wraps to avoid going on desk duty.</x:v>
      </x:c>
      <x:c r="P2282" s="53" t="str">
        <x:v>Core Law &amp; Order franchise</x:v>
      </x:c>
      <x:c r="Q2282" s="17" t="str">
        <x:v>3113681</x:v>
      </x:c>
      <x:c r="R2282" s="17" t="str">
        <x:v>tt8843020</x:v>
      </x:c>
      <x:c r="S2282" s="17" t="str">
        <x:v>1439</x:v>
      </x:c>
    </x:row>
    <x:row r="2283">
      <x:c r="A2283" s="43" t="n">
        <x:v>2279</x:v>
      </x:c>
      <x:c r="B2283" s="44" t="str">
        <x:v>Not Started</x:v>
      </x:c>
      <x:c r="C2283" s="45" t="n">
        <x:v>43397</x:v>
      </x:c>
      <x:c r="D2283" s="33" t="str">
        <x:v>FBI</x:v>
      </x:c>
      <x:c r="E2283" s="33" t="str">
        <x:v>FBI</x:v>
      </x:c>
      <x:c r="F2283" s="33" t="str">
        <x:v>core</x:v>
      </x:c>
      <x:c r="G2283" s="50" t="n">
        <x:v>1</x:v>
      </x:c>
      <x:c r="H2283" s="50" t="n">
        <x:v>5</x:v>
      </x:c>
      <x:c r="I2283" s="44" t="str">
        <x:v>01.05</x:v>
      </x:c>
      <x:c r="J2283" s="33" t="str">
        <x:v>Doomsday</x:v>
      </x:c>
      <x:c r="K2283" s="33" t="str"/>
      <x:c r="L2283" s="33" t="str"/>
      <x:c r="M2283" s="44" t="str"/>
      <x:c r="N2283" s="50" t="n">
        <x:v>43</x:v>
      </x:c>
      <x:c r="O2283" s="53" t="str">
        <x:v>Special Agents Maggie Bell and OA Zidan investigate the death of a safety inspector and its possible connection to a leak at a nuclear power plant.</x:v>
      </x:c>
      <x:c r="P2283" s="53" t="str">
        <x:v>Core FBI franchise</x:v>
      </x:c>
      <x:c r="Q2283" s="17" t="str">
        <x:v>3173138</x:v>
      </x:c>
      <x:c r="R2283" s="17" t="str">
        <x:v>tt9115794</x:v>
      </x:c>
      <x:c r="S2283" s="17" t="str"/>
    </x:row>
    <x:row r="2284">
      <x:c r="A2284" s="43" t="n">
        <x:v>2280</x:v>
      </x:c>
      <x:c r="B2284" s="44" t="str">
        <x:v>Not Started</x:v>
      </x:c>
      <x:c r="C2284" s="45" t="n">
        <x:v>43398</x:v>
      </x:c>
      <x:c r="D2284" s="33" t="str">
        <x:v>Chicago Med</x:v>
      </x:c>
      <x:c r="E2284" s="33" t="str">
        <x:v>One Chicago</x:v>
      </x:c>
      <x:c r="F2284" s="33" t="str">
        <x:v>core</x:v>
      </x:c>
      <x:c r="G2284" s="50" t="n">
        <x:v>4</x:v>
      </x:c>
      <x:c r="H2284" s="50" t="n">
        <x:v>5</x:v>
      </x:c>
      <x:c r="I2284" s="44" t="str">
        <x:v>04.05</x:v>
      </x:c>
      <x:c r="J2284" s="33" t="str">
        <x:v>What You Don't Know</x:v>
      </x:c>
      <x:c r="K2284" s="33" t="str"/>
      <x:c r="L2284" s="33" t="str"/>
      <x:c r="M2284" s="44" t="str"/>
      <x:c r="N2284" s="50" t="n">
        <x:v>42</x:v>
      </x:c>
      <x:c r="O2284" s="53" t="str">
        <x:v>When things become complicated, Will is forced to lie to Natalie. Ethan and April find out some compromising information about Emily's boyfriend and Ava is unsure of what to do with a patient who is refusing treatment.</x:v>
      </x:c>
      <x:c r="P2284" s="53" t="str">
        <x:v>Core One Chicago franchise</x:v>
      </x:c>
      <x:c r="Q2284" s="17" t="str">
        <x:v>3133523</x:v>
      </x:c>
      <x:c r="R2284" s="17" t="str">
        <x:v>tt8947604</x:v>
      </x:c>
      <x:c r="S2284" s="17" t="str"/>
    </x:row>
    <x:row r="2285">
      <x:c r="A2285" s="43" t="n">
        <x:v>2281</x:v>
      </x:c>
      <x:c r="B2285" s="44" t="str">
        <x:v>Not Started</x:v>
      </x:c>
      <x:c r="C2285" s="45" t="n">
        <x:v>43398</x:v>
      </x:c>
      <x:c r="D2285" s="33" t="str">
        <x:v>Chicago P.D.</x:v>
      </x:c>
      <x:c r="E2285" s="33" t="str">
        <x:v>One Chicago</x:v>
      </x:c>
      <x:c r="F2285" s="33" t="str">
        <x:v>core</x:v>
      </x:c>
      <x:c r="G2285" s="50" t="n">
        <x:v>6</x:v>
      </x:c>
      <x:c r="H2285" s="50" t="n">
        <x:v>5</x:v>
      </x:c>
      <x:c r="I2285" s="44" t="str">
        <x:v>06.05</x:v>
      </x:c>
      <x:c r="J2285" s="33" t="str">
        <x:v>Fathers and Sons</x:v>
      </x:c>
      <x:c r="K2285" s="33" t="str"/>
      <x:c r="L2285" s="33" t="str"/>
      <x:c r="M2285" s="44" t="str"/>
      <x:c r="N2285" s="50" t="n">
        <x:v>42</x:v>
      </x:c>
      <x:c r="O2285" s="53" t="str">
        <x:v>While undercover, Ruzek discovers his father is working for a suspected drug dealer and is forced to ask the question: is his dad involved?</x:v>
      </x:c>
      <x:c r="P2285" s="53" t="str">
        <x:v>Core One Chicago franchise; crossovers with SVU/FBI</x:v>
      </x:c>
      <x:c r="Q2285" s="17" t="str">
        <x:v>3184367</x:v>
      </x:c>
      <x:c r="R2285" s="17" t="str">
        <x:v>tt8969720</x:v>
      </x:c>
      <x:c r="S2285" s="17" t="str"/>
    </x:row>
    <x:row r="2286">
      <x:c r="A2286" s="43" t="n">
        <x:v>2282</x:v>
      </x:c>
      <x:c r="B2286" s="44" t="str">
        <x:v>Not Started</x:v>
      </x:c>
      <x:c r="C2286" s="45" t="n">
        <x:v>43398</x:v>
      </x:c>
      <x:c r="D2286" s="33" t="str">
        <x:v>Chicago Fire</x:v>
      </x:c>
      <x:c r="E2286" s="33" t="str">
        <x:v>One Chicago</x:v>
      </x:c>
      <x:c r="F2286" s="33" t="str">
        <x:v>core</x:v>
      </x:c>
      <x:c r="G2286" s="50" t="n">
        <x:v>7</x:v>
      </x:c>
      <x:c r="H2286" s="50" t="n">
        <x:v>5</x:v>
      </x:c>
      <x:c r="I2286" s="44" t="str">
        <x:v>07.05</x:v>
      </x:c>
      <x:c r="J2286" s="33" t="str">
        <x:v>A Volatile Mixture</x:v>
      </x:c>
      <x:c r="K2286" s="33" t="str"/>
      <x:c r="L2286" s="33" t="str"/>
      <x:c r="M2286" s="44" t="str"/>
      <x:c r="N2286" s="50" t="n">
        <x:v>41</x:v>
      </x:c>
      <x:c r="O2286" s="53" t="str">
        <x:v>Working alongside a journalist, Casey does some digging into the cause of a trailer park fire. Boden hits his breaking point while Mouch, Herrmann and Cruz work to figure out why Molly's isn't performing up to expectations.</x:v>
      </x:c>
      <x:c r="P2286" s="53" t="str">
        <x:v>Core One Chicago franchise</x:v>
      </x:c>
      <x:c r="Q2286" s="17" t="str">
        <x:v>3133261</x:v>
      </x:c>
      <x:c r="R2286" s="17" t="str">
        <x:v>tt9018174</x:v>
      </x:c>
      <x:c r="S2286" s="17" t="str"/>
    </x:row>
    <x:row r="2287">
      <x:c r="A2287" s="43" t="n">
        <x:v>2283</x:v>
      </x:c>
      <x:c r="B2287" s="44" t="str">
        <x:v>Not Started</x:v>
      </x:c>
      <x:c r="C2287" s="45" t="n">
        <x:v>43398</x:v>
      </x:c>
      <x:c r="D2287" s="33" t="str">
        <x:v>Law &amp; Order: Special Victims Unit</x:v>
      </x:c>
      <x:c r="E2287" s="33" t="str">
        <x:v>Law &amp; Order</x:v>
      </x:c>
      <x:c r="F2287" s="33" t="str">
        <x:v>core</x:v>
      </x:c>
      <x:c r="G2287" s="50" t="n">
        <x:v>20</x:v>
      </x:c>
      <x:c r="H2287" s="50" t="n">
        <x:v>6</x:v>
      </x:c>
      <x:c r="I2287" s="44" t="str">
        <x:v>20.06</x:v>
      </x:c>
      <x:c r="J2287" s="33" t="str">
        <x:v>Exile</x:v>
      </x:c>
      <x:c r="K2287" s="33" t="str"/>
      <x:c r="L2287" s="33" t="str"/>
      <x:c r="M2287" s="44" t="str"/>
      <x:c r="N2287" s="50" t="n">
        <x:v>43</x:v>
      </x:c>
      <x:c r="O2287" s="53" t="str">
        <x:v>A young woman wakes up in the hospital with no memory of her assault, and Carisi's investigation stalls when she disappears.</x:v>
      </x:c>
      <x:c r="P2287" s="53" t="str">
        <x:v>Core Law &amp; Order franchise</x:v>
      </x:c>
      <x:c r="Q2287" s="17" t="str">
        <x:v>3113682</x:v>
      </x:c>
      <x:c r="R2287" s="17" t="str">
        <x:v>tt8917870</x:v>
      </x:c>
      <x:c r="S2287" s="17" t="str">
        <x:v>1440</x:v>
      </x:c>
    </x:row>
    <x:row r="2288">
      <x:c r="A2288" s="43" t="n">
        <x:v>2284</x:v>
      </x:c>
      <x:c r="B2288" s="44" t="str">
        <x:v>Not Started</x:v>
      </x:c>
      <x:c r="C2288" s="45" t="n">
        <x:v>43404</x:v>
      </x:c>
      <x:c r="D2288" s="33" t="str">
        <x:v>FBI</x:v>
      </x:c>
      <x:c r="E2288" s="33" t="str">
        <x:v>FBI</x:v>
      </x:c>
      <x:c r="F2288" s="33" t="str">
        <x:v>core</x:v>
      </x:c>
      <x:c r="G2288" s="50" t="n">
        <x:v>1</x:v>
      </x:c>
      <x:c r="H2288" s="50" t="n">
        <x:v>6</x:v>
      </x:c>
      <x:c r="I2288" s="44" t="str">
        <x:v>01.06</x:v>
      </x:c>
      <x:c r="J2288" s="33" t="str">
        <x:v>Family Man</x:v>
      </x:c>
      <x:c r="K2288" s="33" t="str"/>
      <x:c r="L2288" s="33" t="str"/>
      <x:c r="M2288" s="44" t="str"/>
      <x:c r="N2288" s="50" t="n">
        <x:v>43</x:v>
      </x:c>
      <x:c r="O2288" s="53" t="str">
        <x:v>After a senator’s daughter is kidnapped and held for ransom, the FBI is called in to assist with finding the child before their time limit expires. However, in order to do so, they must dig into the senator’s past for clues to who did this to his family.</x:v>
      </x:c>
      <x:c r="P2288" s="53" t="str">
        <x:v>Core FBI franchise</x:v>
      </x:c>
      <x:c r="Q2288" s="17" t="str">
        <x:v>3173139</x:v>
      </x:c>
      <x:c r="R2288" s="17" t="str">
        <x:v>tt9151140</x:v>
      </x:c>
      <x:c r="S2288" s="17" t="str"/>
    </x:row>
    <x:row r="2289">
      <x:c r="A2289" s="43" t="n">
        <x:v>2285</x:v>
      </x:c>
      <x:c r="B2289" s="44" t="str">
        <x:v>Not Started</x:v>
      </x:c>
      <x:c r="C2289" s="45" t="n">
        <x:v>43405</x:v>
      </x:c>
      <x:c r="D2289" s="33" t="str">
        <x:v>Chicago Med</x:v>
      </x:c>
      <x:c r="E2289" s="33" t="str">
        <x:v>One Chicago</x:v>
      </x:c>
      <x:c r="F2289" s="33" t="str">
        <x:v>core</x:v>
      </x:c>
      <x:c r="G2289" s="50" t="n">
        <x:v>4</x:v>
      </x:c>
      <x:c r="H2289" s="50" t="n">
        <x:v>6</x:v>
      </x:c>
      <x:c r="I2289" s="44" t="str">
        <x:v>04.06</x:v>
      </x:c>
      <x:c r="J2289" s="33" t="str">
        <x:v>Lesser of Two Evils</x:v>
      </x:c>
      <x:c r="K2289" s="33" t="str"/>
      <x:c r="L2289" s="33" t="str"/>
      <x:c r="M2289" s="44" t="str"/>
      <x:c r="N2289" s="50" t="n">
        <x:v>42</x:v>
      </x:c>
      <x:c r="O2289" s="53" t="str">
        <x:v>Dr. Manning and Dr. Halstead become skeptical of a patient's injuries when the victim of a car accident is brought into the hospital. Ethan and April have a difficult time understanding Emily's attachment to her boyfriend despite recent developments. Will and Natalie brace for their joint bachelor/bachelorette party.</x:v>
      </x:c>
      <x:c r="P2289" s="53" t="str">
        <x:v>Core One Chicago franchise</x:v>
      </x:c>
      <x:c r="Q2289" s="17" t="str">
        <x:v>3193378</x:v>
      </x:c>
      <x:c r="R2289" s="17" t="str">
        <x:v>tt9035482</x:v>
      </x:c>
      <x:c r="S2289" s="17" t="str"/>
    </x:row>
    <x:row r="2290">
      <x:c r="A2290" s="43" t="n">
        <x:v>2286</x:v>
      </x:c>
      <x:c r="B2290" s="44" t="str">
        <x:v>Not Started</x:v>
      </x:c>
      <x:c r="C2290" s="45" t="n">
        <x:v>43405</x:v>
      </x:c>
      <x:c r="D2290" s="33" t="str">
        <x:v>Chicago P.D.</x:v>
      </x:c>
      <x:c r="E2290" s="33" t="str">
        <x:v>One Chicago</x:v>
      </x:c>
      <x:c r="F2290" s="33" t="str">
        <x:v>core</x:v>
      </x:c>
      <x:c r="G2290" s="50" t="n">
        <x:v>6</x:v>
      </x:c>
      <x:c r="H2290" s="50" t="n">
        <x:v>6</x:v>
      </x:c>
      <x:c r="I2290" s="44" t="str">
        <x:v>06.06</x:v>
      </x:c>
      <x:c r="J2290" s="33" t="str">
        <x:v>True or False</x:v>
      </x:c>
      <x:c r="K2290" s="33" t="str"/>
      <x:c r="L2290" s="33" t="str"/>
      <x:c r="M2290" s="44" t="str"/>
      <x:c r="N2290" s="50" t="n">
        <x:v>42</x:v>
      </x:c>
      <x:c r="O2290" s="53" t="str">
        <x:v>The wife of an alderman is beaten to death, and Voight is under pressure from First Deputy Superintendent Brennan to close the case. To elicit a confession, Upton tells a dark story about her childhood.</x:v>
      </x:c>
      <x:c r="P2290" s="53" t="str">
        <x:v>Core One Chicago franchise; crossovers with SVU/FBI</x:v>
      </x:c>
      <x:c r="Q2290" s="17" t="str">
        <x:v>3190764</x:v>
      </x:c>
      <x:c r="R2290" s="17" t="str">
        <x:v>tt9049460</x:v>
      </x:c>
      <x:c r="S2290" s="17" t="str"/>
    </x:row>
    <x:row r="2291">
      <x:c r="A2291" s="43" t="n">
        <x:v>2287</x:v>
      </x:c>
      <x:c r="B2291" s="44" t="str">
        <x:v>Not Started</x:v>
      </x:c>
      <x:c r="C2291" s="45" t="n">
        <x:v>43405</x:v>
      </x:c>
      <x:c r="D2291" s="33" t="str">
        <x:v>Chicago Fire</x:v>
      </x:c>
      <x:c r="E2291" s="33" t="str">
        <x:v>One Chicago</x:v>
      </x:c>
      <x:c r="F2291" s="33" t="str">
        <x:v>core</x:v>
      </x:c>
      <x:c r="G2291" s="50" t="n">
        <x:v>7</x:v>
      </x:c>
      <x:c r="H2291" s="50" t="n">
        <x:v>6</x:v>
      </x:c>
      <x:c r="I2291" s="44" t="str">
        <x:v>07.06</x:v>
      </x:c>
      <x:c r="J2291" s="33" t="str">
        <x:v>All the Proof</x:v>
      </x:c>
      <x:c r="K2291" s="33" t="str"/>
      <x:c r="L2291" s="33" t="str"/>
      <x:c r="M2291" s="44" t="str"/>
      <x:c r="N2291" s="50" t="n">
        <x:v>42</x:v>
      </x:c>
      <x:c r="O2291" s="53" t="str">
        <x:v>Halloween is in full effect for Foster and Brett, who are summoned to a home where a prank has quickly turned serious. Gorsch continues his reign of terror on Firehouse 51.</x:v>
      </x:c>
      <x:c r="P2291" s="53" t="str">
        <x:v>Core One Chicago franchise</x:v>
      </x:c>
      <x:c r="Q2291" s="17" t="str">
        <x:v>3190846</x:v>
      </x:c>
      <x:c r="R2291" s="17" t="str">
        <x:v>tt9049452</x:v>
      </x:c>
      <x:c r="S2291" s="17" t="str"/>
    </x:row>
    <x:row r="2292">
      <x:c r="A2292" s="43" t="n">
        <x:v>2288</x:v>
      </x:c>
      <x:c r="B2292" s="44" t="str">
        <x:v>Not Started</x:v>
      </x:c>
      <x:c r="C2292" s="45" t="n">
        <x:v>43405</x:v>
      </x:c>
      <x:c r="D2292" s="33" t="str">
        <x:v>Law &amp; Order: Special Victims Unit</x:v>
      </x:c>
      <x:c r="E2292" s="33" t="str">
        <x:v>Law &amp; Order</x:v>
      </x:c>
      <x:c r="F2292" s="33" t="str">
        <x:v>core</x:v>
      </x:c>
      <x:c r="G2292" s="50" t="n">
        <x:v>20</x:v>
      </x:c>
      <x:c r="H2292" s="50" t="n">
        <x:v>7</x:v>
      </x:c>
      <x:c r="I2292" s="44" t="str">
        <x:v>20.07</x:v>
      </x:c>
      <x:c r="J2292" s="33" t="str">
        <x:v>Caretaker</x:v>
      </x:c>
      <x:c r="K2292" s="33" t="str"/>
      <x:c r="L2292" s="33" t="str"/>
      <x:c r="M2292" s="44" t="str"/>
      <x:c r="N2292" s="50" t="n">
        <x:v>43</x:v>
      </x:c>
      <x:c r="O2292" s="53" t="str">
        <x:v>The cops wrestle with an unthinkable crime when a family is murdered in their sleep.</x:v>
      </x:c>
      <x:c r="P2292" s="53" t="str">
        <x:v>Core Law &amp; Order franchise</x:v>
      </x:c>
      <x:c r="Q2292" s="17" t="str">
        <x:v>3113683</x:v>
      </x:c>
      <x:c r="R2292" s="17" t="str">
        <x:v>tt8917872</x:v>
      </x:c>
      <x:c r="S2292" s="17" t="str">
        <x:v>1441</x:v>
      </x:c>
    </x:row>
    <x:row r="2293">
      <x:c r="A2293" s="43" t="n">
        <x:v>2289</x:v>
      </x:c>
      <x:c r="B2293" s="44" t="str">
        <x:v>Not Started</x:v>
      </x:c>
      <x:c r="C2293" s="45" t="n">
        <x:v>43412</x:v>
      </x:c>
      <x:c r="D2293" s="33" t="str">
        <x:v>Chicago Med</x:v>
      </x:c>
      <x:c r="E2293" s="33" t="str">
        <x:v>One Chicago</x:v>
      </x:c>
      <x:c r="F2293" s="33" t="str">
        <x:v>core</x:v>
      </x:c>
      <x:c r="G2293" s="50" t="n">
        <x:v>4</x:v>
      </x:c>
      <x:c r="H2293" s="50" t="n">
        <x:v>7</x:v>
      </x:c>
      <x:c r="I2293" s="44" t="str">
        <x:v>04.07</x:v>
      </x:c>
      <x:c r="J2293" s="33" t="str">
        <x:v>The Poison Inside Us</x:v>
      </x:c>
      <x:c r="K2293" s="33" t="str"/>
      <x:c r="L2293" s="33" t="str"/>
      <x:c r="M2293" s="44" t="str"/>
      <x:c r="N2293" s="50" t="n">
        <x:v>42</x:v>
      </x:c>
      <x:c r="O2293" s="53" t="str">
        <x:v>The hospital is forced to evacuate when a toxic chemical is brought into the E.D., leaving patients and the staff in grave danger. Stuck in an elevator, Dr. Charles and Dr. Manning are forced to take drastic measures with a pregnant woman. Goodwin is tasked with making difficult choices and Dr. Rhodes discovers a secret that Dr. Bekker has been holding from him.</x:v>
      </x:c>
      <x:c r="P2293" s="53" t="str">
        <x:v>Core One Chicago franchise</x:v>
      </x:c>
      <x:c r="Q2293" s="17" t="str">
        <x:v>3193380</x:v>
      </x:c>
      <x:c r="R2293" s="17" t="str">
        <x:v>tt9108656</x:v>
      </x:c>
      <x:c r="S2293" s="17" t="str"/>
    </x:row>
    <x:row r="2294">
      <x:c r="A2294" s="43" t="n">
        <x:v>2290</x:v>
      </x:c>
      <x:c r="B2294" s="44" t="str">
        <x:v>Not Started</x:v>
      </x:c>
      <x:c r="C2294" s="45" t="n">
        <x:v>43412</x:v>
      </x:c>
      <x:c r="D2294" s="33" t="str">
        <x:v>Chicago P.D.</x:v>
      </x:c>
      <x:c r="E2294" s="33" t="str">
        <x:v>One Chicago</x:v>
      </x:c>
      <x:c r="F2294" s="33" t="str">
        <x:v>core</x:v>
      </x:c>
      <x:c r="G2294" s="50" t="n">
        <x:v>6</x:v>
      </x:c>
      <x:c r="H2294" s="50" t="n">
        <x:v>7</x:v>
      </x:c>
      <x:c r="I2294" s="44" t="str">
        <x:v>06.07</x:v>
      </x:c>
      <x:c r="J2294" s="33" t="str">
        <x:v>Trigger</x:v>
      </x:c>
      <x:c r="K2294" s="33" t="str"/>
      <x:c r="L2294" s="33" t="str"/>
      <x:c r="M2294" s="44" t="str"/>
      <x:c r="N2294" s="50" t="n">
        <x:v>42</x:v>
      </x:c>
      <x:c r="O2294" s="53" t="str">
        <x:v>Intelligence suspects the leader of a local mosque is behind the bombing of an Army recruitment station. After a second explosion, Voight urges Halstead to follow the facts and not let his time in the service cloud his judgment.</x:v>
      </x:c>
      <x:c r="P2294" s="53" t="str">
        <x:v>Core One Chicago franchise; crossovers with SVU/FBI</x:v>
      </x:c>
      <x:c r="Q2294" s="17" t="str">
        <x:v>3192799</x:v>
      </x:c>
      <x:c r="R2294" s="17" t="str">
        <x:v>tt9108692</x:v>
      </x:c>
      <x:c r="S2294" s="17" t="str"/>
    </x:row>
    <x:row r="2295">
      <x:c r="A2295" s="43" t="n">
        <x:v>2291</x:v>
      </x:c>
      <x:c r="B2295" s="44" t="str">
        <x:v>Not Started</x:v>
      </x:c>
      <x:c r="C2295" s="45" t="n">
        <x:v>43412</x:v>
      </x:c>
      <x:c r="D2295" s="33" t="str">
        <x:v>Chicago Fire</x:v>
      </x:c>
      <x:c r="E2295" s="33" t="str">
        <x:v>One Chicago</x:v>
      </x:c>
      <x:c r="F2295" s="33" t="str">
        <x:v>core</x:v>
      </x:c>
      <x:c r="G2295" s="50" t="n">
        <x:v>7</x:v>
      </x:c>
      <x:c r="H2295" s="50" t="n">
        <x:v>7</x:v>
      </x:c>
      <x:c r="I2295" s="44" t="str">
        <x:v>07.07</x:v>
      </x:c>
      <x:c r="J2295" s="33" t="str">
        <x:v>What Will Define You</x:v>
      </x:c>
      <x:c r="K2295" s="33" t="str"/>
      <x:c r="L2295" s="33" t="str"/>
      <x:c r="M2295" s="44" t="str"/>
      <x:c r="N2295" s="50" t="n">
        <x:v>42</x:v>
      </x:c>
      <x:c r="O2295" s="53" t="str">
        <x:v>Severide faces some major adversity and Kidd is on a mission to help in any way she can. Following a car accident rescue involving a teenage girl and her young sister, a suspicious Brett has an unsettling feeling there is more to the story than what appears on the surface.</x:v>
      </x:c>
      <x:c r="P2295" s="53" t="str">
        <x:v>Core One Chicago franchise</x:v>
      </x:c>
      <x:c r="Q2295" s="17" t="str">
        <x:v>3193757</x:v>
      </x:c>
      <x:c r="R2295" s="17" t="str">
        <x:v>tt9108706</x:v>
      </x:c>
      <x:c r="S2295" s="17" t="str"/>
    </x:row>
    <x:row r="2296">
      <x:c r="A2296" s="43" t="n">
        <x:v>2292</x:v>
      </x:c>
      <x:c r="B2296" s="44" t="str">
        <x:v>Not Started</x:v>
      </x:c>
      <x:c r="C2296" s="45" t="n">
        <x:v>43414</x:v>
      </x:c>
      <x:c r="D2296" s="33" t="str">
        <x:v>Law &amp; Order: Special Victims Unit</x:v>
      </x:c>
      <x:c r="E2296" s="33" t="str">
        <x:v>Law &amp; Order</x:v>
      </x:c>
      <x:c r="F2296" s="33" t="str">
        <x:v>core</x:v>
      </x:c>
      <x:c r="G2296" s="50" t="n">
        <x:v>20</x:v>
      </x:c>
      <x:c r="H2296" s="50" t="n">
        <x:v>8</x:v>
      </x:c>
      <x:c r="I2296" s="44" t="str">
        <x:v>20.08</x:v>
      </x:c>
      <x:c r="J2296" s="33" t="str">
        <x:v>Hell's Kitchen</x:v>
      </x:c>
      <x:c r="K2296" s="33" t="str"/>
      <x:c r="L2296" s="33" t="str"/>
      <x:c r="M2296" s="44" t="str"/>
      <x:c r="N2296" s="50" t="n">
        <x:v>43</x:v>
      </x:c>
      <x:c r="O2296" s="53" t="str">
        <x:v>When a waitress at a popular restaurant is sexually assaulted, SVU looks for the culprit at the top of the culinary food chain, but Benson and Stone hit a wall when it's time to prosecute.</x:v>
      </x:c>
      <x:c r="P2296" s="53" t="str">
        <x:v>Core Law &amp; Order franchise</x:v>
      </x:c>
      <x:c r="Q2296" s="17" t="str">
        <x:v>3113684</x:v>
      </x:c>
      <x:c r="R2296" s="17" t="str">
        <x:v>tt8917874</x:v>
      </x:c>
      <x:c r="S2296" s="17" t="str">
        <x:v>1442</x:v>
      </x:c>
    </x:row>
    <x:row r="2297">
      <x:c r="A2297" s="43" t="n">
        <x:v>2293</x:v>
      </x:c>
      <x:c r="B2297" s="44" t="str">
        <x:v>Not Started</x:v>
      </x:c>
      <x:c r="C2297" s="45" t="n">
        <x:v>43418</x:v>
      </x:c>
      <x:c r="D2297" s="33" t="str">
        <x:v>FBI</x:v>
      </x:c>
      <x:c r="E2297" s="33" t="str">
        <x:v>FBI</x:v>
      </x:c>
      <x:c r="F2297" s="33" t="str">
        <x:v>core</x:v>
      </x:c>
      <x:c r="G2297" s="50" t="n">
        <x:v>1</x:v>
      </x:c>
      <x:c r="H2297" s="50" t="n">
        <x:v>7</x:v>
      </x:c>
      <x:c r="I2297" s="44" t="str">
        <x:v>01.07</x:v>
      </x:c>
      <x:c r="J2297" s="33" t="str">
        <x:v>Cops and Robbers</x:v>
      </x:c>
      <x:c r="K2297" s="33" t="str"/>
      <x:c r="L2297" s="33" t="str"/>
      <x:c r="M2297" s="44" t="str"/>
      <x:c r="N2297" s="50" t="n">
        <x:v>43</x:v>
      </x:c>
      <x:c r="O2297" s="53" t="str">
        <x:v>Maggie and OA hunt down a ruthless group of robbers who are posing as police officers to target armored trucks.</x:v>
      </x:c>
      <x:c r="P2297" s="53" t="str">
        <x:v>Core FBI franchise</x:v>
      </x:c>
      <x:c r="Q2297" s="17" t="str">
        <x:v>3214498</x:v>
      </x:c>
      <x:c r="R2297" s="17" t="str">
        <x:v>tt9098268</x:v>
      </x:c>
      <x:c r="S2297" s="17" t="str"/>
    </x:row>
    <x:row r="2298">
      <x:c r="A2298" s="43" t="n">
        <x:v>2294</x:v>
      </x:c>
      <x:c r="B2298" s="44" t="str">
        <x:v>Not Started</x:v>
      </x:c>
      <x:c r="C2298" s="45" t="n">
        <x:v>43419</x:v>
      </x:c>
      <x:c r="D2298" s="33" t="str">
        <x:v>Chicago Med</x:v>
      </x:c>
      <x:c r="E2298" s="33" t="str">
        <x:v>One Chicago</x:v>
      </x:c>
      <x:c r="F2298" s="33" t="str">
        <x:v>core</x:v>
      </x:c>
      <x:c r="G2298" s="50" t="n">
        <x:v>4</x:v>
      </x:c>
      <x:c r="H2298" s="50" t="n">
        <x:v>8</x:v>
      </x:c>
      <x:c r="I2298" s="44" t="str">
        <x:v>04.08</x:v>
      </x:c>
      <x:c r="J2298" s="33" t="str">
        <x:v>Play By My Rules</x:v>
      </x:c>
      <x:c r="K2298" s="33" t="str"/>
      <x:c r="L2298" s="33" t="str"/>
      <x:c r="M2298" s="44" t="str"/>
      <x:c r="N2298" s="50" t="n">
        <x:v>42</x:v>
      </x:c>
      <x:c r="O2298" s="53" t="str">
        <x:v>Dr. Charles struggles to convince Dr. Choi that surgery isn't always the answer. Dr. Rhodes finds himself in hot water with Goodwin when he disobeys her direct order. April becomes frustrated with Maggie when she continues to question her leadership role as the stand-in charge nurse. Dr. Manning suspects Dr. Halstead is keeping something from her.</x:v>
      </x:c>
      <x:c r="P2298" s="53" t="str">
        <x:v>Core One Chicago franchise</x:v>
      </x:c>
      <x:c r="Q2298" s="17" t="str">
        <x:v>3193392</x:v>
      </x:c>
      <x:c r="R2298" s="17" t="str">
        <x:v>tt9108668</x:v>
      </x:c>
      <x:c r="S2298" s="17" t="str"/>
    </x:row>
    <x:row r="2299">
      <x:c r="A2299" s="43" t="n">
        <x:v>2295</x:v>
      </x:c>
      <x:c r="B2299" s="44" t="str">
        <x:v>Not Started</x:v>
      </x:c>
      <x:c r="C2299" s="45" t="n">
        <x:v>43419</x:v>
      </x:c>
      <x:c r="D2299" s="33" t="str">
        <x:v>Chicago P.D.</x:v>
      </x:c>
      <x:c r="E2299" s="33" t="str">
        <x:v>One Chicago</x:v>
      </x:c>
      <x:c r="F2299" s="33" t="str">
        <x:v>core</x:v>
      </x:c>
      <x:c r="G2299" s="50" t="n">
        <x:v>6</x:v>
      </x:c>
      <x:c r="H2299" s="50" t="n">
        <x:v>8</x:v>
      </x:c>
      <x:c r="I2299" s="44" t="str">
        <x:v>06.08</x:v>
      </x:c>
      <x:c r="J2299" s="33" t="str">
        <x:v>Black and Blue</x:v>
      </x:c>
      <x:c r="K2299" s="33" t="str"/>
      <x:c r="L2299" s="33" t="str"/>
      <x:c r="M2299" s="44" t="str"/>
      <x:c r="N2299" s="50" t="n">
        <x:v>42</x:v>
      </x:c>
      <x:c r="O2299" s="53" t="str">
        <x:v>While CPD tries to take down a drug kingpin, Atwater faces a tough choice between doing what’s required to solve the murder of a young dealer and what’s best for the community.</x:v>
      </x:c>
      <x:c r="P2299" s="53" t="str">
        <x:v>Core One Chicago franchise; crossovers with SVU/FBI</x:v>
      </x:c>
      <x:c r="Q2299" s="17" t="str">
        <x:v>3192801</x:v>
      </x:c>
      <x:c r="R2299" s="17" t="str">
        <x:v>tt9108696</x:v>
      </x:c>
      <x:c r="S2299" s="17" t="str"/>
    </x:row>
    <x:row r="2300">
      <x:c r="A2300" s="43" t="n">
        <x:v>2296</x:v>
      </x:c>
      <x:c r="B2300" s="44" t="str">
        <x:v>Not Started</x:v>
      </x:c>
      <x:c r="C2300" s="45" t="n">
        <x:v>43419</x:v>
      </x:c>
      <x:c r="D2300" s="33" t="str">
        <x:v>Chicago Fire</x:v>
      </x:c>
      <x:c r="E2300" s="33" t="str">
        <x:v>One Chicago</x:v>
      </x:c>
      <x:c r="F2300" s="33" t="str">
        <x:v>core</x:v>
      </x:c>
      <x:c r="G2300" s="50" t="n">
        <x:v>7</x:v>
      </x:c>
      <x:c r="H2300" s="50" t="n">
        <x:v>8</x:v>
      </x:c>
      <x:c r="I2300" s="44" t="str">
        <x:v>07.08</x:v>
      </x:c>
      <x:c r="J2300" s="33" t="str">
        <x:v>The Solution to Everything</x:v>
      </x:c>
      <x:c r="K2300" s="33" t="str"/>
      <x:c r="L2300" s="33" t="str"/>
      <x:c r="M2300" s="44" t="str"/>
      <x:c r="N2300" s="50" t="n">
        <x:v>41</x:v>
      </x:c>
      <x:c r="O2300" s="53" t="str">
        <x:v>Firehouse 51 is called in to battle a dangerous structure fire that places everyone in peril. Severide makes a big personal realization. Casey lends another helping hand to Naomi, the investigative reporter.</x:v>
      </x:c>
      <x:c r="P2300" s="53" t="str">
        <x:v>Core One Chicago franchise</x:v>
      </x:c>
      <x:c r="Q2300" s="17" t="str">
        <x:v>3193758</x:v>
      </x:c>
      <x:c r="R2300" s="17" t="str">
        <x:v>tt9108710</x:v>
      </x:c>
      <x:c r="S2300" s="17" t="str"/>
    </x:row>
    <x:row r="2301">
      <x:c r="A2301" s="43" t="n">
        <x:v>2297</x:v>
      </x:c>
      <x:c r="B2301" s="44" t="str">
        <x:v>Not Started</x:v>
      </x:c>
      <x:c r="C2301" s="45" t="n">
        <x:v>43419</x:v>
      </x:c>
      <x:c r="D2301" s="33" t="str">
        <x:v>Law &amp; Order: Special Victims Unit</x:v>
      </x:c>
      <x:c r="E2301" s="33" t="str">
        <x:v>Law &amp; Order</x:v>
      </x:c>
      <x:c r="F2301" s="33" t="str">
        <x:v>core</x:v>
      </x:c>
      <x:c r="G2301" s="50" t="n">
        <x:v>20</x:v>
      </x:c>
      <x:c r="H2301" s="50" t="n">
        <x:v>9</x:v>
      </x:c>
      <x:c r="I2301" s="44" t="str">
        <x:v>20.09</x:v>
      </x:c>
      <x:c r="J2301" s="33" t="str">
        <x:v>Mea Culpa</x:v>
      </x:c>
      <x:c r="K2301" s="33" t="str"/>
      <x:c r="L2301" s="33" t="str"/>
      <x:c r="M2301" s="44" t="str"/>
      <x:c r="N2301" s="50" t="n">
        <x:v>43</x:v>
      </x:c>
      <x:c r="O2301" s="53" t="str">
        <x:v>Stone asks Benson to investigate a sexual encounter from his past that he feels guilt and uncertainty about; Rollins considers a proposal from Doctor Al.</x:v>
      </x:c>
      <x:c r="P2301" s="53" t="str">
        <x:v>Core Law &amp; Order franchise</x:v>
      </x:c>
      <x:c r="Q2301" s="17" t="str">
        <x:v>3113685</x:v>
      </x:c>
      <x:c r="R2301" s="17" t="str">
        <x:v>tt8917878</x:v>
      </x:c>
      <x:c r="S2301" s="17" t="str">
        <x:v>1443</x:v>
      </x:c>
    </x:row>
    <x:row r="2302">
      <x:c r="A2302" s="43" t="n">
        <x:v>2298</x:v>
      </x:c>
      <x:c r="B2302" s="44" t="str">
        <x:v>Not Started</x:v>
      </x:c>
      <x:c r="C2302" s="45" t="n">
        <x:v>43425</x:v>
      </x:c>
      <x:c r="D2302" s="33" t="str">
        <x:v>FBI</x:v>
      </x:c>
      <x:c r="E2302" s="33" t="str">
        <x:v>FBI</x:v>
      </x:c>
      <x:c r="F2302" s="33" t="str">
        <x:v>core</x:v>
      </x:c>
      <x:c r="G2302" s="50" t="n">
        <x:v>1</x:v>
      </x:c>
      <x:c r="H2302" s="50" t="n">
        <x:v>8</x:v>
      </x:c>
      <x:c r="I2302" s="44" t="str">
        <x:v>01.08</x:v>
      </x:c>
      <x:c r="J2302" s="33" t="str">
        <x:v>This Land Is Your Land</x:v>
      </x:c>
      <x:c r="K2302" s="33" t="str"/>
      <x:c r="L2302" s="33" t="str"/>
      <x:c r="M2302" s="44" t="str"/>
      <x:c r="N2302" s="50" t="n">
        <x:v>43</x:v>
      </x:c>
      <x:c r="O2302" s="53" t="str">
        <x:v>Maggie and OA lead the search for an abducted former biological weapons chemist.</x:v>
      </x:c>
      <x:c r="P2302" s="53" t="str">
        <x:v>Core FBI franchise</x:v>
      </x:c>
      <x:c r="Q2302" s="17" t="str">
        <x:v>3214499</x:v>
      </x:c>
      <x:c r="R2302" s="17" t="str">
        <x:v>tt9215122</x:v>
      </x:c>
      <x:c r="S2302" s="17" t="str"/>
    </x:row>
    <x:row r="2303">
      <x:c r="A2303" s="43" t="n">
        <x:v>2299</x:v>
      </x:c>
      <x:c r="B2303" s="44" t="str">
        <x:v>Not Started</x:v>
      </x:c>
      <x:c r="C2303" s="45" t="n">
        <x:v>43427</x:v>
      </x:c>
      <x:c r="D2303" s="33" t="str">
        <x:v>Law &amp; Order: Special Victims Unit</x:v>
      </x:c>
      <x:c r="E2303" s="33" t="str">
        <x:v>Law &amp; Order</x:v>
      </x:c>
      <x:c r="F2303" s="33" t="str">
        <x:v>core</x:v>
      </x:c>
      <x:c r="G2303" s="50" t="n">
        <x:v>20</x:v>
      </x:c>
      <x:c r="H2303" s="50" t="n">
        <x:v>10</x:v>
      </x:c>
      <x:c r="I2303" s="44" t="str">
        <x:v>20.10</x:v>
      </x:c>
      <x:c r="J2303" s="33" t="str">
        <x:v>Alta Kockers</x:v>
      </x:c>
      <x:c r="K2303" s="33" t="str"/>
      <x:c r="L2303" s="33" t="str"/>
      <x:c r="M2303" s="44" t="str"/>
      <x:c r="N2303" s="50" t="n">
        <x:v>43</x:v>
      </x:c>
      <x:c r="O2303" s="53" t="str">
        <x:v>The investigation into a promising new author's death leads to a decades-old secret kept between two reclusive brothers.</x:v>
      </x:c>
      <x:c r="P2303" s="53" t="str">
        <x:v>Core Law &amp; Order franchise</x:v>
      </x:c>
      <x:c r="Q2303" s="17" t="str">
        <x:v>3220914</x:v>
      </x:c>
      <x:c r="R2303" s="17" t="str">
        <x:v>tt9122594</x:v>
      </x:c>
      <x:c r="S2303" s="17" t="str">
        <x:v>1444</x:v>
      </x:c>
    </x:row>
    <x:row r="2304">
      <x:c r="A2304" s="43" t="n">
        <x:v>2300</x:v>
      </x:c>
      <x:c r="B2304" s="44" t="str">
        <x:v>Not Started</x:v>
      </x:c>
      <x:c r="C2304" s="45" t="n">
        <x:v>43439</x:v>
      </x:c>
      <x:c r="D2304" s="33" t="str">
        <x:v>FBI</x:v>
      </x:c>
      <x:c r="E2304" s="33" t="str">
        <x:v>FBI</x:v>
      </x:c>
      <x:c r="F2304" s="33" t="str">
        <x:v>core</x:v>
      </x:c>
      <x:c r="G2304" s="50" t="n">
        <x:v>1</x:v>
      </x:c>
      <x:c r="H2304" s="50" t="n">
        <x:v>9</x:v>
      </x:c>
      <x:c r="I2304" s="44" t="str">
        <x:v>01.09</x:v>
      </x:c>
      <x:c r="J2304" s="33" t="str">
        <x:v>Compromised</x:v>
      </x:c>
      <x:c r="K2304" s="33" t="str"/>
      <x:c r="L2304" s="33" t="str"/>
      <x:c r="M2304" s="44" t="str"/>
      <x:c r="N2304" s="50" t="n">
        <x:v>43</x:v>
      </x:c>
      <x:c r="O2304" s="53" t="str">
        <x:v>After a key witness and a U.S. marshal are ambushed and killed, Maggie and OA must track down a man who leaked the information that led to their murders.</x:v>
      </x:c>
      <x:c r="P2304" s="53" t="str">
        <x:v>Core FBI franchise</x:v>
      </x:c>
      <x:c r="Q2304" s="17" t="str">
        <x:v>3214500</x:v>
      </x:c>
      <x:c r="R2304" s="17" t="str">
        <x:v>tt9215124</x:v>
      </x:c>
      <x:c r="S2304" s="17" t="str"/>
    </x:row>
    <x:row r="2305">
      <x:c r="A2305" s="43" t="n">
        <x:v>2301</x:v>
      </x:c>
      <x:c r="B2305" s="44" t="str">
        <x:v>Not Started</x:v>
      </x:c>
      <x:c r="C2305" s="45" t="n">
        <x:v>43440</x:v>
      </x:c>
      <x:c r="D2305" s="33" t="str">
        <x:v>Chicago Med</x:v>
      </x:c>
      <x:c r="E2305" s="33" t="str">
        <x:v>One Chicago</x:v>
      </x:c>
      <x:c r="F2305" s="33" t="str">
        <x:v>core</x:v>
      </x:c>
      <x:c r="G2305" s="50" t="n">
        <x:v>4</x:v>
      </x:c>
      <x:c r="H2305" s="50" t="n">
        <x:v>9</x:v>
      </x:c>
      <x:c r="I2305" s="44" t="str">
        <x:v>04.09</x:v>
      </x:c>
      <x:c r="J2305" s="33" t="str">
        <x:v>Death Do Us Part</x:v>
      </x:c>
      <x:c r="K2305" s="33" t="str"/>
      <x:c r="L2305" s="33" t="str"/>
      <x:c r="M2305" s="44" t="str"/>
      <x:c r="N2305" s="50" t="n">
        <x:v>43</x:v>
      </x:c>
      <x:c r="O2305" s="53" t="str">
        <x:v>Will and Natalie prepare for their big day, but an unsuspecting Will soon finds himself sidetracked. Dr. Charles disagrees with Goodwin on how to best handle a patient's treatment while Dr. Choi and April are on their own when a pregnant woman delivers. Dr. Rhodes finds himself operating on a patient that is of great importance to Det. Halstead.</x:v>
      </x:c>
      <x:c r="P2305" s="53" t="str">
        <x:v>Core One Chicago franchise</x:v>
      </x:c>
      <x:c r="Q2305" s="17" t="str">
        <x:v>3193395</x:v>
      </x:c>
      <x:c r="R2305" s="17" t="str">
        <x:v>tt9108680</x:v>
      </x:c>
      <x:c r="S2305" s="17" t="str"/>
    </x:row>
    <x:row r="2306">
      <x:c r="A2306" s="43" t="n">
        <x:v>2302</x:v>
      </x:c>
      <x:c r="B2306" s="44" t="str">
        <x:v>Not Started</x:v>
      </x:c>
      <x:c r="C2306" s="45" t="n">
        <x:v>43440</x:v>
      </x:c>
      <x:c r="D2306" s="33" t="str">
        <x:v>Chicago P.D.</x:v>
      </x:c>
      <x:c r="E2306" s="33" t="str">
        <x:v>One Chicago</x:v>
      </x:c>
      <x:c r="F2306" s="33" t="str">
        <x:v>core</x:v>
      </x:c>
      <x:c r="G2306" s="50" t="n">
        <x:v>6</x:v>
      </x:c>
      <x:c r="H2306" s="50" t="n">
        <x:v>9</x:v>
      </x:c>
      <x:c r="I2306" s="44" t="str">
        <x:v>06.09</x:v>
      </x:c>
      <x:c r="J2306" s="33" t="str">
        <x:v>Descent</x:v>
      </x:c>
      <x:c r="K2306" s="33" t="str"/>
      <x:c r="L2306" s="33" t="str"/>
      <x:c r="M2306" s="44" t="str"/>
      <x:c r="N2306" s="50" t="n">
        <x:v>41</x:v>
      </x:c>
      <x:c r="O2306" s="53" t="str">
        <x:v>In an attempt to dig himself out of a hole and save someone close to him, Antonio crosses a line that puts the entire team at risk.</x:v>
      </x:c>
      <x:c r="P2306" s="53" t="str">
        <x:v>Core One Chicago franchise; crossovers with SVU/FBI</x:v>
      </x:c>
      <x:c r="Q2306" s="17" t="str">
        <x:v>3235221</x:v>
      </x:c>
      <x:c r="R2306" s="17" t="str">
        <x:v>tt9223928</x:v>
      </x:c>
      <x:c r="S2306" s="17" t="str"/>
    </x:row>
    <x:row r="2307">
      <x:c r="A2307" s="43" t="n">
        <x:v>2303</x:v>
      </x:c>
      <x:c r="B2307" s="44" t="str">
        <x:v>Not Started</x:v>
      </x:c>
      <x:c r="C2307" s="45" t="n">
        <x:v>43440</x:v>
      </x:c>
      <x:c r="D2307" s="33" t="str">
        <x:v>Chicago Fire</x:v>
      </x:c>
      <x:c r="E2307" s="33" t="str">
        <x:v>One Chicago</x:v>
      </x:c>
      <x:c r="F2307" s="33" t="str">
        <x:v>core</x:v>
      </x:c>
      <x:c r="G2307" s="50" t="n">
        <x:v>7</x:v>
      </x:c>
      <x:c r="H2307" s="50" t="n">
        <x:v>9</x:v>
      </x:c>
      <x:c r="I2307" s="44" t="str">
        <x:v>07.09</x:v>
      </x:c>
      <x:c r="J2307" s="33" t="str">
        <x:v>Always a Catch</x:v>
      </x:c>
      <x:c r="K2307" s="33" t="str"/>
      <x:c r="L2307" s="33" t="str"/>
      <x:c r="M2307" s="44" t="str"/>
      <x:c r="N2307" s="50" t="n">
        <x:v>42</x:v>
      </x:c>
      <x:c r="O2307" s="53" t="str">
        <x:v>Stakes are high when a massive car pile-up on the freeway impacts someone dear to the firehouse family. Brett and Foster encounter a harrowing call while Kidd and Severide find their relationship being tested.</x:v>
      </x:c>
      <x:c r="P2307" s="53" t="str">
        <x:v>Core One Chicago franchise</x:v>
      </x:c>
      <x:c r="Q2307" s="17" t="str">
        <x:v>3193759</x:v>
      </x:c>
      <x:c r="R2307" s="17" t="str">
        <x:v>tt9108714</x:v>
      </x:c>
      <x:c r="S2307" s="17" t="str"/>
    </x:row>
    <x:row r="2308">
      <x:c r="A2308" s="43" t="n">
        <x:v>2304</x:v>
      </x:c>
      <x:c r="B2308" s="44" t="str">
        <x:v>Not Started</x:v>
      </x:c>
      <x:c r="C2308" s="45" t="n">
        <x:v>43446</x:v>
      </x:c>
      <x:c r="D2308" s="33" t="str">
        <x:v>FBI</x:v>
      </x:c>
      <x:c r="E2308" s="33" t="str">
        <x:v>FBI</x:v>
      </x:c>
      <x:c r="F2308" s="33" t="str">
        <x:v>core</x:v>
      </x:c>
      <x:c r="G2308" s="50" t="n">
        <x:v>1</x:v>
      </x:c>
      <x:c r="H2308" s="50" t="n">
        <x:v>10</x:v>
      </x:c>
      <x:c r="I2308" s="44" t="str">
        <x:v>01.10</x:v>
      </x:c>
      <x:c r="J2308" s="33" t="str">
        <x:v>The Armorer’s Faith</x:v>
      </x:c>
      <x:c r="K2308" s="33" t="str"/>
      <x:c r="L2308" s="33" t="str"/>
      <x:c r="M2308" s="44" t="str"/>
      <x:c r="N2308" s="50" t="n">
        <x:v>43</x:v>
      </x:c>
      <x:c r="O2308" s="53" t="str">
        <x:v>When an illegal arms broker turned informant is assassinated, OA assumes his identity and goes undercover to stop the sale of dangerous weapons, with help from Maggie and their former FBI instructor, Rowan Quinn.</x:v>
      </x:c>
      <x:c r="P2308" s="53" t="str">
        <x:v>Core FBI franchise</x:v>
      </x:c>
      <x:c r="Q2308" s="17" t="str">
        <x:v>3258782</x:v>
      </x:c>
      <x:c r="R2308" s="17" t="str">
        <x:v>tt9289102</x:v>
      </x:c>
      <x:c r="S2308" s="17" t="str"/>
    </x:row>
    <x:row r="2309">
      <x:c r="A2309" s="43" t="n">
        <x:v>2305</x:v>
      </x:c>
      <x:c r="B2309" s="44" t="str">
        <x:v>Not Started</x:v>
      </x:c>
      <x:c r="C2309" s="45" t="n">
        <x:v>43475</x:v>
      </x:c>
      <x:c r="D2309" s="33" t="str">
        <x:v>Chicago Med</x:v>
      </x:c>
      <x:c r="E2309" s="33" t="str">
        <x:v>One Chicago</x:v>
      </x:c>
      <x:c r="F2309" s="33" t="str">
        <x:v>core</x:v>
      </x:c>
      <x:c r="G2309" s="50" t="n">
        <x:v>4</x:v>
      </x:c>
      <x:c r="H2309" s="50" t="n">
        <x:v>10</x:v>
      </x:c>
      <x:c r="I2309" s="44" t="str">
        <x:v>04.10</x:v>
      </x:c>
      <x:c r="J2309" s="33" t="str">
        <x:v>All the Lonely People</x:v>
      </x:c>
      <x:c r="K2309" s="33" t="str"/>
      <x:c r="L2309" s="33" t="str"/>
      <x:c r="M2309" s="44" t="str"/>
      <x:c r="N2309" s="50" t="n">
        <x:v>42</x:v>
      </x:c>
      <x:c r="O2309" s="53" t="str">
        <x:v>April finds herself in a dangerous situation and Natalie gets an update on Will. Dr. Rhodes gears up for a gala honoring his hybrid O.R. and tries to convince Dr. Bekker to join him.</x:v>
      </x:c>
      <x:c r="P2309" s="53" t="str">
        <x:v>Core One Chicago franchise</x:v>
      </x:c>
      <x:c r="Q2309" s="17" t="str">
        <x:v>3259565</x:v>
      </x:c>
      <x:c r="R2309" s="17" t="str">
        <x:v>tt9389424</x:v>
      </x:c>
      <x:c r="S2309" s="17" t="str"/>
    </x:row>
    <x:row r="2310">
      <x:c r="A2310" s="43" t="n">
        <x:v>2306</x:v>
      </x:c>
      <x:c r="B2310" s="44" t="str">
        <x:v>Not Started</x:v>
      </x:c>
      <x:c r="C2310" s="45" t="n">
        <x:v>43475</x:v>
      </x:c>
      <x:c r="D2310" s="33" t="str">
        <x:v>Chicago P.D.</x:v>
      </x:c>
      <x:c r="E2310" s="33" t="str">
        <x:v>One Chicago</x:v>
      </x:c>
      <x:c r="F2310" s="33" t="str">
        <x:v>core</x:v>
      </x:c>
      <x:c r="G2310" s="50" t="n">
        <x:v>6</x:v>
      </x:c>
      <x:c r="H2310" s="50" t="n">
        <x:v>10</x:v>
      </x:c>
      <x:c r="I2310" s="44" t="str">
        <x:v>06.10</x:v>
      </x:c>
      <x:c r="J2310" s="33" t="str">
        <x:v>Brotherhood</x:v>
      </x:c>
      <x:c r="K2310" s="33" t="str"/>
      <x:c r="L2310" s="33" t="str"/>
      <x:c r="M2310" s="44" t="str"/>
      <x:c r="N2310" s="50" t="n">
        <x:v>43</x:v>
      </x:c>
      <x:c r="O2310" s="53" t="str">
        <x:v>Voight and Ruzek lock horns over how to handle the aftermath of the Antonio situation. Meanwhile, a series of violent carjackings turns deadly, and Ruzek must rely on a C.I. he grew up with to help solve the case.</x:v>
      </x:c>
      <x:c r="P2310" s="53" t="str">
        <x:v>Core One Chicago franchise; crossovers with SVU/FBI</x:v>
      </x:c>
      <x:c r="Q2310" s="17" t="str">
        <x:v>3259479</x:v>
      </x:c>
      <x:c r="R2310" s="17" t="str">
        <x:v>tt9389440</x:v>
      </x:c>
      <x:c r="S2310" s="17" t="str"/>
    </x:row>
    <x:row r="2311">
      <x:c r="A2311" s="43" t="n">
        <x:v>2307</x:v>
      </x:c>
      <x:c r="B2311" s="44" t="str">
        <x:v>Not Started</x:v>
      </x:c>
      <x:c r="C2311" s="45" t="n">
        <x:v>43475</x:v>
      </x:c>
      <x:c r="D2311" s="33" t="str">
        <x:v>Chicago Fire</x:v>
      </x:c>
      <x:c r="E2311" s="33" t="str">
        <x:v>One Chicago</x:v>
      </x:c>
      <x:c r="F2311" s="33" t="str">
        <x:v>core</x:v>
      </x:c>
      <x:c r="G2311" s="50" t="n">
        <x:v>7</x:v>
      </x:c>
      <x:c r="H2311" s="50" t="n">
        <x:v>10</x:v>
      </x:c>
      <x:c r="I2311" s="44" t="str">
        <x:v>07.10</x:v>
      </x:c>
      <x:c r="J2311" s="33" t="str">
        <x:v>Inside These Walls</x:v>
      </x:c>
      <x:c r="K2311" s="33" t="str"/>
      <x:c r="L2311" s="33" t="str"/>
      <x:c r="M2311" s="44" t="str"/>
      <x:c r="N2311" s="50" t="n">
        <x:v>41</x:v>
      </x:c>
      <x:c r="O2311" s="53" t="str">
        <x:v>A dangerous situation leaves Casey and Naomi in peril. Foster and Brett are in charge of planning a field trip visit to the station while Severide and Kidd go through tough times.</x:v>
      </x:c>
      <x:c r="P2311" s="53" t="str">
        <x:v>Core One Chicago franchise</x:v>
      </x:c>
      <x:c r="Q2311" s="17" t="str">
        <x:v>3259480</x:v>
      </x:c>
      <x:c r="R2311" s="17" t="str">
        <x:v>tt9291592</x:v>
      </x:c>
      <x:c r="S2311" s="17" t="str"/>
    </x:row>
    <x:row r="2312">
      <x:c r="A2312" s="43" t="n">
        <x:v>2308</x:v>
      </x:c>
      <x:c r="B2312" s="44" t="str">
        <x:v>Not Started</x:v>
      </x:c>
      <x:c r="C2312" s="45" t="n">
        <x:v>43477</x:v>
      </x:c>
      <x:c r="D2312" s="33" t="str">
        <x:v>Law &amp; Order: Special Victims Unit</x:v>
      </x:c>
      <x:c r="E2312" s="33" t="str">
        <x:v>Law &amp; Order</x:v>
      </x:c>
      <x:c r="F2312" s="33" t="str">
        <x:v>core</x:v>
      </x:c>
      <x:c r="G2312" s="50" t="n">
        <x:v>20</x:v>
      </x:c>
      <x:c r="H2312" s="50" t="n">
        <x:v>11</x:v>
      </x:c>
      <x:c r="I2312" s="44" t="str">
        <x:v>20.11</x:v>
      </x:c>
      <x:c r="J2312" s="33" t="str">
        <x:v>Plastic</x:v>
      </x:c>
      <x:c r="K2312" s="33" t="str"/>
      <x:c r="L2312" s="33" t="str"/>
      <x:c r="M2312" s="44" t="str"/>
      <x:c r="N2312" s="50" t="n">
        <x:v>43</x:v>
      </x:c>
      <x:c r="O2312" s="53" t="str">
        <x:v>A woman accuses a celebrity plastic surgeon and his girlfriend of rape.</x:v>
      </x:c>
      <x:c r="P2312" s="53" t="str">
        <x:v>Core Law &amp; Order franchise</x:v>
      </x:c>
      <x:c r="Q2312" s="17" t="str">
        <x:v>3258808</x:v>
      </x:c>
      <x:c r="R2312" s="17" t="str">
        <x:v>tt9122600</x:v>
      </x:c>
      <x:c r="S2312" s="17" t="str">
        <x:v>1445</x:v>
      </x:c>
    </x:row>
    <x:row r="2313">
      <x:c r="A2313" s="43" t="n">
        <x:v>2309</x:v>
      </x:c>
      <x:c r="B2313" s="44" t="str">
        <x:v>Not Started</x:v>
      </x:c>
      <x:c r="C2313" s="45" t="n">
        <x:v>43481</x:v>
      </x:c>
      <x:c r="D2313" s="33" t="str">
        <x:v>FBI</x:v>
      </x:c>
      <x:c r="E2313" s="33" t="str">
        <x:v>FBI</x:v>
      </x:c>
      <x:c r="F2313" s="33" t="str">
        <x:v>core</x:v>
      </x:c>
      <x:c r="G2313" s="50" t="n">
        <x:v>1</x:v>
      </x:c>
      <x:c r="H2313" s="50" t="n">
        <x:v>11</x:v>
      </x:c>
      <x:c r="I2313" s="44" t="str">
        <x:v>01.11</x:v>
      </x:c>
      <x:c r="J2313" s="33" t="str">
        <x:v>Identity Crisis</x:v>
      </x:c>
      <x:c r="K2313" s="33" t="str"/>
      <x:c r="L2313" s="33" t="str"/>
      <x:c r="M2313" s="44" t="str"/>
      <x:c r="N2313" s="50" t="n">
        <x:v>43</x:v>
      </x:c>
      <x:c r="O2313" s="53" t="str">
        <x:v>When a judge and her daughter are murdered after she sentenced a man to life in prison, Maggie and OA search for the killer behind a possible retaliation. Dana has a vested interest in this case as she has a history with the victim.</x:v>
      </x:c>
      <x:c r="P2313" s="53" t="str">
        <x:v>Core FBI franchise</x:v>
      </x:c>
      <x:c r="Q2313" s="17" t="str">
        <x:v>3264254</x:v>
      </x:c>
      <x:c r="R2313" s="17" t="str">
        <x:v>tt9358946</x:v>
      </x:c>
      <x:c r="S2313" s="17" t="str"/>
    </x:row>
    <x:row r="2314">
      <x:c r="A2314" s="43" t="n">
        <x:v>2310</x:v>
      </x:c>
      <x:c r="B2314" s="44" t="str">
        <x:v>Not Started</x:v>
      </x:c>
      <x:c r="C2314" s="45" t="n">
        <x:v>43482</x:v>
      </x:c>
      <x:c r="D2314" s="33" t="str">
        <x:v>Chicago Med</x:v>
      </x:c>
      <x:c r="E2314" s="33" t="str">
        <x:v>One Chicago</x:v>
      </x:c>
      <x:c r="F2314" s="33" t="str">
        <x:v>core</x:v>
      </x:c>
      <x:c r="G2314" s="50" t="n">
        <x:v>4</x:v>
      </x:c>
      <x:c r="H2314" s="50" t="n">
        <x:v>11</x:v>
      </x:c>
      <x:c r="I2314" s="44" t="str">
        <x:v>04.11</x:v>
      </x:c>
      <x:c r="J2314" s="33" t="str">
        <x:v>Who Can You Trust</x:v>
      </x:c>
      <x:c r="K2314" s="33" t="str"/>
      <x:c r="L2314" s="33" t="str"/>
      <x:c r="M2314" s="44" t="str"/>
      <x:c r="N2314" s="50" t="n">
        <x:v>42</x:v>
      </x:c>
      <x:c r="O2314" s="53" t="str">
        <x:v>Halstead takes heat for making an unauthorized move to treat his pregnant patient. Choi becomes personally invested when treating a homeless veteran. Rhodes and Bekker deal with a patient who desperately needs a liver transplant.</x:v>
      </x:c>
      <x:c r="P2314" s="53" t="str">
        <x:v>Core One Chicago franchise</x:v>
      </x:c>
      <x:c r="Q2314" s="17" t="str">
        <x:v>3300161</x:v>
      </x:c>
      <x:c r="R2314" s="17" t="str">
        <x:v>tt9427856</x:v>
      </x:c>
      <x:c r="S2314" s="17" t="str"/>
    </x:row>
    <x:row r="2315">
      <x:c r="A2315" s="43" t="n">
        <x:v>2311</x:v>
      </x:c>
      <x:c r="B2315" s="44" t="str">
        <x:v>Not Started</x:v>
      </x:c>
      <x:c r="C2315" s="45" t="n">
        <x:v>43482</x:v>
      </x:c>
      <x:c r="D2315" s="33" t="str">
        <x:v>Chicago P.D.</x:v>
      </x:c>
      <x:c r="E2315" s="33" t="str">
        <x:v>One Chicago</x:v>
      </x:c>
      <x:c r="F2315" s="33" t="str">
        <x:v>core</x:v>
      </x:c>
      <x:c r="G2315" s="50" t="n">
        <x:v>6</x:v>
      </x:c>
      <x:c r="H2315" s="50" t="n">
        <x:v>11</x:v>
      </x:c>
      <x:c r="I2315" s="44" t="str">
        <x:v>06.11</x:v>
      </x:c>
      <x:c r="J2315" s="33" t="str">
        <x:v>Trust</x:v>
      </x:c>
      <x:c r="K2315" s="33" t="str"/>
      <x:c r="L2315" s="33" t="str"/>
      <x:c r="M2315" s="44" t="str"/>
      <x:c r="N2315" s="50" t="n">
        <x:v>42</x:v>
      </x:c>
      <x:c r="O2315" s="53" t="str">
        <x:v>Intelligence crosses with a mayoral candidate while investigating the fatal shooting of a well-known defense attorney. Antonio returns to work but questions his own judgment when an operation goes sideways.</x:v>
      </x:c>
      <x:c r="P2315" s="53" t="str">
        <x:v>Core One Chicago franchise; crossovers with SVU/FBI</x:v>
      </x:c>
      <x:c r="Q2315" s="17" t="str">
        <x:v>3288537</x:v>
      </x:c>
      <x:c r="R2315" s="17" t="str">
        <x:v>tt9529996</x:v>
      </x:c>
      <x:c r="S2315" s="17" t="str"/>
    </x:row>
    <x:row r="2316">
      <x:c r="A2316" s="43" t="n">
        <x:v>2312</x:v>
      </x:c>
      <x:c r="B2316" s="44" t="str">
        <x:v>Not Started</x:v>
      </x:c>
      <x:c r="C2316" s="45" t="n">
        <x:v>43482</x:v>
      </x:c>
      <x:c r="D2316" s="33" t="str">
        <x:v>Chicago Fire</x:v>
      </x:c>
      <x:c r="E2316" s="33" t="str">
        <x:v>One Chicago</x:v>
      </x:c>
      <x:c r="F2316" s="33" t="str">
        <x:v>core</x:v>
      </x:c>
      <x:c r="G2316" s="50" t="n">
        <x:v>7</x:v>
      </x:c>
      <x:c r="H2316" s="50" t="n">
        <x:v>11</x:v>
      </x:c>
      <x:c r="I2316" s="44" t="str">
        <x:v>07.11</x:v>
      </x:c>
      <x:c r="J2316" s="33" t="str">
        <x:v>You Choose</x:v>
      </x:c>
      <x:c r="K2316" s="33" t="str"/>
      <x:c r="L2316" s="33" t="str"/>
      <x:c r="M2316" s="44" t="str"/>
      <x:c r="N2316" s="50" t="n">
        <x:v>42</x:v>
      </x:c>
      <x:c r="O2316" s="53" t="str">
        <x:v>Foster faces blowback after pointing out a doctor's oversight. Brett helps Casey look for a new apartment. Kidd prepares Tuesday the Dalmatian for the Fire Safety Dog Competition. A serious accusation is leveled against Severide.</x:v>
      </x:c>
      <x:c r="P2316" s="53" t="str">
        <x:v>Core One Chicago franchise</x:v>
      </x:c>
      <x:c r="Q2316" s="17" t="str">
        <x:v>3300172</x:v>
      </x:c>
      <x:c r="R2316" s="17" t="str">
        <x:v>tt9291604</x:v>
      </x:c>
      <x:c r="S2316" s="17" t="str"/>
    </x:row>
    <x:row r="2317">
      <x:c r="A2317" s="43" t="n">
        <x:v>2313</x:v>
      </x:c>
      <x:c r="B2317" s="44" t="str">
        <x:v>Not Started</x:v>
      </x:c>
      <x:c r="C2317" s="45" t="n">
        <x:v>43482</x:v>
      </x:c>
      <x:c r="D2317" s="33" t="str">
        <x:v>Law &amp; Order: Special Victims Unit</x:v>
      </x:c>
      <x:c r="E2317" s="33" t="str">
        <x:v>Law &amp; Order</x:v>
      </x:c>
      <x:c r="F2317" s="33" t="str">
        <x:v>core</x:v>
      </x:c>
      <x:c r="G2317" s="50" t="n">
        <x:v>20</x:v>
      </x:c>
      <x:c r="H2317" s="50" t="n">
        <x:v>12</x:v>
      </x:c>
      <x:c r="I2317" s="44" t="str">
        <x:v>20.12</x:v>
      </x:c>
      <x:c r="J2317" s="33" t="str">
        <x:v>Dear Ben</x:v>
      </x:c>
      <x:c r="K2317" s="33" t="str"/>
      <x:c r="L2317" s="33" t="str"/>
      <x:c r="M2317" s="44" t="str"/>
      <x:c r="N2317" s="50" t="n">
        <x:v>43</x:v>
      </x:c>
      <x:c r="O2317" s="53" t="str">
        <x:v>Stone takes up the unsolved cold case of a serial rapist that consumed his father's career</x:v>
      </x:c>
      <x:c r="P2317" s="53" t="str">
        <x:v>Core Law &amp; Order franchise</x:v>
      </x:c>
      <x:c r="Q2317" s="17" t="str">
        <x:v>3300805</x:v>
      </x:c>
      <x:c r="R2317" s="17" t="str">
        <x:v>tt9126864</x:v>
      </x:c>
      <x:c r="S2317" s="17" t="str">
        <x:v>1446</x:v>
      </x:c>
    </x:row>
    <x:row r="2318">
      <x:c r="A2318" s="43" t="n">
        <x:v>2314</x:v>
      </x:c>
      <x:c r="B2318" s="44" t="str">
        <x:v>Not Started</x:v>
      </x:c>
      <x:c r="C2318" s="45" t="n">
        <x:v>43488</x:v>
      </x:c>
      <x:c r="D2318" s="33" t="str">
        <x:v>FBI</x:v>
      </x:c>
      <x:c r="E2318" s="33" t="str">
        <x:v>FBI</x:v>
      </x:c>
      <x:c r="F2318" s="33" t="str">
        <x:v>core</x:v>
      </x:c>
      <x:c r="G2318" s="50" t="n">
        <x:v>1</x:v>
      </x:c>
      <x:c r="H2318" s="50" t="n">
        <x:v>12</x:v>
      </x:c>
      <x:c r="I2318" s="44" t="str">
        <x:v>01.12</x:v>
      </x:c>
      <x:c r="J2318" s="33" t="str">
        <x:v>A New Dawn</x:v>
      </x:c>
      <x:c r="K2318" s="33" t="str"/>
      <x:c r="L2318" s="33" t="str"/>
      <x:c r="M2318" s="44" t="str"/>
      <x:c r="N2318" s="50" t="n">
        <x:v>43</x:v>
      </x:c>
      <x:c r="O2318" s="53" t="str">
        <x:v>When an alt-right provocateur is murdered after giving a speech at a university in New York City, Maggie and OA investigate the school's more extreme political groups and rely on OA's sister, Amira, a student, for help.</x:v>
      </x:c>
      <x:c r="P2318" s="53" t="str">
        <x:v>Core FBI franchise</x:v>
      </x:c>
      <x:c r="Q2318" s="17" t="str">
        <x:v>3283808</x:v>
      </x:c>
      <x:c r="R2318" s="17" t="str">
        <x:v>tt9621720</x:v>
      </x:c>
      <x:c r="S2318" s="17" t="str"/>
    </x:row>
    <x:row r="2319">
      <x:c r="A2319" s="43" t="n">
        <x:v>2315</x:v>
      </x:c>
      <x:c r="B2319" s="44" t="str">
        <x:v>Not Started</x:v>
      </x:c>
      <x:c r="C2319" s="45" t="n">
        <x:v>43489</x:v>
      </x:c>
      <x:c r="D2319" s="33" t="str">
        <x:v>Chicago Med</x:v>
      </x:c>
      <x:c r="E2319" s="33" t="str">
        <x:v>One Chicago</x:v>
      </x:c>
      <x:c r="F2319" s="33" t="str">
        <x:v>core</x:v>
      </x:c>
      <x:c r="G2319" s="50" t="n">
        <x:v>4</x:v>
      </x:c>
      <x:c r="H2319" s="50" t="n">
        <x:v>12</x:v>
      </x:c>
      <x:c r="I2319" s="44" t="str">
        <x:v>04.12</x:v>
      </x:c>
      <x:c r="J2319" s="33" t="str">
        <x:v>The Things We Do</x:v>
      </x:c>
      <x:c r="K2319" s="33" t="str"/>
      <x:c r="L2319" s="33" t="str"/>
      <x:c r="M2319" s="44" t="str"/>
      <x:c r="N2319" s="50" t="n">
        <x:v>42</x:v>
      </x:c>
      <x:c r="O2319" s="53" t="str">
        <x:v>Dr. Halstead rushes to rescue Dr. Manning after she is involved in a Medevac helicopter crash. The personal drama between Dr. Rhodes and Dr. Bekker boils over. Dr. Charles and Dr. Choi work to help a patient come to terms with their addiction. April helps Elsa deal with the loss of her first patient.</x:v>
      </x:c>
      <x:c r="P2319" s="53" t="str">
        <x:v>Core One Chicago franchise</x:v>
      </x:c>
      <x:c r="Q2319" s="17" t="str">
        <x:v>3311256</x:v>
      </x:c>
      <x:c r="R2319" s="17" t="str">
        <x:v>tt9427860</x:v>
      </x:c>
      <x:c r="S2319" s="17" t="str"/>
    </x:row>
    <x:row r="2320">
      <x:c r="A2320" s="43" t="n">
        <x:v>2316</x:v>
      </x:c>
      <x:c r="B2320" s="44" t="str">
        <x:v>Not Started</x:v>
      </x:c>
      <x:c r="C2320" s="45" t="n">
        <x:v>43489</x:v>
      </x:c>
      <x:c r="D2320" s="33" t="str">
        <x:v>Chicago P.D.</x:v>
      </x:c>
      <x:c r="E2320" s="33" t="str">
        <x:v>One Chicago</x:v>
      </x:c>
      <x:c r="F2320" s="33" t="str">
        <x:v>core</x:v>
      </x:c>
      <x:c r="G2320" s="50" t="n">
        <x:v>6</x:v>
      </x:c>
      <x:c r="H2320" s="50" t="n">
        <x:v>12</x:v>
      </x:c>
      <x:c r="I2320" s="44" t="str">
        <x:v>06.12</x:v>
      </x:c>
      <x:c r="J2320" s="33" t="str">
        <x:v>Outrage</x:v>
      </x:c>
      <x:c r="K2320" s="33" t="str"/>
      <x:c r="L2320" s="33" t="str"/>
      <x:c r="M2320" s="44" t="str"/>
      <x:c r="N2320" s="50" t="n">
        <x:v>42</x:v>
      </x:c>
      <x:c r="O2320" s="53" t="str">
        <x:v>While chasing a heroin supplier, CPD crosses paths with a convicted criminal recently released on a technicality. Halstead's history with the man threatens the team's ability to put him back in prison.</x:v>
      </x:c>
      <x:c r="P2320" s="53" t="str">
        <x:v>Core One Chicago franchise; crossovers with SVU/FBI</x:v>
      </x:c>
      <x:c r="Q2320" s="17" t="str">
        <x:v>3288536</x:v>
      </x:c>
      <x:c r="R2320" s="17" t="str">
        <x:v>tt9423042</x:v>
      </x:c>
      <x:c r="S2320" s="17" t="str"/>
    </x:row>
    <x:row r="2321">
      <x:c r="A2321" s="43" t="n">
        <x:v>2317</x:v>
      </x:c>
      <x:c r="B2321" s="44" t="str">
        <x:v>Not Started</x:v>
      </x:c>
      <x:c r="C2321" s="45" t="n">
        <x:v>43489</x:v>
      </x:c>
      <x:c r="D2321" s="33" t="str">
        <x:v>Chicago Fire</x:v>
      </x:c>
      <x:c r="E2321" s="33" t="str">
        <x:v>One Chicago</x:v>
      </x:c>
      <x:c r="F2321" s="33" t="str">
        <x:v>core</x:v>
      </x:c>
      <x:c r="G2321" s="50" t="n">
        <x:v>7</x:v>
      </x:c>
      <x:c r="H2321" s="50" t="n">
        <x:v>12</x:v>
      </x:c>
      <x:c r="I2321" s="44" t="str">
        <x:v>07.12</x:v>
      </x:c>
      <x:c r="J2321" s="33" t="str">
        <x:v>Make This Right</x:v>
      </x:c>
      <x:c r="K2321" s="33" t="str"/>
      <x:c r="L2321" s="33" t="str"/>
      <x:c r="M2321" s="44" t="str"/>
      <x:c r="N2321" s="50" t="n">
        <x:v>42</x:v>
      </x:c>
      <x:c r="O2321" s="53" t="str">
        <x:v>When the firehouse is called to a motorcycle crash, Casey and Severide sense that the details don't add up and work to determine exactly what transpired. A rift develops between Mouch and Otis. Brett, Foster and Kidd work to secretly fix a dent in the ambulance bumper they believe they unknowingly caused.</x:v>
      </x:c>
      <x:c r="P2321" s="53" t="str">
        <x:v>Core One Chicago franchise</x:v>
      </x:c>
      <x:c r="Q2321" s="17" t="str">
        <x:v>3311283</x:v>
      </x:c>
      <x:c r="R2321" s="17" t="str">
        <x:v>tt9561936</x:v>
      </x:c>
      <x:c r="S2321" s="17" t="str"/>
    </x:row>
    <x:row r="2322">
      <x:c r="A2322" s="43" t="n">
        <x:v>2318</x:v>
      </x:c>
      <x:c r="B2322" s="44" t="str">
        <x:v>Not Started</x:v>
      </x:c>
      <x:c r="C2322" s="45" t="n">
        <x:v>43496</x:v>
      </x:c>
      <x:c r="D2322" s="33" t="str">
        <x:v>Law &amp; Order: Special Victims Unit</x:v>
      </x:c>
      <x:c r="E2322" s="33" t="str">
        <x:v>Law &amp; Order</x:v>
      </x:c>
      <x:c r="F2322" s="33" t="str">
        <x:v>core</x:v>
      </x:c>
      <x:c r="G2322" s="50" t="n">
        <x:v>20</x:v>
      </x:c>
      <x:c r="H2322" s="50" t="n">
        <x:v>13</x:v>
      </x:c>
      <x:c r="I2322" s="44" t="str">
        <x:v>20.13</x:v>
      </x:c>
      <x:c r="J2322" s="33" t="str">
        <x:v>A Story of More Woe</x:v>
      </x:c>
      <x:c r="K2322" s="33" t="str"/>
      <x:c r="L2322" s="33" t="str"/>
      <x:c r="M2322" s="44" t="str"/>
      <x:c r="N2322" s="50" t="n">
        <x:v>43</x:v>
      </x:c>
      <x:c r="O2322" s="53" t="str">
        <x:v>Benson tries to help two teenaged sisters after their father is killed. Meanwhile, Rollins goes into labor.</x:v>
      </x:c>
      <x:c r="P2322" s="53" t="str">
        <x:v>Core Law &amp; Order franchise</x:v>
      </x:c>
      <x:c r="Q2322" s="17" t="str">
        <x:v>3311240</x:v>
      </x:c>
      <x:c r="R2322" s="17" t="str">
        <x:v>tt9122606</x:v>
      </x:c>
      <x:c r="S2322" s="17" t="str">
        <x:v>1447</x:v>
      </x:c>
    </x:row>
    <x:row r="2323">
      <x:c r="A2323" s="43" t="n">
        <x:v>2319</x:v>
      </x:c>
      <x:c r="B2323" s="44" t="str">
        <x:v>Not Started</x:v>
      </x:c>
      <x:c r="C2323" s="45" t="n">
        <x:v>43503</x:v>
      </x:c>
      <x:c r="D2323" s="33" t="str">
        <x:v>Chicago Med</x:v>
      </x:c>
      <x:c r="E2323" s="33" t="str">
        <x:v>One Chicago</x:v>
      </x:c>
      <x:c r="F2323" s="33" t="str">
        <x:v>core</x:v>
      </x:c>
      <x:c r="G2323" s="50" t="n">
        <x:v>4</x:v>
      </x:c>
      <x:c r="H2323" s="50" t="n">
        <x:v>13</x:v>
      </x:c>
      <x:c r="I2323" s="44" t="str">
        <x:v>04.13</x:v>
      </x:c>
      <x:c r="J2323" s="33" t="str">
        <x:v>Ghosts in the Attic</x:v>
      </x:c>
      <x:c r="K2323" s="33" t="str"/>
      <x:c r="L2323" s="33" t="str"/>
      <x:c r="M2323" s="44" t="str"/>
      <x:c r="N2323" s="50" t="n">
        <x:v>42</x:v>
      </x:c>
      <x:c r="O2323" s="53" t="str">
        <x:v>Halstead hides the theft of his gun from a suspicious Manning. Tensions are still high between Connor and Bekker, who take a risk operating on an HIV-positive patient. Hank breaks down when he sees a patient from his past.</x:v>
      </x:c>
      <x:c r="P2323" s="53" t="str">
        <x:v>Core One Chicago franchise</x:v>
      </x:c>
      <x:c r="Q2323" s="17" t="str">
        <x:v>3337834</x:v>
      </x:c>
      <x:c r="R2323" s="17" t="str">
        <x:v>tt9427862</x:v>
      </x:c>
      <x:c r="S2323" s="17" t="str"/>
    </x:row>
    <x:row r="2324">
      <x:c r="A2324" s="43" t="n">
        <x:v>2320</x:v>
      </x:c>
      <x:c r="B2324" s="44" t="str">
        <x:v>Not Started</x:v>
      </x:c>
      <x:c r="C2324" s="45" t="n">
        <x:v>43503</x:v>
      </x:c>
      <x:c r="D2324" s="33" t="str">
        <x:v>Chicago P.D.</x:v>
      </x:c>
      <x:c r="E2324" s="33" t="str">
        <x:v>One Chicago</x:v>
      </x:c>
      <x:c r="F2324" s="33" t="str">
        <x:v>core</x:v>
      </x:c>
      <x:c r="G2324" s="50" t="n">
        <x:v>6</x:v>
      </x:c>
      <x:c r="H2324" s="50" t="n">
        <x:v>13</x:v>
      </x:c>
      <x:c r="I2324" s="44" t="str">
        <x:v>06.13</x:v>
      </x:c>
      <x:c r="J2324" s="33" t="str">
        <x:v>Night in Chicago</x:v>
      </x:c>
      <x:c r="K2324" s="33" t="str"/>
      <x:c r="L2324" s="33" t="str"/>
      <x:c r="M2324" s="44" t="str"/>
      <x:c r="N2324" s="50" t="n">
        <x:v>42</x:v>
      </x:c>
      <x:c r="O2324" s="53" t="str">
        <x:v>Atwater goes undercover to bring down the longtime head of a criminal enterprise and becomes entangled in a situation that tests his allegiances as well as his conscience.</x:v>
      </x:c>
      <x:c r="P2324" s="53" t="str">
        <x:v>Core One Chicago franchise; crossovers with SVU/FBI</x:v>
      </x:c>
      <x:c r="Q2324" s="17" t="str">
        <x:v>3337938</x:v>
      </x:c>
      <x:c r="R2324" s="17" t="str">
        <x:v>tt9652892</x:v>
      </x:c>
      <x:c r="S2324" s="17" t="str"/>
    </x:row>
    <x:row r="2325">
      <x:c r="A2325" s="43" t="n">
        <x:v>2321</x:v>
      </x:c>
      <x:c r="B2325" s="44" t="str">
        <x:v>Not Started</x:v>
      </x:c>
      <x:c r="C2325" s="45" t="n">
        <x:v>43503</x:v>
      </x:c>
      <x:c r="D2325" s="33" t="str">
        <x:v>Chicago Fire</x:v>
      </x:c>
      <x:c r="E2325" s="33" t="str">
        <x:v>One Chicago</x:v>
      </x:c>
      <x:c r="F2325" s="33" t="str">
        <x:v>core</x:v>
      </x:c>
      <x:c r="G2325" s="50" t="n">
        <x:v>7</x:v>
      </x:c>
      <x:c r="H2325" s="50" t="n">
        <x:v>13</x:v>
      </x:c>
      <x:c r="I2325" s="44" t="str">
        <x:v>07.13</x:v>
      </x:c>
      <x:c r="J2325" s="33" t="str">
        <x:v>The Plunge</x:v>
      </x:c>
      <x:c r="K2325" s="33" t="str"/>
      <x:c r="L2325" s="33" t="str"/>
      <x:c r="M2325" s="44" t="str"/>
      <x:c r="N2325" s="50" t="n">
        <x:v>42</x:v>
      </x:c>
      <x:c r="O2325" s="53" t="str">
        <x:v>Cruz leads the charge in getting the firehouse to gear up for the Polar Plunge. Herrmann has a hard time bouncing back after dealing with a tough call. Foster's personal relationships begin to interfere with her job.</x:v>
      </x:c>
      <x:c r="P2325" s="53" t="str">
        <x:v>Core One Chicago franchise</x:v>
      </x:c>
      <x:c r="Q2325" s="17" t="str">
        <x:v>3337825</x:v>
      </x:c>
      <x:c r="R2325" s="17" t="str">
        <x:v>tt9653254</x:v>
      </x:c>
      <x:c r="S2325" s="17" t="str"/>
    </x:row>
    <x:row r="2326">
      <x:c r="A2326" s="43" t="n">
        <x:v>2322</x:v>
      </x:c>
      <x:c r="B2326" s="44" t="str">
        <x:v>Not Started</x:v>
      </x:c>
      <x:c r="C2326" s="45" t="n">
        <x:v>43503</x:v>
      </x:c>
      <x:c r="D2326" s="33" t="str">
        <x:v>Law &amp; Order: Special Victims Unit</x:v>
      </x:c>
      <x:c r="E2326" s="33" t="str">
        <x:v>Law &amp; Order</x:v>
      </x:c>
      <x:c r="F2326" s="33" t="str">
        <x:v>core</x:v>
      </x:c>
      <x:c r="G2326" s="50" t="n">
        <x:v>20</x:v>
      </x:c>
      <x:c r="H2326" s="50" t="n">
        <x:v>14</x:v>
      </x:c>
      <x:c r="I2326" s="44" t="str">
        <x:v>20.14</x:v>
      </x:c>
      <x:c r="J2326" s="33" t="str">
        <x:v>Part 33</x:v>
      </x:c>
      <x:c r="K2326" s="33" t="str"/>
      <x:c r="L2326" s="33" t="str"/>
      <x:c r="M2326" s="44" t="str"/>
      <x:c r="N2326" s="50" t="n">
        <x:v>43</x:v>
      </x:c>
      <x:c r="O2326" s="53" t="str">
        <x:v>As Stone prosecutes the case of a woman who killed her abusive husband, Benson and her squad wrestle with the duty of testifying against her.</x:v>
      </x:c>
      <x:c r="P2326" s="53" t="str">
        <x:v>Core Law &amp; Order franchise</x:v>
      </x:c>
      <x:c r="Q2326" s="17" t="str">
        <x:v>3336318</x:v>
      </x:c>
      <x:c r="R2326" s="17" t="str">
        <x:v>tt9122616</x:v>
      </x:c>
      <x:c r="S2326" s="17" t="str">
        <x:v>1448</x:v>
      </x:c>
    </x:row>
    <x:row r="2327">
      <x:c r="A2327" s="43" t="n">
        <x:v>2323</x:v>
      </x:c>
      <x:c r="B2327" s="44" t="str">
        <x:v>Not Started</x:v>
      </x:c>
      <x:c r="C2327" s="45" t="n">
        <x:v>43509</x:v>
      </x:c>
      <x:c r="D2327" s="33" t="str">
        <x:v>FBI</x:v>
      </x:c>
      <x:c r="E2327" s="33" t="str">
        <x:v>FBI</x:v>
      </x:c>
      <x:c r="F2327" s="33" t="str">
        <x:v>core</x:v>
      </x:c>
      <x:c r="G2327" s="50" t="n">
        <x:v>1</x:v>
      </x:c>
      <x:c r="H2327" s="50" t="n">
        <x:v>13</x:v>
      </x:c>
      <x:c r="I2327" s="44" t="str">
        <x:v>01.13</x:v>
      </x:c>
      <x:c r="J2327" s="33" t="str">
        <x:v>Partners in Crime</x:v>
      </x:c>
      <x:c r="K2327" s="33" t="str"/>
      <x:c r="L2327" s="33" t="str"/>
      <x:c r="M2327" s="44" t="str"/>
      <x:c r="N2327" s="50" t="n">
        <x:v>43</x:v>
      </x:c>
      <x:c r="O2327" s="53" t="str">
        <x:v>Maggie and OA are on a mission to find a couple who are behind a spree of violent armed robberies that resulted in the death of an off-duty police officer.</x:v>
      </x:c>
      <x:c r="P2327" s="53" t="str">
        <x:v>Core FBI franchise</x:v>
      </x:c>
      <x:c r="Q2327" s="17" t="str">
        <x:v>3311661</x:v>
      </x:c>
      <x:c r="R2327" s="17" t="str">
        <x:v>tt9544260</x:v>
      </x:c>
      <x:c r="S2327" s="17" t="str"/>
    </x:row>
    <x:row r="2328">
      <x:c r="A2328" s="43" t="n">
        <x:v>2324</x:v>
      </x:c>
      <x:c r="B2328" s="44" t="str">
        <x:v>Not Started</x:v>
      </x:c>
      <x:c r="C2328" s="45" t="n">
        <x:v>43510</x:v>
      </x:c>
      <x:c r="D2328" s="33" t="str">
        <x:v>Chicago Med</x:v>
      </x:c>
      <x:c r="E2328" s="33" t="str">
        <x:v>One Chicago</x:v>
      </x:c>
      <x:c r="F2328" s="33" t="str">
        <x:v>core</x:v>
      </x:c>
      <x:c r="G2328" s="50" t="n">
        <x:v>4</x:v>
      </x:c>
      <x:c r="H2328" s="50" t="n">
        <x:v>14</x:v>
      </x:c>
      <x:c r="I2328" s="44" t="str">
        <x:v>04.14</x:v>
      </x:c>
      <x:c r="J2328" s="33" t="str">
        <x:v>Can't Unring That Bell</x:v>
      </x:c>
      <x:c r="K2328" s="33" t="str"/>
      <x:c r="L2328" s="33" t="str"/>
      <x:c r="M2328" s="44" t="str"/>
      <x:c r="N2328" s="50" t="n">
        <x:v>43</x:v>
      </x:c>
      <x:c r="O2328" s="53" t="str">
        <x:v>Connor, who is in hot water with the hospital's Oversight Committee, handles a gunshot victim with unexpected ties to Halstead. Maggie feels guilty about the return of a former patient. Charles has an awkward first date.</x:v>
      </x:c>
      <x:c r="P2328" s="53" t="str">
        <x:v>Core One Chicago franchise</x:v>
      </x:c>
      <x:c r="Q2328" s="17" t="str">
        <x:v>3349062</x:v>
      </x:c>
      <x:c r="R2328" s="17" t="str">
        <x:v>tt9414976</x:v>
      </x:c>
      <x:c r="S2328" s="17" t="str"/>
    </x:row>
    <x:row r="2329">
      <x:c r="A2329" s="43" t="n">
        <x:v>2325</x:v>
      </x:c>
      <x:c r="B2329" s="44" t="str">
        <x:v>Not Started</x:v>
      </x:c>
      <x:c r="C2329" s="45" t="n">
        <x:v>43510</x:v>
      </x:c>
      <x:c r="D2329" s="33" t="str">
        <x:v>Chicago P.D.</x:v>
      </x:c>
      <x:c r="E2329" s="33" t="str">
        <x:v>One Chicago</x:v>
      </x:c>
      <x:c r="F2329" s="33" t="str">
        <x:v>core</x:v>
      </x:c>
      <x:c r="G2329" s="50" t="n">
        <x:v>6</x:v>
      </x:c>
      <x:c r="H2329" s="50" t="n">
        <x:v>14</x:v>
      </x:c>
      <x:c r="I2329" s="44" t="str">
        <x:v>06.14</x:v>
      </x:c>
      <x:c r="J2329" s="33" t="str">
        <x:v>Ties That Bind</x:v>
      </x:c>
      <x:c r="K2329" s="33" t="str"/>
      <x:c r="L2329" s="33" t="str"/>
      <x:c r="M2329" s="44" t="str"/>
      <x:c r="N2329" s="50" t="n">
        <x:v>42</x:v>
      </x:c>
      <x:c r="O2329" s="53" t="str">
        <x:v>Upton and Burgess find themselves in a difficult situation when Intelligence tracks a cache of cop killer machine guns to a local gun show in Wisconsin.</x:v>
      </x:c>
      <x:c r="P2329" s="53" t="str">
        <x:v>Core One Chicago franchise; crossovers with SVU/FBI</x:v>
      </x:c>
      <x:c r="Q2329" s="17" t="str">
        <x:v>3349065</x:v>
      </x:c>
      <x:c r="R2329" s="17" t="str">
        <x:v>tt9703840</x:v>
      </x:c>
      <x:c r="S2329" s="17" t="str"/>
    </x:row>
    <x:row r="2330">
      <x:c r="A2330" s="43" t="n">
        <x:v>2326</x:v>
      </x:c>
      <x:c r="B2330" s="44" t="str">
        <x:v>Not Started</x:v>
      </x:c>
      <x:c r="C2330" s="45" t="n">
        <x:v>43510</x:v>
      </x:c>
      <x:c r="D2330" s="33" t="str">
        <x:v>Chicago Fire</x:v>
      </x:c>
      <x:c r="E2330" s="33" t="str">
        <x:v>One Chicago</x:v>
      </x:c>
      <x:c r="F2330" s="33" t="str">
        <x:v>core</x:v>
      </x:c>
      <x:c r="G2330" s="50" t="n">
        <x:v>7</x:v>
      </x:c>
      <x:c r="H2330" s="50" t="n">
        <x:v>14</x:v>
      </x:c>
      <x:c r="I2330" s="44" t="str">
        <x:v>07.14</x:v>
      </x:c>
      <x:c r="J2330" s="33" t="str">
        <x:v>It Wasn't About Hockey</x:v>
      </x:c>
      <x:c r="K2330" s="33" t="str"/>
      <x:c r="L2330" s="33" t="str"/>
      <x:c r="M2330" s="44" t="str"/>
      <x:c r="N2330" s="50" t="n">
        <x:v>41</x:v>
      </x:c>
      <x:c r="O2330" s="53" t="str">
        <x:v>Brett, Foster and Kidd take a road trip to Indiana and encounter an accident involving a boys' hockey team that leaves them scrambling and relying on their instincts to save the injured. The rest of Firehouse 51 competes in the annual chili cook-off.</x:v>
      </x:c>
      <x:c r="P2330" s="53" t="str">
        <x:v>Core One Chicago franchise</x:v>
      </x:c>
      <x:c r="Q2330" s="17" t="str">
        <x:v>3349082</x:v>
      </x:c>
      <x:c r="R2330" s="17" t="str">
        <x:v>tt9667342</x:v>
      </x:c>
      <x:c r="S2330" s="17" t="str"/>
    </x:row>
    <x:row r="2331">
      <x:c r="A2331" s="43" t="n">
        <x:v>2327</x:v>
      </x:c>
      <x:c r="B2331" s="44" t="str">
        <x:v>Not Started</x:v>
      </x:c>
      <x:c r="C2331" s="45" t="n">
        <x:v>43510</x:v>
      </x:c>
      <x:c r="D2331" s="33" t="str">
        <x:v>Law &amp; Order: Special Victims Unit</x:v>
      </x:c>
      <x:c r="E2331" s="33" t="str">
        <x:v>Law &amp; Order</x:v>
      </x:c>
      <x:c r="F2331" s="33" t="str">
        <x:v>core</x:v>
      </x:c>
      <x:c r="G2331" s="50" t="n">
        <x:v>20</x:v>
      </x:c>
      <x:c r="H2331" s="50" t="n">
        <x:v>15</x:v>
      </x:c>
      <x:c r="I2331" s="44" t="str">
        <x:v>20.15</x:v>
      </x:c>
      <x:c r="J2331" s="33" t="str">
        <x:v>Brothel</x:v>
      </x:c>
      <x:c r="K2331" s="33" t="str"/>
      <x:c r="L2331" s="33" t="str"/>
      <x:c r="M2331" s="44" t="str"/>
      <x:c r="N2331" s="50" t="n">
        <x:v>43</x:v>
      </x:c>
      <x:c r="O2331" s="53" t="str">
        <x:v>Benson and the team investigate the death of a prostitute at a brothel. They wonder if there was foul play or if this could be a case of a junkie who relapsed, turned to tricking, got depressed and committed suicide.</x:v>
      </x:c>
      <x:c r="P2331" s="53" t="str">
        <x:v>Core Law &amp; Order franchise</x:v>
      </x:c>
      <x:c r="Q2331" s="17" t="str">
        <x:v>3338856</x:v>
      </x:c>
      <x:c r="R2331" s="17" t="str">
        <x:v>tt9122624</x:v>
      </x:c>
      <x:c r="S2331" s="17" t="str">
        <x:v>1449</x:v>
      </x:c>
    </x:row>
    <x:row r="2332">
      <x:c r="A2332" s="43" t="n">
        <x:v>2328</x:v>
      </x:c>
      <x:c r="B2332" s="44" t="str">
        <x:v>Not Started</x:v>
      </x:c>
      <x:c r="C2332" s="45" t="n">
        <x:v>43513</x:v>
      </x:c>
      <x:c r="D2332" s="33" t="str">
        <x:v>Cold Justice</x:v>
      </x:c>
      <x:c r="E2332" s="33" t="str">
        <x:v>Crossover Adjacent</x:v>
      </x:c>
      <x:c r="F2332" s="33" t="str">
        <x:v>complete</x:v>
      </x:c>
      <x:c r="G2332" s="50" t="n">
        <x:v>5</x:v>
      </x:c>
      <x:c r="H2332" s="50" t="n">
        <x:v>11</x:v>
      </x:c>
      <x:c r="I2332" s="44" t="str">
        <x:v>05.11</x:v>
      </x:c>
      <x:c r="J2332" s="33" t="str">
        <x:v>Death Among Him, Part 1 (Carbon County, WY)</x:v>
      </x:c>
      <x:c r="K2332" s="33" t="str"/>
      <x:c r="L2332" s="33" t="str"/>
      <x:c r="M2332" s="44" t="str"/>
      <x:c r="N2332" s="50" t="n">
        <x:v>42</x:v>
      </x:c>
      <x:c r="O2332" s="53" t="str">
        <x:v>Kelly and Tonya head to Wyoming to work with Carbon County Law Enforcement to look into the mysterious deaths of two women years apart, but connected by the same circle of friends.</x:v>
      </x:c>
      <x:c r="P2332" s="53" t="str">
        <x:v>Wolf Entertainment unscripted true-crime series</x:v>
      </x:c>
      <x:c r="Q2332" s="17" t="str">
        <x:v>3400682</x:v>
      </x:c>
      <x:c r="R2332" s="17" t="str"/>
      <x:c r="S2332" s="17" t="str"/>
    </x:row>
    <x:row r="2333">
      <x:c r="A2333" s="43" t="n">
        <x:v>2329</x:v>
      </x:c>
      <x:c r="B2333" s="44" t="str">
        <x:v>Not Started</x:v>
      </x:c>
      <x:c r="C2333" s="45" t="n">
        <x:v>43516</x:v>
      </x:c>
      <x:c r="D2333" s="33" t="str">
        <x:v>FBI</x:v>
      </x:c>
      <x:c r="E2333" s="33" t="str">
        <x:v>FBI</x:v>
      </x:c>
      <x:c r="F2333" s="33" t="str">
        <x:v>core</x:v>
      </x:c>
      <x:c r="G2333" s="50" t="n">
        <x:v>1</x:v>
      </x:c>
      <x:c r="H2333" s="50" t="n">
        <x:v>14</x:v>
      </x:c>
      <x:c r="I2333" s="44" t="str">
        <x:v>01.14</x:v>
      </x:c>
      <x:c r="J2333" s="33" t="str">
        <x:v>Exposed</x:v>
      </x:c>
      <x:c r="K2333" s="33" t="str"/>
      <x:c r="L2333" s="33" t="str"/>
      <x:c r="M2333" s="44" t="str"/>
      <x:c r="N2333" s="50" t="n">
        <x:v>43</x:v>
      </x:c>
      <x:c r="O2333" s="53" t="str">
        <x:v>After an investigative journalist is murdered, the team uncovers information linking the suspect to past cases. The victim’s death also strikes a chord with Maggie, leaving her desperate for answers in regard to a traumatic event in her personal life.</x:v>
      </x:c>
      <x:c r="P2333" s="53" t="str">
        <x:v>Core FBI franchise</x:v>
      </x:c>
      <x:c r="Q2333" s="17" t="str">
        <x:v>3352222</x:v>
      </x:c>
      <x:c r="R2333" s="17" t="str">
        <x:v>tt9689704</x:v>
      </x:c>
      <x:c r="S2333" s="17" t="str"/>
    </x:row>
    <x:row r="2334">
      <x:c r="A2334" s="43" t="n">
        <x:v>2330</x:v>
      </x:c>
      <x:c r="B2334" s="44" t="str">
        <x:v>Not Started</x:v>
      </x:c>
      <x:c r="C2334" s="45" t="n">
        <x:v>43517</x:v>
      </x:c>
      <x:c r="D2334" s="33" t="str">
        <x:v>Chicago Med</x:v>
      </x:c>
      <x:c r="E2334" s="33" t="str">
        <x:v>One Chicago</x:v>
      </x:c>
      <x:c r="F2334" s="33" t="str">
        <x:v>core</x:v>
      </x:c>
      <x:c r="G2334" s="50" t="n">
        <x:v>4</x:v>
      </x:c>
      <x:c r="H2334" s="50" t="n">
        <x:v>15</x:v>
      </x:c>
      <x:c r="I2334" s="44" t="str">
        <x:v>04.15</x:v>
      </x:c>
      <x:c r="J2334" s="33" t="str">
        <x:v>We Hold These Truths</x:v>
      </x:c>
      <x:c r="K2334" s="33" t="str"/>
      <x:c r="L2334" s="33" t="str"/>
      <x:c r="M2334" s="44" t="str"/>
      <x:c r="N2334" s="50" t="n">
        <x:v>43</x:v>
      </x:c>
      <x:c r="O2334" s="53" t="str">
        <x:v>Natalie and Maggie witness a pickup truck plow through a street fair and must make tough decisions on the fly. At the hospital, doctors and nurses are on high alert with the influx of patients. Dr. Charles' ex-wife comes to town with news.</x:v>
      </x:c>
      <x:c r="P2334" s="53" t="str">
        <x:v>Core One Chicago franchise</x:v>
      </x:c>
      <x:c r="Q2334" s="17" t="str">
        <x:v>3349066</x:v>
      </x:c>
      <x:c r="R2334" s="17" t="str">
        <x:v>tt9652554</x:v>
      </x:c>
      <x:c r="S2334" s="17" t="str"/>
    </x:row>
    <x:row r="2335">
      <x:c r="A2335" s="43" t="n">
        <x:v>2331</x:v>
      </x:c>
      <x:c r="B2335" s="44" t="str">
        <x:v>Not Started</x:v>
      </x:c>
      <x:c r="C2335" s="45" t="n">
        <x:v>43517</x:v>
      </x:c>
      <x:c r="D2335" s="33" t="str">
        <x:v>Chicago P.D.</x:v>
      </x:c>
      <x:c r="E2335" s="33" t="str">
        <x:v>One Chicago</x:v>
      </x:c>
      <x:c r="F2335" s="33" t="str">
        <x:v>core</x:v>
      </x:c>
      <x:c r="G2335" s="50" t="n">
        <x:v>6</x:v>
      </x:c>
      <x:c r="H2335" s="50" t="n">
        <x:v>15</x:v>
      </x:c>
      <x:c r="I2335" s="44" t="str">
        <x:v>06.15</x:v>
      </x:c>
      <x:c r="J2335" s="33" t="str">
        <x:v>Good Men (II)</x:v>
      </x:c>
      <x:c r="K2335" s="33" t="str">
        <x:v>Crossover</x:v>
      </x:c>
      <x:c r="L2335" s="33" t="str">
        <x:v>What I Saw / Good Men</x:v>
      </x:c>
      <x:c r="M2335" s="44" t="str">
        <x:v>2/2</x:v>
      </x:c>
      <x:c r="N2335" s="50" t="n">
        <x:v>42</x:v>
      </x:c>
      <x:c r="O2335" s="53" t="str">
        <x:v>Using information from Chicago Fire's Cruz, Intelligence chases down the robbery crew that’s been using the lockbox key. Voight is under pressure to bring the crew to justice without tarnishing the reputation of a murdered firefighter who might have been involved.
The crossover starts on Chicago Fire S07E15 What I Saw (I).</x:v>
      </x:c>
      <x:c r="P2335" s="53" t="str">
        <x:v>Core One Chicago franchise; crossovers with SVU/FBI</x:v>
      </x:c>
      <x:c r="Q2335" s="17" t="str">
        <x:v>3349069</x:v>
      </x:c>
      <x:c r="R2335" s="17" t="str">
        <x:v>tt9723638</x:v>
      </x:c>
      <x:c r="S2335" s="17" t="str">
        <x:v>https://one-chicago-fbi.fandom.com/wiki/Crossovers_and_Milestones</x:v>
      </x:c>
    </x:row>
    <x:row r="2336">
      <x:c r="A2336" s="43" t="n">
        <x:v>2332</x:v>
      </x:c>
      <x:c r="B2336" s="44" t="str">
        <x:v>Not Started</x:v>
      </x:c>
      <x:c r="C2336" s="45" t="n">
        <x:v>43517</x:v>
      </x:c>
      <x:c r="D2336" s="33" t="str">
        <x:v>Chicago Fire</x:v>
      </x:c>
      <x:c r="E2336" s="33" t="str">
        <x:v>One Chicago</x:v>
      </x:c>
      <x:c r="F2336" s="33" t="str">
        <x:v>core</x:v>
      </x:c>
      <x:c r="G2336" s="50" t="n">
        <x:v>7</x:v>
      </x:c>
      <x:c r="H2336" s="50" t="n">
        <x:v>15</x:v>
      </x:c>
      <x:c r="I2336" s="44" t="str">
        <x:v>07.15</x:v>
      </x:c>
      <x:c r="J2336" s="33" t="str">
        <x:v>What I Saw (I)</x:v>
      </x:c>
      <x:c r="K2336" s="33" t="str">
        <x:v>Crossover</x:v>
      </x:c>
      <x:c r="L2336" s="33" t="str">
        <x:v>What I Saw / Good Men</x:v>
      </x:c>
      <x:c r="M2336" s="44" t="str">
        <x:v>1/2</x:v>
      </x:c>
      <x:c r="N2336" s="50" t="n">
        <x:v>42</x:v>
      </x:c>
      <x:c r="O2336" s="53" t="str">
        <x:v>A spate of robberies comes to light after a firehouse lockbox key goes missing; Sergeant Hank Voight suspects a firefighter may be involved, and with Boden's support, he recruits Cruz to go undercover to help sniff out any suspicious activity.
The crossover continues on Chicago P.D. S06E15 Good Men (II).</x:v>
      </x:c>
      <x:c r="P2336" s="53" t="str">
        <x:v>Core One Chicago franchise</x:v>
      </x:c>
      <x:c r="Q2336" s="17" t="str">
        <x:v>3349083</x:v>
      </x:c>
      <x:c r="R2336" s="17" t="str">
        <x:v>tt9667348</x:v>
      </x:c>
      <x:c r="S2336" s="17" t="str">
        <x:v>https://one-chicago-fbi.fandom.com/wiki/Crossovers_and_Milestones</x:v>
      </x:c>
    </x:row>
    <x:row r="2337">
      <x:c r="A2337" s="43" t="n">
        <x:v>2333</x:v>
      </x:c>
      <x:c r="B2337" s="44" t="str">
        <x:v>Not Started</x:v>
      </x:c>
      <x:c r="C2337" s="45" t="n">
        <x:v>43517</x:v>
      </x:c>
      <x:c r="D2337" s="33" t="str">
        <x:v>Law &amp; Order: Special Victims Unit</x:v>
      </x:c>
      <x:c r="E2337" s="33" t="str">
        <x:v>Law &amp; Order</x:v>
      </x:c>
      <x:c r="F2337" s="33" t="str">
        <x:v>core</x:v>
      </x:c>
      <x:c r="G2337" s="50" t="n">
        <x:v>20</x:v>
      </x:c>
      <x:c r="H2337" s="50" t="n">
        <x:v>16</x:v>
      </x:c>
      <x:c r="I2337" s="44" t="str">
        <x:v>20.16</x:v>
      </x:c>
      <x:c r="J2337" s="33" t="str">
        <x:v>Facing Demons</x:v>
      </x:c>
      <x:c r="K2337" s="33" t="str"/>
      <x:c r="L2337" s="33" t="str"/>
      <x:c r="M2337" s="44" t="str"/>
      <x:c r="N2337" s="50" t="n">
        <x:v>43</x:v>
      </x:c>
      <x:c r="O2337" s="53" t="str">
        <x:v>Benson and the SVU investigate the death of a man they believe to be a pedophile. When they dig deeper, they realize things are not what they seem and that the case actually hits really close to home.</x:v>
      </x:c>
      <x:c r="P2337" s="53" t="str">
        <x:v>Core Law &amp; Order franchise</x:v>
      </x:c>
      <x:c r="Q2337" s="17" t="str">
        <x:v>3341031</x:v>
      </x:c>
      <x:c r="R2337" s="17" t="str">
        <x:v>tt9122640</x:v>
      </x:c>
      <x:c r="S2337" s="17" t="str">
        <x:v>1450</x:v>
      </x:c>
    </x:row>
    <x:row r="2338">
      <x:c r="A2338" s="43" t="n">
        <x:v>2334</x:v>
      </x:c>
      <x:c r="B2338" s="44" t="str">
        <x:v>Not Started</x:v>
      </x:c>
      <x:c r="C2338" s="45" t="n">
        <x:v>43520</x:v>
      </x:c>
      <x:c r="D2338" s="33" t="str">
        <x:v>Cold Justice</x:v>
      </x:c>
      <x:c r="E2338" s="33" t="str">
        <x:v>Crossover Adjacent</x:v>
      </x:c>
      <x:c r="F2338" s="33" t="str">
        <x:v>complete</x:v>
      </x:c>
      <x:c r="G2338" s="50" t="n">
        <x:v>5</x:v>
      </x:c>
      <x:c r="H2338" s="50" t="n">
        <x:v>12</x:v>
      </x:c>
      <x:c r="I2338" s="44" t="str">
        <x:v>05.12</x:v>
      </x:c>
      <x:c r="J2338" s="33" t="str">
        <x:v>Death Among Him, Part 2 (Carbon County, WY)</x:v>
      </x:c>
      <x:c r="K2338" s="33" t="str"/>
      <x:c r="L2338" s="33" t="str"/>
      <x:c r="M2338" s="44" t="str"/>
      <x:c r="N2338" s="50" t="n">
        <x:v>42</x:v>
      </x:c>
      <x:c r="O2338" s="53" t="str">
        <x:v>In part two of their investigation, the Cold Justice team continues to investigate three mysterious deaths in Wyoming, hoping they will be able to finally give answers to all the families involved.</x:v>
      </x:c>
      <x:c r="P2338" s="53" t="str">
        <x:v>Wolf Entertainment unscripted true-crime series</x:v>
      </x:c>
      <x:c r="Q2338" s="17" t="str">
        <x:v>3400692</x:v>
      </x:c>
      <x:c r="R2338" s="17" t="str"/>
      <x:c r="S2338" s="17" t="str"/>
    </x:row>
    <x:row r="2339">
      <x:c r="A2339" s="43" t="n">
        <x:v>2335</x:v>
      </x:c>
      <x:c r="B2339" s="44" t="str">
        <x:v>Not Started</x:v>
      </x:c>
      <x:c r="C2339" s="45" t="n">
        <x:v>43523</x:v>
      </x:c>
      <x:c r="D2339" s="33" t="str">
        <x:v>FBI</x:v>
      </x:c>
      <x:c r="E2339" s="33" t="str">
        <x:v>FBI</x:v>
      </x:c>
      <x:c r="F2339" s="33" t="str">
        <x:v>core</x:v>
      </x:c>
      <x:c r="G2339" s="50" t="n">
        <x:v>1</x:v>
      </x:c>
      <x:c r="H2339" s="50" t="n">
        <x:v>15</x:v>
      </x:c>
      <x:c r="I2339" s="44" t="str">
        <x:v>01.15</x:v>
      </x:c>
      <x:c r="J2339" s="33" t="str">
        <x:v>Scorched Earth</x:v>
      </x:c>
      <x:c r="K2339" s="33" t="str"/>
      <x:c r="L2339" s="33" t="str"/>
      <x:c r="M2339" s="44" t="str"/>
      <x:c r="N2339" s="50" t="n">
        <x:v>43</x:v>
      </x:c>
      <x:c r="O2339" s="53" t="str">
        <x:v>A serial bomber appears to be targeting Wall Street’s elite. Maggie and OA search for a suspect who seems dead-set on revenge, while Dana deals with Spencer Briggs, a cocky profiler brought in to consult on the case.</x:v>
      </x:c>
      <x:c r="P2339" s="53" t="str">
        <x:v>Core FBI franchise</x:v>
      </x:c>
      <x:c r="Q2339" s="17" t="str">
        <x:v>3352231</x:v>
      </x:c>
      <x:c r="R2339" s="17" t="str">
        <x:v>tt9784664</x:v>
      </x:c>
      <x:c r="S2339" s="17" t="str"/>
    </x:row>
    <x:row r="2340">
      <x:c r="A2340" s="43" t="n">
        <x:v>2336</x:v>
      </x:c>
      <x:c r="B2340" s="44" t="str">
        <x:v>Not Started</x:v>
      </x:c>
      <x:c r="C2340" s="45" t="n">
        <x:v>43524</x:v>
      </x:c>
      <x:c r="D2340" s="33" t="str">
        <x:v>Chicago Med</x:v>
      </x:c>
      <x:c r="E2340" s="33" t="str">
        <x:v>One Chicago</x:v>
      </x:c>
      <x:c r="F2340" s="33" t="str">
        <x:v>core</x:v>
      </x:c>
      <x:c r="G2340" s="50" t="n">
        <x:v>4</x:v>
      </x:c>
      <x:c r="H2340" s="50" t="n">
        <x:v>16</x:v>
      </x:c>
      <x:c r="I2340" s="44" t="str">
        <x:v>04.16</x:v>
      </x:c>
      <x:c r="J2340" s="33" t="str">
        <x:v>Old Flames, New Sparks</x:v>
      </x:c>
      <x:c r="K2340" s="33" t="str"/>
      <x:c r="L2340" s="33" t="str"/>
      <x:c r="M2340" s="44" t="str"/>
      <x:c r="N2340" s="50" t="n">
        <x:v>43</x:v>
      </x:c>
      <x:c r="O2340" s="53" t="str">
        <x:v>Halstead treats a woman on the verge of freezing to death. Dr. Charles' ex-wife receives some concerning news. Choi handles a lymphoma patient with viral meningitis and a complicated family. Manning makes a house call.</x:v>
      </x:c>
      <x:c r="P2340" s="53" t="str">
        <x:v>Core One Chicago franchise</x:v>
      </x:c>
      <x:c r="Q2340" s="17" t="str">
        <x:v>3372984</x:v>
      </x:c>
      <x:c r="R2340" s="17" t="str">
        <x:v>tt9765138</x:v>
      </x:c>
      <x:c r="S2340" s="17" t="str"/>
    </x:row>
    <x:row r="2341">
      <x:c r="A2341" s="43" t="n">
        <x:v>2337</x:v>
      </x:c>
      <x:c r="B2341" s="44" t="str">
        <x:v>Not Started</x:v>
      </x:c>
      <x:c r="C2341" s="45" t="n">
        <x:v>43524</x:v>
      </x:c>
      <x:c r="D2341" s="33" t="str">
        <x:v>Chicago P.D.</x:v>
      </x:c>
      <x:c r="E2341" s="33" t="str">
        <x:v>One Chicago</x:v>
      </x:c>
      <x:c r="F2341" s="33" t="str">
        <x:v>core</x:v>
      </x:c>
      <x:c r="G2341" s="50" t="n">
        <x:v>6</x:v>
      </x:c>
      <x:c r="H2341" s="50" t="n">
        <x:v>16</x:v>
      </x:c>
      <x:c r="I2341" s="44" t="str">
        <x:v>06.16</x:v>
      </x:c>
      <x:c r="J2341" s="33" t="str">
        <x:v>The Forgotten</x:v>
      </x:c>
      <x:c r="K2341" s="33" t="str"/>
      <x:c r="L2341" s="33" t="str"/>
      <x:c r="M2341" s="44" t="str"/>
      <x:c r="N2341" s="50" t="n">
        <x:v>42</x:v>
      </x:c>
      <x:c r="O2341" s="53" t="str">
        <x:v>Voight and the Intelligence Unit focus all their effort and resources into investigating the disappearance of an exotic dancer who served as a long-time criminal informant for their team</x:v>
      </x:c>
      <x:c r="P2341" s="53" t="str">
        <x:v>Core One Chicago franchise; crossovers with SVU/FBI</x:v>
      </x:c>
      <x:c r="Q2341" s="17" t="str">
        <x:v>3372939</x:v>
      </x:c>
      <x:c r="R2341" s="17" t="str">
        <x:v>tt9770232</x:v>
      </x:c>
      <x:c r="S2341" s="17" t="str"/>
    </x:row>
    <x:row r="2342">
      <x:c r="A2342" s="43" t="n">
        <x:v>2338</x:v>
      </x:c>
      <x:c r="B2342" s="44" t="str">
        <x:v>Not Started</x:v>
      </x:c>
      <x:c r="C2342" s="45" t="n">
        <x:v>43524</x:v>
      </x:c>
      <x:c r="D2342" s="33" t="str">
        <x:v>Chicago Fire</x:v>
      </x:c>
      <x:c r="E2342" s="33" t="str">
        <x:v>One Chicago</x:v>
      </x:c>
      <x:c r="F2342" s="33" t="str">
        <x:v>core</x:v>
      </x:c>
      <x:c r="G2342" s="50" t="n">
        <x:v>7</x:v>
      </x:c>
      <x:c r="H2342" s="50" t="n">
        <x:v>16</x:v>
      </x:c>
      <x:c r="I2342" s="44" t="str">
        <x:v>07.16</x:v>
      </x:c>
      <x:c r="J2342" s="33" t="str">
        <x:v>Fault in Him</x:v>
      </x:c>
      <x:c r="K2342" s="33" t="str"/>
      <x:c r="L2342" s="33" t="str"/>
      <x:c r="M2342" s="44" t="str"/>
      <x:c r="N2342" s="50" t="n">
        <x:v>42</x:v>
      </x:c>
      <x:c r="O2342" s="53" t="str">
        <x:v>Casey struggles after experiencing a narrow miss on a call. Otis wins a unique sporting opportunity in a raffle. Grissom turns to Severide for assistance when the mayor's office sends a task force to Firehouse 51.</x:v>
      </x:c>
      <x:c r="P2342" s="53" t="str">
        <x:v>Core One Chicago franchise</x:v>
      </x:c>
      <x:c r="Q2342" s="17" t="str">
        <x:v>3372927</x:v>
      </x:c>
      <x:c r="R2342" s="17" t="str">
        <x:v>tt9664060</x:v>
      </x:c>
      <x:c r="S2342" s="17" t="str"/>
    </x:row>
    <x:row r="2343">
      <x:c r="A2343" s="43" t="n">
        <x:v>2339</x:v>
      </x:c>
      <x:c r="B2343" s="44" t="str">
        <x:v>Not Started</x:v>
      </x:c>
      <x:c r="C2343" s="45" t="n">
        <x:v>43527</x:v>
      </x:c>
      <x:c r="D2343" s="33" t="str">
        <x:v>Cold Justice</x:v>
      </x:c>
      <x:c r="E2343" s="33" t="str">
        <x:v>Crossover Adjacent</x:v>
      </x:c>
      <x:c r="F2343" s="33" t="str">
        <x:v>complete</x:v>
      </x:c>
      <x:c r="G2343" s="50" t="n">
        <x:v>5</x:v>
      </x:c>
      <x:c r="H2343" s="50" t="n">
        <x:v>13</x:v>
      </x:c>
      <x:c r="I2343" s="44" t="str">
        <x:v>05.13</x:v>
      </x:c>
      <x:c r="J2343" s="33" t="str">
        <x:v>Backwater Bloodshed (Concordia Parish, LA)</x:v>
      </x:c>
      <x:c r="K2343" s="33" t="str"/>
      <x:c r="L2343" s="33" t="str"/>
      <x:c r="M2343" s="44" t="str"/>
      <x:c r="N2343" s="50" t="n">
        <x:v>42</x:v>
      </x:c>
      <x:c r="O2343" s="53" t="str">
        <x:v>Kelly and Steve head into Louisiana to work with the Concordia Parish Sheriff's Office and investigate the 2016 homicide of a 26-year-old whose body was found on the banks of the bayou. Can the team finally bring justice to his grieving family?</x:v>
      </x:c>
      <x:c r="P2343" s="53" t="str">
        <x:v>Wolf Entertainment unscripted true-crime series</x:v>
      </x:c>
      <x:c r="Q2343" s="17" t="str">
        <x:v>3416319</x:v>
      </x:c>
      <x:c r="R2343" s="17" t="str"/>
      <x:c r="S2343" s="17" t="str"/>
    </x:row>
    <x:row r="2344">
      <x:c r="A2344" s="43" t="n">
        <x:v>2340</x:v>
      </x:c>
      <x:c r="B2344" s="44" t="str">
        <x:v>Not Started</x:v>
      </x:c>
      <x:c r="C2344" s="45" t="n">
        <x:v>43534</x:v>
      </x:c>
      <x:c r="D2344" s="33" t="str">
        <x:v>Cold Justice</x:v>
      </x:c>
      <x:c r="E2344" s="33" t="str">
        <x:v>Crossover Adjacent</x:v>
      </x:c>
      <x:c r="F2344" s="33" t="str">
        <x:v>complete</x:v>
      </x:c>
      <x:c r="G2344" s="50" t="n">
        <x:v>5</x:v>
      </x:c>
      <x:c r="H2344" s="50" t="n">
        <x:v>14</x:v>
      </x:c>
      <x:c r="I2344" s="44" t="str">
        <x:v>05.14</x:v>
      </x:c>
      <x:c r="J2344" s="33" t="str">
        <x:v>Golden Years Gone (Prowers County, CO)</x:v>
      </x:c>
      <x:c r="K2344" s="33" t="str"/>
      <x:c r="L2344" s="33" t="str"/>
      <x:c r="M2344" s="44" t="str"/>
      <x:c r="N2344" s="50" t="n">
        <x:v>42</x:v>
      </x:c>
      <x:c r="O2344" s="53" t="str">
        <x:v>Kelly and Abbey head to Colorado to help the Prowers County Sheriff's Office investigate the 1991 homicide of a beloved elderly couple who were brutally killed while working at their local VFW Hall.</x:v>
      </x:c>
      <x:c r="P2344" s="53" t="str">
        <x:v>Wolf Entertainment unscripted true-crime series</x:v>
      </x:c>
      <x:c r="Q2344" s="17" t="str">
        <x:v>3416320</x:v>
      </x:c>
      <x:c r="R2344" s="17" t="str"/>
      <x:c r="S2344" s="17" t="str"/>
    </x:row>
    <x:row r="2345">
      <x:c r="A2345" s="43" t="n">
        <x:v>2341</x:v>
      </x:c>
      <x:c r="B2345" s="44" t="str">
        <x:v>Not Started</x:v>
      </x:c>
      <x:c r="C2345" s="45" t="n">
        <x:v>43537</x:v>
      </x:c>
      <x:c r="D2345" s="33" t="str">
        <x:v>FBI</x:v>
      </x:c>
      <x:c r="E2345" s="33" t="str">
        <x:v>FBI</x:v>
      </x:c>
      <x:c r="F2345" s="33" t="str">
        <x:v>core</x:v>
      </x:c>
      <x:c r="G2345" s="50" t="n">
        <x:v>1</x:v>
      </x:c>
      <x:c r="H2345" s="50" t="n">
        <x:v>16</x:v>
      </x:c>
      <x:c r="I2345" s="44" t="str">
        <x:v>01.16</x:v>
      </x:c>
      <x:c r="J2345" s="33" t="str">
        <x:v>Invisible</x:v>
      </x:c>
      <x:c r="K2345" s="33" t="str"/>
      <x:c r="L2345" s="33" t="str"/>
      <x:c r="M2345" s="44" t="str"/>
      <x:c r="N2345" s="50" t="n">
        <x:v>43</x:v>
      </x:c>
      <x:c r="O2345" s="53" t="str">
        <x:v>When the daughter of a wealthy family is kidnapped in an attempt to gain notorious internet fame, Maggie and OA discover the kidnapper’s plans go far beyond abduction in order to never be forgotten.</x:v>
      </x:c>
      <x:c r="P2345" s="53" t="str">
        <x:v>Core FBI franchise</x:v>
      </x:c>
      <x:c r="Q2345" s="17" t="str">
        <x:v>3372952</x:v>
      </x:c>
      <x:c r="R2345" s="17" t="str">
        <x:v>tt9823964</x:v>
      </x:c>
      <x:c r="S2345" s="17" t="str"/>
    </x:row>
    <x:row r="2346">
      <x:c r="A2346" s="43" t="n">
        <x:v>2342</x:v>
      </x:c>
      <x:c r="B2346" s="44" t="str">
        <x:v>Not Started</x:v>
      </x:c>
      <x:c r="C2346" s="45" t="n">
        <x:v>43538</x:v>
      </x:c>
      <x:c r="D2346" s="33" t="str">
        <x:v>Law &amp; Order: Special Victims Unit</x:v>
      </x:c>
      <x:c r="E2346" s="33" t="str">
        <x:v>Law &amp; Order</x:v>
      </x:c>
      <x:c r="F2346" s="33" t="str">
        <x:v>core</x:v>
      </x:c>
      <x:c r="G2346" s="50" t="n">
        <x:v>20</x:v>
      </x:c>
      <x:c r="H2346" s="50" t="n">
        <x:v>17</x:v>
      </x:c>
      <x:c r="I2346" s="44" t="str">
        <x:v>20.17</x:v>
      </x:c>
      <x:c r="J2346" s="33" t="str">
        <x:v>Missing</x:v>
      </x:c>
      <x:c r="K2346" s="33" t="str"/>
      <x:c r="L2346" s="33" t="str"/>
      <x:c r="M2346" s="44" t="str"/>
      <x:c r="N2346" s="50" t="n">
        <x:v>43</x:v>
      </x:c>
      <x:c r="O2346" s="53" t="str">
        <x:v>The SVU pursues a suspect when a child is discovered in the trunk of an abandoned car.</x:v>
      </x:c>
      <x:c r="P2346" s="53" t="str">
        <x:v>Core Law &amp; Order franchise</x:v>
      </x:c>
      <x:c r="Q2346" s="17" t="str">
        <x:v>3341035</x:v>
      </x:c>
      <x:c r="R2346" s="17" t="str">
        <x:v>tt9122646</x:v>
      </x:c>
      <x:c r="S2346" s="17" t="str">
        <x:v>1451</x:v>
      </x:c>
    </x:row>
    <x:row r="2347">
      <x:c r="A2347" s="43" t="n">
        <x:v>2343</x:v>
      </x:c>
      <x:c r="B2347" s="44" t="str">
        <x:v>Not Started</x:v>
      </x:c>
      <x:c r="C2347" s="45" t="n">
        <x:v>43541</x:v>
      </x:c>
      <x:c r="D2347" s="33" t="str">
        <x:v>Cold Justice</x:v>
      </x:c>
      <x:c r="E2347" s="33" t="str">
        <x:v>Crossover Adjacent</x:v>
      </x:c>
      <x:c r="F2347" s="33" t="str">
        <x:v>complete</x:v>
      </x:c>
      <x:c r="G2347" s="50" t="n">
        <x:v>5</x:v>
      </x:c>
      <x:c r="H2347" s="50" t="n">
        <x:v>15</x:v>
      </x:c>
      <x:c r="I2347" s="44" t="str">
        <x:v>05.15</x:v>
      </x:c>
      <x:c r="J2347" s="33" t="str">
        <x:v>A Mother's Dying Wish (Hernando County, FL)</x:v>
      </x:c>
      <x:c r="K2347" s="33" t="str"/>
      <x:c r="L2347" s="33" t="str"/>
      <x:c r="M2347" s="44" t="str"/>
      <x:c r="N2347" s="50" t="n">
        <x:v>42</x:v>
      </x:c>
      <x:c r="O2347" s="53" t="str">
        <x:v>Kelly and Steve return to Hernando County, FL, to help look into the two decades old homicide of a 21-year-old woman who disappeared after a late night party, and her body was discovered years later in a nearby orange grove.</x:v>
      </x:c>
      <x:c r="P2347" s="53" t="str">
        <x:v>Wolf Entertainment unscripted true-crime series</x:v>
      </x:c>
      <x:c r="Q2347" s="17" t="str">
        <x:v>3416321</x:v>
      </x:c>
      <x:c r="R2347" s="17" t="str">
        <x:v>tt10120998</x:v>
      </x:c>
      <x:c r="S2347" s="17" t="str"/>
    </x:row>
    <x:row r="2348">
      <x:c r="A2348" s="43" t="n">
        <x:v>2344</x:v>
      </x:c>
      <x:c r="B2348" s="44" t="str">
        <x:v>Not Started</x:v>
      </x:c>
      <x:c r="C2348" s="45" t="n">
        <x:v>43545</x:v>
      </x:c>
      <x:c r="D2348" s="33" t="str">
        <x:v>Law &amp; Order: Special Victims Unit</x:v>
      </x:c>
      <x:c r="E2348" s="33" t="str">
        <x:v>Law &amp; Order</x:v>
      </x:c>
      <x:c r="F2348" s="33" t="str">
        <x:v>core</x:v>
      </x:c>
      <x:c r="G2348" s="50" t="n">
        <x:v>20</x:v>
      </x:c>
      <x:c r="H2348" s="50" t="n">
        <x:v>18</x:v>
      </x:c>
      <x:c r="I2348" s="44" t="str">
        <x:v>20.18</x:v>
      </x:c>
      <x:c r="J2348" s="33" t="str">
        <x:v>Blackout</x:v>
      </x:c>
      <x:c r="K2348" s="33" t="str"/>
      <x:c r="L2348" s="33" t="str"/>
      <x:c r="M2348" s="44" t="str"/>
      <x:c r="N2348" s="50" t="n">
        <x:v>43</x:v>
      </x:c>
      <x:c r="O2348" s="53" t="str">
        <x:v>When defense attorney Nikki Staines is raped after a police charity event, Benson reluctantly looks to her own for a suspect.</x:v>
      </x:c>
      <x:c r="P2348" s="53" t="str">
        <x:v>Core Law &amp; Order franchise</x:v>
      </x:c>
      <x:c r="Q2348" s="17" t="str">
        <x:v>3399430</x:v>
      </x:c>
      <x:c r="R2348" s="17" t="str">
        <x:v>tt9122652</x:v>
      </x:c>
      <x:c r="S2348" s="17" t="str">
        <x:v>1452</x:v>
      </x:c>
    </x:row>
    <x:row r="2349">
      <x:c r="A2349" s="43" t="n">
        <x:v>2345</x:v>
      </x:c>
      <x:c r="B2349" s="44" t="str">
        <x:v>Not Started</x:v>
      </x:c>
      <x:c r="C2349" s="45" t="n">
        <x:v>43548</x:v>
      </x:c>
      <x:c r="D2349" s="33" t="str">
        <x:v>Cold Justice</x:v>
      </x:c>
      <x:c r="E2349" s="33" t="str">
        <x:v>Crossover Adjacent</x:v>
      </x:c>
      <x:c r="F2349" s="33" t="str">
        <x:v>complete</x:v>
      </x:c>
      <x:c r="G2349" s="50" t="n">
        <x:v>5</x:v>
      </x:c>
      <x:c r="H2349" s="50" t="n">
        <x:v>16</x:v>
      </x:c>
      <x:c r="I2349" s="44" t="str">
        <x:v>05.16</x:v>
      </x:c>
      <x:c r="J2349" s="33" t="str">
        <x:v>Texas Tragedy</x:v>
      </x:c>
      <x:c r="K2349" s="33" t="str"/>
      <x:c r="L2349" s="33" t="str"/>
      <x:c r="M2349" s="44" t="str"/>
      <x:c r="N2349" s="50" t="n">
        <x:v>42</x:v>
      </x:c>
      <x:c r="O2349" s="53" t="str">
        <x:v>The Jasper County Sheriff's Department assist Kelly and Johnny as they sort through family drama and doomsday rumors to help a daughter unravel the mystery surrounding the 2012 disappearance of her 56-year-old mother.</x:v>
      </x:c>
      <x:c r="P2349" s="53" t="str">
        <x:v>Wolf Entertainment unscripted true-crime series</x:v>
      </x:c>
      <x:c r="Q2349" s="17" t="str">
        <x:v>3416322</x:v>
      </x:c>
      <x:c r="R2349" s="17" t="str"/>
      <x:c r="S2349" s="17" t="str"/>
    </x:row>
    <x:row r="2350">
      <x:c r="A2350" s="43" t="n">
        <x:v>2346</x:v>
      </x:c>
      <x:c r="B2350" s="44" t="str">
        <x:v>Not Started</x:v>
      </x:c>
      <x:c r="C2350" s="45" t="n">
        <x:v>43551</x:v>
      </x:c>
      <x:c r="D2350" s="33" t="str">
        <x:v>FBI</x:v>
      </x:c>
      <x:c r="E2350" s="33" t="str">
        <x:v>FBI</x:v>
      </x:c>
      <x:c r="F2350" s="33" t="str">
        <x:v>core</x:v>
      </x:c>
      <x:c r="G2350" s="50" t="n">
        <x:v>1</x:v>
      </x:c>
      <x:c r="H2350" s="50" t="n">
        <x:v>17</x:v>
      </x:c>
      <x:c r="I2350" s="44" t="str">
        <x:v>01.17</x:v>
      </x:c>
      <x:c r="J2350" s="33" t="str">
        <x:v>Apex</x:v>
      </x:c>
      <x:c r="K2350" s="33" t="str"/>
      <x:c r="L2350" s="33" t="str"/>
      <x:c r="M2350" s="44" t="str"/>
      <x:c r="N2350" s="50" t="n">
        <x:v>43</x:v>
      </x:c>
      <x:c r="O2350" s="53" t="str">
        <x:v>Maggie and Dana struggle to find justice for victims murdered by a serial killer who left a ghoulish mark on all of his victims, while the mayor limits the investigation in order to prevent economical loss.</x:v>
      </x:c>
      <x:c r="P2350" s="53" t="str">
        <x:v>Core FBI franchise</x:v>
      </x:c>
      <x:c r="Q2350" s="17" t="str">
        <x:v>3389155</x:v>
      </x:c>
      <x:c r="R2350" s="17" t="str">
        <x:v>tt9861422</x:v>
      </x:c>
      <x:c r="S2350" s="17" t="str"/>
    </x:row>
    <x:row r="2351">
      <x:c r="A2351" s="43" t="n">
        <x:v>2347</x:v>
      </x:c>
      <x:c r="B2351" s="44" t="str">
        <x:v>Not Started</x:v>
      </x:c>
      <x:c r="C2351" s="45" t="n">
        <x:v>43552</x:v>
      </x:c>
      <x:c r="D2351" s="33" t="str">
        <x:v>Chicago Med</x:v>
      </x:c>
      <x:c r="E2351" s="33" t="str">
        <x:v>One Chicago</x:v>
      </x:c>
      <x:c r="F2351" s="33" t="str">
        <x:v>core</x:v>
      </x:c>
      <x:c r="G2351" s="50" t="n">
        <x:v>4</x:v>
      </x:c>
      <x:c r="H2351" s="50" t="n">
        <x:v>17</x:v>
      </x:c>
      <x:c r="I2351" s="44" t="str">
        <x:v>04.17</x:v>
      </x:c>
      <x:c r="J2351" s="33" t="str">
        <x:v>The Space Between Us</x:v>
      </x:c>
      <x:c r="K2351" s="33" t="str"/>
      <x:c r="L2351" s="33" t="str"/>
      <x:c r="M2351" s="44" t="str"/>
      <x:c r="N2351" s="50" t="n">
        <x:v>42</x:v>
      </x:c>
      <x:c r="O2351" s="53" t="str">
        <x:v>When a car unexpectedly smashes through the ambulance bay doors, Dr. Choi makes some difficult decisions in an effort to save a worker trapped beneath the wreckage and April, who's also in danger.</x:v>
      </x:c>
      <x:c r="P2351" s="53" t="str">
        <x:v>Core One Chicago franchise</x:v>
      </x:c>
      <x:c r="Q2351" s="17" t="str">
        <x:v>3402684</x:v>
      </x:c>
      <x:c r="R2351" s="17" t="str">
        <x:v>tt9842298</x:v>
      </x:c>
      <x:c r="S2351" s="17" t="str"/>
    </x:row>
    <x:row r="2352">
      <x:c r="A2352" s="43" t="n">
        <x:v>2348</x:v>
      </x:c>
      <x:c r="B2352" s="44" t="str">
        <x:v>Not Started</x:v>
      </x:c>
      <x:c r="C2352" s="45" t="n">
        <x:v>43552</x:v>
      </x:c>
      <x:c r="D2352" s="33" t="str">
        <x:v>Chicago P.D.</x:v>
      </x:c>
      <x:c r="E2352" s="33" t="str">
        <x:v>One Chicago</x:v>
      </x:c>
      <x:c r="F2352" s="33" t="str">
        <x:v>core</x:v>
      </x:c>
      <x:c r="G2352" s="50" t="n">
        <x:v>6</x:v>
      </x:c>
      <x:c r="H2352" s="50" t="n">
        <x:v>17</x:v>
      </x:c>
      <x:c r="I2352" s="44" t="str">
        <x:v>06.17</x:v>
      </x:c>
      <x:c r="J2352" s="33" t="str">
        <x:v>Pain Killer</x:v>
      </x:c>
      <x:c r="K2352" s="33" t="str"/>
      <x:c r="L2352" s="33" t="str"/>
      <x:c r="M2352" s="44" t="str"/>
      <x:c r="N2352" s="50" t="n">
        <x:v>42</x:v>
      </x:c>
      <x:c r="O2352" s="53" t="str">
        <x:v>A mayoral candidate is shot by an unidentified sniper, and Intelligence races to catch the shooter before he can take out his next target.</x:v>
      </x:c>
      <x:c r="P2352" s="53" t="str">
        <x:v>Core One Chicago franchise; crossovers with SVU/FBI</x:v>
      </x:c>
      <x:c r="Q2352" s="17" t="str">
        <x:v>3402817</x:v>
      </x:c>
      <x:c r="R2352" s="17" t="str">
        <x:v>tt9853716</x:v>
      </x:c>
      <x:c r="S2352" s="17" t="str"/>
    </x:row>
    <x:row r="2353">
      <x:c r="A2353" s="43" t="n">
        <x:v>2349</x:v>
      </x:c>
      <x:c r="B2353" s="44" t="str">
        <x:v>Not Started</x:v>
      </x:c>
      <x:c r="C2353" s="45" t="n">
        <x:v>43552</x:v>
      </x:c>
      <x:c r="D2353" s="33" t="str">
        <x:v>Chicago Fire</x:v>
      </x:c>
      <x:c r="E2353" s="33" t="str">
        <x:v>One Chicago</x:v>
      </x:c>
      <x:c r="F2353" s="33" t="str">
        <x:v>core</x:v>
      </x:c>
      <x:c r="G2353" s="50" t="n">
        <x:v>7</x:v>
      </x:c>
      <x:c r="H2353" s="50" t="n">
        <x:v>17</x:v>
      </x:c>
      <x:c r="I2353" s="44" t="str">
        <x:v>07.17</x:v>
      </x:c>
      <x:c r="J2353" s="33" t="str">
        <x:v>Move a Wall</x:v>
      </x:c>
      <x:c r="K2353" s="33" t="str"/>
      <x:c r="L2353" s="33" t="str"/>
      <x:c r="M2353" s="44" t="str"/>
      <x:c r="N2353" s="50" t="n">
        <x:v>41</x:v>
      </x:c>
      <x:c r="O2353" s="53" t="str">
        <x:v>Tensions run high between Casey and Herrmann after the firehouse responds to an apartment complex fire. After discovering something extremely suspicious during the call, Kidd and Severide do some investigating and get CPD on the case.</x:v>
      </x:c>
      <x:c r="P2353" s="53" t="str">
        <x:v>Core One Chicago franchise</x:v>
      </x:c>
      <x:c r="Q2353" s="17" t="str">
        <x:v>3403308</x:v>
      </x:c>
      <x:c r="R2353" s="17" t="str">
        <x:v>tt9853744</x:v>
      </x:c>
      <x:c r="S2353" s="17" t="str"/>
    </x:row>
    <x:row r="2354">
      <x:c r="A2354" s="43" t="n">
        <x:v>2350</x:v>
      </x:c>
      <x:c r="B2354" s="44" t="str">
        <x:v>Not Started</x:v>
      </x:c>
      <x:c r="C2354" s="45" t="n">
        <x:v>43555</x:v>
      </x:c>
      <x:c r="D2354" s="33" t="str">
        <x:v>Cold Justice</x:v>
      </x:c>
      <x:c r="E2354" s="33" t="str">
        <x:v>Crossover Adjacent</x:v>
      </x:c>
      <x:c r="F2354" s="33" t="str">
        <x:v>complete</x:v>
      </x:c>
      <x:c r="G2354" s="50" t="n">
        <x:v>5</x:v>
      </x:c>
      <x:c r="H2354" s="50" t="n">
        <x:v>17</x:v>
      </x:c>
      <x:c r="I2354" s="44" t="str">
        <x:v>05.17</x:v>
      </x:c>
      <x:c r="J2354" s="33" t="str">
        <x:v>Family Betrayal (Idaho Falls, ID)</x:v>
      </x:c>
      <x:c r="K2354" s="33" t="str"/>
      <x:c r="L2354" s="33" t="str"/>
      <x:c r="M2354" s="44" t="str"/>
      <x:c r="N2354" s="50" t="n">
        <x:v>42</x:v>
      </x:c>
      <x:c r="O2354" s="53" t="str">
        <x:v>Kelly travels to Abbey's home state to work with the Idaho Falls PD to help investigate the 2007 homicide of a young mother. When her body was discovered almost 3 years later outside the city, it left a family searching for her killer.</x:v>
      </x:c>
      <x:c r="P2354" s="53" t="str">
        <x:v>Wolf Entertainment unscripted true-crime series</x:v>
      </x:c>
      <x:c r="Q2354" s="17" t="str">
        <x:v>3416323</x:v>
      </x:c>
      <x:c r="R2354" s="17" t="str"/>
      <x:c r="S2354" s="17" t="str"/>
    </x:row>
    <x:row r="2355">
      <x:c r="A2355" s="43" t="n">
        <x:v>2351</x:v>
      </x:c>
      <x:c r="B2355" s="44" t="str">
        <x:v>Not Started</x:v>
      </x:c>
      <x:c r="C2355" s="45" t="n">
        <x:v>43558</x:v>
      </x:c>
      <x:c r="D2355" s="33" t="str">
        <x:v>FBI</x:v>
      </x:c>
      <x:c r="E2355" s="33" t="str">
        <x:v>FBI</x:v>
      </x:c>
      <x:c r="F2355" s="33" t="str">
        <x:v>core</x:v>
      </x:c>
      <x:c r="G2355" s="50" t="n">
        <x:v>1</x:v>
      </x:c>
      <x:c r="H2355" s="50" t="n">
        <x:v>18</x:v>
      </x:c>
      <x:c r="I2355" s="44" t="str">
        <x:v>01.18</x:v>
      </x:c>
      <x:c r="J2355" s="33" t="str">
        <x:v>Most Wanted</x:v>
      </x:c>
      <x:c r="K2355" s="33" t="str">
        <x:v>Backdoor pilot</x:v>
      </x:c>
      <x:c r="L2355" s="33" t="str">
        <x:v>FBI: Most Wanted launch</x:v>
      </x:c>
      <x:c r="M2355" s="44" t="str"/>
      <x:c r="N2355" s="50" t="n">
        <x:v>43</x:v>
      </x:c>
      <x:c r="O2355" s="53" t="str">
        <x:v>OA and Maggie team up with members of the FBI’s Fugitives Department to track down a person wanted for murder who is also on America’s top 10 most wanted list.</x:v>
      </x:c>
      <x:c r="P2355" s="53" t="str">
        <x:v>Core FBI franchise</x:v>
      </x:c>
      <x:c r="Q2355" s="17" t="str">
        <x:v>3404070</x:v>
      </x:c>
      <x:c r="R2355" s="17" t="str">
        <x:v>tt9846830</x:v>
      </x:c>
      <x:c r="S2355" s="17" t="str">
        <x:v>https://one-chicago-fbi.fandom.com/wiki/Crossovers_and_Milestones</x:v>
      </x:c>
    </x:row>
    <x:row r="2356">
      <x:c r="A2356" s="43" t="n">
        <x:v>2352</x:v>
      </x:c>
      <x:c r="B2356" s="44" t="str">
        <x:v>Not Started</x:v>
      </x:c>
      <x:c r="C2356" s="45" t="n">
        <x:v>43559</x:v>
      </x:c>
      <x:c r="D2356" s="33" t="str">
        <x:v>Chicago Med</x:v>
      </x:c>
      <x:c r="E2356" s="33" t="str">
        <x:v>One Chicago</x:v>
      </x:c>
      <x:c r="F2356" s="33" t="str">
        <x:v>core</x:v>
      </x:c>
      <x:c r="G2356" s="50" t="n">
        <x:v>4</x:v>
      </x:c>
      <x:c r="H2356" s="50" t="n">
        <x:v>18</x:v>
      </x:c>
      <x:c r="I2356" s="44" t="str">
        <x:v>04.18</x:v>
      </x:c>
      <x:c r="J2356" s="33" t="str">
        <x:v>Tell Me the Truth</x:v>
      </x:c>
      <x:c r="K2356" s="33" t="str"/>
      <x:c r="L2356" s="33" t="str"/>
      <x:c r="M2356" s="44" t="str"/>
      <x:c r="N2356" s="50" t="n">
        <x:v>42</x:v>
      </x:c>
      <x:c r="O2356" s="53" t="str">
        <x:v>Dr. Rhodes receives an alarming phone call that prompts him to rush out in the middle of an important surgery. Dr. Halstead comes to the aid of an FBI agent who is brought into the ER, but he suspects there is more to the story than he is being told. Dr. Manning and Dr. Choi find themselves on opposite sides of a major disagreement over doctor-patient confidentiality.</x:v>
      </x:c>
      <x:c r="P2356" s="53" t="str">
        <x:v>Core One Chicago franchise</x:v>
      </x:c>
      <x:c r="Q2356" s="17" t="str">
        <x:v>3402685</x:v>
      </x:c>
      <x:c r="R2356" s="17" t="str">
        <x:v>tt9853700</x:v>
      </x:c>
      <x:c r="S2356" s="17" t="str"/>
    </x:row>
    <x:row r="2357">
      <x:c r="A2357" s="43" t="n">
        <x:v>2353</x:v>
      </x:c>
      <x:c r="B2357" s="44" t="str">
        <x:v>Not Started</x:v>
      </x:c>
      <x:c r="C2357" s="45" t="n">
        <x:v>43559</x:v>
      </x:c>
      <x:c r="D2357" s="33" t="str">
        <x:v>Chicago P.D.</x:v>
      </x:c>
      <x:c r="E2357" s="33" t="str">
        <x:v>One Chicago</x:v>
      </x:c>
      <x:c r="F2357" s="33" t="str">
        <x:v>core</x:v>
      </x:c>
      <x:c r="G2357" s="50" t="n">
        <x:v>6</x:v>
      </x:c>
      <x:c r="H2357" s="50" t="n">
        <x:v>18</x:v>
      </x:c>
      <x:c r="I2357" s="44" t="str">
        <x:v>06.18</x:v>
      </x:c>
      <x:c r="J2357" s="33" t="str">
        <x:v>This City</x:v>
      </x:c>
      <x:c r="K2357" s="33" t="str"/>
      <x:c r="L2357" s="33" t="str"/>
      <x:c r="M2357" s="44" t="str"/>
      <x:c r="N2357" s="50" t="n">
        <x:v>41</x:v>
      </x:c>
      <x:c r="O2357" s="53" t="str">
        <x:v>With the threat of a gang war looming, Voight and Ray Price must organize a peace summit to end the bloodshed before more innocent people get hurt. Burgess evaluates her future with Blair.</x:v>
      </x:c>
      <x:c r="P2357" s="53" t="str">
        <x:v>Core One Chicago franchise; crossovers with SVU/FBI</x:v>
      </x:c>
      <x:c r="Q2357" s="17" t="str">
        <x:v>3402830</x:v>
      </x:c>
      <x:c r="R2357" s="17" t="str">
        <x:v>tt9853724</x:v>
      </x:c>
      <x:c r="S2357" s="17" t="str"/>
    </x:row>
    <x:row r="2358">
      <x:c r="A2358" s="43" t="n">
        <x:v>2354</x:v>
      </x:c>
      <x:c r="B2358" s="44" t="str">
        <x:v>Not Started</x:v>
      </x:c>
      <x:c r="C2358" s="45" t="n">
        <x:v>43559</x:v>
      </x:c>
      <x:c r="D2358" s="33" t="str">
        <x:v>Chicago Fire</x:v>
      </x:c>
      <x:c r="E2358" s="33" t="str">
        <x:v>One Chicago</x:v>
      </x:c>
      <x:c r="F2358" s="33" t="str">
        <x:v>core</x:v>
      </x:c>
      <x:c r="G2358" s="50" t="n">
        <x:v>7</x:v>
      </x:c>
      <x:c r="H2358" s="50" t="n">
        <x:v>18</x:v>
      </x:c>
      <x:c r="I2358" s="44" t="str">
        <x:v>07.18</x:v>
      </x:c>
      <x:c r="J2358" s="33" t="str">
        <x:v>No Such Thing as Bad Luck</x:v>
      </x:c>
      <x:c r="K2358" s="33" t="str"/>
      <x:c r="L2358" s="33" t="str"/>
      <x:c r="M2358" s="44" t="str"/>
      <x:c r="N2358" s="50" t="n">
        <x:v>42</x:v>
      </x:c>
      <x:c r="O2358" s="53" t="str">
        <x:v>Severide gets angry at Cruz when he feels his orders were disobeyed in the field. Boden reconnects with an old high school friend during a call to a house fire. Herrmann has issues when one of his favorite knick-knacks from Molly's goes missing.</x:v>
      </x:c>
      <x:c r="P2358" s="53" t="str">
        <x:v>Core One Chicago franchise</x:v>
      </x:c>
      <x:c r="Q2358" s="17" t="str">
        <x:v>3403309</x:v>
      </x:c>
      <x:c r="R2358" s="17" t="str">
        <x:v>tt9853748</x:v>
      </x:c>
      <x:c r="S2358" s="17" t="str"/>
    </x:row>
    <x:row r="2359">
      <x:c r="A2359" s="43" t="n">
        <x:v>2355</x:v>
      </x:c>
      <x:c r="B2359" s="44" t="str">
        <x:v>Not Started</x:v>
      </x:c>
      <x:c r="C2359" s="45" t="n">
        <x:v>43559</x:v>
      </x:c>
      <x:c r="D2359" s="33" t="str">
        <x:v>Law &amp; Order: Special Victims Unit</x:v>
      </x:c>
      <x:c r="E2359" s="33" t="str">
        <x:v>Law &amp; Order</x:v>
      </x:c>
      <x:c r="F2359" s="33" t="str">
        <x:v>core</x:v>
      </x:c>
      <x:c r="G2359" s="50" t="n">
        <x:v>20</x:v>
      </x:c>
      <x:c r="H2359" s="50" t="n">
        <x:v>19</x:v>
      </x:c>
      <x:c r="I2359" s="44" t="str">
        <x:v>20.19</x:v>
      </x:c>
      <x:c r="J2359" s="33" t="str">
        <x:v>Dearly Beloved</x:v>
      </x:c>
      <x:c r="K2359" s="33" t="str"/>
      <x:c r="L2359" s="33" t="str"/>
      <x:c r="M2359" s="44" t="str"/>
      <x:c r="N2359" s="50" t="n">
        <x:v>43</x:v>
      </x:c>
      <x:c r="O2359" s="53" t="str">
        <x:v>The SVU investigates a he-said, she-said case when a woman crashes a wedding to accuse her therapist of sexual assault.</x:v>
      </x:c>
      <x:c r="P2359" s="53" t="str">
        <x:v>Core Law &amp; Order franchise</x:v>
      </x:c>
      <x:c r="Q2359" s="17" t="str">
        <x:v>3413612</x:v>
      </x:c>
      <x:c r="R2359" s="17" t="str">
        <x:v>tt9122658</x:v>
      </x:c>
      <x:c r="S2359" s="17" t="str">
        <x:v>1453</x:v>
      </x:c>
    </x:row>
    <x:row r="2360">
      <x:c r="A2360" s="43" t="n">
        <x:v>2356</x:v>
      </x:c>
      <x:c r="B2360" s="44" t="str">
        <x:v>Not Started</x:v>
      </x:c>
      <x:c r="C2360" s="45" t="n">
        <x:v>43562</x:v>
      </x:c>
      <x:c r="D2360" s="33" t="str">
        <x:v>Cold Justice</x:v>
      </x:c>
      <x:c r="E2360" s="33" t="str">
        <x:v>Crossover Adjacent</x:v>
      </x:c>
      <x:c r="F2360" s="33" t="str">
        <x:v>complete</x:v>
      </x:c>
      <x:c r="G2360" s="50" t="n">
        <x:v>5</x:v>
      </x:c>
      <x:c r="H2360" s="50" t="n">
        <x:v>18</x:v>
      </x:c>
      <x:c r="I2360" s="44" t="str">
        <x:v>05.18</x:v>
      </x:c>
      <x:c r="J2360" s="33" t="str">
        <x:v>Horror In The Home (Amarillo, TX)</x:v>
      </x:c>
      <x:c r="K2360" s="33" t="str"/>
      <x:c r="L2360" s="33" t="str"/>
      <x:c r="M2360" s="44" t="str"/>
      <x:c r="N2360" s="50" t="n">
        <x:v>42</x:v>
      </x:c>
      <x:c r="O2360" s="53" t="str">
        <x:v>Kelly and Steve work with the Potter County Sheriff's Department in Amarillo, TX, in investigating the brutal murder of a doting mother of four. Will DNA testing help them find the murderer and answers for her grieving kids?</x:v>
      </x:c>
      <x:c r="P2360" s="53" t="str">
        <x:v>Wolf Entertainment unscripted true-crime series</x:v>
      </x:c>
      <x:c r="Q2360" s="17" t="str">
        <x:v>3457168</x:v>
      </x:c>
      <x:c r="R2360" s="17" t="str"/>
      <x:c r="S2360" s="17" t="str"/>
    </x:row>
    <x:row r="2361">
      <x:c r="A2361" s="43" t="n">
        <x:v>2357</x:v>
      </x:c>
      <x:c r="B2361" s="44" t="str">
        <x:v>Not Started</x:v>
      </x:c>
      <x:c r="C2361" s="45" t="n">
        <x:v>43566</x:v>
      </x:c>
      <x:c r="D2361" s="33" t="str">
        <x:v>Law &amp; Order: Special Victims Unit</x:v>
      </x:c>
      <x:c r="E2361" s="33" t="str">
        <x:v>Law &amp; Order</x:v>
      </x:c>
      <x:c r="F2361" s="33" t="str">
        <x:v>core</x:v>
      </x:c>
      <x:c r="G2361" s="50" t="n">
        <x:v>20</x:v>
      </x:c>
      <x:c r="H2361" s="50" t="n">
        <x:v>20</x:v>
      </x:c>
      <x:c r="I2361" s="44" t="str">
        <x:v>20.20</x:v>
      </x:c>
      <x:c r="J2361" s="33" t="str">
        <x:v>The Good Girl</x:v>
      </x:c>
      <x:c r="K2361" s="33" t="str"/>
      <x:c r="L2361" s="33" t="str"/>
      <x:c r="M2361" s="44" t="str"/>
      <x:c r="N2361" s="50" t="n">
        <x:v>43</x:v>
      </x:c>
      <x:c r="O2361" s="53" t="str">
        <x:v>Benson and the team work to uncover a pregnant teenager's secret when she refuses to name the baby's father.</x:v>
      </x:c>
      <x:c r="P2361" s="53" t="str">
        <x:v>Core Law &amp; Order franchise</x:v>
      </x:c>
      <x:c r="Q2361" s="17" t="str">
        <x:v>3433419</x:v>
      </x:c>
      <x:c r="R2361" s="17" t="str">
        <x:v>tt9122666</x:v>
      </x:c>
      <x:c r="S2361" s="17" t="str">
        <x:v>1454</x:v>
      </x:c>
    </x:row>
    <x:row r="2362">
      <x:c r="A2362" s="43" t="n">
        <x:v>2358</x:v>
      </x:c>
      <x:c r="B2362" s="44" t="str">
        <x:v>Not Started</x:v>
      </x:c>
      <x:c r="C2362" s="45" t="n">
        <x:v>43572</x:v>
      </x:c>
      <x:c r="D2362" s="33" t="str">
        <x:v>FBI</x:v>
      </x:c>
      <x:c r="E2362" s="33" t="str">
        <x:v>FBI</x:v>
      </x:c>
      <x:c r="F2362" s="33" t="str">
        <x:v>core</x:v>
      </x:c>
      <x:c r="G2362" s="50" t="n">
        <x:v>1</x:v>
      </x:c>
      <x:c r="H2362" s="50" t="n">
        <x:v>19</x:v>
      </x:c>
      <x:c r="I2362" s="44" t="str">
        <x:v>01.19</x:v>
      </x:c>
      <x:c r="J2362" s="33" t="str">
        <x:v>Conflict of Interest</x:v>
      </x:c>
      <x:c r="K2362" s="33" t="str"/>
      <x:c r="L2362" s="33" t="str"/>
      <x:c r="M2362" s="44" t="str"/>
      <x:c r="N2362" s="50" t="n">
        <x:v>43</x:v>
      </x:c>
      <x:c r="O2362" s="53" t="str">
        <x:v>An American diplomat is killed while being used as a pawn in a dangerous drug ring, and the team must work together to bring them down. Also, Jubal and OA try to help friends from their past fight off their inner demons.</x:v>
      </x:c>
      <x:c r="P2362" s="53" t="str">
        <x:v>Core FBI franchise</x:v>
      </x:c>
      <x:c r="Q2362" s="17" t="str">
        <x:v>3429191</x:v>
      </x:c>
      <x:c r="R2362" s="17" t="str">
        <x:v>tt10004814</x:v>
      </x:c>
      <x:c r="S2362" s="17" t="str"/>
    </x:row>
    <x:row r="2363">
      <x:c r="A2363" s="43" t="n">
        <x:v>2359</x:v>
      </x:c>
      <x:c r="B2363" s="44" t="str">
        <x:v>Not Started</x:v>
      </x:c>
      <x:c r="C2363" s="45" t="n">
        <x:v>43580</x:v>
      </x:c>
      <x:c r="D2363" s="33" t="str">
        <x:v>Chicago Med</x:v>
      </x:c>
      <x:c r="E2363" s="33" t="str">
        <x:v>One Chicago</x:v>
      </x:c>
      <x:c r="F2363" s="33" t="str">
        <x:v>core</x:v>
      </x:c>
      <x:c r="G2363" s="50" t="n">
        <x:v>4</x:v>
      </x:c>
      <x:c r="H2363" s="50" t="n">
        <x:v>19</x:v>
      </x:c>
      <x:c r="I2363" s="44" t="str">
        <x:v>04.19</x:v>
      </x:c>
      <x:c r="J2363" s="33" t="str">
        <x:v>Never Let You Go</x:v>
      </x:c>
      <x:c r="K2363" s="33" t="str"/>
      <x:c r="L2363" s="33" t="str"/>
      <x:c r="M2363" s="44" t="str"/>
      <x:c r="N2363" s="50" t="n">
        <x:v>42</x:v>
      </x:c>
      <x:c r="O2363" s="53" t="str">
        <x:v>The hospital goes into lockdown mode when a man with a gun holds medical staff hostage. Goodwin is forced to make a tough decision. Dr. Rhodes begins to realize his time with his father is getting short.</x:v>
      </x:c>
      <x:c r="P2363" s="53" t="str">
        <x:v>Core One Chicago franchise</x:v>
      </x:c>
      <x:c r="Q2363" s="17" t="str">
        <x:v>3402686</x:v>
      </x:c>
      <x:c r="R2363" s="17" t="str">
        <x:v>tt9853704</x:v>
      </x:c>
      <x:c r="S2363" s="17" t="str"/>
    </x:row>
    <x:row r="2364">
      <x:c r="A2364" s="43" t="n">
        <x:v>2360</x:v>
      </x:c>
      <x:c r="B2364" s="44" t="str">
        <x:v>Not Started</x:v>
      </x:c>
      <x:c r="C2364" s="45" t="n">
        <x:v>43580</x:v>
      </x:c>
      <x:c r="D2364" s="33" t="str">
        <x:v>Chicago P.D.</x:v>
      </x:c>
      <x:c r="E2364" s="33" t="str">
        <x:v>One Chicago</x:v>
      </x:c>
      <x:c r="F2364" s="33" t="str">
        <x:v>core</x:v>
      </x:c>
      <x:c r="G2364" s="50" t="n">
        <x:v>6</x:v>
      </x:c>
      <x:c r="H2364" s="50" t="n">
        <x:v>19</x:v>
      </x:c>
      <x:c r="I2364" s="44" t="str">
        <x:v>06.19</x:v>
      </x:c>
      <x:c r="J2364" s="33" t="str">
        <x:v>What Could Have Been</x:v>
      </x:c>
      <x:c r="K2364" s="33" t="str"/>
      <x:c r="L2364" s="33" t="str"/>
      <x:c r="M2364" s="44" t="str"/>
      <x:c r="N2364" s="50" t="n">
        <x:v>42</x:v>
      </x:c>
      <x:c r="O2364" s="53" t="str">
        <x:v>Intelligence's investigation into the murder of Burgess' boyfriend threatens to reveal a dark side she was unaware of. The real motivation for his murder uncovers a much more unsettling truth.</x:v>
      </x:c>
      <x:c r="P2364" s="53" t="str">
        <x:v>Core One Chicago franchise; crossovers with SVU/FBI</x:v>
      </x:c>
      <x:c r="Q2364" s="17" t="str">
        <x:v>3463979</x:v>
      </x:c>
      <x:c r="R2364" s="17" t="str">
        <x:v>tt10011408</x:v>
      </x:c>
      <x:c r="S2364" s="17" t="str"/>
    </x:row>
    <x:row r="2365">
      <x:c r="A2365" s="43" t="n">
        <x:v>2361</x:v>
      </x:c>
      <x:c r="B2365" s="44" t="str">
        <x:v>Not Started</x:v>
      </x:c>
      <x:c r="C2365" s="45" t="n">
        <x:v>43580</x:v>
      </x:c>
      <x:c r="D2365" s="33" t="str">
        <x:v>Chicago Fire</x:v>
      </x:c>
      <x:c r="E2365" s="33" t="str">
        <x:v>One Chicago</x:v>
      </x:c>
      <x:c r="F2365" s="33" t="str">
        <x:v>core</x:v>
      </x:c>
      <x:c r="G2365" s="50" t="n">
        <x:v>7</x:v>
      </x:c>
      <x:c r="H2365" s="50" t="n">
        <x:v>19</x:v>
      </x:c>
      <x:c r="I2365" s="44" t="str">
        <x:v>07.19</x:v>
      </x:c>
      <x:c r="J2365" s="33" t="str">
        <x:v>Until the Weather Breaks</x:v>
      </x:c>
      <x:c r="K2365" s="33" t="str"/>
      <x:c r="L2365" s="33" t="str"/>
      <x:c r="M2365" s="44" t="str"/>
      <x:c r="N2365" s="50" t="n">
        <x:v>41</x:v>
      </x:c>
      <x:c r="O2365" s="53" t="str">
        <x:v>A horrible storm wreaks havoc on Chicago and impacts Firehouse 51 when the power goes off. A little boy mysteriously shows up at the station and everyone works together to uncover who he belongs to. Foster and Kidd argue about Severide.</x:v>
      </x:c>
      <x:c r="P2365" s="53" t="str">
        <x:v>Core One Chicago franchise</x:v>
      </x:c>
      <x:c r="Q2365" s="17" t="str">
        <x:v>3403310</x:v>
      </x:c>
      <x:c r="R2365" s="17" t="str">
        <x:v>tt9853752</x:v>
      </x:c>
      <x:c r="S2365" s="17" t="str"/>
    </x:row>
    <x:row r="2366">
      <x:c r="A2366" s="43" t="n">
        <x:v>2362</x:v>
      </x:c>
      <x:c r="B2366" s="44" t="str">
        <x:v>Not Started</x:v>
      </x:c>
      <x:c r="C2366" s="45" t="n">
        <x:v>43580</x:v>
      </x:c>
      <x:c r="D2366" s="33" t="str">
        <x:v>Law &amp; Order: Special Victims Unit</x:v>
      </x:c>
      <x:c r="E2366" s="33" t="str">
        <x:v>Law &amp; Order</x:v>
      </x:c>
      <x:c r="F2366" s="33" t="str">
        <x:v>core</x:v>
      </x:c>
      <x:c r="G2366" s="50" t="n">
        <x:v>20</x:v>
      </x:c>
      <x:c r="H2366" s="50" t="n">
        <x:v>21</x:v>
      </x:c>
      <x:c r="I2366" s="44" t="str">
        <x:v>20.21</x:v>
      </x:c>
      <x:c r="J2366" s="33" t="str">
        <x:v>Exchange</x:v>
      </x:c>
      <x:c r="K2366" s="33" t="str"/>
      <x:c r="L2366" s="33" t="str"/>
      <x:c r="M2366" s="44" t="str"/>
      <x:c r="N2366" s="50" t="n">
        <x:v>43</x:v>
      </x:c>
      <x:c r="O2366" s="53" t="str">
        <x:v>Benson helps a teenaged exchange student after she's assaulted by a cab driver.</x:v>
      </x:c>
      <x:c r="P2366" s="53" t="str">
        <x:v>Core Law &amp; Order franchise</x:v>
      </x:c>
      <x:c r="Q2366" s="17" t="str">
        <x:v>3446080</x:v>
      </x:c>
      <x:c r="R2366" s="17" t="str">
        <x:v>tt9122674</x:v>
      </x:c>
      <x:c r="S2366" s="17" t="str">
        <x:v>1455</x:v>
      </x:c>
    </x:row>
    <x:row r="2367">
      <x:c r="A2367" s="43" t="n">
        <x:v>2363</x:v>
      </x:c>
      <x:c r="B2367" s="44" t="str">
        <x:v>Not Started</x:v>
      </x:c>
      <x:c r="C2367" s="45" t="n">
        <x:v>43586</x:v>
      </x:c>
      <x:c r="D2367" s="33" t="str">
        <x:v>FBI</x:v>
      </x:c>
      <x:c r="E2367" s="33" t="str">
        <x:v>FBI</x:v>
      </x:c>
      <x:c r="F2367" s="33" t="str">
        <x:v>core</x:v>
      </x:c>
      <x:c r="G2367" s="50" t="n">
        <x:v>1</x:v>
      </x:c>
      <x:c r="H2367" s="50" t="n">
        <x:v>20</x:v>
      </x:c>
      <x:c r="I2367" s="44" t="str">
        <x:v>01.20</x:v>
      </x:c>
      <x:c r="J2367" s="33" t="str">
        <x:v>What Lies Beneath</x:v>
      </x:c>
      <x:c r="K2367" s="33" t="str"/>
      <x:c r="L2367" s="33" t="str"/>
      <x:c r="M2367" s="44" t="str"/>
      <x:c r="N2367" s="50" t="n">
        <x:v>43</x:v>
      </x:c>
      <x:c r="O2367" s="53" t="str">
        <x:v>When a controversial senior leader from Egypt comes to New York for a heart transplant, OA struggles to balance his personal opinion with his professional duty when he is assigned to the security detail.</x:v>
      </x:c>
      <x:c r="P2367" s="53" t="str">
        <x:v>Core FBI franchise</x:v>
      </x:c>
      <x:c r="Q2367" s="17" t="str">
        <x:v>3461237</x:v>
      </x:c>
      <x:c r="R2367" s="17" t="str">
        <x:v>tt10004824</x:v>
      </x:c>
      <x:c r="S2367" s="17" t="str"/>
    </x:row>
    <x:row r="2368">
      <x:c r="A2368" s="43" t="n">
        <x:v>2364</x:v>
      </x:c>
      <x:c r="B2368" s="44" t="str">
        <x:v>Not Started</x:v>
      </x:c>
      <x:c r="C2368" s="45" t="n">
        <x:v>43587</x:v>
      </x:c>
      <x:c r="D2368" s="33" t="str">
        <x:v>Law &amp; Order: Special Victims Unit</x:v>
      </x:c>
      <x:c r="E2368" s="33" t="str">
        <x:v>Law &amp; Order</x:v>
      </x:c>
      <x:c r="F2368" s="33" t="str">
        <x:v>core</x:v>
      </x:c>
      <x:c r="G2368" s="50" t="n">
        <x:v>20</x:v>
      </x:c>
      <x:c r="H2368" s="50" t="n">
        <x:v>22</x:v>
      </x:c>
      <x:c r="I2368" s="44" t="str">
        <x:v>20.22</x:v>
      </x:c>
      <x:c r="J2368" s="33" t="str">
        <x:v>Diss</x:v>
      </x:c>
      <x:c r="K2368" s="33" t="str"/>
      <x:c r="L2368" s="33" t="str"/>
      <x:c r="M2368" s="44" t="str"/>
      <x:c r="N2368" s="50" t="n">
        <x:v>43</x:v>
      </x:c>
      <x:c r="O2368" s="53" t="str">
        <x:v>When a pop star is assaulted in her home, the SVU investigates the public feud between her rapper husband and a competing recording artist; Fin's family ties to a suspect take him off the case.</x:v>
      </x:c>
      <x:c r="P2368" s="53" t="str">
        <x:v>Core Law &amp; Order franchise</x:v>
      </x:c>
      <x:c r="Q2368" s="17" t="str">
        <x:v>3446105</x:v>
      </x:c>
      <x:c r="R2368" s="17" t="str">
        <x:v>tt9122678</x:v>
      </x:c>
      <x:c r="S2368" s="17" t="str">
        <x:v>1456</x:v>
      </x:c>
    </x:row>
    <x:row r="2369">
      <x:c r="A2369" s="43" t="n">
        <x:v>2365</x:v>
      </x:c>
      <x:c r="B2369" s="44" t="str">
        <x:v>Not Started</x:v>
      </x:c>
      <x:c r="C2369" s="45" t="n">
        <x:v>43593</x:v>
      </x:c>
      <x:c r="D2369" s="33" t="str">
        <x:v>FBI</x:v>
      </x:c>
      <x:c r="E2369" s="33" t="str">
        <x:v>FBI</x:v>
      </x:c>
      <x:c r="F2369" s="33" t="str">
        <x:v>core</x:v>
      </x:c>
      <x:c r="G2369" s="50" t="n">
        <x:v>1</x:v>
      </x:c>
      <x:c r="H2369" s="50" t="n">
        <x:v>21</x:v>
      </x:c>
      <x:c r="I2369" s="44" t="str">
        <x:v>01.21</x:v>
      </x:c>
      <x:c r="J2369" s="33" t="str">
        <x:v>Appearances</x:v>
      </x:c>
      <x:c r="K2369" s="33" t="str"/>
      <x:c r="L2369" s="33" t="str"/>
      <x:c r="M2369" s="44" t="str"/>
      <x:c r="N2369" s="50" t="n">
        <x:v>43</x:v>
      </x:c>
      <x:c r="O2369" s="53" t="str">
        <x:v>After a decorated FBI agent is murdered, the team investigates and uncovers the man led a double life. Also, Maggie struggles with what information she should reveal to the agent’s widow, who is also her personal friend.</x:v>
      </x:c>
      <x:c r="P2369" s="53" t="str">
        <x:v>Core FBI franchise</x:v>
      </x:c>
      <x:c r="Q2369" s="17" t="str">
        <x:v>3461238</x:v>
      </x:c>
      <x:c r="R2369" s="17" t="str">
        <x:v>tt10004830</x:v>
      </x:c>
      <x:c r="S2369" s="17" t="str"/>
    </x:row>
    <x:row r="2370">
      <x:c r="A2370" s="43" t="n">
        <x:v>2366</x:v>
      </x:c>
      <x:c r="B2370" s="44" t="str">
        <x:v>Not Started</x:v>
      </x:c>
      <x:c r="C2370" s="45" t="n">
        <x:v>43594</x:v>
      </x:c>
      <x:c r="D2370" s="33" t="str">
        <x:v>Chicago Med</x:v>
      </x:c>
      <x:c r="E2370" s="33" t="str">
        <x:v>One Chicago</x:v>
      </x:c>
      <x:c r="F2370" s="33" t="str">
        <x:v>core</x:v>
      </x:c>
      <x:c r="G2370" s="50" t="n">
        <x:v>4</x:v>
      </x:c>
      <x:c r="H2370" s="50" t="n">
        <x:v>20</x:v>
      </x:c>
      <x:c r="I2370" s="44" t="str">
        <x:v>04.20</x:v>
      </x:c>
      <x:c r="J2370" s="33" t="str">
        <x:v>More Harm Than Good</x:v>
      </x:c>
      <x:c r="K2370" s="33" t="str"/>
      <x:c r="L2370" s="33" t="str"/>
      <x:c r="M2370" s="44" t="str"/>
      <x:c r="N2370" s="50" t="n">
        <x:v>42</x:v>
      </x:c>
      <x:c r="O2370" s="53" t="str">
        <x:v>Dr. Charles and Dr. Manning disagree on how to handle a patient who they discover is poisoning herself. Dr. Rhodes throws some serious accusations at Dr. Bekker. Dr. Halstead has suspicions about Natalie’s new boyfriend and Dr. Choi tends to Bernie.</x:v>
      </x:c>
      <x:c r="P2370" s="53" t="str">
        <x:v>Core One Chicago franchise</x:v>
      </x:c>
      <x:c r="Q2370" s="17" t="str">
        <x:v>3402687</x:v>
      </x:c>
      <x:c r="R2370" s="17" t="str">
        <x:v>tt9853708</x:v>
      </x:c>
      <x:c r="S2370" s="17" t="str"/>
    </x:row>
    <x:row r="2371">
      <x:c r="A2371" s="43" t="n">
        <x:v>2367</x:v>
      </x:c>
      <x:c r="B2371" s="44" t="str">
        <x:v>Not Started</x:v>
      </x:c>
      <x:c r="C2371" s="45" t="n">
        <x:v>43594</x:v>
      </x:c>
      <x:c r="D2371" s="33" t="str">
        <x:v>Chicago P.D.</x:v>
      </x:c>
      <x:c r="E2371" s="33" t="str">
        <x:v>One Chicago</x:v>
      </x:c>
      <x:c r="F2371" s="33" t="str">
        <x:v>core</x:v>
      </x:c>
      <x:c r="G2371" s="50" t="n">
        <x:v>6</x:v>
      </x:c>
      <x:c r="H2371" s="50" t="n">
        <x:v>20</x:v>
      </x:c>
      <x:c r="I2371" s="44" t="str">
        <x:v>06.20</x:v>
      </x:c>
      <x:c r="J2371" s="33" t="str">
        <x:v>Sacrifice</x:v>
      </x:c>
      <x:c r="K2371" s="33" t="str"/>
      <x:c r="L2371" s="33" t="str"/>
      <x:c r="M2371" s="44" t="str"/>
      <x:c r="N2371" s="50" t="n">
        <x:v>42</x:v>
      </x:c>
      <x:c r="O2371" s="53" t="str">
        <x:v>A violent crew is hitting pharmaceutical delivery trucks and stealing drugs, but their motivation is more complicated than just money. The case tests Upton and Ruzek’s relationship.</x:v>
      </x:c>
      <x:c r="P2371" s="53" t="str">
        <x:v>Core One Chicago franchise; crossovers with SVU/FBI</x:v>
      </x:c>
      <x:c r="Q2371" s="17" t="str">
        <x:v>3463983</x:v>
      </x:c>
      <x:c r="R2371" s="17" t="str">
        <x:v>tt10011410</x:v>
      </x:c>
      <x:c r="S2371" s="17" t="str"/>
    </x:row>
    <x:row r="2372">
      <x:c r="A2372" s="43" t="n">
        <x:v>2368</x:v>
      </x:c>
      <x:c r="B2372" s="44" t="str">
        <x:v>Not Started</x:v>
      </x:c>
      <x:c r="C2372" s="45" t="n">
        <x:v>43594</x:v>
      </x:c>
      <x:c r="D2372" s="33" t="str">
        <x:v>Chicago Fire</x:v>
      </x:c>
      <x:c r="E2372" s="33" t="str">
        <x:v>One Chicago</x:v>
      </x:c>
      <x:c r="F2372" s="33" t="str">
        <x:v>core</x:v>
      </x:c>
      <x:c r="G2372" s="50" t="n">
        <x:v>7</x:v>
      </x:c>
      <x:c r="H2372" s="50" t="n">
        <x:v>20</x:v>
      </x:c>
      <x:c r="I2372" s="44" t="str">
        <x:v>07.20</x:v>
      </x:c>
      <x:c r="J2372" s="33" t="str">
        <x:v>Try Like Hell</x:v>
      </x:c>
      <x:c r="K2372" s="33" t="str"/>
      <x:c r="L2372" s="33" t="str"/>
      <x:c r="M2372" s="44" t="str"/>
      <x:c r="N2372" s="50" t="n">
        <x:v>42</x:v>
      </x:c>
      <x:c r="O2372" s="53" t="str">
        <x:v>Severide and Boden search to uncover whether arson was the cause of a fire at a hair salon. Mouch, Herrmann, Otis and Kidd make a startling discovery in tracking down the missing piercing nozzle from Engine 27.</x:v>
      </x:c>
      <x:c r="P2372" s="53" t="str">
        <x:v>Core One Chicago franchise</x:v>
      </x:c>
      <x:c r="Q2372" s="17" t="str">
        <x:v>3441680</x:v>
      </x:c>
      <x:c r="R2372" s="17" t="str">
        <x:v>tt10011384</x:v>
      </x:c>
      <x:c r="S2372" s="17" t="str"/>
    </x:row>
    <x:row r="2373">
      <x:c r="A2373" s="43" t="n">
        <x:v>2369</x:v>
      </x:c>
      <x:c r="B2373" s="44" t="str">
        <x:v>Not Started</x:v>
      </x:c>
      <x:c r="C2373" s="45" t="n">
        <x:v>43594</x:v>
      </x:c>
      <x:c r="D2373" s="33" t="str">
        <x:v>Law &amp; Order: Special Victims Unit</x:v>
      </x:c>
      <x:c r="E2373" s="33" t="str">
        <x:v>Law &amp; Order</x:v>
      </x:c>
      <x:c r="F2373" s="33" t="str">
        <x:v>core</x:v>
      </x:c>
      <x:c r="G2373" s="50" t="n">
        <x:v>20</x:v>
      </x:c>
      <x:c r="H2373" s="50" t="n">
        <x:v>23</x:v>
      </x:c>
      <x:c r="I2373" s="44" t="str">
        <x:v>20.23</x:v>
      </x:c>
      <x:c r="J2373" s="33" t="str">
        <x:v>Assumptions</x:v>
      </x:c>
      <x:c r="K2373" s="33" t="str"/>
      <x:c r="L2373" s="33" t="str"/>
      <x:c r="M2373" s="44" t="str"/>
      <x:c r="N2373" s="50" t="n">
        <x:v>43</x:v>
      </x:c>
      <x:c r="O2373" s="53" t="str">
        <x:v>The SVU searches for two suspects spotted fleeing the scene after a Muslim woman is assaulted inside a synagogue. Meanwhile, Benson is dismayed to find Rob Miller out on bail.</x:v>
      </x:c>
      <x:c r="P2373" s="53" t="str">
        <x:v>Core Law &amp; Order franchise</x:v>
      </x:c>
      <x:c r="Q2373" s="17" t="str">
        <x:v>3456220</x:v>
      </x:c>
      <x:c r="R2373" s="17" t="str">
        <x:v>tt9501784</x:v>
      </x:c>
      <x:c r="S2373" s="17" t="str">
        <x:v>1457</x:v>
      </x:c>
    </x:row>
    <x:row r="2374">
      <x:c r="A2374" s="43" t="n">
        <x:v>2370</x:v>
      </x:c>
      <x:c r="B2374" s="44" t="str">
        <x:v>Not Started</x:v>
      </x:c>
      <x:c r="C2374" s="45" t="n">
        <x:v>43600</x:v>
      </x:c>
      <x:c r="D2374" s="33" t="str">
        <x:v>FBI</x:v>
      </x:c>
      <x:c r="E2374" s="33" t="str">
        <x:v>FBI</x:v>
      </x:c>
      <x:c r="F2374" s="33" t="str">
        <x:v>core</x:v>
      </x:c>
      <x:c r="G2374" s="50" t="n">
        <x:v>1</x:v>
      </x:c>
      <x:c r="H2374" s="50" t="n">
        <x:v>22</x:v>
      </x:c>
      <x:c r="I2374" s="44" t="str">
        <x:v>01.22</x:v>
      </x:c>
      <x:c r="J2374" s="33" t="str">
        <x:v>Closure</x:v>
      </x:c>
      <x:c r="K2374" s="33" t="str"/>
      <x:c r="L2374" s="33" t="str"/>
      <x:c r="M2374" s="44" t="str"/>
      <x:c r="N2374" s="50" t="n">
        <x:v>43</x:v>
      </x:c>
      <x:c r="O2374" s="53" t="str">
        <x:v>A woman with information about the death of Maggie’s husband is abducted, leading OA and the team to uncover a criminal operation larger than anyone imagined. Also, Dana puts her career in jeopardy when she stands by and allows Maggie to work on this case that has such a personal connection to her.</x:v>
      </x:c>
      <x:c r="P2374" s="53" t="str">
        <x:v>Core FBI franchise</x:v>
      </x:c>
      <x:c r="Q2374" s="17" t="str">
        <x:v>3461241</x:v>
      </x:c>
      <x:c r="R2374" s="17" t="str">
        <x:v>tt10004832</x:v>
      </x:c>
      <x:c r="S2374" s="17" t="str"/>
    </x:row>
    <x:row r="2375">
      <x:c r="A2375" s="43" t="n">
        <x:v>2371</x:v>
      </x:c>
      <x:c r="B2375" s="44" t="str">
        <x:v>Not Started</x:v>
      </x:c>
      <x:c r="C2375" s="45" t="n">
        <x:v>43601</x:v>
      </x:c>
      <x:c r="D2375" s="33" t="str">
        <x:v>Chicago Med</x:v>
      </x:c>
      <x:c r="E2375" s="33" t="str">
        <x:v>One Chicago</x:v>
      </x:c>
      <x:c r="F2375" s="33" t="str">
        <x:v>core</x:v>
      </x:c>
      <x:c r="G2375" s="50" t="n">
        <x:v>4</x:v>
      </x:c>
      <x:c r="H2375" s="50" t="n">
        <x:v>21</x:v>
      </x:c>
      <x:c r="I2375" s="44" t="str">
        <x:v>04.21</x:v>
      </x:c>
      <x:c r="J2375" s="33" t="str">
        <x:v>Forever Hold Your Peace</x:v>
      </x:c>
      <x:c r="K2375" s="33" t="str"/>
      <x:c r="L2375" s="33" t="str"/>
      <x:c r="M2375" s="44" t="str"/>
      <x:c r="N2375" s="50" t="n">
        <x:v>42</x:v>
      </x:c>
      <x:c r="O2375" s="53" t="str">
        <x:v>Caroline has news to share, forcing Dr. Charles to make a serious decision about their relationship. Maggie meets her sister's new boyfriend, but discovers danger may lie ahead. Dr. Rhodes experiences a devastating loss while Dr. Choi and April are faced with an unexpected challenge that strengthens their relationship.</x:v>
      </x:c>
      <x:c r="P2375" s="53" t="str">
        <x:v>Core One Chicago franchise</x:v>
      </x:c>
      <x:c r="Q2375" s="17" t="str">
        <x:v>3495541</x:v>
      </x:c>
      <x:c r="R2375" s="17" t="str">
        <x:v>tt10011442</x:v>
      </x:c>
      <x:c r="S2375" s="17" t="str"/>
    </x:row>
    <x:row r="2376">
      <x:c r="A2376" s="43" t="n">
        <x:v>2372</x:v>
      </x:c>
      <x:c r="B2376" s="44" t="str">
        <x:v>Not Started</x:v>
      </x:c>
      <x:c r="C2376" s="45" t="n">
        <x:v>43601</x:v>
      </x:c>
      <x:c r="D2376" s="33" t="str">
        <x:v>Chicago P.D.</x:v>
      </x:c>
      <x:c r="E2376" s="33" t="str">
        <x:v>One Chicago</x:v>
      </x:c>
      <x:c r="F2376" s="33" t="str">
        <x:v>core</x:v>
      </x:c>
      <x:c r="G2376" s="50" t="n">
        <x:v>6</x:v>
      </x:c>
      <x:c r="H2376" s="50" t="n">
        <x:v>21</x:v>
      </x:c>
      <x:c r="I2376" s="44" t="str">
        <x:v>06.21</x:v>
      </x:c>
      <x:c r="J2376" s="33" t="str">
        <x:v>Confession</x:v>
      </x:c>
      <x:c r="K2376" s="33" t="str"/>
      <x:c r="L2376" s="33" t="str"/>
      <x:c r="M2376" s="44" t="str"/>
      <x:c r="N2376" s="50" t="n">
        <x:v>42</x:v>
      </x:c>
      <x:c r="O2376" s="53" t="str">
        <x:v>Antonio struggles with his guilty conscience as he tries to take down a major drug dealer. In order to protect his team, Voight takes a big shot at Kelton.</x:v>
      </x:c>
      <x:c r="P2376" s="53" t="str">
        <x:v>Core One Chicago franchise; crossovers with SVU/FBI</x:v>
      </x:c>
      <x:c r="Q2376" s="17" t="str">
        <x:v>3463984</x:v>
      </x:c>
      <x:c r="R2376" s="17" t="str">
        <x:v>tt10011416</x:v>
      </x:c>
      <x:c r="S2376" s="17" t="str"/>
    </x:row>
    <x:row r="2377">
      <x:c r="A2377" s="43" t="n">
        <x:v>2373</x:v>
      </x:c>
      <x:c r="B2377" s="44" t="str">
        <x:v>Not Started</x:v>
      </x:c>
      <x:c r="C2377" s="45" t="n">
        <x:v>43601</x:v>
      </x:c>
      <x:c r="D2377" s="33" t="str">
        <x:v>Chicago Fire</x:v>
      </x:c>
      <x:c r="E2377" s="33" t="str">
        <x:v>One Chicago</x:v>
      </x:c>
      <x:c r="F2377" s="33" t="str">
        <x:v>core</x:v>
      </x:c>
      <x:c r="G2377" s="50" t="n">
        <x:v>7</x:v>
      </x:c>
      <x:c r="H2377" s="50" t="n">
        <x:v>21</x:v>
      </x:c>
      <x:c r="I2377" s="44" t="str">
        <x:v>07.21</x:v>
      </x:c>
      <x:c r="J2377" s="33" t="str">
        <x:v>The White Whale</x:v>
      </x:c>
      <x:c r="K2377" s="33" t="str"/>
      <x:c r="L2377" s="33" t="str"/>
      <x:c r="M2377" s="44" t="str"/>
      <x:c r="N2377" s="50" t="n">
        <x:v>42</x:v>
      </x:c>
      <x:c r="O2377" s="53" t="str">
        <x:v>A serial arsonist cold case is reopened when Lt. Severide finds a connection to a recent salon fire. Firehouse 51 celebrates a retirement party.</x:v>
      </x:c>
      <x:c r="P2377" s="53" t="str">
        <x:v>Core One Chicago franchise</x:v>
      </x:c>
      <x:c r="Q2377" s="17" t="str">
        <x:v>3495556</x:v>
      </x:c>
      <x:c r="R2377" s="17" t="str">
        <x:v>tt10011390</x:v>
      </x:c>
      <x:c r="S2377" s="17" t="str"/>
    </x:row>
    <x:row r="2378">
      <x:c r="A2378" s="43" t="n">
        <x:v>2374</x:v>
      </x:c>
      <x:c r="B2378" s="44" t="str">
        <x:v>Not Started</x:v>
      </x:c>
      <x:c r="C2378" s="45" t="n">
        <x:v>43601</x:v>
      </x:c>
      <x:c r="D2378" s="33" t="str">
        <x:v>Law &amp; Order: Special Victims Unit</x:v>
      </x:c>
      <x:c r="E2378" s="33" t="str">
        <x:v>Law &amp; Order</x:v>
      </x:c>
      <x:c r="F2378" s="33" t="str">
        <x:v>core</x:v>
      </x:c>
      <x:c r="G2378" s="50" t="n">
        <x:v>20</x:v>
      </x:c>
      <x:c r="H2378" s="50" t="n">
        <x:v>24</x:v>
      </x:c>
      <x:c r="I2378" s="44" t="str">
        <x:v>20.24</x:v>
      </x:c>
      <x:c r="J2378" s="33" t="str">
        <x:v>End Game</x:v>
      </x:c>
      <x:c r="K2378" s="33" t="str"/>
      <x:c r="L2378" s="33" t="str"/>
      <x:c r="M2378" s="44" t="str"/>
      <x:c r="N2378" s="50" t="n">
        <x:v>43</x:v>
      </x:c>
      <x:c r="O2378" s="53" t="str">
        <x:v>When a teenager is found dead in the Hudson River, Lt. Benson suspects Rob Miller is behind the mysterious death but can't prove it. Despite having only circumstantial evidence, ADA Stone takes the case to court before Miller can destroy more lives.</x:v>
      </x:c>
      <x:c r="P2378" s="53" t="str">
        <x:v>Core Law &amp; Order franchise</x:v>
      </x:c>
      <x:c r="Q2378" s="17" t="str">
        <x:v>3465599</x:v>
      </x:c>
      <x:c r="R2378" s="17" t="str">
        <x:v>tt9628210</x:v>
      </x:c>
      <x:c r="S2378" s="17" t="str">
        <x:v>1458</x:v>
      </x:c>
    </x:row>
    <x:row r="2379">
      <x:c r="A2379" s="43" t="n">
        <x:v>2375</x:v>
      </x:c>
      <x:c r="B2379" s="44" t="str">
        <x:v>Not Started</x:v>
      </x:c>
      <x:c r="C2379" s="45" t="n">
        <x:v>43608</x:v>
      </x:c>
      <x:c r="D2379" s="33" t="str">
        <x:v>Chicago Med</x:v>
      </x:c>
      <x:c r="E2379" s="33" t="str">
        <x:v>One Chicago</x:v>
      </x:c>
      <x:c r="F2379" s="33" t="str">
        <x:v>core</x:v>
      </x:c>
      <x:c r="G2379" s="50" t="n">
        <x:v>4</x:v>
      </x:c>
      <x:c r="H2379" s="50" t="n">
        <x:v>22</x:v>
      </x:c>
      <x:c r="I2379" s="44" t="str">
        <x:v>04.22</x:v>
      </x:c>
      <x:c r="J2379" s="33" t="str">
        <x:v>With a Brave Heart</x:v>
      </x:c>
      <x:c r="K2379" s="33" t="str"/>
      <x:c r="L2379" s="33" t="str"/>
      <x:c r="M2379" s="44" t="str"/>
      <x:c r="N2379" s="50" t="n">
        <x:v>42</x:v>
      </x:c>
      <x:c r="O2379" s="53" t="str">
        <x:v>Dr. Charles and Caroline set some major plans. Ava fights to keep her relationship with Connor. Agent Lee informs Will of news that may put his life in danger.</x:v>
      </x:c>
      <x:c r="P2379" s="53" t="str">
        <x:v>Core One Chicago franchise</x:v>
      </x:c>
      <x:c r="Q2379" s="17" t="str">
        <x:v>3495542</x:v>
      </x:c>
      <x:c r="R2379" s="17" t="str">
        <x:v>tt10011446</x:v>
      </x:c>
      <x:c r="S2379" s="17" t="str"/>
    </x:row>
    <x:row r="2380">
      <x:c r="A2380" s="43" t="n">
        <x:v>2376</x:v>
      </x:c>
      <x:c r="B2380" s="44" t="str">
        <x:v>Not Started</x:v>
      </x:c>
      <x:c r="C2380" s="45" t="n">
        <x:v>43608</x:v>
      </x:c>
      <x:c r="D2380" s="33" t="str">
        <x:v>Chicago P.D.</x:v>
      </x:c>
      <x:c r="E2380" s="33" t="str">
        <x:v>One Chicago</x:v>
      </x:c>
      <x:c r="F2380" s="33" t="str">
        <x:v>core</x:v>
      </x:c>
      <x:c r="G2380" s="50" t="n">
        <x:v>6</x:v>
      </x:c>
      <x:c r="H2380" s="50" t="n">
        <x:v>22</x:v>
      </x:c>
      <x:c r="I2380" s="44" t="str">
        <x:v>06.22</x:v>
      </x:c>
      <x:c r="J2380" s="33" t="str">
        <x:v>Reckoning</x:v>
      </x:c>
      <x:c r="K2380" s="33" t="str"/>
      <x:c r="L2380" s="33" t="str"/>
      <x:c r="M2380" s="44" t="str"/>
      <x:c r="N2380" s="50" t="n">
        <x:v>42</x:v>
      </x:c>
      <x:c r="O2380" s="53" t="str">
        <x:v>With Kelton’s election all but assured, Voight and his team must go off book in a last-ditch effort to save Intelligence from getting axed.</x:v>
      </x:c>
      <x:c r="P2380" s="53" t="str">
        <x:v>Core One Chicago franchise; crossovers with SVU/FBI</x:v>
      </x:c>
      <x:c r="Q2380" s="17" t="str">
        <x:v>3463985</x:v>
      </x:c>
      <x:c r="R2380" s="17" t="str">
        <x:v>tt10011422</x:v>
      </x:c>
      <x:c r="S2380" s="17" t="str"/>
    </x:row>
    <x:row r="2381">
      <x:c r="A2381" s="43" t="n">
        <x:v>2377</x:v>
      </x:c>
      <x:c r="B2381" s="44" t="str">
        <x:v>Not Started</x:v>
      </x:c>
      <x:c r="C2381" s="45" t="n">
        <x:v>43608</x:v>
      </x:c>
      <x:c r="D2381" s="33" t="str">
        <x:v>Chicago Fire</x:v>
      </x:c>
      <x:c r="E2381" s="33" t="str">
        <x:v>One Chicago</x:v>
      </x:c>
      <x:c r="F2381" s="33" t="str">
        <x:v>core</x:v>
      </x:c>
      <x:c r="G2381" s="50" t="n">
        <x:v>7</x:v>
      </x:c>
      <x:c r="H2381" s="50" t="n">
        <x:v>22</x:v>
      </x:c>
      <x:c r="I2381" s="44" t="str">
        <x:v>07.22</x:v>
      </x:c>
      <x:c r="J2381" s="33" t="str">
        <x:v>I'm Not Leaving You</x:v>
      </x:c>
      <x:c r="K2381" s="33" t="str"/>
      <x:c r="L2381" s="33" t="str"/>
      <x:c r="M2381" s="44" t="str"/>
      <x:c r="N2381" s="50" t="n">
        <x:v>42</x:v>
      </x:c>
      <x:c r="O2381" s="53" t="str">
        <x:v>Severide and Kidd continue to investigate Benny’s old arson case, unexpected news leads Brett to ponder a big decision and all hell breaks loose.</x:v>
      </x:c>
      <x:c r="P2381" s="53" t="str">
        <x:v>Core One Chicago franchise</x:v>
      </x:c>
      <x:c r="Q2381" s="17" t="str">
        <x:v>3495557</x:v>
      </x:c>
      <x:c r="R2381" s="17" t="str">
        <x:v>tt10011396</x:v>
      </x:c>
      <x:c r="S2381" s="17" t="str"/>
    </x:row>
    <x:row r="2382">
      <x:c r="A2382" s="43" t="n">
        <x:v>2378</x:v>
      </x:c>
      <x:c r="B2382" s="44" t="str">
        <x:v>Not Started</x:v>
      </x:c>
      <x:c r="C2382" s="45" t="n">
        <x:v>43733</x:v>
      </x:c>
      <x:c r="D2382" s="33" t="str">
        <x:v>FBI</x:v>
      </x:c>
      <x:c r="E2382" s="33" t="str">
        <x:v>FBI</x:v>
      </x:c>
      <x:c r="F2382" s="33" t="str">
        <x:v>core</x:v>
      </x:c>
      <x:c r="G2382" s="50" t="n">
        <x:v>2</x:v>
      </x:c>
      <x:c r="H2382" s="50" t="n">
        <x:v>1</x:v>
      </x:c>
      <x:c r="I2382" s="44" t="str">
        <x:v>02.01</x:v>
      </x:c>
      <x:c r="J2382" s="33" t="str">
        <x:v>Little Egypt</x:v>
      </x:c>
      <x:c r="K2382" s="33" t="str"/>
      <x:c r="L2382" s="33" t="str"/>
      <x:c r="M2382" s="44" t="str"/>
      <x:c r="N2382" s="50" t="n">
        <x:v>43</x:v>
      </x:c>
      <x:c r="O2382" s="53" t="str">
        <x:v>After a bomb detonates at a restaurant in Queens, the case becomes personal for OA, who grew up eating there. But what initially seems like a terrorist attack reveals itself to be more complex, and OA goes undercover to prevent another incident.</x:v>
      </x:c>
      <x:c r="P2382" s="53" t="str">
        <x:v>Core FBI franchise</x:v>
      </x:c>
      <x:c r="Q2382" s="17" t="str">
        <x:v>3520792</x:v>
      </x:c>
      <x:c r="R2382" s="17" t="str">
        <x:v>tt9680766</x:v>
      </x:c>
      <x:c r="S2382" s="17" t="str"/>
    </x:row>
    <x:row r="2383">
      <x:c r="A2383" s="43" t="n">
        <x:v>2379</x:v>
      </x:c>
      <x:c r="B2383" s="44" t="str">
        <x:v>Not Started</x:v>
      </x:c>
      <x:c r="C2383" s="45" t="n">
        <x:v>43734</x:v>
      </x:c>
      <x:c r="D2383" s="33" t="str">
        <x:v>Chicago Med</x:v>
      </x:c>
      <x:c r="E2383" s="33" t="str">
        <x:v>One Chicago</x:v>
      </x:c>
      <x:c r="F2383" s="33" t="str">
        <x:v>core</x:v>
      </x:c>
      <x:c r="G2383" s="50" t="n">
        <x:v>5</x:v>
      </x:c>
      <x:c r="H2383" s="50" t="n">
        <x:v>1</x:v>
      </x:c>
      <x:c r="I2383" s="44" t="str">
        <x:v>05.01</x:v>
      </x:c>
      <x:c r="J2383" s="33" t="str">
        <x:v>Never Going Back to Normal</x:v>
      </x:c>
      <x:c r="K2383" s="33" t="str"/>
      <x:c r="L2383" s="33" t="str"/>
      <x:c r="M2383" s="44" t="str"/>
      <x:c r="N2383" s="50" t="n">
        <x:v>42</x:v>
      </x:c>
      <x:c r="O2383" s="53" t="str">
        <x:v>Will and Natalie battle for their lives after a car accident. An investigation is launched following the suspicious death of Cornelius Rhodes. Maggie receives life-changing news. Dr. Charles cuts his honeymoon short to tend to a patient.</x:v>
      </x:c>
      <x:c r="P2383" s="53" t="str">
        <x:v>Core One Chicago franchise</x:v>
      </x:c>
      <x:c r="Q2383" s="17" t="str">
        <x:v>3522231</x:v>
      </x:c>
      <x:c r="R2383" s="17" t="str">
        <x:v>tt10360960</x:v>
      </x:c>
      <x:c r="S2383" s="17" t="str"/>
    </x:row>
    <x:row r="2384">
      <x:c r="A2384" s="43" t="n">
        <x:v>2380</x:v>
      </x:c>
      <x:c r="B2384" s="44" t="str">
        <x:v>Not Started</x:v>
      </x:c>
      <x:c r="C2384" s="45" t="n">
        <x:v>43734</x:v>
      </x:c>
      <x:c r="D2384" s="33" t="str">
        <x:v>Chicago P.D.</x:v>
      </x:c>
      <x:c r="E2384" s="33" t="str">
        <x:v>One Chicago</x:v>
      </x:c>
      <x:c r="F2384" s="33" t="str">
        <x:v>core</x:v>
      </x:c>
      <x:c r="G2384" s="50" t="n">
        <x:v>7</x:v>
      </x:c>
      <x:c r="H2384" s="50" t="n">
        <x:v>1</x:v>
      </x:c>
      <x:c r="I2384" s="44" t="str">
        <x:v>07.01</x:v>
      </x:c>
      <x:c r="J2384" s="33" t="str">
        <x:v>Doubt</x:v>
      </x:c>
      <x:c r="K2384" s="33" t="str"/>
      <x:c r="L2384" s="33" t="str"/>
      <x:c r="M2384" s="44" t="str"/>
      <x:c r="N2384" s="50" t="n">
        <x:v>42</x:v>
      </x:c>
      <x:c r="O2384" s="53" t="str">
        <x:v>When Kelton is found murdered, Voight's grudge against the mayor-elect puts him under suspicion. Upton and Halstead are eager to prove their sergeant's innocence, but the more evidence they gather, the closer they come to doing the opposite.</x:v>
      </x:c>
      <x:c r="P2384" s="53" t="str">
        <x:v>Core One Chicago franchise; crossovers with SVU/FBI</x:v>
      </x:c>
      <x:c r="Q2384" s="17" t="str">
        <x:v>3582616</x:v>
      </x:c>
      <x:c r="R2384" s="17" t="str">
        <x:v>tt10360958</x:v>
      </x:c>
      <x:c r="S2384" s="17" t="str"/>
    </x:row>
    <x:row r="2385">
      <x:c r="A2385" s="43" t="n">
        <x:v>2381</x:v>
      </x:c>
      <x:c r="B2385" s="44" t="str">
        <x:v>Not Started</x:v>
      </x:c>
      <x:c r="C2385" s="45" t="n">
        <x:v>43734</x:v>
      </x:c>
      <x:c r="D2385" s="33" t="str">
        <x:v>Chicago Fire</x:v>
      </x:c>
      <x:c r="E2385" s="33" t="str">
        <x:v>One Chicago</x:v>
      </x:c>
      <x:c r="F2385" s="33" t="str">
        <x:v>core</x:v>
      </x:c>
      <x:c r="G2385" s="50" t="n">
        <x:v>8</x:v>
      </x:c>
      <x:c r="H2385" s="50" t="n">
        <x:v>1</x:v>
      </x:c>
      <x:c r="I2385" s="44" t="str">
        <x:v>08.01</x:v>
      </x:c>
      <x:c r="J2385" s="33" t="str">
        <x:v>Sacred Ground</x:v>
      </x:c>
      <x:c r="K2385" s="33" t="str"/>
      <x:c r="L2385" s="33" t="str"/>
      <x:c r="M2385" s="44" t="str"/>
      <x:c r="N2385" s="50" t="n">
        <x:v>42</x:v>
      </x:c>
      <x:c r="O2385" s="53" t="str">
        <x:v>The mattress factory fire spirals out of control. Truck and squad lay it on the line in hopes of getting the trapped victims out alive.</x:v>
      </x:c>
      <x:c r="P2385" s="53" t="str">
        <x:v>Core One Chicago franchise</x:v>
      </x:c>
      <x:c r="Q2385" s="17" t="str">
        <x:v>3521999</x:v>
      </x:c>
      <x:c r="R2385" s="17" t="str">
        <x:v>tt10360954</x:v>
      </x:c>
      <x:c r="S2385" s="17" t="str"/>
    </x:row>
    <x:row r="2386">
      <x:c r="A2386" s="43" t="n">
        <x:v>2382</x:v>
      </x:c>
      <x:c r="B2386" s="44" t="str">
        <x:v>Not Started</x:v>
      </x:c>
      <x:c r="C2386" s="45" t="n">
        <x:v>43734</x:v>
      </x:c>
      <x:c r="D2386" s="33" t="str">
        <x:v>Law &amp; Order: Special Victims Unit</x:v>
      </x:c>
      <x:c r="E2386" s="33" t="str">
        <x:v>Law &amp; Order</x:v>
      </x:c>
      <x:c r="F2386" s="33" t="str">
        <x:v>core</x:v>
      </x:c>
      <x:c r="G2386" s="50" t="n">
        <x:v>21</x:v>
      </x:c>
      <x:c r="H2386" s="50" t="n">
        <x:v>1</x:v>
      </x:c>
      <x:c r="I2386" s="44" t="str">
        <x:v>21.01</x:v>
      </x:c>
      <x:c r="J2386" s="33" t="str">
        <x:v>I'm Going to Make You a Star</x:v>
      </x:c>
      <x:c r="K2386" s="33" t="str"/>
      <x:c r="L2386" s="33" t="str"/>
      <x:c r="M2386" s="44" t="str"/>
      <x:c r="N2386" s="50" t="n">
        <x:v>43</x:v>
      </x:c>
      <x:c r="O2386" s="53" t="str">
        <x:v>When an actress accuses a high-powered media mogul of attempted rape, Benson finds herself in a high-stakes game of cat and mouse. Changes in the squad room put Carisi between a rock and a hard place.</x:v>
      </x:c>
      <x:c r="P2386" s="53" t="str">
        <x:v>Core Law &amp; Order franchise</x:v>
      </x:c>
      <x:c r="Q2386" s="17" t="str">
        <x:v>3593645</x:v>
      </x:c>
      <x:c r="R2386" s="17" t="str">
        <x:v>tt10100938</x:v>
      </x:c>
      <x:c r="S2386" s="17" t="str">
        <x:v>1459</x:v>
      </x:c>
    </x:row>
    <x:row r="2387">
      <x:c r="A2387" s="43" t="n">
        <x:v>2383</x:v>
      </x:c>
      <x:c r="B2387" s="44" t="str">
        <x:v>Not Started</x:v>
      </x:c>
      <x:c r="C2387" s="45" t="n">
        <x:v>43740</x:v>
      </x:c>
      <x:c r="D2387" s="33" t="str">
        <x:v>FBI</x:v>
      </x:c>
      <x:c r="E2387" s="33" t="str">
        <x:v>FBI</x:v>
      </x:c>
      <x:c r="F2387" s="33" t="str">
        <x:v>core</x:v>
      </x:c>
      <x:c r="G2387" s="50" t="n">
        <x:v>2</x:v>
      </x:c>
      <x:c r="H2387" s="50" t="n">
        <x:v>2</x:v>
      </x:c>
      <x:c r="I2387" s="44" t="str">
        <x:v>02.02</x:v>
      </x:c>
      <x:c r="J2387" s="33" t="str">
        <x:v>The Lives of Others</x:v>
      </x:c>
      <x:c r="K2387" s="33" t="str"/>
      <x:c r="L2387" s="33" t="str"/>
      <x:c r="M2387" s="44" t="str"/>
      <x:c r="N2387" s="50" t="n">
        <x:v>43</x:v>
      </x:c>
      <x:c r="O2387" s="53" t="str">
        <x:v>After the son of a prominent Mommy blogger is kidnapped, the team must sweep through her two million followers to find the culprit. Kristen continues to adjust to life as a field agent with her new partner.</x:v>
      </x:c>
      <x:c r="P2387" s="53" t="str">
        <x:v>Core FBI franchise</x:v>
      </x:c>
      <x:c r="Q2387" s="17" t="str">
        <x:v>3652135</x:v>
      </x:c>
      <x:c r="R2387" s="17" t="str">
        <x:v>tt10986338</x:v>
      </x:c>
      <x:c r="S2387" s="17" t="str"/>
    </x:row>
    <x:row r="2388">
      <x:c r="A2388" s="43" t="n">
        <x:v>2384</x:v>
      </x:c>
      <x:c r="B2388" s="44" t="str">
        <x:v>Not Started</x:v>
      </x:c>
      <x:c r="C2388" s="45" t="n">
        <x:v>43741</x:v>
      </x:c>
      <x:c r="D2388" s="33" t="str">
        <x:v>Chicago Med</x:v>
      </x:c>
      <x:c r="E2388" s="33" t="str">
        <x:v>One Chicago</x:v>
      </x:c>
      <x:c r="F2388" s="33" t="str">
        <x:v>core</x:v>
      </x:c>
      <x:c r="G2388" s="50" t="n">
        <x:v>5</x:v>
      </x:c>
      <x:c r="H2388" s="50" t="n">
        <x:v>2</x:v>
      </x:c>
      <x:c r="I2388" s="44" t="str">
        <x:v>05.02</x:v>
      </x:c>
      <x:c r="J2388" s="33" t="str">
        <x:v>We're Lost in the Dark</x:v>
      </x:c>
      <x:c r="K2388" s="33" t="str"/>
      <x:c r="L2388" s="33" t="str"/>
      <x:c r="M2388" s="44" t="str"/>
      <x:c r="N2388" s="50" t="n">
        <x:v>42</x:v>
      </x:c>
      <x:c r="O2388" s="53" t="str">
        <x:v>A power outage at Med puts multiple patients at risk and tests the skills of the staff and their enthusiastic med students; Natalie returns following her traumatic brain injury; Ethan and April wonder if a family is in their future.</x:v>
      </x:c>
      <x:c r="P2388" s="53" t="str">
        <x:v>Core One Chicago franchise</x:v>
      </x:c>
      <x:c r="Q2388" s="17" t="str">
        <x:v>3634533</x:v>
      </x:c>
      <x:c r="R2388" s="17" t="str">
        <x:v>tt10744454</x:v>
      </x:c>
      <x:c r="S2388" s="17" t="str"/>
    </x:row>
    <x:row r="2389">
      <x:c r="A2389" s="43" t="n">
        <x:v>2385</x:v>
      </x:c>
      <x:c r="B2389" s="44" t="str">
        <x:v>Not Started</x:v>
      </x:c>
      <x:c r="C2389" s="45" t="n">
        <x:v>43741</x:v>
      </x:c>
      <x:c r="D2389" s="33" t="str">
        <x:v>Chicago P.D.</x:v>
      </x:c>
      <x:c r="E2389" s="33" t="str">
        <x:v>One Chicago</x:v>
      </x:c>
      <x:c r="F2389" s="33" t="str">
        <x:v>core</x:v>
      </x:c>
      <x:c r="G2389" s="50" t="n">
        <x:v>7</x:v>
      </x:c>
      <x:c r="H2389" s="50" t="n">
        <x:v>2</x:v>
      </x:c>
      <x:c r="I2389" s="44" t="str">
        <x:v>07.02</x:v>
      </x:c>
      <x:c r="J2389" s="33" t="str">
        <x:v>Assets</x:v>
      </x:c>
      <x:c r="K2389" s="33" t="str"/>
      <x:c r="L2389" s="33" t="str"/>
      <x:c r="M2389" s="44" t="str"/>
      <x:c r="N2389" s="50" t="n">
        <x:v>42</x:v>
      </x:c>
      <x:c r="O2389" s="53" t="str">
        <x:v>When Atwater goes undercover in a dangerous South Side drug syndicate, he learns there may be more to its kingpin than meets the eye. Halstead tries to join Atwater undercover, but finds himself at a disadvantage. Voight petitions the brass to show Ruzek leniency in his court case.</x:v>
      </x:c>
      <x:c r="P2389" s="53" t="str">
        <x:v>Core One Chicago franchise; crossovers with SVU/FBI</x:v>
      </x:c>
      <x:c r="Q2389" s="17" t="str">
        <x:v>3634550</x:v>
      </x:c>
      <x:c r="R2389" s="17" t="str">
        <x:v>tt10748796</x:v>
      </x:c>
      <x:c r="S2389" s="17" t="str"/>
    </x:row>
    <x:row r="2390">
      <x:c r="A2390" s="43" t="n">
        <x:v>2386</x:v>
      </x:c>
      <x:c r="B2390" s="44" t="str">
        <x:v>Not Started</x:v>
      </x:c>
      <x:c r="C2390" s="45" t="n">
        <x:v>43741</x:v>
      </x:c>
      <x:c r="D2390" s="33" t="str">
        <x:v>Chicago Fire</x:v>
      </x:c>
      <x:c r="E2390" s="33" t="str">
        <x:v>One Chicago</x:v>
      </x:c>
      <x:c r="F2390" s="33" t="str">
        <x:v>core</x:v>
      </x:c>
      <x:c r="G2390" s="50" t="n">
        <x:v>8</x:v>
      </x:c>
      <x:c r="H2390" s="50" t="n">
        <x:v>2</x:v>
      </x:c>
      <x:c r="I2390" s="44" t="str">
        <x:v>08.02</x:v>
      </x:c>
      <x:c r="J2390" s="33" t="str">
        <x:v>A Real Shot in the Arm</x:v>
      </x:c>
      <x:c r="K2390" s="33" t="str"/>
      <x:c r="L2390" s="33" t="str"/>
      <x:c r="M2390" s="44" t="str"/>
      <x:c r="N2390" s="50" t="n">
        <x:v>42</x:v>
      </x:c>
      <x:c r="O2390" s="53" t="str">
        <x:v>Lt. Casey struggles to get Chief Boden to sign off on an energetic new recruit. Against her better judgment, Foster extends an olive branch to her irritating new medic. Otis inspires Herrmann to seek new partners at Molly’s. Brett realizes life in Fowlerton will take some getting used to.</x:v>
      </x:c>
      <x:c r="P2390" s="53" t="str">
        <x:v>Core One Chicago franchise</x:v>
      </x:c>
      <x:c r="Q2390" s="17" t="str">
        <x:v>3634250</x:v>
      </x:c>
      <x:c r="R2390" s="17" t="str">
        <x:v>tt10799308</x:v>
      </x:c>
      <x:c r="S2390" s="17" t="str"/>
    </x:row>
    <x:row r="2391">
      <x:c r="A2391" s="43" t="n">
        <x:v>2387</x:v>
      </x:c>
      <x:c r="B2391" s="44" t="str">
        <x:v>Not Started</x:v>
      </x:c>
      <x:c r="C2391" s="45" t="n">
        <x:v>43741</x:v>
      </x:c>
      <x:c r="D2391" s="33" t="str">
        <x:v>Law &amp; Order: Special Victims Unit</x:v>
      </x:c>
      <x:c r="E2391" s="33" t="str">
        <x:v>Law &amp; Order</x:v>
      </x:c>
      <x:c r="F2391" s="33" t="str">
        <x:v>core</x:v>
      </x:c>
      <x:c r="G2391" s="50" t="n">
        <x:v>21</x:v>
      </x:c>
      <x:c r="H2391" s="50" t="n">
        <x:v>2</x:v>
      </x:c>
      <x:c r="I2391" s="44" t="str">
        <x:v>21.02</x:v>
      </x:c>
      <x:c r="J2391" s="33" t="str">
        <x:v>The Darkest Journey Home</x:v>
      </x:c>
      <x:c r="K2391" s="33" t="str"/>
      <x:c r="L2391" s="33" t="str"/>
      <x:c r="M2391" s="44" t="str"/>
      <x:c r="N2391" s="50" t="n">
        <x:v>43</x:v>
      </x:c>
      <x:c r="O2391" s="53" t="str">
        <x:v>Benson works with a young woman to help her remember the details and suspects in her rape. In order to learn a new witness interview technique, Rollins and Fin have to experience it for themselves.</x:v>
      </x:c>
      <x:c r="P2391" s="53" t="str">
        <x:v>Core Law &amp; Order franchise</x:v>
      </x:c>
      <x:c r="Q2391" s="17" t="str">
        <x:v>3650130</x:v>
      </x:c>
      <x:c r="R2391" s="17" t="str">
        <x:v>tt10626008</x:v>
      </x:c>
      <x:c r="S2391" s="17" t="str">
        <x:v>1460</x:v>
      </x:c>
    </x:row>
    <x:row r="2392">
      <x:c r="A2392" s="43" t="n">
        <x:v>2388</x:v>
      </x:c>
      <x:c r="B2392" s="44" t="str">
        <x:v>Not Started</x:v>
      </x:c>
      <x:c r="C2392" s="45" t="n">
        <x:v>43747</x:v>
      </x:c>
      <x:c r="D2392" s="33" t="str">
        <x:v>FBI</x:v>
      </x:c>
      <x:c r="E2392" s="33" t="str">
        <x:v>FBI</x:v>
      </x:c>
      <x:c r="F2392" s="33" t="str">
        <x:v>core</x:v>
      </x:c>
      <x:c r="G2392" s="50" t="n">
        <x:v>2</x:v>
      </x:c>
      <x:c r="H2392" s="50" t="n">
        <x:v>3</x:v>
      </x:c>
      <x:c r="I2392" s="44" t="str">
        <x:v>02.03</x:v>
      </x:c>
      <x:c r="J2392" s="33" t="str">
        <x:v>American Idol</x:v>
      </x:c>
      <x:c r="K2392" s="33" t="str"/>
      <x:c r="L2392" s="33" t="str"/>
      <x:c r="M2392" s="44" t="str"/>
      <x:c r="N2392" s="50" t="n">
        <x:v>43</x:v>
      </x:c>
      <x:c r="O2392" s="53" t="str">
        <x:v>After a front-running female presidential candidate, Valerie Caldwell, is targeted with a car bomb, OA and Maggie must hurry to track down the bomber before they strike again. The case leads them to wonder whether this person is targeting Caldwell for her political aspirations or something else.</x:v>
      </x:c>
      <x:c r="P2392" s="53" t="str">
        <x:v>Core FBI franchise</x:v>
      </x:c>
      <x:c r="Q2392" s="17" t="str">
        <x:v>3652136</x:v>
      </x:c>
      <x:c r="R2392" s="17" t="str">
        <x:v>tt11011274</x:v>
      </x:c>
      <x:c r="S2392" s="17" t="str"/>
    </x:row>
    <x:row r="2393">
      <x:c r="A2393" s="43" t="n">
        <x:v>2389</x:v>
      </x:c>
      <x:c r="B2393" s="44" t="str">
        <x:v>Not Started</x:v>
      </x:c>
      <x:c r="C2393" s="45" t="n">
        <x:v>43748</x:v>
      </x:c>
      <x:c r="D2393" s="33" t="str">
        <x:v>Chicago Med</x:v>
      </x:c>
      <x:c r="E2393" s="33" t="str">
        <x:v>One Chicago</x:v>
      </x:c>
      <x:c r="F2393" s="33" t="str">
        <x:v>core</x:v>
      </x:c>
      <x:c r="G2393" s="50" t="n">
        <x:v>5</x:v>
      </x:c>
      <x:c r="H2393" s="50" t="n">
        <x:v>3</x:v>
      </x:c>
      <x:c r="I2393" s="44" t="str">
        <x:v>05.03</x:v>
      </x:c>
      <x:c r="J2393" s="33" t="str">
        <x:v>In the Valley of the Shadows</x:v>
      </x:c>
      <x:c r="K2393" s="33" t="str"/>
      <x:c r="L2393" s="33" t="str"/>
      <x:c r="M2393" s="44" t="str"/>
      <x:c r="N2393" s="50" t="n">
        <x:v>43</x:v>
      </x:c>
      <x:c r="O2393" s="53" t="str">
        <x:v>Dr. Choi and Dr. Charles have difficult decisions to make as a dying man tries to preserve his life with a controversial scientific method. Dr. Marcel and April clash over how to handle a mysterious patient. Will questions Natalie’s capabilities.</x:v>
      </x:c>
      <x:c r="P2393" s="53" t="str">
        <x:v>Core One Chicago franchise</x:v>
      </x:c>
      <x:c r="Q2393" s="17" t="str">
        <x:v>3650296</x:v>
      </x:c>
      <x:c r="R2393" s="17" t="str">
        <x:v>tt11006868</x:v>
      </x:c>
      <x:c r="S2393" s="17" t="str"/>
    </x:row>
    <x:row r="2394">
      <x:c r="A2394" s="43" t="n">
        <x:v>2390</x:v>
      </x:c>
      <x:c r="B2394" s="44" t="str">
        <x:v>Not Started</x:v>
      </x:c>
      <x:c r="C2394" s="45" t="n">
        <x:v>43748</x:v>
      </x:c>
      <x:c r="D2394" s="33" t="str">
        <x:v>Chicago P.D.</x:v>
      </x:c>
      <x:c r="E2394" s="33" t="str">
        <x:v>One Chicago</x:v>
      </x:c>
      <x:c r="F2394" s="33" t="str">
        <x:v>core</x:v>
      </x:c>
      <x:c r="G2394" s="50" t="n">
        <x:v>7</x:v>
      </x:c>
      <x:c r="H2394" s="50" t="n">
        <x:v>3</x:v>
      </x:c>
      <x:c r="I2394" s="44" t="str">
        <x:v>07.03</x:v>
      </x:c>
      <x:c r="J2394" s="33" t="str">
        <x:v>Familia</x:v>
      </x:c>
      <x:c r="K2394" s="33" t="str"/>
      <x:c r="L2394" s="33" t="str"/>
      <x:c r="M2394" s="44" t="str"/>
      <x:c r="N2394" s="50" t="n">
        <x:v>42</x:v>
      </x:c>
      <x:c r="O2394" s="53" t="str">
        <x:v>After a botched carjacking turns out to be something much bigger, Voight’s unit goes toe-to-toe with a smart drug kingpin who only works with women. New recruit Vanessa Rojas struggles with the transition from undercover to Intelligence.</x:v>
      </x:c>
      <x:c r="P2394" s="53" t="str">
        <x:v>Core One Chicago franchise; crossovers with SVU/FBI</x:v>
      </x:c>
      <x:c r="Q2394" s="17" t="str">
        <x:v>3634552</x:v>
      </x:c>
      <x:c r="R2394" s="17" t="str">
        <x:v>tt10748826</x:v>
      </x:c>
      <x:c r="S2394" s="17" t="str"/>
    </x:row>
    <x:row r="2395">
      <x:c r="A2395" s="43" t="n">
        <x:v>2391</x:v>
      </x:c>
      <x:c r="B2395" s="44" t="str">
        <x:v>Not Started</x:v>
      </x:c>
      <x:c r="C2395" s="45" t="n">
        <x:v>43748</x:v>
      </x:c>
      <x:c r="D2395" s="33" t="str">
        <x:v>Chicago Fire</x:v>
      </x:c>
      <x:c r="E2395" s="33" t="str">
        <x:v>One Chicago</x:v>
      </x:c>
      <x:c r="F2395" s="33" t="str">
        <x:v>core</x:v>
      </x:c>
      <x:c r="G2395" s="50" t="n">
        <x:v>8</x:v>
      </x:c>
      <x:c r="H2395" s="50" t="n">
        <x:v>3</x:v>
      </x:c>
      <x:c r="I2395" s="44" t="str">
        <x:v>08.03</x:v>
      </x:c>
      <x:c r="J2395" s="33" t="str">
        <x:v>Badlands</x:v>
      </x:c>
      <x:c r="K2395" s="33" t="str"/>
      <x:c r="L2395" s="33" t="str"/>
      <x:c r="M2395" s="44" t="str"/>
      <x:c r="N2395" s="50" t="n">
        <x:v>42</x:v>
      </x:c>
      <x:c r="O2395" s="53" t="str">
        <x:v>Brett and Foster question the suspicious circumstances surrounding a brutal attack at a juvenile detention center, which leaves them searching for the truth. A convoluted new technology installed inside Firehouse 51 tests everybody’s patience. Kidd gets chosen to represent the district at a leadership conference.</x:v>
      </x:c>
      <x:c r="P2395" s="53" t="str">
        <x:v>Core One Chicago franchise</x:v>
      </x:c>
      <x:c r="Q2395" s="17" t="str">
        <x:v>3649930</x:v>
      </x:c>
      <x:c r="R2395" s="17" t="str">
        <x:v>tt10799314</x:v>
      </x:c>
      <x:c r="S2395" s="17" t="str"/>
    </x:row>
    <x:row r="2396">
      <x:c r="A2396" s="43" t="n">
        <x:v>2392</x:v>
      </x:c>
      <x:c r="B2396" s="44" t="str">
        <x:v>Not Started</x:v>
      </x:c>
      <x:c r="C2396" s="45" t="n">
        <x:v>43748</x:v>
      </x:c>
      <x:c r="D2396" s="33" t="str">
        <x:v>Law &amp; Order: Special Victims Unit</x:v>
      </x:c>
      <x:c r="E2396" s="33" t="str">
        <x:v>Law &amp; Order</x:v>
      </x:c>
      <x:c r="F2396" s="33" t="str">
        <x:v>core</x:v>
      </x:c>
      <x:c r="G2396" s="50" t="n">
        <x:v>21</x:v>
      </x:c>
      <x:c r="H2396" s="50" t="n">
        <x:v>3</x:v>
      </x:c>
      <x:c r="I2396" s="44" t="str">
        <x:v>21.03</x:v>
      </x:c>
      <x:c r="J2396" s="33" t="str">
        <x:v>Down Low in Hell's Kitchen</x:v>
      </x:c>
      <x:c r="K2396" s="33" t="str"/>
      <x:c r="L2396" s="33" t="str"/>
      <x:c r="M2396" s="44" t="str"/>
      <x:c r="N2396" s="50" t="n">
        <x:v>43</x:v>
      </x:c>
      <x:c r="O2396" s="53" t="str">
        <x:v>A serial predator targeting men in gay bars proves difficult to catch, until a celebrity comes forward with his story.</x:v>
      </x:c>
      <x:c r="P2396" s="53" t="str">
        <x:v>Core Law &amp; Order franchise</x:v>
      </x:c>
      <x:c r="Q2396" s="17" t="str">
        <x:v>3650131</x:v>
      </x:c>
      <x:c r="R2396" s="17" t="str">
        <x:v>tt10770464</x:v>
      </x:c>
      <x:c r="S2396" s="17" t="str">
        <x:v>1461</x:v>
      </x:c>
    </x:row>
    <x:row r="2397">
      <x:c r="A2397" s="43" t="n">
        <x:v>2393</x:v>
      </x:c>
      <x:c r="B2397" s="44" t="str">
        <x:v>Not Started</x:v>
      </x:c>
      <x:c r="C2397" s="45" t="n">
        <x:v>43754</x:v>
      </x:c>
      <x:c r="D2397" s="33" t="str">
        <x:v>FBI</x:v>
      </x:c>
      <x:c r="E2397" s="33" t="str">
        <x:v>FBI</x:v>
      </x:c>
      <x:c r="F2397" s="33" t="str">
        <x:v>core</x:v>
      </x:c>
      <x:c r="G2397" s="50" t="n">
        <x:v>2</x:v>
      </x:c>
      <x:c r="H2397" s="50" t="n">
        <x:v>4</x:v>
      </x:c>
      <x:c r="I2397" s="44" t="str">
        <x:v>02.04</x:v>
      </x:c>
      <x:c r="J2397" s="33" t="str">
        <x:v>An Imperfect Science</x:v>
      </x:c>
      <x:c r="K2397" s="33" t="str"/>
      <x:c r="L2397" s="33" t="str"/>
      <x:c r="M2397" s="44" t="str"/>
      <x:c r="N2397" s="50" t="n">
        <x:v>43</x:v>
      </x:c>
      <x:c r="O2397" s="53" t="str">
        <x:v>After a shooting at a nightclub, it appears that the FBI may have ignored previous threats from a local white supremacist group. Also, Kristen wrestles with her commitment to the Bureau and her responsibility to her community.</x:v>
      </x:c>
      <x:c r="P2397" s="53" t="str">
        <x:v>Core FBI franchise</x:v>
      </x:c>
      <x:c r="Q2397" s="17" t="str">
        <x:v>3705122</x:v>
      </x:c>
      <x:c r="R2397" s="17" t="str">
        <x:v>tt10838020</x:v>
      </x:c>
      <x:c r="S2397" s="17" t="str"/>
    </x:row>
    <x:row r="2398">
      <x:c r="A2398" s="43" t="n">
        <x:v>2394</x:v>
      </x:c>
      <x:c r="B2398" s="44" t="str">
        <x:v>Not Started</x:v>
      </x:c>
      <x:c r="C2398" s="45" t="n">
        <x:v>43755</x:v>
      </x:c>
      <x:c r="D2398" s="33" t="str">
        <x:v>Chicago Med</x:v>
      </x:c>
      <x:c r="E2398" s="33" t="str">
        <x:v>One Chicago</x:v>
      </x:c>
      <x:c r="F2398" s="33" t="str">
        <x:v>core</x:v>
      </x:c>
      <x:c r="G2398" s="50" t="n">
        <x:v>5</x:v>
      </x:c>
      <x:c r="H2398" s="50" t="n">
        <x:v>4</x:v>
      </x:c>
      <x:c r="I2398" s="44" t="str">
        <x:v>05.04</x:v>
      </x:c>
      <x:c r="J2398" s="33" t="str">
        <x:v>Infection, Part II (II)</x:v>
      </x:c>
      <x:c r="K2398" s="33" t="str">
        <x:v>Crossover</x:v>
      </x:c>
      <x:c r="L2398" s="33" t="str">
        <x:v>Infection</x:v>
      </x:c>
      <x:c r="M2398" s="44" t="str">
        <x:v>2/3</x:v>
      </x:c>
      <x:c r="N2398" s="50" t="n">
        <x:v>42</x:v>
      </x:c>
      <x:c r="O2398" s="53" t="str">
        <x:v>Dr. Manning's actions with a recent patient lead to serious repercussions. April and Noah disagree over a patient who is injured after a beating. Dr. Charles is visited by a childhood friend with a surprising revelation.
The crossover starts on Chicago Fire S08E04 Infection (I). It continues on  Chicago PD S07E04 Infection, Part III (III).</x:v>
      </x:c>
      <x:c r="P2398" s="53" t="str">
        <x:v>Core One Chicago franchise</x:v>
      </x:c>
      <x:c r="Q2398" s="17" t="str">
        <x:v>3650297</x:v>
      </x:c>
      <x:c r="R2398" s="17" t="str">
        <x:v>tt10744434</x:v>
      </x:c>
      <x:c r="S2398" s="17" t="str">
        <x:v>https://one-chicago-fbi.fandom.com/wiki/Crossovers_and_Milestones</x:v>
      </x:c>
    </x:row>
    <x:row r="2399">
      <x:c r="A2399" s="43" t="n">
        <x:v>2395</x:v>
      </x:c>
      <x:c r="B2399" s="44" t="str">
        <x:v>Not Started</x:v>
      </x:c>
      <x:c r="C2399" s="45" t="n">
        <x:v>43755</x:v>
      </x:c>
      <x:c r="D2399" s="33" t="str">
        <x:v>Chicago P.D.</x:v>
      </x:c>
      <x:c r="E2399" s="33" t="str">
        <x:v>One Chicago</x:v>
      </x:c>
      <x:c r="F2399" s="33" t="str">
        <x:v>core</x:v>
      </x:c>
      <x:c r="G2399" s="50" t="n">
        <x:v>7</x:v>
      </x:c>
      <x:c r="H2399" s="50" t="n">
        <x:v>4</x:v>
      </x:c>
      <x:c r="I2399" s="44" t="str">
        <x:v>07.04</x:v>
      </x:c>
      <x:c r="J2399" s="33" t="str">
        <x:v>Infection, Part III (III)</x:v>
      </x:c>
      <x:c r="K2399" s="33" t="str">
        <x:v>Crossover</x:v>
      </x:c>
      <x:c r="L2399" s="33" t="str">
        <x:v>Infection</x:v>
      </x:c>
      <x:c r="M2399" s="44" t="str">
        <x:v>3/3</x:v>
      </x:c>
      <x:c r="N2399" s="50" t="n">
        <x:v>42</x:v>
      </x:c>
      <x:c r="O2399" s="53" t="str">
        <x:v>After zeroing in on the suspect responsible for the bioterrorism that’s gripping Chicago, the PD prepares to undertake their biggest manhunt yet. Upton is torn between helping track down the perp and providing emotional support to the scared young girl that needs her. Voight fears his team is being sent on a wild goose chase.
The crossover starts on Chicago Fire S08E04 Infection (I) and Chicago Med S05E04 Infection, Part II (II).</x:v>
      </x:c>
      <x:c r="P2399" s="53" t="str">
        <x:v>Core One Chicago franchise; crossovers with SVU/FBI</x:v>
      </x:c>
      <x:c r="Q2399" s="17" t="str">
        <x:v>3634553</x:v>
      </x:c>
      <x:c r="R2399" s="17" t="str">
        <x:v>tt10748838</x:v>
      </x:c>
      <x:c r="S2399" s="17" t="str">
        <x:v>https://one-chicago-fbi.fandom.com/wiki/Crossovers_and_Milestones</x:v>
      </x:c>
    </x:row>
    <x:row r="2400">
      <x:c r="A2400" s="43" t="n">
        <x:v>2396</x:v>
      </x:c>
      <x:c r="B2400" s="44" t="str">
        <x:v>Not Started</x:v>
      </x:c>
      <x:c r="C2400" s="45" t="n">
        <x:v>43755</x:v>
      </x:c>
      <x:c r="D2400" s="33" t="str">
        <x:v>Chicago Fire</x:v>
      </x:c>
      <x:c r="E2400" s="33" t="str">
        <x:v>One Chicago</x:v>
      </x:c>
      <x:c r="F2400" s="33" t="str">
        <x:v>core</x:v>
      </x:c>
      <x:c r="G2400" s="50" t="n">
        <x:v>8</x:v>
      </x:c>
      <x:c r="H2400" s="50" t="n">
        <x:v>4</x:v>
      </x:c>
      <x:c r="I2400" s="44" t="str">
        <x:v>08.04</x:v>
      </x:c>
      <x:c r="J2400" s="33" t="str">
        <x:v>Infection (I)</x:v>
      </x:c>
      <x:c r="K2400" s="33" t="str">
        <x:v>Crossover</x:v>
      </x:c>
      <x:c r="L2400" s="33" t="str">
        <x:v>Infection</x:v>
      </x:c>
      <x:c r="M2400" s="44" t="str">
        <x:v>1/3</x:v>
      </x:c>
      <x:c r="N2400" s="50" t="n">
        <x:v>41</x:v>
      </x:c>
      <x:c r="O2400" s="53" t="str">
        <x:v>A rare but deadly bacteria takes its toll on numerous victims around the city, leaving Chicago’s finest first responders to work together alongside the CDC to resolve the dangerous situation. Following a fire at a local university that ties into the outbreak, Severide has suspicions that something bigger is happening.
The crossover continues on Chicago Med S05E04 Infection, Part II (II) and Chicago P.D. S07S04 Infection, Part III (III).</x:v>
      </x:c>
      <x:c r="P2400" s="53" t="str">
        <x:v>Core One Chicago franchise</x:v>
      </x:c>
      <x:c r="Q2400" s="17" t="str">
        <x:v>3686272</x:v>
      </x:c>
      <x:c r="R2400" s="17" t="str">
        <x:v>tt10799320</x:v>
      </x:c>
      <x:c r="S2400" s="17" t="str">
        <x:v>https://one-chicago-fbi.fandom.com/wiki/Crossovers_and_Milestones</x:v>
      </x:c>
    </x:row>
    <x:row r="2401">
      <x:c r="A2401" s="43" t="n">
        <x:v>2397</x:v>
      </x:c>
      <x:c r="B2401" s="44" t="str">
        <x:v>Not Started</x:v>
      </x:c>
      <x:c r="C2401" s="45" t="n">
        <x:v>43755</x:v>
      </x:c>
      <x:c r="D2401" s="33" t="str">
        <x:v>Law &amp; Order: Special Victims Unit</x:v>
      </x:c>
      <x:c r="E2401" s="33" t="str">
        <x:v>Law &amp; Order</x:v>
      </x:c>
      <x:c r="F2401" s="33" t="str">
        <x:v>core</x:v>
      </x:c>
      <x:c r="G2401" s="50" t="n">
        <x:v>21</x:v>
      </x:c>
      <x:c r="H2401" s="50" t="n">
        <x:v>4</x:v>
      </x:c>
      <x:c r="I2401" s="44" t="str">
        <x:v>21.04</x:v>
      </x:c>
      <x:c r="J2401" s="33" t="str">
        <x:v>The Burden of Our Choices</x:v>
      </x:c>
      <x:c r="K2401" s="33" t="str"/>
      <x:c r="L2401" s="33" t="str"/>
      <x:c r="M2401" s="44" t="str"/>
      <x:c r="N2401" s="50" t="n">
        <x:v>43</x:v>
      </x:c>
      <x:c r="O2401" s="53" t="str">
        <x:v>Rollins clashes with the parents of a teenaged runaway. The squad comes together for a special event.</x:v>
      </x:c>
      <x:c r="P2401" s="53" t="str">
        <x:v>Core Law &amp; Order franchise</x:v>
      </x:c>
      <x:c r="Q2401" s="17" t="str">
        <x:v>3650132</x:v>
      </x:c>
      <x:c r="R2401" s="17" t="str">
        <x:v>tt10770478</x:v>
      </x:c>
      <x:c r="S2401" s="17" t="str">
        <x:v>1462</x:v>
      </x:c>
    </x:row>
    <x:row r="2402">
      <x:c r="A2402" s="43" t="n">
        <x:v>2398</x:v>
      </x:c>
      <x:c r="B2402" s="44" t="str">
        <x:v>Not Started</x:v>
      </x:c>
      <x:c r="C2402" s="45" t="n">
        <x:v>43761</x:v>
      </x:c>
      <x:c r="D2402" s="33" t="str">
        <x:v>FBI</x:v>
      </x:c>
      <x:c r="E2402" s="33" t="str">
        <x:v>FBI</x:v>
      </x:c>
      <x:c r="F2402" s="33" t="str">
        <x:v>core</x:v>
      </x:c>
      <x:c r="G2402" s="50" t="n">
        <x:v>2</x:v>
      </x:c>
      <x:c r="H2402" s="50" t="n">
        <x:v>5</x:v>
      </x:c>
      <x:c r="I2402" s="44" t="str">
        <x:v>02.05</x:v>
      </x:c>
      <x:c r="J2402" s="33" t="str">
        <x:v>Crossroads</x:v>
      </x:c>
      <x:c r="K2402" s="33" t="str"/>
      <x:c r="L2402" s="33" t="str"/>
      <x:c r="M2402" s="44" t="str"/>
      <x:c r="N2402" s="50" t="n">
        <x:v>43</x:v>
      </x:c>
      <x:c r="O2402" s="53" t="str">
        <x:v>A loving husband and father of two, Jim Russo, is kidnapped after accidentally getting involved in illegal dealings far beyond what he imagined. Also, Jubal must make a difficult decision regarding his family and their future.</x:v>
      </x:c>
      <x:c r="P2402" s="53" t="str">
        <x:v>Core FBI franchise</x:v>
      </x:c>
      <x:c r="Q2402" s="17" t="str">
        <x:v>3714003</x:v>
      </x:c>
      <x:c r="R2402" s="17" t="str">
        <x:v>tt10888948</x:v>
      </x:c>
      <x:c r="S2402" s="17" t="str"/>
    </x:row>
    <x:row r="2403">
      <x:c r="A2403" s="43" t="n">
        <x:v>2399</x:v>
      </x:c>
      <x:c r="B2403" s="44" t="str">
        <x:v>Not Started</x:v>
      </x:c>
      <x:c r="C2403" s="45" t="n">
        <x:v>43762</x:v>
      </x:c>
      <x:c r="D2403" s="33" t="str">
        <x:v>Chicago Med</x:v>
      </x:c>
      <x:c r="E2403" s="33" t="str">
        <x:v>One Chicago</x:v>
      </x:c>
      <x:c r="F2403" s="33" t="str">
        <x:v>core</x:v>
      </x:c>
      <x:c r="G2403" s="50" t="n">
        <x:v>5</x:v>
      </x:c>
      <x:c r="H2403" s="50" t="n">
        <x:v>5</x:v>
      </x:c>
      <x:c r="I2403" s="44" t="str">
        <x:v>05.05</x:v>
      </x:c>
      <x:c r="J2403" s="33" t="str">
        <x:v>Got a Friend in Me</x:v>
      </x:c>
      <x:c r="K2403" s="33" t="str"/>
      <x:c r="L2403" s="33" t="str"/>
      <x:c r="M2403" s="44" t="str"/>
      <x:c r="N2403" s="50" t="n">
        <x:v>42</x:v>
      </x:c>
      <x:c r="O2403" s="53" t="str">
        <x:v>Dr. Choi and Dr. Marcel don't see eye-to-eye over the treatment of a patient's chronic pain and rumors start to circulate about Maggie. Dr. Manning works to help a young boy, but her treatment suggestions are challenged by the parents who believe in only using holistic remedies.</x:v>
      </x:c>
      <x:c r="P2403" s="53" t="str">
        <x:v>Core One Chicago franchise</x:v>
      </x:c>
      <x:c r="Q2403" s="17" t="str">
        <x:v>3650298</x:v>
      </x:c>
      <x:c r="R2403" s="17" t="str">
        <x:v>tt10647878</x:v>
      </x:c>
      <x:c r="S2403" s="17" t="str"/>
    </x:row>
    <x:row r="2404">
      <x:c r="A2404" s="43" t="n">
        <x:v>2400</x:v>
      </x:c>
      <x:c r="B2404" s="44" t="str">
        <x:v>Not Started</x:v>
      </x:c>
      <x:c r="C2404" s="45" t="n">
        <x:v>43762</x:v>
      </x:c>
      <x:c r="D2404" s="33" t="str">
        <x:v>Chicago P.D.</x:v>
      </x:c>
      <x:c r="E2404" s="33" t="str">
        <x:v>One Chicago</x:v>
      </x:c>
      <x:c r="F2404" s="33" t="str">
        <x:v>core</x:v>
      </x:c>
      <x:c r="G2404" s="50" t="n">
        <x:v>7</x:v>
      </x:c>
      <x:c r="H2404" s="50" t="n">
        <x:v>5</x:v>
      </x:c>
      <x:c r="I2404" s="44" t="str">
        <x:v>07.05</x:v>
      </x:c>
      <x:c r="J2404" s="33" t="str">
        <x:v>Brother's Keeper</x:v>
      </x:c>
      <x:c r="K2404" s="33" t="str"/>
      <x:c r="L2404" s="33" t="str"/>
      <x:c r="M2404" s="44" t="str"/>
      <x:c r="N2404" s="50" t="n">
        <x:v>42</x:v>
      </x:c>
      <x:c r="O2404" s="53" t="str">
        <x:v>A murder in a Bulgarian neighborhood results in a challenging investigation when locals won't talk to police. Ruzek has a clash with a patrol officer.</x:v>
      </x:c>
      <x:c r="P2404" s="53" t="str">
        <x:v>Core One Chicago franchise; crossovers with SVU/FBI</x:v>
      </x:c>
      <x:c r="Q2404" s="17" t="str">
        <x:v>3715491</x:v>
      </x:c>
      <x:c r="R2404" s="17" t="str">
        <x:v>tt10994216</x:v>
      </x:c>
      <x:c r="S2404" s="17" t="str"/>
    </x:row>
    <x:row r="2405">
      <x:c r="A2405" s="43" t="n">
        <x:v>2401</x:v>
      </x:c>
      <x:c r="B2405" s="44" t="str">
        <x:v>Not Started</x:v>
      </x:c>
      <x:c r="C2405" s="45" t="n">
        <x:v>43762</x:v>
      </x:c>
      <x:c r="D2405" s="33" t="str">
        <x:v>Chicago Fire</x:v>
      </x:c>
      <x:c r="E2405" s="33" t="str">
        <x:v>One Chicago</x:v>
      </x:c>
      <x:c r="F2405" s="33" t="str">
        <x:v>core</x:v>
      </x:c>
      <x:c r="G2405" s="50" t="n">
        <x:v>8</x:v>
      </x:c>
      <x:c r="H2405" s="50" t="n">
        <x:v>5</x:v>
      </x:c>
      <x:c r="I2405" s="44" t="str">
        <x:v>08.05</x:v>
      </x:c>
      <x:c r="J2405" s="33" t="str">
        <x:v>Buckle Up</x:v>
      </x:c>
      <x:c r="K2405" s="33" t="str"/>
      <x:c r="L2405" s="33" t="str"/>
      <x:c r="M2405" s="44" t="str"/>
      <x:c r="N2405" s="50" t="n">
        <x:v>42</x:v>
      </x:c>
      <x:c r="O2405" s="53" t="str">
        <x:v>Kidd must prove herself at the National Firefighter Leadership Conference while the rest of Firehouse 51 is called to two eerily similar car wrecks. Mouch tries to keep everyone in the firehouse informed by starting a newsletter, but things quickly get out of hand. Cruz deals with a heartbreak.</x:v>
      </x:c>
      <x:c r="P2405" s="53" t="str">
        <x:v>Core One Chicago franchise</x:v>
      </x:c>
      <x:c r="Q2405" s="17" t="str">
        <x:v>3686277</x:v>
      </x:c>
      <x:c r="R2405" s="17" t="str">
        <x:v>tt11033312</x:v>
      </x:c>
      <x:c r="S2405" s="17" t="str"/>
    </x:row>
    <x:row r="2406">
      <x:c r="A2406" s="43" t="n">
        <x:v>2402</x:v>
      </x:c>
      <x:c r="B2406" s="44" t="str">
        <x:v>Not Started</x:v>
      </x:c>
      <x:c r="C2406" s="45" t="n">
        <x:v>43762</x:v>
      </x:c>
      <x:c r="D2406" s="33" t="str">
        <x:v>Law &amp; Order: Special Victims Unit</x:v>
      </x:c>
      <x:c r="E2406" s="33" t="str">
        <x:v>Law &amp; Order</x:v>
      </x:c>
      <x:c r="F2406" s="33" t="str">
        <x:v>core</x:v>
      </x:c>
      <x:c r="G2406" s="50" t="n">
        <x:v>21</x:v>
      </x:c>
      <x:c r="H2406" s="50" t="n">
        <x:v>5</x:v>
      </x:c>
      <x:c r="I2406" s="44" t="str">
        <x:v>21.05</x:v>
      </x:c>
      <x:c r="J2406" s="33" t="str">
        <x:v>At Midnight in Manhattan</x:v>
      </x:c>
      <x:c r="K2406" s="33" t="str"/>
      <x:c r="L2406" s="33" t="str"/>
      <x:c r="M2406" s="44" t="str"/>
      <x:c r="N2406" s="50" t="n">
        <x:v>43</x:v>
      </x:c>
      <x:c r="O2406" s="53" t="str">
        <x:v>The detectives are spread thin when three major cases come in at midnight. Rollins and Carisi argue over an arrest.</x:v>
      </x:c>
      <x:c r="P2406" s="53" t="str">
        <x:v>Core Law &amp; Order franchise</x:v>
      </x:c>
      <x:c r="Q2406" s="17" t="str">
        <x:v>3652568</x:v>
      </x:c>
      <x:c r="R2406" s="17" t="str">
        <x:v>tt10770492</x:v>
      </x:c>
      <x:c r="S2406" s="17" t="str">
        <x:v>1463</x:v>
      </x:c>
    </x:row>
    <x:row r="2407">
      <x:c r="A2407" s="43" t="n">
        <x:v>2403</x:v>
      </x:c>
      <x:c r="B2407" s="44" t="str">
        <x:v>Not Started</x:v>
      </x:c>
      <x:c r="C2407" s="45" t="n">
        <x:v>43769</x:v>
      </x:c>
      <x:c r="D2407" s="33" t="str">
        <x:v>Chicago Med</x:v>
      </x:c>
      <x:c r="E2407" s="33" t="str">
        <x:v>One Chicago</x:v>
      </x:c>
      <x:c r="F2407" s="33" t="str">
        <x:v>core</x:v>
      </x:c>
      <x:c r="G2407" s="50" t="n">
        <x:v>5</x:v>
      </x:c>
      <x:c r="H2407" s="50" t="n">
        <x:v>6</x:v>
      </x:c>
      <x:c r="I2407" s="44" t="str">
        <x:v>05.06</x:v>
      </x:c>
      <x:c r="J2407" s="33" t="str">
        <x:v>It's All in the Family</x:v>
      </x:c>
      <x:c r="K2407" s="33" t="str"/>
      <x:c r="L2407" s="33" t="str"/>
      <x:c r="M2407" s="44" t="str"/>
      <x:c r="N2407" s="50" t="n">
        <x:v>42</x:v>
      </x:c>
      <x:c r="O2407" s="53" t="str">
        <x:v>Dr. Manning's actions with a recent patient lead to serious repercussions. April and Noah disagree over a patient who is injured after a beating. Dr. Charles is visited by a childhood friend with a surprising revelation.</x:v>
      </x:c>
      <x:c r="P2407" s="53" t="str">
        <x:v>Core One Chicago franchise</x:v>
      </x:c>
      <x:c r="Q2407" s="17" t="str">
        <x:v>3686349</x:v>
      </x:c>
      <x:c r="R2407" s="17" t="str">
        <x:v>tt11005918</x:v>
      </x:c>
      <x:c r="S2407" s="17" t="str"/>
    </x:row>
    <x:row r="2408">
      <x:c r="A2408" s="43" t="n">
        <x:v>2404</x:v>
      </x:c>
      <x:c r="B2408" s="44" t="str">
        <x:v>Not Started</x:v>
      </x:c>
      <x:c r="C2408" s="45" t="n">
        <x:v>43769</x:v>
      </x:c>
      <x:c r="D2408" s="33" t="str">
        <x:v>Chicago P.D.</x:v>
      </x:c>
      <x:c r="E2408" s="33" t="str">
        <x:v>One Chicago</x:v>
      </x:c>
      <x:c r="F2408" s="33" t="str">
        <x:v>core</x:v>
      </x:c>
      <x:c r="G2408" s="50" t="n">
        <x:v>7</x:v>
      </x:c>
      <x:c r="H2408" s="50" t="n">
        <x:v>6</x:v>
      </x:c>
      <x:c r="I2408" s="44" t="str">
        <x:v>07.06</x:v>
      </x:c>
      <x:c r="J2408" s="33" t="str">
        <x:v>False Positive</x:v>
      </x:c>
      <x:c r="K2408" s="33" t="str"/>
      <x:c r="L2408" s="33" t="str"/>
      <x:c r="M2408" s="44" t="str"/>
      <x:c r="N2408" s="50" t="n">
        <x:v>42</x:v>
      </x:c>
      <x:c r="O2408" s="53" t="str">
        <x:v>The shocking murder of young boys affects Halstead. Crawford encourages Intelligence to use a new facial-recognition software to help identify a suspect, but the plan backfires.</x:v>
      </x:c>
      <x:c r="P2408" s="53" t="str">
        <x:v>Core One Chicago franchise; crossovers with SVU/FBI</x:v>
      </x:c>
      <x:c r="Q2408" s="17" t="str">
        <x:v>3715490</x:v>
      </x:c>
      <x:c r="R2408" s="17" t="str">
        <x:v>tt10691948</x:v>
      </x:c>
      <x:c r="S2408" s="17" t="str"/>
    </x:row>
    <x:row r="2409">
      <x:c r="A2409" s="43" t="n">
        <x:v>2405</x:v>
      </x:c>
      <x:c r="B2409" s="44" t="str">
        <x:v>Not Started</x:v>
      </x:c>
      <x:c r="C2409" s="45" t="n">
        <x:v>43769</x:v>
      </x:c>
      <x:c r="D2409" s="33" t="str">
        <x:v>Chicago Fire</x:v>
      </x:c>
      <x:c r="E2409" s="33" t="str">
        <x:v>One Chicago</x:v>
      </x:c>
      <x:c r="F2409" s="33" t="str">
        <x:v>core</x:v>
      </x:c>
      <x:c r="G2409" s="50" t="n">
        <x:v>8</x:v>
      </x:c>
      <x:c r="H2409" s="50" t="n">
        <x:v>6</x:v>
      </x:c>
      <x:c r="I2409" s="44" t="str">
        <x:v>08.06</x:v>
      </x:c>
      <x:c r="J2409" s="33" t="str">
        <x:v>What Went Wrong</x:v>
      </x:c>
      <x:c r="K2409" s="33" t="str"/>
      <x:c r="L2409" s="33" t="str"/>
      <x:c r="M2409" s="44" t="str"/>
      <x:c r="N2409" s="50" t="n">
        <x:v>42</x:v>
      </x:c>
      <x:c r="O2409" s="53" t="str">
        <x:v>Cruz and Severide suspect foul play when a fire started by an elderly woman turns deadly. Kidd, Foster and Brett create a women’s-only lounge. Firehouse 51 celebrates some good news.</x:v>
      </x:c>
      <x:c r="P2409" s="53" t="str">
        <x:v>Core One Chicago franchise</x:v>
      </x:c>
      <x:c r="Q2409" s="17" t="str">
        <x:v>3706500</x:v>
      </x:c>
      <x:c r="R2409" s="17" t="str">
        <x:v>tt11033314</x:v>
      </x:c>
      <x:c r="S2409" s="17" t="str"/>
    </x:row>
    <x:row r="2410">
      <x:c r="A2410" s="43" t="n">
        <x:v>2406</x:v>
      </x:c>
      <x:c r="B2410" s="44" t="str">
        <x:v>Not Started</x:v>
      </x:c>
      <x:c r="C2410" s="45" t="n">
        <x:v>43769</x:v>
      </x:c>
      <x:c r="D2410" s="33" t="str">
        <x:v>Law &amp; Order: Special Victims Unit</x:v>
      </x:c>
      <x:c r="E2410" s="33" t="str">
        <x:v>Law &amp; Order</x:v>
      </x:c>
      <x:c r="F2410" s="33" t="str">
        <x:v>core</x:v>
      </x:c>
      <x:c r="G2410" s="50" t="n">
        <x:v>21</x:v>
      </x:c>
      <x:c r="H2410" s="50" t="n">
        <x:v>6</x:v>
      </x:c>
      <x:c r="I2410" s="44" t="str">
        <x:v>21.06</x:v>
      </x:c>
      <x:c r="J2410" s="33" t="str">
        <x:v>Murdered at a Bad Address</x:v>
      </x:c>
      <x:c r="K2410" s="33" t="str"/>
      <x:c r="L2410" s="33" t="str"/>
      <x:c r="M2410" s="44" t="str"/>
      <x:c r="N2410" s="50" t="n">
        <x:v>43</x:v>
      </x:c>
      <x:c r="O2410" s="53" t="str">
        <x:v>The case of a teenage girl assaulted in the projects leads to a startling discovery. Benson puts her trust in someone from her past.</x:v>
      </x:c>
      <x:c r="P2410" s="53" t="str">
        <x:v>Core Law &amp; Order franchise</x:v>
      </x:c>
      <x:c r="Q2410" s="17" t="str">
        <x:v>3652606</x:v>
      </x:c>
      <x:c r="R2410" s="17" t="str">
        <x:v>tt10770498</x:v>
      </x:c>
      <x:c r="S2410" s="17" t="str">
        <x:v>1464</x:v>
      </x:c>
    </x:row>
    <x:row r="2411">
      <x:c r="A2411" s="43" t="n">
        <x:v>2407</x:v>
      </x:c>
      <x:c r="B2411" s="44" t="str">
        <x:v>Not Started</x:v>
      </x:c>
      <x:c r="C2411" s="45" t="n">
        <x:v>43775</x:v>
      </x:c>
      <x:c r="D2411" s="33" t="str">
        <x:v>FBI</x:v>
      </x:c>
      <x:c r="E2411" s="33" t="str">
        <x:v>FBI</x:v>
      </x:c>
      <x:c r="F2411" s="33" t="str">
        <x:v>core</x:v>
      </x:c>
      <x:c r="G2411" s="50" t="n">
        <x:v>2</x:v>
      </x:c>
      <x:c r="H2411" s="50" t="n">
        <x:v>6</x:v>
      </x:c>
      <x:c r="I2411" s="44" t="str">
        <x:v>02.06</x:v>
      </x:c>
      <x:c r="J2411" s="33" t="str">
        <x:v>Outsider</x:v>
      </x:c>
      <x:c r="K2411" s="33" t="str"/>
      <x:c r="L2411" s="33" t="str"/>
      <x:c r="M2411" s="44" t="str"/>
      <x:c r="N2411" s="50" t="n">
        <x:v>43</x:v>
      </x:c>
      <x:c r="O2411" s="53" t="str">
        <x:v>After a Wall Street investor is murdered, the team is led to an insider-trading ring that uses unconventional methods to gain information. OA struggles to maintain confidence in his budding relationship with Mona.</x:v>
      </x:c>
      <x:c r="P2411" s="53" t="str">
        <x:v>Core FBI franchise</x:v>
      </x:c>
      <x:c r="Q2411" s="17" t="str">
        <x:v>3778616</x:v>
      </x:c>
      <x:c r="R2411" s="17" t="str">
        <x:v>tt11004984</x:v>
      </x:c>
      <x:c r="S2411" s="17" t="str"/>
    </x:row>
    <x:row r="2412">
      <x:c r="A2412" s="43" t="n">
        <x:v>2408</x:v>
      </x:c>
      <x:c r="B2412" s="44" t="str">
        <x:v>Not Started</x:v>
      </x:c>
      <x:c r="C2412" s="45" t="n">
        <x:v>43776</x:v>
      </x:c>
      <x:c r="D2412" s="33" t="str">
        <x:v>Chicago Med</x:v>
      </x:c>
      <x:c r="E2412" s="33" t="str">
        <x:v>One Chicago</x:v>
      </x:c>
      <x:c r="F2412" s="33" t="str">
        <x:v>core</x:v>
      </x:c>
      <x:c r="G2412" s="50" t="n">
        <x:v>5</x:v>
      </x:c>
      <x:c r="H2412" s="50" t="n">
        <x:v>7</x:v>
      </x:c>
      <x:c r="I2412" s="44" t="str">
        <x:v>05.07</x:v>
      </x:c>
      <x:c r="J2412" s="33" t="str">
        <x:v>Who Knows What Tomorrow Brings</x:v>
      </x:c>
      <x:c r="K2412" s="33" t="str"/>
      <x:c r="L2412" s="33" t="str"/>
      <x:c r="M2412" s="44" t="str"/>
      <x:c r="N2412" s="50" t="n">
        <x:v>42</x:v>
      </x:c>
      <x:c r="O2412" s="53" t="str">
        <x:v>Dr. Charles and Dr. Halstead sink their teeth into a bloodthirsty case. Dr. Marcel and Maggie throw a traditional crawfish boil for the staff. A new relationship blossoms while another is left on rocky ground.</x:v>
      </x:c>
      <x:c r="P2412" s="53" t="str">
        <x:v>Core One Chicago franchise</x:v>
      </x:c>
      <x:c r="Q2412" s="17" t="str">
        <x:v>3726460</x:v>
      </x:c>
      <x:c r="R2412" s="17" t="str">
        <x:v>tt11005922</x:v>
      </x:c>
      <x:c r="S2412" s="17" t="str"/>
    </x:row>
    <x:row r="2413">
      <x:c r="A2413" s="43" t="n">
        <x:v>2409</x:v>
      </x:c>
      <x:c r="B2413" s="44" t="str">
        <x:v>Not Started</x:v>
      </x:c>
      <x:c r="C2413" s="45" t="n">
        <x:v>43776</x:v>
      </x:c>
      <x:c r="D2413" s="33" t="str">
        <x:v>Chicago P.D.</x:v>
      </x:c>
      <x:c r="E2413" s="33" t="str">
        <x:v>One Chicago</x:v>
      </x:c>
      <x:c r="F2413" s="33" t="str">
        <x:v>core</x:v>
      </x:c>
      <x:c r="G2413" s="50" t="n">
        <x:v>7</x:v>
      </x:c>
      <x:c r="H2413" s="50" t="n">
        <x:v>7</x:v>
      </x:c>
      <x:c r="I2413" s="44" t="str">
        <x:v>07.07</x:v>
      </x:c>
      <x:c r="J2413" s="33" t="str">
        <x:v>Informant</x:v>
      </x:c>
      <x:c r="K2413" s="33" t="str"/>
      <x:c r="L2413" s="33" t="str"/>
      <x:c r="M2413" s="44" t="str"/>
      <x:c r="N2413" s="50" t="n">
        <x:v>42</x:v>
      </x:c>
      <x:c r="O2413" s="53" t="str">
        <x:v>Voight pulls Darius in after Crawford asks Intelligence to investigate a dangerous drug, but there is little trust in the relationship. When their plan to nail a dealer goes awry and another CI is murdered, the team must make a tough decision about Darius.</x:v>
      </x:c>
      <x:c r="P2413" s="53" t="str">
        <x:v>Core One Chicago franchise; crossovers with SVU/FBI</x:v>
      </x:c>
      <x:c r="Q2413" s="17" t="str">
        <x:v>3715492</x:v>
      </x:c>
      <x:c r="R2413" s="17" t="str">
        <x:v>tt11027516</x:v>
      </x:c>
      <x:c r="S2413" s="17" t="str"/>
    </x:row>
    <x:row r="2414">
      <x:c r="A2414" s="43" t="n">
        <x:v>2410</x:v>
      </x:c>
      <x:c r="B2414" s="44" t="str">
        <x:v>Not Started</x:v>
      </x:c>
      <x:c r="C2414" s="45" t="n">
        <x:v>43776</x:v>
      </x:c>
      <x:c r="D2414" s="33" t="str">
        <x:v>Chicago Fire</x:v>
      </x:c>
      <x:c r="E2414" s="33" t="str">
        <x:v>One Chicago</x:v>
      </x:c>
      <x:c r="F2414" s="33" t="str">
        <x:v>core</x:v>
      </x:c>
      <x:c r="G2414" s="50" t="n">
        <x:v>8</x:v>
      </x:c>
      <x:c r="H2414" s="50" t="n">
        <x:v>7</x:v>
      </x:c>
      <x:c r="I2414" s="44" t="str">
        <x:v>08.07</x:v>
      </x:c>
      <x:c r="J2414" s="33" t="str">
        <x:v>Welcome to Crazytown</x:v>
      </x:c>
      <x:c r="K2414" s="33" t="str"/>
      <x:c r="L2414" s="33" t="str"/>
      <x:c r="M2414" s="44" t="str"/>
      <x:c r="N2414" s="50" t="n">
        <x:v>42</x:v>
      </x:c>
      <x:c r="O2414" s="53" t="str">
        <x:v>Severide must make a tough decision about the future of his career at Firehouse 51. Herrmann deals with the consequences of his temper. Cruz is excited to demonstrate the Slamigan at the Firefighting Expo. Commissioner Grissom returns.</x:v>
      </x:c>
      <x:c r="P2414" s="53" t="str">
        <x:v>Core One Chicago franchise</x:v>
      </x:c>
      <x:c r="Q2414" s="17" t="str">
        <x:v>3706501</x:v>
      </x:c>
      <x:c r="R2414" s="17" t="str">
        <x:v>tt11033320</x:v>
      </x:c>
      <x:c r="S2414" s="17" t="str"/>
    </x:row>
    <x:row r="2415">
      <x:c r="A2415" s="43" t="n">
        <x:v>2411</x:v>
      </x:c>
      <x:c r="B2415" s="44" t="str">
        <x:v>Not Started</x:v>
      </x:c>
      <x:c r="C2415" s="45" t="n">
        <x:v>43776</x:v>
      </x:c>
      <x:c r="D2415" s="33" t="str">
        <x:v>Law &amp; Order: Special Victims Unit</x:v>
      </x:c>
      <x:c r="E2415" s="33" t="str">
        <x:v>Law &amp; Order</x:v>
      </x:c>
      <x:c r="F2415" s="33" t="str">
        <x:v>core</x:v>
      </x:c>
      <x:c r="G2415" s="50" t="n">
        <x:v>21</x:v>
      </x:c>
      <x:c r="H2415" s="50" t="n">
        <x:v>7</x:v>
      </x:c>
      <x:c r="I2415" s="44" t="str">
        <x:v>21.07</x:v>
      </x:c>
      <x:c r="J2415" s="33" t="str">
        <x:v>Counselor, It's Chinatown</x:v>
      </x:c>
      <x:c r="K2415" s="33" t="str"/>
      <x:c r="L2415" s="33" t="str"/>
      <x:c r="M2415" s="44" t="str"/>
      <x:c r="N2415" s="50" t="n">
        <x:v>43</x:v>
      </x:c>
      <x:c r="O2415" s="53" t="str">
        <x:v>The SVU joins an under cover task force in busting a human trafficking ring.</x:v>
      </x:c>
      <x:c r="P2415" s="53" t="str">
        <x:v>Core Law &amp; Order franchise</x:v>
      </x:c>
      <x:c r="Q2415" s="17" t="str">
        <x:v>3734661</x:v>
      </x:c>
      <x:c r="R2415" s="17" t="str">
        <x:v>tt10770502</x:v>
      </x:c>
      <x:c r="S2415" s="17" t="str">
        <x:v>1465</x:v>
      </x:c>
    </x:row>
    <x:row r="2416">
      <x:c r="A2416" s="43" t="n">
        <x:v>2412</x:v>
      </x:c>
      <x:c r="B2416" s="44" t="str">
        <x:v>Not Started</x:v>
      </x:c>
      <x:c r="C2416" s="45" t="n">
        <x:v>43782</x:v>
      </x:c>
      <x:c r="D2416" s="33" t="str">
        <x:v>FBI</x:v>
      </x:c>
      <x:c r="E2416" s="33" t="str">
        <x:v>FBI</x:v>
      </x:c>
      <x:c r="F2416" s="33" t="str">
        <x:v>core</x:v>
      </x:c>
      <x:c r="G2416" s="50" t="n">
        <x:v>2</x:v>
      </x:c>
      <x:c r="H2416" s="50" t="n">
        <x:v>7</x:v>
      </x:c>
      <x:c r="I2416" s="44" t="str">
        <x:v>02.07</x:v>
      </x:c>
      <x:c r="J2416" s="33" t="str">
        <x:v>Undisclosed</x:v>
      </x:c>
      <x:c r="K2416" s="33" t="str"/>
      <x:c r="L2416" s="33" t="str"/>
      <x:c r="M2416" s="44" t="str"/>
      <x:c r="N2416" s="50" t="n">
        <x:v>43</x:v>
      </x:c>
      <x:c r="O2416" s="53" t="str">
        <x:v>When a board member of a soon-to-be-public medical tech company is murdered, the team tries to find out who had the most to gain from his death. OA is conflicted when pressure to help a family member is at odds with his commitment to tell the truth.</x:v>
      </x:c>
      <x:c r="P2416" s="53" t="str">
        <x:v>Core FBI franchise</x:v>
      </x:c>
      <x:c r="Q2416" s="17" t="str">
        <x:v>3778617</x:v>
      </x:c>
      <x:c r="R2416" s="17" t="str">
        <x:v>tt11171812</x:v>
      </x:c>
      <x:c r="S2416" s="17" t="str"/>
    </x:row>
    <x:row r="2417">
      <x:c r="A2417" s="43" t="n">
        <x:v>2413</x:v>
      </x:c>
      <x:c r="B2417" s="44" t="str">
        <x:v>Not Started</x:v>
      </x:c>
      <x:c r="C2417" s="45" t="n">
        <x:v>43783</x:v>
      </x:c>
      <x:c r="D2417" s="33" t="str">
        <x:v>Chicago Med</x:v>
      </x:c>
      <x:c r="E2417" s="33" t="str">
        <x:v>One Chicago</x:v>
      </x:c>
      <x:c r="F2417" s="33" t="str">
        <x:v>core</x:v>
      </x:c>
      <x:c r="G2417" s="50" t="n">
        <x:v>5</x:v>
      </x:c>
      <x:c r="H2417" s="50" t="n">
        <x:v>8</x:v>
      </x:c>
      <x:c r="I2417" s="44" t="str">
        <x:v>05.08</x:v>
      </x:c>
      <x:c r="J2417" s="33" t="str">
        <x:v>Too Close to the Sun</x:v>
      </x:c>
      <x:c r="K2417" s="33" t="str"/>
      <x:c r="L2417" s="33" t="str"/>
      <x:c r="M2417" s="44" t="str"/>
      <x:c r="N2417" s="50" t="n">
        <x:v>42</x:v>
      </x:c>
      <x:c r="O2417" s="53" t="str">
        <x:v>Maggie gets unsettling news about a new friend and breaks protocol to support him. One of the doctors from the Med family is rushed into emergency surgery after a violent assault. A social media influencer lets his users vote on medical advice, forcing Dr. Charles to make a decision.</x:v>
      </x:c>
      <x:c r="P2417" s="53" t="str">
        <x:v>Core One Chicago franchise</x:v>
      </x:c>
      <x:c r="Q2417" s="17" t="str">
        <x:v>3733938</x:v>
      </x:c>
      <x:c r="R2417" s="17" t="str">
        <x:v>tt10744416</x:v>
      </x:c>
      <x:c r="S2417" s="17" t="str"/>
    </x:row>
    <x:row r="2418">
      <x:c r="A2418" s="43" t="n">
        <x:v>2414</x:v>
      </x:c>
      <x:c r="B2418" s="44" t="str">
        <x:v>Not Started</x:v>
      </x:c>
      <x:c r="C2418" s="45" t="n">
        <x:v>43783</x:v>
      </x:c>
      <x:c r="D2418" s="33" t="str">
        <x:v>Chicago P.D.</x:v>
      </x:c>
      <x:c r="E2418" s="33" t="str">
        <x:v>One Chicago</x:v>
      </x:c>
      <x:c r="F2418" s="33" t="str">
        <x:v>core</x:v>
      </x:c>
      <x:c r="G2418" s="50" t="n">
        <x:v>7</x:v>
      </x:c>
      <x:c r="H2418" s="50" t="n">
        <x:v>8</x:v>
      </x:c>
      <x:c r="I2418" s="44" t="str">
        <x:v>07.08</x:v>
      </x:c>
      <x:c r="J2418" s="33" t="str">
        <x:v>No Regrets</x:v>
      </x:c>
      <x:c r="K2418" s="33" t="str"/>
      <x:c r="L2418" s="33" t="str"/>
      <x:c r="M2418" s="44" t="str"/>
      <x:c r="N2418" s="50" t="n">
        <x:v>42</x:v>
      </x:c>
      <x:c r="O2418" s="53" t="str">
        <x:v>After injuring herself while pursuing a suspect, Burgess receives a shocking diagnosis. A homicide case turns into a missing persons case, with a sinister twist. Voight has to decide between justice and the letter of the law.</x:v>
      </x:c>
      <x:c r="P2418" s="53" t="str">
        <x:v>Core One Chicago franchise; crossovers with SVU/FBI</x:v>
      </x:c>
      <x:c r="Q2418" s="17" t="str">
        <x:v>3715493</x:v>
      </x:c>
      <x:c r="R2418" s="17" t="str">
        <x:v>tt11203674</x:v>
      </x:c>
      <x:c r="S2418" s="17" t="str"/>
    </x:row>
    <x:row r="2419">
      <x:c r="A2419" s="43" t="n">
        <x:v>2415</x:v>
      </x:c>
      <x:c r="B2419" s="44" t="str">
        <x:v>Not Started</x:v>
      </x:c>
      <x:c r="C2419" s="45" t="n">
        <x:v>43783</x:v>
      </x:c>
      <x:c r="D2419" s="33" t="str">
        <x:v>Chicago Fire</x:v>
      </x:c>
      <x:c r="E2419" s="33" t="str">
        <x:v>One Chicago</x:v>
      </x:c>
      <x:c r="F2419" s="33" t="str">
        <x:v>core</x:v>
      </x:c>
      <x:c r="G2419" s="50" t="n">
        <x:v>8</x:v>
      </x:c>
      <x:c r="H2419" s="50" t="n">
        <x:v>8</x:v>
      </x:c>
      <x:c r="I2419" s="44" t="str">
        <x:v>08.08</x:v>
      </x:c>
      <x:c r="J2419" s="33" t="str">
        <x:v>Seeing Is Believing</x:v>
      </x:c>
      <x:c r="K2419" s="33" t="str"/>
      <x:c r="L2419" s="33" t="str"/>
      <x:c r="M2419" s="44" t="str"/>
      <x:c r="N2419" s="50" t="n">
        <x:v>42</x:v>
      </x:c>
      <x:c r="O2419" s="53" t="str">
        <x:v>Severide begins his assignment at the Office of Fire Investigation and gets off on the wrong foot when, despite his orders, he reopens an old case. When the cause of an apartment fire hits close to home, Herrmann is on a mission to get to the bottom of it. Kidd finds herself burning the candle at both ends.</x:v>
      </x:c>
      <x:c r="P2419" s="53" t="str">
        <x:v>Core One Chicago franchise</x:v>
      </x:c>
      <x:c r="Q2419" s="17" t="str">
        <x:v>3777035</x:v>
      </x:c>
      <x:c r="R2419" s="17" t="str">
        <x:v>tt11089800</x:v>
      </x:c>
      <x:c r="S2419" s="17" t="str"/>
    </x:row>
    <x:row r="2420">
      <x:c r="A2420" s="43" t="n">
        <x:v>2416</x:v>
      </x:c>
      <x:c r="B2420" s="44" t="str">
        <x:v>Not Started</x:v>
      </x:c>
      <x:c r="C2420" s="45" t="n">
        <x:v>43783</x:v>
      </x:c>
      <x:c r="D2420" s="33" t="str">
        <x:v>Law &amp; Order: Special Victims Unit</x:v>
      </x:c>
      <x:c r="E2420" s="33" t="str">
        <x:v>Law &amp; Order</x:v>
      </x:c>
      <x:c r="F2420" s="33" t="str">
        <x:v>core</x:v>
      </x:c>
      <x:c r="G2420" s="50" t="n">
        <x:v>21</x:v>
      </x:c>
      <x:c r="H2420" s="50" t="n">
        <x:v>8</x:v>
      </x:c>
      <x:c r="I2420" s="44" t="str">
        <x:v>21.08</x:v>
      </x:c>
      <x:c r="J2420" s="33" t="str">
        <x:v>We Dream of Machine Elves</x:v>
      </x:c>
      <x:c r="K2420" s="33" t="str"/>
      <x:c r="L2420" s="33" t="str"/>
      <x:c r="M2420" s="44" t="str"/>
      <x:c r="N2420" s="50" t="n">
        <x:v>43</x:v>
      </x:c>
      <x:c r="O2420" s="53" t="str">
        <x:v>Rollins goes undercover to find a suspect who is drugging and assaulting tourists, while Benson helps the victims sort out their memories from their hallucinations.</x:v>
      </x:c>
      <x:c r="P2420" s="53" t="str">
        <x:v>Core Law &amp; Order franchise</x:v>
      </x:c>
      <x:c r="Q2420" s="17" t="str">
        <x:v>3734662</x:v>
      </x:c>
      <x:c r="R2420" s="17" t="str">
        <x:v>tt10770510</x:v>
      </x:c>
      <x:c r="S2420" s="17" t="str">
        <x:v>1466</x:v>
      </x:c>
    </x:row>
    <x:row r="2421">
      <x:c r="A2421" s="43" t="n">
        <x:v>2417</x:v>
      </x:c>
      <x:c r="B2421" s="44" t="str">
        <x:v>Not Started</x:v>
      </x:c>
      <x:c r="C2421" s="45" t="n">
        <x:v>43789</x:v>
      </x:c>
      <x:c r="D2421" s="33" t="str">
        <x:v>FBI</x:v>
      </x:c>
      <x:c r="E2421" s="33" t="str">
        <x:v>FBI</x:v>
      </x:c>
      <x:c r="F2421" s="33" t="str">
        <x:v>core</x:v>
      </x:c>
      <x:c r="G2421" s="50" t="n">
        <x:v>2</x:v>
      </x:c>
      <x:c r="H2421" s="50" t="n">
        <x:v>8</x:v>
      </x:c>
      <x:c r="I2421" s="44" t="str">
        <x:v>02.08</x:v>
      </x:c>
      <x:c r="J2421" s="33" t="str">
        <x:v>Codename: Ferdinand</x:v>
      </x:c>
      <x:c r="K2421" s="33" t="str"/>
      <x:c r="L2421" s="33" t="str"/>
      <x:c r="M2421" s="44" t="str"/>
      <x:c r="N2421" s="50" t="n">
        <x:v>43</x:v>
      </x:c>
      <x:c r="O2421" s="53" t="str">
        <x:v>A car crash results in the death of a photographer; Maggie sympathizes with his widow when she notices similarities with her own husband's death.</x:v>
      </x:c>
      <x:c r="P2421" s="53" t="str">
        <x:v>Core FBI franchise</x:v>
      </x:c>
      <x:c r="Q2421" s="17" t="str">
        <x:v>3797915</x:v>
      </x:c>
      <x:c r="R2421" s="17" t="str">
        <x:v>tt11202502</x:v>
      </x:c>
      <x:c r="S2421" s="17" t="str"/>
    </x:row>
    <x:row r="2422">
      <x:c r="A2422" s="43" t="n">
        <x:v>2418</x:v>
      </x:c>
      <x:c r="B2422" s="44" t="str">
        <x:v>Not Started</x:v>
      </x:c>
      <x:c r="C2422" s="45" t="n">
        <x:v>43790</x:v>
      </x:c>
      <x:c r="D2422" s="33" t="str">
        <x:v>Chicago Med</x:v>
      </x:c>
      <x:c r="E2422" s="33" t="str">
        <x:v>One Chicago</x:v>
      </x:c>
      <x:c r="F2422" s="33" t="str">
        <x:v>core</x:v>
      </x:c>
      <x:c r="G2422" s="50" t="n">
        <x:v>5</x:v>
      </x:c>
      <x:c r="H2422" s="50" t="n">
        <x:v>9</x:v>
      </x:c>
      <x:c r="I2422" s="44" t="str">
        <x:v>05.09</x:v>
      </x:c>
      <x:c r="J2422" s="33" t="str">
        <x:v>I Can't Imagine the Future</x:v>
      </x:c>
      <x:c r="K2422" s="33" t="str"/>
      <x:c r="L2422" s="33" t="str"/>
      <x:c r="M2422" s="44" t="str"/>
      <x:c r="N2422" s="50" t="n">
        <x:v>42</x:v>
      </x:c>
      <x:c r="O2422" s="53" t="str">
        <x:v>April receives unfortunate news that makes her question her future with Ethan. Dr. Charles and Maggie see tough times on the horizon. Natalie’s memory from the accident starts to return.</x:v>
      </x:c>
      <x:c r="P2422" s="53" t="str">
        <x:v>Core One Chicago franchise</x:v>
      </x:c>
      <x:c r="Q2422" s="17" t="str">
        <x:v>3787077</x:v>
      </x:c>
      <x:c r="R2422" s="17" t="str">
        <x:v>tt11193302</x:v>
      </x:c>
      <x:c r="S2422" s="17" t="str"/>
    </x:row>
    <x:row r="2423">
      <x:c r="A2423" s="43" t="n">
        <x:v>2419</x:v>
      </x:c>
      <x:c r="B2423" s="44" t="str">
        <x:v>Not Started</x:v>
      </x:c>
      <x:c r="C2423" s="45" t="n">
        <x:v>43790</x:v>
      </x:c>
      <x:c r="D2423" s="33" t="str">
        <x:v>Chicago P.D.</x:v>
      </x:c>
      <x:c r="E2423" s="33" t="str">
        <x:v>One Chicago</x:v>
      </x:c>
      <x:c r="F2423" s="33" t="str">
        <x:v>core</x:v>
      </x:c>
      <x:c r="G2423" s="50" t="n">
        <x:v>7</x:v>
      </x:c>
      <x:c r="H2423" s="50" t="n">
        <x:v>9</x:v>
      </x:c>
      <x:c r="I2423" s="44" t="str">
        <x:v>07.09</x:v>
      </x:c>
      <x:c r="J2423" s="33" t="str">
        <x:v>Absolution</x:v>
      </x:c>
      <x:c r="K2423" s="33" t="str"/>
      <x:c r="L2423" s="33" t="str"/>
      <x:c r="M2423" s="44" t="str"/>
      <x:c r="N2423" s="50" t="n">
        <x:v>42</x:v>
      </x:c>
      <x:c r="O2423" s="53" t="str">
        <x:v>Halstead's secret ongoing relationship with a woman connected to another case puts him in jeopardy.</x:v>
      </x:c>
      <x:c r="P2423" s="53" t="str">
        <x:v>Core One Chicago franchise; crossovers with SVU/FBI</x:v>
      </x:c>
      <x:c r="Q2423" s="17" t="str">
        <x:v>3786988</x:v>
      </x:c>
      <x:c r="R2423" s="17" t="str">
        <x:v>tt11203676</x:v>
      </x:c>
      <x:c r="S2423" s="17" t="str"/>
    </x:row>
    <x:row r="2424">
      <x:c r="A2424" s="43" t="n">
        <x:v>2420</x:v>
      </x:c>
      <x:c r="B2424" s="44" t="str">
        <x:v>Not Started</x:v>
      </x:c>
      <x:c r="C2424" s="45" t="n">
        <x:v>43790</x:v>
      </x:c>
      <x:c r="D2424" s="33" t="str">
        <x:v>Chicago Fire</x:v>
      </x:c>
      <x:c r="E2424" s="33" t="str">
        <x:v>One Chicago</x:v>
      </x:c>
      <x:c r="F2424" s="33" t="str">
        <x:v>core</x:v>
      </x:c>
      <x:c r="G2424" s="50" t="n">
        <x:v>8</x:v>
      </x:c>
      <x:c r="H2424" s="50" t="n">
        <x:v>9</x:v>
      </x:c>
      <x:c r="I2424" s="44" t="str">
        <x:v>08.09</x:v>
      </x:c>
      <x:c r="J2424" s="33" t="str">
        <x:v>Best Friend Magic</x:v>
      </x:c>
      <x:c r="K2424" s="33" t="str"/>
      <x:c r="L2424" s="33" t="str"/>
      <x:c r="M2424" s="44" t="str"/>
      <x:c r="N2424" s="50" t="n">
        <x:v>42</x:v>
      </x:c>
      <x:c r="O2424" s="53" t="str">
        <x:v>An unexpected visit throws Casey for a loop. Severide sets out to exonerate a wrongly convicted arsonist. Kidd pays the price for burning the candle at both ends. Cruz goes on a mission to fix one of Otis’s old toys.</x:v>
      </x:c>
      <x:c r="P2424" s="53" t="str">
        <x:v>Core One Chicago franchise</x:v>
      </x:c>
      <x:c r="Q2424" s="17" t="str">
        <x:v>3786156</x:v>
      </x:c>
      <x:c r="R2424" s="17" t="str">
        <x:v>tt11229940</x:v>
      </x:c>
      <x:c r="S2424" s="17" t="str"/>
    </x:row>
    <x:row r="2425">
      <x:c r="A2425" s="43" t="n">
        <x:v>2421</x:v>
      </x:c>
      <x:c r="B2425" s="44" t="str">
        <x:v>Not Started</x:v>
      </x:c>
      <x:c r="C2425" s="45" t="n">
        <x:v>43790</x:v>
      </x:c>
      <x:c r="D2425" s="33" t="str">
        <x:v>Law &amp; Order: Special Victims Unit</x:v>
      </x:c>
      <x:c r="E2425" s="33" t="str">
        <x:v>Law &amp; Order</x:v>
      </x:c>
      <x:c r="F2425" s="33" t="str">
        <x:v>core</x:v>
      </x:c>
      <x:c r="G2425" s="50" t="n">
        <x:v>21</x:v>
      </x:c>
      <x:c r="H2425" s="50" t="n">
        <x:v>9</x:v>
      </x:c>
      <x:c r="I2425" s="44" t="str">
        <x:v>21.09</x:v>
      </x:c>
      <x:c r="J2425" s="33" t="str">
        <x:v>Can't Be Held Accountable</x:v>
      </x:c>
      <x:c r="K2425" s="33" t="str"/>
      <x:c r="L2425" s="33" t="str"/>
      <x:c r="M2425" s="44" t="str"/>
      <x:c r="N2425" s="50" t="n">
        <x:v>43</x:v>
      </x:c>
      <x:c r="O2425" s="53" t="str">
        <x:v>A fellow detective asks the SVU for help when he suspects his two daughters are being groomed by a serial predator. Kat disobeys the Captain's orders.</x:v>
      </x:c>
      <x:c r="P2425" s="53" t="str">
        <x:v>Core Law &amp; Order franchise</x:v>
      </x:c>
      <x:c r="Q2425" s="17" t="str">
        <x:v>3799047</x:v>
      </x:c>
      <x:c r="R2425" s="17" t="str">
        <x:v>tt11001932</x:v>
      </x:c>
      <x:c r="S2425" s="17" t="str">
        <x:v>1467</x:v>
      </x:c>
    </x:row>
    <x:row r="2426">
      <x:c r="A2426" s="43" t="n">
        <x:v>2422</x:v>
      </x:c>
      <x:c r="B2426" s="44" t="str">
        <x:v>Not Started</x:v>
      </x:c>
      <x:c r="C2426" s="45" t="n">
        <x:v>43796</x:v>
      </x:c>
      <x:c r="D2426" s="33" t="str">
        <x:v>FBI</x:v>
      </x:c>
      <x:c r="E2426" s="33" t="str">
        <x:v>FBI</x:v>
      </x:c>
      <x:c r="F2426" s="33" t="str">
        <x:v>core</x:v>
      </x:c>
      <x:c r="G2426" s="50" t="n">
        <x:v>2</x:v>
      </x:c>
      <x:c r="H2426" s="50" t="n">
        <x:v>9</x:v>
      </x:c>
      <x:c r="I2426" s="44" t="str">
        <x:v>02.09</x:v>
      </x:c>
      <x:c r="J2426" s="33" t="str">
        <x:v>Salvation</x:v>
      </x:c>
      <x:c r="K2426" s="33" t="str"/>
      <x:c r="L2426" s="33" t="str"/>
      <x:c r="M2426" s="44" t="str"/>
      <x:c r="N2426" s="50" t="n">
        <x:v>43</x:v>
      </x:c>
      <x:c r="O2426" s="53" t="str">
        <x:v>After an altercation with a student, a teacher goes missing, leading the team to investigate everyone who might have had a grudge against him. Also, a key witness in the case steps up to help, and Maggie does whatever she can to ensure their safety.</x:v>
      </x:c>
      <x:c r="P2426" s="53" t="str">
        <x:v>Core FBI franchise</x:v>
      </x:c>
      <x:c r="Q2426" s="17" t="str">
        <x:v>3800322</x:v>
      </x:c>
      <x:c r="R2426" s="17" t="str">
        <x:v>tt11182928</x:v>
      </x:c>
      <x:c r="S2426" s="17" t="str"/>
    </x:row>
    <x:row r="2427">
      <x:c r="A2427" s="43" t="n">
        <x:v>2423</x:v>
      </x:c>
      <x:c r="B2427" s="44" t="str">
        <x:v>Not Started</x:v>
      </x:c>
      <x:c r="C2427" s="45" t="n">
        <x:v>43817</x:v>
      </x:c>
      <x:c r="D2427" s="33" t="str">
        <x:v>FBI</x:v>
      </x:c>
      <x:c r="E2427" s="33" t="str">
        <x:v>FBI</x:v>
      </x:c>
      <x:c r="F2427" s="33" t="str">
        <x:v>core</x:v>
      </x:c>
      <x:c r="G2427" s="50" t="n">
        <x:v>2</x:v>
      </x:c>
      <x:c r="H2427" s="50" t="n">
        <x:v>10</x:v>
      </x:c>
      <x:c r="I2427" s="44" t="str">
        <x:v>02.10</x:v>
      </x:c>
      <x:c r="J2427" s="33" t="str">
        <x:v>Ties That Bind</x:v>
      </x:c>
      <x:c r="K2427" s="33" t="str"/>
      <x:c r="L2427" s="33" t="str"/>
      <x:c r="M2427" s="44" t="str"/>
      <x:c r="N2427" s="50" t="n">
        <x:v>43</x:v>
      </x:c>
      <x:c r="O2427" s="53" t="str">
        <x:v>A former kidnapping victim is linked to a series of murders that includes the daughter of an NYPD detective. Also, Kristen begins to doubt her ability as an agent after a training exercise leaves her shaken.</x:v>
      </x:c>
      <x:c r="P2427" s="53" t="str">
        <x:v>Core FBI franchise</x:v>
      </x:c>
      <x:c r="Q2427" s="17" t="str">
        <x:v>3828320</x:v>
      </x:c>
      <x:c r="R2427" s="17" t="str">
        <x:v>tt11349486</x:v>
      </x:c>
      <x:c r="S2427" s="17" t="str"/>
    </x:row>
    <x:row r="2428">
      <x:c r="A2428" s="43" t="n">
        <x:v>2424</x:v>
      </x:c>
      <x:c r="B2428" s="44" t="str">
        <x:v>Not Started</x:v>
      </x:c>
      <x:c r="C2428" s="45" t="n">
        <x:v>43838</x:v>
      </x:c>
      <x:c r="D2428" s="33" t="str">
        <x:v>FBI: Most Wanted</x:v>
      </x:c>
      <x:c r="E2428" s="33" t="str">
        <x:v>FBI</x:v>
      </x:c>
      <x:c r="F2428" s="33" t="str">
        <x:v>core</x:v>
      </x:c>
      <x:c r="G2428" s="50" t="n">
        <x:v>1</x:v>
      </x:c>
      <x:c r="H2428" s="50" t="n">
        <x:v>1</x:v>
      </x:c>
      <x:c r="I2428" s="44" t="str">
        <x:v>01.01</x:v>
      </x:c>
      <x:c r="J2428" s="33" t="str">
        <x:v>Dopesick</x:v>
      </x:c>
      <x:c r="K2428" s="33" t="str"/>
      <x:c r="L2428" s="33" t="str"/>
      <x:c r="M2428" s="44" t="str"/>
      <x:c r="N2428" s="50" t="n">
        <x:v>43</x:v>
      </x:c>
      <x:c r="O2428" s="53" t="str">
        <x:v>Jess LaCroix and his elite team of FBI Fugitive Task Force agents track a doctor who's deeply involved in a world of organized crime, drugs and lies, and is on the run after a phone call records him delivering his wife's fatal shot.</x:v>
      </x:c>
      <x:c r="P2428" s="53" t="str">
        <x:v>Core FBI franchise</x:v>
      </x:c>
      <x:c r="Q2428" s="17" t="str">
        <x:v>3772996</x:v>
      </x:c>
      <x:c r="R2428" s="17" t="str">
        <x:v>tt9749020</x:v>
      </x:c>
      <x:c r="S2428" s="17" t="str"/>
    </x:row>
    <x:row r="2429">
      <x:c r="A2429" s="43" t="n">
        <x:v>2425</x:v>
      </x:c>
      <x:c r="B2429" s="44" t="str">
        <x:v>Not Started</x:v>
      </x:c>
      <x:c r="C2429" s="45" t="n">
        <x:v>43838</x:v>
      </x:c>
      <x:c r="D2429" s="33" t="str">
        <x:v>FBI</x:v>
      </x:c>
      <x:c r="E2429" s="33" t="str">
        <x:v>FBI</x:v>
      </x:c>
      <x:c r="F2429" s="33" t="str">
        <x:v>core</x:v>
      </x:c>
      <x:c r="G2429" s="50" t="n">
        <x:v>2</x:v>
      </x:c>
      <x:c r="H2429" s="50" t="n">
        <x:v>11</x:v>
      </x:c>
      <x:c r="I2429" s="44" t="str">
        <x:v>02.11</x:v>
      </x:c>
      <x:c r="J2429" s="33" t="str">
        <x:v>Fallout</x:v>
      </x:c>
      <x:c r="K2429" s="33" t="str"/>
      <x:c r="L2429" s="33" t="str"/>
      <x:c r="M2429" s="44" t="str"/>
      <x:c r="N2429" s="50" t="n">
        <x:v>43</x:v>
      </x:c>
      <x:c r="O2429" s="53" t="str">
        <x:v>After a businessman with a history of harassment claims against him is killed, the team suspects the killer may be one of his many accusers.</x:v>
      </x:c>
      <x:c r="P2429" s="53" t="str">
        <x:v>Core FBI franchise</x:v>
      </x:c>
      <x:c r="Q2429" s="17" t="str">
        <x:v>3872191</x:v>
      </x:c>
      <x:c r="R2429" s="17" t="str">
        <x:v>tt11460724</x:v>
      </x:c>
      <x:c r="S2429" s="17" t="str"/>
    </x:row>
    <x:row r="2430">
      <x:c r="A2430" s="43" t="n">
        <x:v>2426</x:v>
      </x:c>
      <x:c r="B2430" s="44" t="str">
        <x:v>Not Started</x:v>
      </x:c>
      <x:c r="C2430" s="45" t="n">
        <x:v>43839</x:v>
      </x:c>
      <x:c r="D2430" s="33" t="str">
        <x:v>Chicago Med</x:v>
      </x:c>
      <x:c r="E2430" s="33" t="str">
        <x:v>One Chicago</x:v>
      </x:c>
      <x:c r="F2430" s="33" t="str">
        <x:v>core</x:v>
      </x:c>
      <x:c r="G2430" s="50" t="n">
        <x:v>5</x:v>
      </x:c>
      <x:c r="H2430" s="50" t="n">
        <x:v>10</x:v>
      </x:c>
      <x:c r="I2430" s="44" t="str">
        <x:v>05.10</x:v>
      </x:c>
      <x:c r="J2430" s="33" t="str">
        <x:v>Guess It Doesn't Matter Anymore</x:v>
      </x:c>
      <x:c r="K2430" s="33" t="str"/>
      <x:c r="L2430" s="33" t="str"/>
      <x:c r="M2430" s="44" t="str"/>
      <x:c r="N2430" s="50" t="n">
        <x:v>42</x:v>
      </x:c>
      <x:c r="O2430" s="53" t="str">
        <x:v>Dr. Halstead's world is thrown into turmoil when a former patient resurfaces. April has a secret she considers confessing to Ethan. Dr. Charles tries to maintain his focus during a difficult time.</x:v>
      </x:c>
      <x:c r="P2430" s="53" t="str">
        <x:v>Core One Chicago franchise</x:v>
      </x:c>
      <x:c r="Q2430" s="17" t="str">
        <x:v>3787075</x:v>
      </x:c>
      <x:c r="R2430" s="17" t="str">
        <x:v>tt11322824</x:v>
      </x:c>
      <x:c r="S2430" s="17" t="str"/>
    </x:row>
    <x:row r="2431">
      <x:c r="A2431" s="43" t="n">
        <x:v>2427</x:v>
      </x:c>
      <x:c r="B2431" s="44" t="str">
        <x:v>Not Started</x:v>
      </x:c>
      <x:c r="C2431" s="45" t="n">
        <x:v>43839</x:v>
      </x:c>
      <x:c r="D2431" s="33" t="str">
        <x:v>Chicago P.D.</x:v>
      </x:c>
      <x:c r="E2431" s="33" t="str">
        <x:v>One Chicago</x:v>
      </x:c>
      <x:c r="F2431" s="33" t="str">
        <x:v>core</x:v>
      </x:c>
      <x:c r="G2431" s="50" t="n">
        <x:v>7</x:v>
      </x:c>
      <x:c r="H2431" s="50" t="n">
        <x:v>10</x:v>
      </x:c>
      <x:c r="I2431" s="44" t="str">
        <x:v>07.10</x:v>
      </x:c>
      <x:c r="J2431" s="33" t="str">
        <x:v>Mercy</x:v>
      </x:c>
      <x:c r="K2431" s="33" t="str"/>
      <x:c r="L2431" s="33" t="str"/>
      <x:c r="M2431" s="44" t="str"/>
      <x:c r="N2431" s="50" t="n">
        <x:v>42</x:v>
      </x:c>
      <x:c r="O2431" s="53" t="str">
        <x:v>As they await news of Halstead’s fate, the team tries to focus on work, turning their attention to an illegal arms dealer. Atwater discovers his brother, Jordan, is back in Chicago and could be tied to the case. Voight faces the tricky task of how to deal with Halstead’s shooter. Burgess finally makes her decision.</x:v>
      </x:c>
      <x:c r="P2431" s="53" t="str">
        <x:v>Core One Chicago franchise; crossovers with SVU/FBI</x:v>
      </x:c>
      <x:c r="Q2431" s="17" t="str">
        <x:v>3828336</x:v>
      </x:c>
      <x:c r="R2431" s="17" t="str">
        <x:v>tt11285140</x:v>
      </x:c>
      <x:c r="S2431" s="17" t="str"/>
    </x:row>
    <x:row r="2432">
      <x:c r="A2432" s="43" t="n">
        <x:v>2428</x:v>
      </x:c>
      <x:c r="B2432" s="44" t="str">
        <x:v>Not Started</x:v>
      </x:c>
      <x:c r="C2432" s="45" t="n">
        <x:v>43839</x:v>
      </x:c>
      <x:c r="D2432" s="33" t="str">
        <x:v>Chicago Fire</x:v>
      </x:c>
      <x:c r="E2432" s="33" t="str">
        <x:v>One Chicago</x:v>
      </x:c>
      <x:c r="F2432" s="33" t="str">
        <x:v>core</x:v>
      </x:c>
      <x:c r="G2432" s="50" t="n">
        <x:v>8</x:v>
      </x:c>
      <x:c r="H2432" s="50" t="n">
        <x:v>10</x:v>
      </x:c>
      <x:c r="I2432" s="44" t="str">
        <x:v>08.10</x:v>
      </x:c>
      <x:c r="J2432" s="33" t="str">
        <x:v>Hold Our Ground</x:v>
      </x:c>
      <x:c r="K2432" s="33" t="str"/>
      <x:c r="L2432" s="33" t="str"/>
      <x:c r="M2432" s="44" t="str"/>
      <x:c r="N2432" s="50" t="n">
        <x:v>42</x:v>
      </x:c>
      <x:c r="O2432" s="53" t="str">
        <x:v>Members of Firehouse 51 are dismayed to learn their boundaries have been redrawn to overlap with an adjacent station and problems quickly arise. Casey and Gallo hunt a missing piece of equipment. Brett and Foster find themselves at odds. Mouch tries the find the recipient of a mysterious letter he discovers.</x:v>
      </x:c>
      <x:c r="P2432" s="53" t="str">
        <x:v>Core One Chicago franchise</x:v>
      </x:c>
      <x:c r="Q2432" s="17" t="str">
        <x:v>3828595</x:v>
      </x:c>
      <x:c r="R2432" s="17" t="str">
        <x:v>tt11278414</x:v>
      </x:c>
      <x:c r="S2432" s="17" t="str"/>
    </x:row>
    <x:row r="2433">
      <x:c r="A2433" s="43" t="n">
        <x:v>2429</x:v>
      </x:c>
      <x:c r="B2433" s="44" t="str">
        <x:v>Not Started</x:v>
      </x:c>
      <x:c r="C2433" s="45" t="n">
        <x:v>43839</x:v>
      </x:c>
      <x:c r="D2433" s="33" t="str">
        <x:v>Law &amp; Order: Special Victims Unit</x:v>
      </x:c>
      <x:c r="E2433" s="33" t="str">
        <x:v>Law &amp; Order</x:v>
      </x:c>
      <x:c r="F2433" s="33" t="str">
        <x:v>core</x:v>
      </x:c>
      <x:c r="G2433" s="50" t="n">
        <x:v>21</x:v>
      </x:c>
      <x:c r="H2433" s="50" t="n">
        <x:v>10</x:v>
      </x:c>
      <x:c r="I2433" s="44" t="str">
        <x:v>21.10</x:v>
      </x:c>
      <x:c r="J2433" s="33" t="str">
        <x:v>Must Be Held Accountable</x:v>
      </x:c>
      <x:c r="K2433" s="33" t="str"/>
      <x:c r="L2433" s="33" t="str"/>
      <x:c r="M2433" s="44" t="str"/>
      <x:c r="N2433" s="50" t="n">
        <x:v>43</x:v>
      </x:c>
      <x:c r="O2433" s="53" t="str">
        <x:v>A desperate father takes matters into his own hands in the case against his daughter's rapist.</x:v>
      </x:c>
      <x:c r="P2433" s="53" t="str">
        <x:v>Core Law &amp; Order franchise</x:v>
      </x:c>
      <x:c r="Q2433" s="17" t="str">
        <x:v>3828368</x:v>
      </x:c>
      <x:c r="R2433" s="17" t="str">
        <x:v>tt11001940</x:v>
      </x:c>
      <x:c r="S2433" s="17" t="str">
        <x:v>1468</x:v>
      </x:c>
    </x:row>
    <x:row r="2434">
      <x:c r="A2434" s="43" t="n">
        <x:v>2430</x:v>
      </x:c>
      <x:c r="B2434" s="44" t="str">
        <x:v>Not Started</x:v>
      </x:c>
      <x:c r="C2434" s="45" t="n">
        <x:v>43845</x:v>
      </x:c>
      <x:c r="D2434" s="33" t="str">
        <x:v>FBI: Most Wanted</x:v>
      </x:c>
      <x:c r="E2434" s="33" t="str">
        <x:v>FBI</x:v>
      </x:c>
      <x:c r="F2434" s="33" t="str">
        <x:v>core</x:v>
      </x:c>
      <x:c r="G2434" s="50" t="n">
        <x:v>1</x:v>
      </x:c>
      <x:c r="H2434" s="50" t="n">
        <x:v>2</x:v>
      </x:c>
      <x:c r="I2434" s="44" t="str">
        <x:v>01.02</x:v>
      </x:c>
      <x:c r="J2434" s="33" t="str">
        <x:v>Defender</x:v>
      </x:c>
      <x:c r="K2434" s="33" t="str"/>
      <x:c r="L2434" s="33" t="str"/>
      <x:c r="M2434" s="44" t="str"/>
      <x:c r="N2434" s="50" t="n">
        <x:v>43</x:v>
      </x:c>
      <x:c r="O2434" s="53" t="str">
        <x:v>A single mother goes into a deadly rampage at a Public Defender's office, taking justice into her own hands after her son is given a harsh sentence for a petty crime. Also, Jess worries how his daughter Tali is handling life without her mother.</x:v>
      </x:c>
      <x:c r="P2434" s="53" t="str">
        <x:v>Core FBI franchise</x:v>
      </x:c>
      <x:c r="Q2434" s="17" t="str">
        <x:v>3889130</x:v>
      </x:c>
      <x:c r="R2434" s="17" t="str">
        <x:v>tt10919254</x:v>
      </x:c>
      <x:c r="S2434" s="17" t="str"/>
    </x:row>
    <x:row r="2435">
      <x:c r="A2435" s="43" t="n">
        <x:v>2431</x:v>
      </x:c>
      <x:c r="B2435" s="44" t="str">
        <x:v>Not Started</x:v>
      </x:c>
      <x:c r="C2435" s="45" t="n">
        <x:v>43845</x:v>
      </x:c>
      <x:c r="D2435" s="33" t="str">
        <x:v>FBI</x:v>
      </x:c>
      <x:c r="E2435" s="33" t="str">
        <x:v>FBI</x:v>
      </x:c>
      <x:c r="F2435" s="33" t="str">
        <x:v>core</x:v>
      </x:c>
      <x:c r="G2435" s="50" t="n">
        <x:v>2</x:v>
      </x:c>
      <x:c r="H2435" s="50" t="n">
        <x:v>12</x:v>
      </x:c>
      <x:c r="I2435" s="44" t="str">
        <x:v>02.12</x:v>
      </x:c>
      <x:c r="J2435" s="33" t="str">
        <x:v>Hard Decisions</x:v>
      </x:c>
      <x:c r="K2435" s="33" t="str"/>
      <x:c r="L2435" s="33" t="str"/>
      <x:c r="M2435" s="44" t="str"/>
      <x:c r="N2435" s="50" t="n">
        <x:v>43</x:v>
      </x:c>
      <x:c r="O2435" s="53" t="str">
        <x:v>A bank holdup leads the team to a safe deposit box, the contents of which have the potential to destroy national security; Kristen is eager to get back into field work while other team members still have their concerns.</x:v>
      </x:c>
      <x:c r="P2435" s="53" t="str">
        <x:v>Core FBI franchise</x:v>
      </x:c>
      <x:c r="Q2435" s="17" t="str">
        <x:v>3897612</x:v>
      </x:c>
      <x:c r="R2435" s="17" t="str">
        <x:v>tt11542584</x:v>
      </x:c>
      <x:c r="S2435" s="17" t="str"/>
    </x:row>
    <x:row r="2436">
      <x:c r="A2436" s="43" t="n">
        <x:v>2432</x:v>
      </x:c>
      <x:c r="B2436" s="44" t="str">
        <x:v>Not Started</x:v>
      </x:c>
      <x:c r="C2436" s="45" t="n">
        <x:v>43846</x:v>
      </x:c>
      <x:c r="D2436" s="33" t="str">
        <x:v>Chicago Med</x:v>
      </x:c>
      <x:c r="E2436" s="33" t="str">
        <x:v>One Chicago</x:v>
      </x:c>
      <x:c r="F2436" s="33" t="str">
        <x:v>core</x:v>
      </x:c>
      <x:c r="G2436" s="50" t="n">
        <x:v>5</x:v>
      </x:c>
      <x:c r="H2436" s="50" t="n">
        <x:v>11</x:v>
      </x:c>
      <x:c r="I2436" s="44" t="str">
        <x:v>05.11</x:v>
      </x:c>
      <x:c r="J2436" s="33" t="str">
        <x:v>The Ground Shifts Beneath Us</x:v>
      </x:c>
      <x:c r="K2436" s="33" t="str"/>
      <x:c r="L2436" s="33" t="str"/>
      <x:c r="M2436" s="44" t="str"/>
      <x:c r="N2436" s="50" t="n">
        <x:v>42</x:v>
      </x:c>
      <x:c r="O2436" s="53" t="str">
        <x:v>After a major accident at O'Hare, the E.D. is concerned one of their own is in mortal danger. Will's proposal for a safe injection site goes to the board for consideration. Natalie and Goodwin become concerned for Gwen.</x:v>
      </x:c>
      <x:c r="P2436" s="53" t="str">
        <x:v>Core One Chicago franchise</x:v>
      </x:c>
      <x:c r="Q2436" s="17" t="str">
        <x:v>3889367</x:v>
      </x:c>
      <x:c r="R2436" s="17" t="str">
        <x:v>tt11529298</x:v>
      </x:c>
      <x:c r="S2436" s="17" t="str"/>
    </x:row>
    <x:row r="2437">
      <x:c r="A2437" s="43" t="n">
        <x:v>2433</x:v>
      </x:c>
      <x:c r="B2437" s="44" t="str">
        <x:v>Not Started</x:v>
      </x:c>
      <x:c r="C2437" s="45" t="n">
        <x:v>43846</x:v>
      </x:c>
      <x:c r="D2437" s="33" t="str">
        <x:v>Chicago P.D.</x:v>
      </x:c>
      <x:c r="E2437" s="33" t="str">
        <x:v>One Chicago</x:v>
      </x:c>
      <x:c r="F2437" s="33" t="str">
        <x:v>core</x:v>
      </x:c>
      <x:c r="G2437" s="50" t="n">
        <x:v>7</x:v>
      </x:c>
      <x:c r="H2437" s="50" t="n">
        <x:v>11</x:v>
      </x:c>
      <x:c r="I2437" s="44" t="str">
        <x:v>07.11</x:v>
      </x:c>
      <x:c r="J2437" s="33" t="str">
        <x:v>43rd and Normal</x:v>
      </x:c>
      <x:c r="K2437" s="33" t="str"/>
      <x:c r="L2437" s="33" t="str"/>
      <x:c r="M2437" s="44" t="str"/>
      <x:c r="N2437" s="50" t="n">
        <x:v>42</x:v>
      </x:c>
      <x:c r="O2437" s="53" t="str">
        <x:v>Ruzek and Burgess’s secret begins to have severe implications for their police work. A series of deadly acts of vandalism causes tensions to run high in the insular neighborhood of Canaryville. Atwater tries to reach out to his brother, but only pushes him further away.</x:v>
      </x:c>
      <x:c r="P2437" s="53" t="str">
        <x:v>Core One Chicago franchise; crossovers with SVU/FBI</x:v>
      </x:c>
      <x:c r="Q2437" s="17" t="str">
        <x:v>3889426</x:v>
      </x:c>
      <x:c r="R2437" s="17" t="str">
        <x:v>tt11529314</x:v>
      </x:c>
      <x:c r="S2437" s="17" t="str"/>
    </x:row>
    <x:row r="2438">
      <x:c r="A2438" s="43" t="n">
        <x:v>2434</x:v>
      </x:c>
      <x:c r="B2438" s="44" t="str">
        <x:v>Not Started</x:v>
      </x:c>
      <x:c r="C2438" s="45" t="n">
        <x:v>43846</x:v>
      </x:c>
      <x:c r="D2438" s="33" t="str">
        <x:v>Chicago Fire</x:v>
      </x:c>
      <x:c r="E2438" s="33" t="str">
        <x:v>One Chicago</x:v>
      </x:c>
      <x:c r="F2438" s="33" t="str">
        <x:v>core</x:v>
      </x:c>
      <x:c r="G2438" s="50" t="n">
        <x:v>8</x:v>
      </x:c>
      <x:c r="H2438" s="50" t="n">
        <x:v>11</x:v>
      </x:c>
      <x:c r="I2438" s="44" t="str">
        <x:v>08.11</x:v>
      </x:c>
      <x:c r="J2438" s="33" t="str">
        <x:v>Where We End Up</x:v>
      </x:c>
      <x:c r="K2438" s="33" t="str"/>
      <x:c r="L2438" s="33" t="str"/>
      <x:c r="M2438" s="44" t="str"/>
      <x:c r="N2438" s="50" t="n">
        <x:v>42</x:v>
      </x:c>
      <x:c r="O2438" s="53" t="str">
        <x:v>A pest control problem forces the 51 team to temporarily bunk with Firehouse 20. All under the same roof, Casey clashes with Capt. Delaney while Foster, Kidd and Brett fear Capt. Leone has it out for them. Boden mulls a procedural overhaul.</x:v>
      </x:c>
      <x:c r="P2438" s="53" t="str">
        <x:v>Core One Chicago franchise</x:v>
      </x:c>
      <x:c r="Q2438" s="17" t="str">
        <x:v>3890202</x:v>
      </x:c>
      <x:c r="R2438" s="17" t="str">
        <x:v>tt11529376</x:v>
      </x:c>
      <x:c r="S2438" s="17" t="str"/>
    </x:row>
    <x:row r="2439">
      <x:c r="A2439" s="43" t="n">
        <x:v>2435</x:v>
      </x:c>
      <x:c r="B2439" s="44" t="str">
        <x:v>Not Started</x:v>
      </x:c>
      <x:c r="C2439" s="45" t="n">
        <x:v>43846</x:v>
      </x:c>
      <x:c r="D2439" s="33" t="str">
        <x:v>Law &amp; Order: Special Victims Unit</x:v>
      </x:c>
      <x:c r="E2439" s="33" t="str">
        <x:v>Law &amp; Order</x:v>
      </x:c>
      <x:c r="F2439" s="33" t="str">
        <x:v>core</x:v>
      </x:c>
      <x:c r="G2439" s="50" t="n">
        <x:v>21</x:v>
      </x:c>
      <x:c r="H2439" s="50" t="n">
        <x:v>11</x:v>
      </x:c>
      <x:c r="I2439" s="44" t="str">
        <x:v>21.11</x:v>
      </x:c>
      <x:c r="J2439" s="33" t="str">
        <x:v>She Paints for Vengeance</x:v>
      </x:c>
      <x:c r="K2439" s="33" t="str"/>
      <x:c r="L2439" s="33" t="str"/>
      <x:c r="M2439" s="44" t="str"/>
      <x:c r="N2439" s="50" t="n">
        <x:v>43</x:v>
      </x:c>
      <x:c r="O2439" s="53" t="str">
        <x:v>After a sexual assault investigation is stalled for months, a woman puts her accusations against a popular athlete on a billboard.</x:v>
      </x:c>
      <x:c r="P2439" s="53" t="str">
        <x:v>Core Law &amp; Order franchise</x:v>
      </x:c>
      <x:c r="Q2439" s="17" t="str">
        <x:v>3890738</x:v>
      </x:c>
      <x:c r="R2439" s="17" t="str">
        <x:v>tt11001952</x:v>
      </x:c>
      <x:c r="S2439" s="17" t="str">
        <x:v>1469</x:v>
      </x:c>
    </x:row>
    <x:row r="2440">
      <x:c r="A2440" s="43" t="n">
        <x:v>2436</x:v>
      </x:c>
      <x:c r="B2440" s="44" t="str">
        <x:v>Not Started</x:v>
      </x:c>
      <x:c r="C2440" s="45" t="n">
        <x:v>43852</x:v>
      </x:c>
      <x:c r="D2440" s="33" t="str">
        <x:v>FBI: Most Wanted</x:v>
      </x:c>
      <x:c r="E2440" s="33" t="str">
        <x:v>FBI</x:v>
      </x:c>
      <x:c r="F2440" s="33" t="str">
        <x:v>core</x:v>
      </x:c>
      <x:c r="G2440" s="50" t="n">
        <x:v>1</x:v>
      </x:c>
      <x:c r="H2440" s="50" t="n">
        <x:v>3</x:v>
      </x:c>
      <x:c r="I2440" s="44" t="str">
        <x:v>01.03</x:v>
      </x:c>
      <x:c r="J2440" s="33" t="str">
        <x:v>Hairtrigger</x:v>
      </x:c>
      <x:c r="K2440" s="33" t="str"/>
      <x:c r="L2440" s="33" t="str"/>
      <x:c r="M2440" s="44" t="str"/>
      <x:c r="N2440" s="50" t="n">
        <x:v>43</x:v>
      </x:c>
      <x:c r="O2440" s="53" t="str">
        <x:v>When a young man is traumatized by his experience surviving a mass shooting, and radicalized into becoming an anti-government terrorist, the team must act quickly to track him down before he can exact revenge on those he believes failed him.</x:v>
      </x:c>
      <x:c r="P2440" s="53" t="str">
        <x:v>Core FBI franchise</x:v>
      </x:c>
      <x:c r="Q2440" s="17" t="str">
        <x:v>3889131</x:v>
      </x:c>
      <x:c r="R2440" s="17" t="str">
        <x:v>tt10969040</x:v>
      </x:c>
      <x:c r="S2440" s="17" t="str"/>
    </x:row>
    <x:row r="2441">
      <x:c r="A2441" s="43" t="n">
        <x:v>2437</x:v>
      </x:c>
      <x:c r="B2441" s="44" t="str">
        <x:v>Not Started</x:v>
      </x:c>
      <x:c r="C2441" s="45" t="n">
        <x:v>43852</x:v>
      </x:c>
      <x:c r="D2441" s="33" t="str">
        <x:v>FBI</x:v>
      </x:c>
      <x:c r="E2441" s="33" t="str">
        <x:v>FBI</x:v>
      </x:c>
      <x:c r="F2441" s="33" t="str">
        <x:v>core</x:v>
      </x:c>
      <x:c r="G2441" s="50" t="n">
        <x:v>2</x:v>
      </x:c>
      <x:c r="H2441" s="50" t="n">
        <x:v>13</x:v>
      </x:c>
      <x:c r="I2441" s="44" t="str">
        <x:v>02.13</x:v>
      </x:c>
      <x:c r="J2441" s="33" t="str">
        <x:v>Payback</x:v>
      </x:c>
      <x:c r="K2441" s="33" t="str"/>
      <x:c r="L2441" s="33" t="str"/>
      <x:c r="M2441" s="44" t="str"/>
      <x:c r="N2441" s="50" t="n">
        <x:v>43</x:v>
      </x:c>
      <x:c r="O2441" s="53" t="str">
        <x:v>The son of a retired FBI agent is kidnapped, and the team must investigate if it's an act of revenge; Isobel must make a hard call when information from the past comes to light.</x:v>
      </x:c>
      <x:c r="P2441" s="53" t="str">
        <x:v>Core FBI franchise</x:v>
      </x:c>
      <x:c r="Q2441" s="17" t="str">
        <x:v>3906676</x:v>
      </x:c>
      <x:c r="R2441" s="17" t="str">
        <x:v>tt11547314</x:v>
      </x:c>
      <x:c r="S2441" s="17" t="str"/>
    </x:row>
    <x:row r="2442">
      <x:c r="A2442" s="43" t="n">
        <x:v>2438</x:v>
      </x:c>
      <x:c r="B2442" s="44" t="str">
        <x:v>Not Started</x:v>
      </x:c>
      <x:c r="C2442" s="45" t="n">
        <x:v>43853</x:v>
      </x:c>
      <x:c r="D2442" s="33" t="str">
        <x:v>Chicago Med</x:v>
      </x:c>
      <x:c r="E2442" s="33" t="str">
        <x:v>One Chicago</x:v>
      </x:c>
      <x:c r="F2442" s="33" t="str">
        <x:v>core</x:v>
      </x:c>
      <x:c r="G2442" s="50" t="n">
        <x:v>5</x:v>
      </x:c>
      <x:c r="H2442" s="50" t="n">
        <x:v>12</x:v>
      </x:c>
      <x:c r="I2442" s="44" t="str">
        <x:v>05.12</x:v>
      </x:c>
      <x:c r="J2442" s="33" t="str">
        <x:v>Leave the Choice to Solomon</x:v>
      </x:c>
      <x:c r="K2442" s="33" t="str"/>
      <x:c r="L2442" s="33" t="str"/>
      <x:c r="M2442" s="44" t="str"/>
      <x:c r="N2442" s="50" t="n">
        <x:v>42</x:v>
      </x:c>
      <x:c r="O2442" s="53" t="str">
        <x:v>The team deals with the aftermath of a school bus crash. Dr. Charles worries Dr. Halstead is putting his medical license in jeopardy. Maggie helps a friend in need.</x:v>
      </x:c>
      <x:c r="P2442" s="53" t="str">
        <x:v>Core One Chicago franchise</x:v>
      </x:c>
      <x:c r="Q2442" s="17" t="str">
        <x:v>3889368</x:v>
      </x:c>
      <x:c r="R2442" s="17" t="str">
        <x:v>tt11529300</x:v>
      </x:c>
      <x:c r="S2442" s="17" t="str"/>
    </x:row>
    <x:row r="2443">
      <x:c r="A2443" s="43" t="n">
        <x:v>2439</x:v>
      </x:c>
      <x:c r="B2443" s="44" t="str">
        <x:v>Not Started</x:v>
      </x:c>
      <x:c r="C2443" s="45" t="n">
        <x:v>43853</x:v>
      </x:c>
      <x:c r="D2443" s="33" t="str">
        <x:v>Chicago P.D.</x:v>
      </x:c>
      <x:c r="E2443" s="33" t="str">
        <x:v>One Chicago</x:v>
      </x:c>
      <x:c r="F2443" s="33" t="str">
        <x:v>core</x:v>
      </x:c>
      <x:c r="G2443" s="50" t="n">
        <x:v>7</x:v>
      </x:c>
      <x:c r="H2443" s="50" t="n">
        <x:v>12</x:v>
      </x:c>
      <x:c r="I2443" s="44" t="str">
        <x:v>07.12</x:v>
      </x:c>
      <x:c r="J2443" s="33" t="str">
        <x:v>The Devil You Know</x:v>
      </x:c>
      <x:c r="K2443" s="33" t="str"/>
      <x:c r="L2443" s="33" t="str"/>
      <x:c r="M2443" s="44" t="str"/>
      <x:c r="N2443" s="50" t="n">
        <x:v>42</x:v>
      </x:c>
      <x:c r="O2443" s="53" t="str">
        <x:v>Voight makes a deal with Darius Walker to help bring down a rogue group of dirty cops dealing drugs that were supposed to be destroyed. Upton clashes with Voight and enacts her own form of justice.</x:v>
      </x:c>
      <x:c r="P2443" s="53" t="str">
        <x:v>Core One Chicago franchise; crossovers with SVU/FBI</x:v>
      </x:c>
      <x:c r="Q2443" s="17" t="str">
        <x:v>3889427</x:v>
      </x:c>
      <x:c r="R2443" s="17" t="str">
        <x:v>tt11565286</x:v>
      </x:c>
      <x:c r="S2443" s="17" t="str"/>
    </x:row>
    <x:row r="2444">
      <x:c r="A2444" s="43" t="n">
        <x:v>2440</x:v>
      </x:c>
      <x:c r="B2444" s="44" t="str">
        <x:v>Not Started</x:v>
      </x:c>
      <x:c r="C2444" s="45" t="n">
        <x:v>43853</x:v>
      </x:c>
      <x:c r="D2444" s="33" t="str">
        <x:v>Chicago Fire</x:v>
      </x:c>
      <x:c r="E2444" s="33" t="str">
        <x:v>One Chicago</x:v>
      </x:c>
      <x:c r="F2444" s="33" t="str">
        <x:v>core</x:v>
      </x:c>
      <x:c r="G2444" s="50" t="n">
        <x:v>8</x:v>
      </x:c>
      <x:c r="H2444" s="50" t="n">
        <x:v>12</x:v>
      </x:c>
      <x:c r="I2444" s="44" t="str">
        <x:v>08.12</x:v>
      </x:c>
      <x:c r="J2444" s="33" t="str">
        <x:v>Then Nick Porter Happened</x:v>
      </x:c>
      <x:c r="K2444" s="33" t="str"/>
      <x:c r="L2444" s="33" t="str"/>
      <x:c r="M2444" s="44" t="str"/>
      <x:c r="N2444" s="50" t="n">
        <x:v>42</x:v>
      </x:c>
      <x:c r="O2444" s="53" t="str">
        <x:v>A series of false alarms at a private school hinders the firehouse's ability to respond to legitimate emergency calls. Kidd asks for ideas to surprise Severide on his birthday. Cruz and Brett rent out their extra room, but the new tenant is more than they bargained for.</x:v>
      </x:c>
      <x:c r="P2444" s="53" t="str">
        <x:v>Core One Chicago franchise</x:v>
      </x:c>
      <x:c r="Q2444" s="17" t="str">
        <x:v>3890203</x:v>
      </x:c>
      <x:c r="R2444" s="17" t="str">
        <x:v>tt11565338</x:v>
      </x:c>
      <x:c r="S2444" s="17" t="str"/>
    </x:row>
    <x:row r="2445">
      <x:c r="A2445" s="43" t="n">
        <x:v>2441</x:v>
      </x:c>
      <x:c r="B2445" s="44" t="str">
        <x:v>Not Started</x:v>
      </x:c>
      <x:c r="C2445" s="45" t="n">
        <x:v>43859</x:v>
      </x:c>
      <x:c r="D2445" s="33" t="str">
        <x:v>FBI: Most Wanted</x:v>
      </x:c>
      <x:c r="E2445" s="33" t="str">
        <x:v>FBI</x:v>
      </x:c>
      <x:c r="F2445" s="33" t="str">
        <x:v>core</x:v>
      </x:c>
      <x:c r="G2445" s="50" t="n">
        <x:v>1</x:v>
      </x:c>
      <x:c r="H2445" s="50" t="n">
        <x:v>4</x:v>
      </x:c>
      <x:c r="I2445" s="44" t="str">
        <x:v>01.04</x:v>
      </x:c>
      <x:c r="J2445" s="33" t="str">
        <x:v>Caesar</x:v>
      </x:c>
      <x:c r="K2445" s="33" t="str"/>
      <x:c r="L2445" s="33" t="str"/>
      <x:c r="M2445" s="44" t="str"/>
      <x:c r="N2445" s="50" t="n">
        <x:v>43</x:v>
      </x:c>
      <x:c r="O2445" s="53" t="str">
        <x:v>Barnes goes on a dangerous undercover mission involving an ambitious gang leader who is plotting turf wars and massacres across the Bronx in a bid for more power.</x:v>
      </x:c>
      <x:c r="P2445" s="53" t="str">
        <x:v>Core FBI franchise</x:v>
      </x:c>
      <x:c r="Q2445" s="17" t="str">
        <x:v>3889132</x:v>
      </x:c>
      <x:c r="R2445" s="17" t="str">
        <x:v>tt11028340</x:v>
      </x:c>
      <x:c r="S2445" s="17" t="str"/>
    </x:row>
    <x:row r="2446">
      <x:c r="A2446" s="43" t="n">
        <x:v>2442</x:v>
      </x:c>
      <x:c r="B2446" s="44" t="str">
        <x:v>Not Started</x:v>
      </x:c>
      <x:c r="C2446" s="45" t="n">
        <x:v>43859</x:v>
      </x:c>
      <x:c r="D2446" s="33" t="str">
        <x:v>FBI</x:v>
      </x:c>
      <x:c r="E2446" s="33" t="str">
        <x:v>FBI</x:v>
      </x:c>
      <x:c r="F2446" s="33" t="str">
        <x:v>core</x:v>
      </x:c>
      <x:c r="G2446" s="50" t="n">
        <x:v>2</x:v>
      </x:c>
      <x:c r="H2446" s="50" t="n">
        <x:v>14</x:v>
      </x:c>
      <x:c r="I2446" s="44" t="str">
        <x:v>02.14</x:v>
      </x:c>
      <x:c r="J2446" s="33" t="str">
        <x:v>Studio Gangster</x:v>
      </x:c>
      <x:c r="K2446" s="33" t="str"/>
      <x:c r="L2446" s="33" t="str"/>
      <x:c r="M2446" s="44" t="str"/>
      <x:c r="N2446" s="50" t="n">
        <x:v>43</x:v>
      </x:c>
      <x:c r="O2446" s="53" t="str">
        <x:v>When a U.S. attorney is found dead steps away from the body of a private escort, the team must piece together what connected the two seemingly random victims. Also, Jubal’s connection with one of the victims makes finding the killer much more personal.</x:v>
      </x:c>
      <x:c r="P2446" s="53" t="str">
        <x:v>Core FBI franchise</x:v>
      </x:c>
      <x:c r="Q2446" s="17" t="str">
        <x:v>3918821</x:v>
      </x:c>
      <x:c r="R2446" s="17" t="str">
        <x:v>tt11570294</x:v>
      </x:c>
      <x:c r="S2446" s="17" t="str"/>
    </x:row>
    <x:row r="2447">
      <x:c r="A2447" s="43" t="n">
        <x:v>2443</x:v>
      </x:c>
      <x:c r="B2447" s="44" t="str">
        <x:v>Not Started</x:v>
      </x:c>
      <x:c r="C2447" s="45" t="n">
        <x:v>43860</x:v>
      </x:c>
      <x:c r="D2447" s="33" t="str">
        <x:v>Law &amp; Order: Special Victims Unit</x:v>
      </x:c>
      <x:c r="E2447" s="33" t="str">
        <x:v>Law &amp; Order</x:v>
      </x:c>
      <x:c r="F2447" s="33" t="str">
        <x:v>core</x:v>
      </x:c>
      <x:c r="G2447" s="50" t="n">
        <x:v>21</x:v>
      </x:c>
      <x:c r="H2447" s="50" t="n">
        <x:v>12</x:v>
      </x:c>
      <x:c r="I2447" s="44" t="str">
        <x:v>21.12</x:v>
      </x:c>
      <x:c r="J2447" s="33" t="str">
        <x:v>The Longest Night of Rain</x:v>
      </x:c>
      <x:c r="K2447" s="33" t="str"/>
      <x:c r="L2447" s="33" t="str"/>
      <x:c r="M2447" s="44" t="str"/>
      <x:c r="N2447" s="50" t="n">
        <x:v>43</x:v>
      </x:c>
      <x:c r="O2447" s="53" t="str">
        <x:v>Benson investigates a police officer's accusations of sexual assault. Captain Tucker's retirement party ends in tragedy.</x:v>
      </x:c>
      <x:c r="P2447" s="53" t="str">
        <x:v>Core Law &amp; Order franchise</x:v>
      </x:c>
      <x:c r="Q2447" s="17" t="str">
        <x:v>3890739</x:v>
      </x:c>
      <x:c r="R2447" s="17" t="str">
        <x:v>tt11007986</x:v>
      </x:c>
      <x:c r="S2447" s="17" t="str">
        <x:v>1470</x:v>
      </x:c>
    </x:row>
    <x:row r="2448">
      <x:c r="A2448" s="43" t="n">
        <x:v>2444</x:v>
      </x:c>
      <x:c r="B2448" s="44" t="str">
        <x:v>Not Started</x:v>
      </x:c>
      <x:c r="C2448" s="45" t="n">
        <x:v>43867</x:v>
      </x:c>
      <x:c r="D2448" s="33" t="str">
        <x:v>Chicago Med</x:v>
      </x:c>
      <x:c r="E2448" s="33" t="str">
        <x:v>One Chicago</x:v>
      </x:c>
      <x:c r="F2448" s="33" t="str">
        <x:v>core</x:v>
      </x:c>
      <x:c r="G2448" s="50" t="n">
        <x:v>5</x:v>
      </x:c>
      <x:c r="H2448" s="50" t="n">
        <x:v>13</x:v>
      </x:c>
      <x:c r="I2448" s="44" t="str">
        <x:v>05.13</x:v>
      </x:c>
      <x:c r="J2448" s="33" t="str">
        <x:v>Pain Is for the Living</x:v>
      </x:c>
      <x:c r="K2448" s="33" t="str"/>
      <x:c r="L2448" s="33" t="str"/>
      <x:c r="M2448" s="44" t="str"/>
      <x:c r="N2448" s="50" t="n">
        <x:v>42</x:v>
      </x:c>
      <x:c r="O2448" s="53" t="str">
        <x:v>Two brothers in critical condition are rushed into the hospital by their parents, leaving Dr. Choi, April and Dr. Charles to tend to their care and left to piece together what actually transpired. Dr. Manning becomes suspicious of a new mother entering the E.D. Dr. Halstead’s tireless activities at the safe injection site start to take a toll on his work.</x:v>
      </x:c>
      <x:c r="P2448" s="53" t="str">
        <x:v>Core One Chicago franchise</x:v>
      </x:c>
      <x:c r="Q2448" s="17" t="str">
        <x:v>3889369</x:v>
      </x:c>
      <x:c r="R2448" s="17" t="str">
        <x:v>tt11529308</x:v>
      </x:c>
      <x:c r="S2448" s="17" t="str"/>
    </x:row>
    <x:row r="2449">
      <x:c r="A2449" s="43" t="n">
        <x:v>2445</x:v>
      </x:c>
      <x:c r="B2449" s="44" t="str">
        <x:v>Not Started</x:v>
      </x:c>
      <x:c r="C2449" s="45" t="n">
        <x:v>43867</x:v>
      </x:c>
      <x:c r="D2449" s="33" t="str">
        <x:v>Chicago P.D.</x:v>
      </x:c>
      <x:c r="E2449" s="33" t="str">
        <x:v>One Chicago</x:v>
      </x:c>
      <x:c r="F2449" s="33" t="str">
        <x:v>core</x:v>
      </x:c>
      <x:c r="G2449" s="50" t="n">
        <x:v>7</x:v>
      </x:c>
      <x:c r="H2449" s="50" t="n">
        <x:v>13</x:v>
      </x:c>
      <x:c r="I2449" s="44" t="str">
        <x:v>07.13</x:v>
      </x:c>
      <x:c r="J2449" s="33" t="str">
        <x:v>I Was Here</x:v>
      </x:c>
      <x:c r="K2449" s="33" t="str"/>
      <x:c r="L2449" s="33" t="str"/>
      <x:c r="M2449" s="44" t="str"/>
      <x:c r="N2449" s="50" t="n">
        <x:v>42</x:v>
      </x:c>
      <x:c r="O2449" s="53" t="str">
        <x:v>After receiving a distressing 911 call, Burgess enlists the team's help to track down a girl caught up in a sex-trafficking ring.</x:v>
      </x:c>
      <x:c r="P2449" s="53" t="str">
        <x:v>Core One Chicago franchise; crossovers with SVU/FBI</x:v>
      </x:c>
      <x:c r="Q2449" s="17" t="str">
        <x:v>3889428</x:v>
      </x:c>
      <x:c r="R2449" s="17" t="str">
        <x:v>tt11459068</x:v>
      </x:c>
      <x:c r="S2449" s="17" t="str"/>
    </x:row>
    <x:row r="2450">
      <x:c r="A2450" s="43" t="n">
        <x:v>2446</x:v>
      </x:c>
      <x:c r="B2450" s="44" t="str">
        <x:v>Not Started</x:v>
      </x:c>
      <x:c r="C2450" s="45" t="n">
        <x:v>43867</x:v>
      </x:c>
      <x:c r="D2450" s="33" t="str">
        <x:v>Chicago Fire</x:v>
      </x:c>
      <x:c r="E2450" s="33" t="str">
        <x:v>One Chicago</x:v>
      </x:c>
      <x:c r="F2450" s="33" t="str">
        <x:v>core</x:v>
      </x:c>
      <x:c r="G2450" s="50" t="n">
        <x:v>8</x:v>
      </x:c>
      <x:c r="H2450" s="50" t="n">
        <x:v>13</x:v>
      </x:c>
      <x:c r="I2450" s="44" t="str">
        <x:v>08.13</x:v>
      </x:c>
      <x:c r="J2450" s="33" t="str">
        <x:v>A Chicago Welcome</x:v>
      </x:c>
      <x:c r="K2450" s="33" t="str"/>
      <x:c r="L2450" s="33" t="str"/>
      <x:c r="M2450" s="44" t="str"/>
      <x:c r="N2450" s="50" t="n">
        <x:v>42</x:v>
      </x:c>
      <x:c r="O2450" s="53" t="str">
        <x:v>The surprising arrival of a new fire truck brings both joy and chaos to members of Firehouse 51. Boden and Severide are asked to make peace with an old foe for the greater good. Brett receives family news while Foster plans a party with friends.</x:v>
      </x:c>
      <x:c r="P2450" s="53" t="str">
        <x:v>Core One Chicago franchise</x:v>
      </x:c>
      <x:c r="Q2450" s="17" t="str">
        <x:v>3890204</x:v>
      </x:c>
      <x:c r="R2450" s="17" t="str">
        <x:v>tt11565348</x:v>
      </x:c>
      <x:c r="S2450" s="17" t="str"/>
    </x:row>
    <x:row r="2451">
      <x:c r="A2451" s="43" t="n">
        <x:v>2447</x:v>
      </x:c>
      <x:c r="B2451" s="44" t="str">
        <x:v>Not Started</x:v>
      </x:c>
      <x:c r="C2451" s="45" t="n">
        <x:v>43867</x:v>
      </x:c>
      <x:c r="D2451" s="33" t="str">
        <x:v>Law &amp; Order: Special Victims Unit</x:v>
      </x:c>
      <x:c r="E2451" s="33" t="str">
        <x:v>Law &amp; Order</x:v>
      </x:c>
      <x:c r="F2451" s="33" t="str">
        <x:v>core</x:v>
      </x:c>
      <x:c r="G2451" s="50" t="n">
        <x:v>21</x:v>
      </x:c>
      <x:c r="H2451" s="50" t="n">
        <x:v>13</x:v>
      </x:c>
      <x:c r="I2451" s="44" t="str">
        <x:v>21.13</x:v>
      </x:c>
      <x:c r="J2451" s="33" t="str">
        <x:v>Redemption in Her Corner</x:v>
      </x:c>
      <x:c r="K2451" s="33" t="str"/>
      <x:c r="L2451" s="33" t="str"/>
      <x:c r="M2451" s="44" t="str"/>
      <x:c r="N2451" s="50" t="n">
        <x:v>43</x:v>
      </x:c>
      <x:c r="O2451" s="53" t="str">
        <x:v>Kat steps over the line when she suspects a trainer at her boxing gym is taking advantage of his students.</x:v>
      </x:c>
      <x:c r="P2451" s="53" t="str">
        <x:v>Core Law &amp; Order franchise</x:v>
      </x:c>
      <x:c r="Q2451" s="17" t="str">
        <x:v>3890740</x:v>
      </x:c>
      <x:c r="R2451" s="17" t="str">
        <x:v>tt11007996</x:v>
      </x:c>
      <x:c r="S2451" s="17" t="str">
        <x:v>1471</x:v>
      </x:c>
    </x:row>
    <x:row r="2452">
      <x:c r="A2452" s="43" t="n">
        <x:v>2448</x:v>
      </x:c>
      <x:c r="B2452" s="44" t="str">
        <x:v>Not Started</x:v>
      </x:c>
      <x:c r="C2452" s="45" t="n">
        <x:v>43873</x:v>
      </x:c>
      <x:c r="D2452" s="33" t="str">
        <x:v>FBI: Most Wanted</x:v>
      </x:c>
      <x:c r="E2452" s="33" t="str">
        <x:v>FBI</x:v>
      </x:c>
      <x:c r="F2452" s="33" t="str">
        <x:v>core</x:v>
      </x:c>
      <x:c r="G2452" s="50" t="n">
        <x:v>1</x:v>
      </x:c>
      <x:c r="H2452" s="50" t="n">
        <x:v>5</x:v>
      </x:c>
      <x:c r="I2452" s="44" t="str">
        <x:v>01.05</x:v>
      </x:c>
      <x:c r="J2452" s="33" t="str">
        <x:v>Invisible</x:v>
      </x:c>
      <x:c r="K2452" s="33" t="str"/>
      <x:c r="L2452" s="33" t="str"/>
      <x:c r="M2452" s="44" t="str"/>
      <x:c r="N2452" s="50" t="n">
        <x:v>43</x:v>
      </x:c>
      <x:c r="O2452" s="53" t="str">
        <x:v>When a military veteran suffering from PTSS snaps after the death of his brother in arms, the decorated sniper’s expert abilities push the team to their limits. Also, Crosby’s personal struggles bubble to the surface when the case begins to hit too close to home.</x:v>
      </x:c>
      <x:c r="P2452" s="53" t="str">
        <x:v>Core FBI franchise</x:v>
      </x:c>
      <x:c r="Q2452" s="17" t="str">
        <x:v>3889133</x:v>
      </x:c>
      <x:c r="R2452" s="17" t="str">
        <x:v>tt11101282</x:v>
      </x:c>
      <x:c r="S2452" s="17" t="str"/>
    </x:row>
    <x:row r="2453">
      <x:c r="A2453" s="43" t="n">
        <x:v>2449</x:v>
      </x:c>
      <x:c r="B2453" s="44" t="str">
        <x:v>Not Started</x:v>
      </x:c>
      <x:c r="C2453" s="45" t="n">
        <x:v>43873</x:v>
      </x:c>
      <x:c r="D2453" s="33" t="str">
        <x:v>FBI</x:v>
      </x:c>
      <x:c r="E2453" s="33" t="str">
        <x:v>FBI</x:v>
      </x:c>
      <x:c r="F2453" s="33" t="str">
        <x:v>core</x:v>
      </x:c>
      <x:c r="G2453" s="50" t="n">
        <x:v>2</x:v>
      </x:c>
      <x:c r="H2453" s="50" t="n">
        <x:v>15</x:v>
      </x:c>
      <x:c r="I2453" s="44" t="str">
        <x:v>02.15</x:v>
      </x:c>
      <x:c r="J2453" s="33" t="str">
        <x:v>Legacy</x:v>
      </x:c>
      <x:c r="K2453" s="33" t="str"/>
      <x:c r="L2453" s="33" t="str"/>
      <x:c r="M2453" s="44" t="str"/>
      <x:c r="N2453" s="50" t="n">
        <x:v>43</x:v>
      </x:c>
      <x:c r="O2453" s="53" t="str">
        <x:v>After a truck filled with armour-piercing rifles is hijacked, the team works to discover who stole it, and what they have planned for the stolen weapons. A friend from OA's past returns to help with the case, but OA isn't sure he can trust him.</x:v>
      </x:c>
      <x:c r="P2453" s="53" t="str">
        <x:v>Core FBI franchise</x:v>
      </x:c>
      <x:c r="Q2453" s="17" t="str">
        <x:v>3934195</x:v>
      </x:c>
      <x:c r="R2453" s="17" t="str">
        <x:v>tt11664242</x:v>
      </x:c>
      <x:c r="S2453" s="17" t="str"/>
    </x:row>
    <x:row r="2454">
      <x:c r="A2454" s="43" t="n">
        <x:v>2450</x:v>
      </x:c>
      <x:c r="B2454" s="44" t="str">
        <x:v>Not Started</x:v>
      </x:c>
      <x:c r="C2454" s="45" t="n">
        <x:v>43874</x:v>
      </x:c>
      <x:c r="D2454" s="33" t="str">
        <x:v>Chicago Med</x:v>
      </x:c>
      <x:c r="E2454" s="33" t="str">
        <x:v>One Chicago</x:v>
      </x:c>
      <x:c r="F2454" s="33" t="str">
        <x:v>core</x:v>
      </x:c>
      <x:c r="G2454" s="50" t="n">
        <x:v>5</x:v>
      </x:c>
      <x:c r="H2454" s="50" t="n">
        <x:v>14</x:v>
      </x:c>
      <x:c r="I2454" s="44" t="str">
        <x:v>05.14</x:v>
      </x:c>
      <x:c r="J2454" s="33" t="str">
        <x:v>It May Not Be Forever</x:v>
      </x:c>
      <x:c r="K2454" s="33" t="str"/>
      <x:c r="L2454" s="33" t="str"/>
      <x:c r="M2454" s="44" t="str"/>
      <x:c r="N2454" s="50" t="n">
        <x:v>42</x:v>
      </x:c>
      <x:c r="O2454" s="53" t="str">
        <x:v>Dr. Manning and Dr. Marcel disagree over an abusive husband. Dr. Halstead struggles with ethics and his decision to work at the safe injection site. Dr. Charles and Elsa reveal a misdiagnosis that may change a family’s life.</x:v>
      </x:c>
      <x:c r="P2454" s="53" t="str">
        <x:v>Core One Chicago franchise</x:v>
      </x:c>
      <x:c r="Q2454" s="17" t="str">
        <x:v>3889370</x:v>
      </x:c>
      <x:c r="R2454" s="17" t="str">
        <x:v>tt11568050</x:v>
      </x:c>
      <x:c r="S2454" s="17" t="str"/>
    </x:row>
    <x:row r="2455">
      <x:c r="A2455" s="43" t="n">
        <x:v>2451</x:v>
      </x:c>
      <x:c r="B2455" s="44" t="str">
        <x:v>Not Started</x:v>
      </x:c>
      <x:c r="C2455" s="45" t="n">
        <x:v>43874</x:v>
      </x:c>
      <x:c r="D2455" s="33" t="str">
        <x:v>Chicago P.D.</x:v>
      </x:c>
      <x:c r="E2455" s="33" t="str">
        <x:v>One Chicago</x:v>
      </x:c>
      <x:c r="F2455" s="33" t="str">
        <x:v>core</x:v>
      </x:c>
      <x:c r="G2455" s="50" t="n">
        <x:v>7</x:v>
      </x:c>
      <x:c r="H2455" s="50" t="n">
        <x:v>14</x:v>
      </x:c>
      <x:c r="I2455" s="44" t="str">
        <x:v>07.14</x:v>
      </x:c>
      <x:c r="J2455" s="33" t="str">
        <x:v>Center Mass</x:v>
      </x:c>
      <x:c r="K2455" s="33" t="str"/>
      <x:c r="L2455" s="33" t="str"/>
      <x:c r="M2455" s="44" t="str"/>
      <x:c r="N2455" s="50" t="n">
        <x:v>42</x:v>
      </x:c>
      <x:c r="O2455" s="53" t="str">
        <x:v>A homeless man's murder leads Intelligence to a criminal who has evaded capture for years. Rojas has a troubling experience with a young mentally ill man.</x:v>
      </x:c>
      <x:c r="P2455" s="53" t="str">
        <x:v>Core One Chicago franchise; crossovers with SVU/FBI</x:v>
      </x:c>
      <x:c r="Q2455" s="17" t="str">
        <x:v>3889429</x:v>
      </x:c>
      <x:c r="R2455" s="17" t="str">
        <x:v>tt11459062</x:v>
      </x:c>
      <x:c r="S2455" s="17" t="str"/>
    </x:row>
    <x:row r="2456">
      <x:c r="A2456" s="43" t="n">
        <x:v>2452</x:v>
      </x:c>
      <x:c r="B2456" s="44" t="str">
        <x:v>Not Started</x:v>
      </x:c>
      <x:c r="C2456" s="45" t="n">
        <x:v>43874</x:v>
      </x:c>
      <x:c r="D2456" s="33" t="str">
        <x:v>Chicago Fire</x:v>
      </x:c>
      <x:c r="E2456" s="33" t="str">
        <x:v>One Chicago</x:v>
      </x:c>
      <x:c r="F2456" s="33" t="str">
        <x:v>core</x:v>
      </x:c>
      <x:c r="G2456" s="50" t="n">
        <x:v>8</x:v>
      </x:c>
      <x:c r="H2456" s="50" t="n">
        <x:v>14</x:v>
      </x:c>
      <x:c r="I2456" s="44" t="str">
        <x:v>08.14</x:v>
      </x:c>
      <x:c r="J2456" s="33" t="str">
        <x:v>Shut It Down</x:v>
      </x:c>
      <x:c r="K2456" s="33" t="str"/>
      <x:c r="L2456" s="33" t="str"/>
      <x:c r="M2456" s="44" t="str"/>
      <x:c r="N2456" s="50" t="n">
        <x:v>42</x:v>
      </x:c>
      <x:c r="O2456" s="53" t="str">
        <x:v>A series of mysterious gas leaks has members of Firehouse 51 puzzled and spread thin. Brett’s conflicted when her birth mother gets serious about tracking her down. Severide misunderstands his role as Cruz’s best man. Mouch bites off more than he can chew.</x:v>
      </x:c>
      <x:c r="P2456" s="53" t="str">
        <x:v>Core One Chicago franchise</x:v>
      </x:c>
      <x:c r="Q2456" s="17" t="str">
        <x:v>3890205</x:v>
      </x:c>
      <x:c r="R2456" s="17" t="str">
        <x:v>tt11565356</x:v>
      </x:c>
      <x:c r="S2456" s="17" t="str"/>
    </x:row>
    <x:row r="2457">
      <x:c r="A2457" s="43" t="n">
        <x:v>2453</x:v>
      </x:c>
      <x:c r="B2457" s="44" t="str">
        <x:v>Not Started</x:v>
      </x:c>
      <x:c r="C2457" s="45" t="n">
        <x:v>43874</x:v>
      </x:c>
      <x:c r="D2457" s="33" t="str">
        <x:v>Law &amp; Order: Special Victims Unit</x:v>
      </x:c>
      <x:c r="E2457" s="33" t="str">
        <x:v>Law &amp; Order</x:v>
      </x:c>
      <x:c r="F2457" s="33" t="str">
        <x:v>core</x:v>
      </x:c>
      <x:c r="G2457" s="50" t="n">
        <x:v>21</x:v>
      </x:c>
      <x:c r="H2457" s="50" t="n">
        <x:v>14</x:v>
      </x:c>
      <x:c r="I2457" s="44" t="str">
        <x:v>21.14</x:v>
      </x:c>
      <x:c r="J2457" s="33" t="str">
        <x:v>I Deserve Some Loving Too</x:v>
      </x:c>
      <x:c r="K2457" s="33" t="str"/>
      <x:c r="L2457" s="33" t="str"/>
      <x:c r="M2457" s="44" t="str"/>
      <x:c r="N2457" s="50" t="n">
        <x:v>43</x:v>
      </x:c>
      <x:c r="O2457" s="53" t="str">
        <x:v>Rollins goes undercover to root out a government worker withholding green cards in exchange for sex.</x:v>
      </x:c>
      <x:c r="P2457" s="53" t="str">
        <x:v>Core Law &amp; Order franchise</x:v>
      </x:c>
      <x:c r="Q2457" s="17" t="str">
        <x:v>3952325</x:v>
      </x:c>
      <x:c r="R2457" s="17" t="str">
        <x:v>tt11008004</x:v>
      </x:c>
      <x:c r="S2457" s="17" t="str">
        <x:v>1472</x:v>
      </x:c>
    </x:row>
    <x:row r="2458">
      <x:c r="A2458" s="43" t="n">
        <x:v>2454</x:v>
      </x:c>
      <x:c r="B2458" s="44" t="str">
        <x:v>Not Started</x:v>
      </x:c>
      <x:c r="C2458" s="45" t="n">
        <x:v>43880</x:v>
      </x:c>
      <x:c r="D2458" s="33" t="str">
        <x:v>FBI: Most Wanted</x:v>
      </x:c>
      <x:c r="E2458" s="33" t="str">
        <x:v>FBI</x:v>
      </x:c>
      <x:c r="F2458" s="33" t="str">
        <x:v>core</x:v>
      </x:c>
      <x:c r="G2458" s="50" t="n">
        <x:v>1</x:v>
      </x:c>
      <x:c r="H2458" s="50" t="n">
        <x:v>6</x:v>
      </x:c>
      <x:c r="I2458" s="44" t="str">
        <x:v>01.06</x:v>
      </x:c>
      <x:c r="J2458" s="33" t="str">
        <x:v>Prophet</x:v>
      </x:c>
      <x:c r="K2458" s="33" t="str"/>
      <x:c r="L2458" s="33" t="str"/>
      <x:c r="M2458" s="44" t="str"/>
      <x:c r="N2458" s="50" t="n">
        <x:v>43</x:v>
      </x:c>
      <x:c r="O2458" s="53" t="str">
        <x:v>A cult leader and his most trusted followers go on the run after he orders the murder of his own family. As Jess and the team race to find them, they uncover the self-proclaimed prophet’s conman past.</x:v>
      </x:c>
      <x:c r="P2458" s="53" t="str">
        <x:v>Core FBI franchise</x:v>
      </x:c>
      <x:c r="Q2458" s="17" t="str">
        <x:v>3889134</x:v>
      </x:c>
      <x:c r="R2458" s="17" t="str">
        <x:v>tt11182104</x:v>
      </x:c>
      <x:c r="S2458" s="17" t="str"/>
    </x:row>
    <x:row r="2459">
      <x:c r="A2459" s="43" t="n">
        <x:v>2455</x:v>
      </x:c>
      <x:c r="B2459" s="44" t="str">
        <x:v>Not Started</x:v>
      </x:c>
      <x:c r="C2459" s="45" t="n">
        <x:v>43880</x:v>
      </x:c>
      <x:c r="D2459" s="33" t="str">
        <x:v>FBI</x:v>
      </x:c>
      <x:c r="E2459" s="33" t="str">
        <x:v>FBI</x:v>
      </x:c>
      <x:c r="F2459" s="33" t="str">
        <x:v>core</x:v>
      </x:c>
      <x:c r="G2459" s="50" t="n">
        <x:v>2</x:v>
      </x:c>
      <x:c r="H2459" s="50" t="n">
        <x:v>16</x:v>
      </x:c>
      <x:c r="I2459" s="44" t="str">
        <x:v>02.16</x:v>
      </x:c>
      <x:c r="J2459" s="33" t="str">
        <x:v>Safe Room</x:v>
      </x:c>
      <x:c r="K2459" s="33" t="str"/>
      <x:c r="L2459" s="33" t="str"/>
      <x:c r="M2459" s="44" t="str"/>
      <x:c r="N2459" s="50" t="n">
        <x:v>43</x:v>
      </x:c>
      <x:c r="O2459" s="53" t="str">
        <x:v>After the police ignore a desperate father's plea for help, he abducts a billionaire's daughter and holds her hostage in a near-impenetrable safe room until his own missing child is returned to him. Also, Jubal puts his hostage negotiation skills to the test.</x:v>
      </x:c>
      <x:c r="P2459" s="53" t="str">
        <x:v>Core FBI franchise</x:v>
      </x:c>
      <x:c r="Q2459" s="17" t="str">
        <x:v>3934196</x:v>
      </x:c>
      <x:c r="R2459" s="17" t="str">
        <x:v>tt11664252</x:v>
      </x:c>
      <x:c r="S2459" s="17" t="str"/>
    </x:row>
    <x:row r="2460">
      <x:c r="A2460" s="43" t="n">
        <x:v>2456</x:v>
      </x:c>
      <x:c r="B2460" s="44" t="str">
        <x:v>Not Started</x:v>
      </x:c>
      <x:c r="C2460" s="45" t="n">
        <x:v>43881</x:v>
      </x:c>
      <x:c r="D2460" s="33" t="str">
        <x:v>Law &amp; Order: Special Victims Unit</x:v>
      </x:c>
      <x:c r="E2460" s="33" t="str">
        <x:v>Law &amp; Order</x:v>
      </x:c>
      <x:c r="F2460" s="33" t="str">
        <x:v>core</x:v>
      </x:c>
      <x:c r="G2460" s="50" t="n">
        <x:v>21</x:v>
      </x:c>
      <x:c r="H2460" s="50" t="n">
        <x:v>15</x:v>
      </x:c>
      <x:c r="I2460" s="44" t="str">
        <x:v>21.15</x:v>
      </x:c>
      <x:c r="J2460" s="33" t="str">
        <x:v>Swimming with the Sharks</x:v>
      </x:c>
      <x:c r="K2460" s="33" t="str"/>
      <x:c r="L2460" s="33" t="str"/>
      <x:c r="M2460" s="44" t="str"/>
      <x:c r="N2460" s="50" t="n">
        <x:v>43</x:v>
      </x:c>
      <x:c r="O2460" s="53" t="str">
        <x:v>The female CEO of a popular wellness company says she was raped, but her business partner claims the accusation is part of an embezzlement cover-up.</x:v>
      </x:c>
      <x:c r="P2460" s="53" t="str">
        <x:v>Core Law &amp; Order franchise</x:v>
      </x:c>
      <x:c r="Q2460" s="17" t="str">
        <x:v>3979784</x:v>
      </x:c>
      <x:c r="R2460" s="17" t="str">
        <x:v>tt11008022</x:v>
      </x:c>
      <x:c r="S2460" s="17" t="str">
        <x:v>1473</x:v>
      </x:c>
    </x:row>
    <x:row r="2461">
      <x:c r="A2461" s="43" t="n">
        <x:v>2457</x:v>
      </x:c>
      <x:c r="B2461" s="44" t="str">
        <x:v>Not Started</x:v>
      </x:c>
      <x:c r="C2461" s="45" t="n">
        <x:v>43888</x:v>
      </x:c>
      <x:c r="D2461" s="33" t="str">
        <x:v>Chicago Med</x:v>
      </x:c>
      <x:c r="E2461" s="33" t="str">
        <x:v>One Chicago</x:v>
      </x:c>
      <x:c r="F2461" s="33" t="str">
        <x:v>core</x:v>
      </x:c>
      <x:c r="G2461" s="50" t="n">
        <x:v>5</x:v>
      </x:c>
      <x:c r="H2461" s="50" t="n">
        <x:v>15</x:v>
      </x:c>
      <x:c r="I2461" s="44" t="str">
        <x:v>05.15</x:v>
      </x:c>
      <x:c r="J2461" s="33" t="str">
        <x:v>I Will Do No Harm</x:v>
      </x:c>
      <x:c r="K2461" s="33" t="str"/>
      <x:c r="L2461" s="33" t="str"/>
      <x:c r="M2461" s="44" t="str"/>
      <x:c r="N2461" s="50" t="n">
        <x:v>41</x:v>
      </x:c>
      <x:c r="O2461" s="53" t="str">
        <x:v>Dr. Charles and Dr. Manning treat a patient who is fully invested in pretending to be someone other than himself. Noah begins to doubt his abilities as a doctor. Dr. Marcel and Dr. Choi are faced with a tough ethical decision. Dr. Halstead puts his faith in an addict.</x:v>
      </x:c>
      <x:c r="P2461" s="53" t="str">
        <x:v>Core One Chicago franchise</x:v>
      </x:c>
      <x:c r="Q2461" s="17" t="str">
        <x:v>3964224</x:v>
      </x:c>
      <x:c r="R2461" s="17" t="str">
        <x:v>tt11568058</x:v>
      </x:c>
      <x:c r="S2461" s="17" t="str"/>
    </x:row>
    <x:row r="2462">
      <x:c r="A2462" s="43" t="n">
        <x:v>2458</x:v>
      </x:c>
      <x:c r="B2462" s="44" t="str">
        <x:v>Not Started</x:v>
      </x:c>
      <x:c r="C2462" s="45" t="n">
        <x:v>43888</x:v>
      </x:c>
      <x:c r="D2462" s="33" t="str">
        <x:v>Chicago P.D.</x:v>
      </x:c>
      <x:c r="E2462" s="33" t="str">
        <x:v>One Chicago</x:v>
      </x:c>
      <x:c r="F2462" s="33" t="str">
        <x:v>core</x:v>
      </x:c>
      <x:c r="G2462" s="50" t="n">
        <x:v>7</x:v>
      </x:c>
      <x:c r="H2462" s="50" t="n">
        <x:v>15</x:v>
      </x:c>
      <x:c r="I2462" s="44" t="str">
        <x:v>07.15</x:v>
      </x:c>
      <x:c r="J2462" s="33" t="str">
        <x:v>Burden of Truth (II)</x:v>
      </x:c>
      <x:c r="K2462" s="33" t="str">
        <x:v>Crossover</x:v>
      </x:c>
      <x:c r="L2462" s="33" t="str">
        <x:v>Off the Grid / Burden of Truth</x:v>
      </x:c>
      <x:c r="M2462" s="44" t="str">
        <x:v>2/2</x:v>
      </x:c>
      <x:c r="N2462" s="50" t="n">
        <x:v>42</x:v>
      </x:c>
      <x:c r="O2462" s="53" t="str">
        <x:v>Intelligence searches for the dealer who caused multiple overdoses and is connected to Roman's missing sister. The case becomes a homicide investigation when they find the dealer's dead body.
The crossover starts on Chicago Fire S08E15 Off the Grid (I).</x:v>
      </x:c>
      <x:c r="P2462" s="53" t="str">
        <x:v>Core One Chicago franchise; crossovers with SVU/FBI</x:v>
      </x:c>
      <x:c r="Q2462" s="17" t="str">
        <x:v>3889430</x:v>
      </x:c>
      <x:c r="R2462" s="17" t="str">
        <x:v>tt11565296</x:v>
      </x:c>
      <x:c r="S2462" s="17" t="str">
        <x:v>https://one-chicago-fbi.fandom.com/wiki/Crossovers_and_Milestones</x:v>
      </x:c>
    </x:row>
    <x:row r="2463">
      <x:c r="A2463" s="43" t="n">
        <x:v>2459</x:v>
      </x:c>
      <x:c r="B2463" s="44" t="str">
        <x:v>Not Started</x:v>
      </x:c>
      <x:c r="C2463" s="45" t="n">
        <x:v>43888</x:v>
      </x:c>
      <x:c r="D2463" s="33" t="str">
        <x:v>Chicago Fire</x:v>
      </x:c>
      <x:c r="E2463" s="33" t="str">
        <x:v>One Chicago</x:v>
      </x:c>
      <x:c r="F2463" s="33" t="str">
        <x:v>core</x:v>
      </x:c>
      <x:c r="G2463" s="50" t="n">
        <x:v>8</x:v>
      </x:c>
      <x:c r="H2463" s="50" t="n">
        <x:v>15</x:v>
      </x:c>
      <x:c r="I2463" s="44" t="str">
        <x:v>08.15</x:v>
      </x:c>
      <x:c r="J2463" s="33" t="str">
        <x:v>Off the Grid (I)</x:v>
      </x:c>
      <x:c r="K2463" s="33" t="str">
        <x:v>Crossover</x:v>
      </x:c>
      <x:c r="L2463" s="33" t="str">
        <x:v>Off the Grid / Burden of Truth</x:v>
      </x:c>
      <x:c r="M2463" s="44" t="str">
        <x:v>1/2</x:v>
      </x:c>
      <x:c r="N2463" s="50" t="n">
        <x:v>42</x:v>
      </x:c>
      <x:c r="O2463" s="53" t="str">
        <x:v>A series of teen opioid overdoses sees Severide partner with Sean Roman, but begins to suspect there’s more to the story than his old friend is telling him. Casey tries to be there for Brett as she considers her birth mother’s offer to meet.
The crossover continues on Chicago P.D. S07E15 Burden of Truth (II).</x:v>
      </x:c>
      <x:c r="P2463" s="53" t="str">
        <x:v>Core One Chicago franchise</x:v>
      </x:c>
      <x:c r="Q2463" s="17" t="str">
        <x:v>3995168</x:v>
      </x:c>
      <x:c r="R2463" s="17" t="str">
        <x:v>tt11565358</x:v>
      </x:c>
      <x:c r="S2463" s="17" t="str">
        <x:v>https://one-chicago-fbi.fandom.com/wiki/Crossovers_and_Milestones</x:v>
      </x:c>
    </x:row>
    <x:row r="2464">
      <x:c r="A2464" s="43" t="n">
        <x:v>2460</x:v>
      </x:c>
      <x:c r="B2464" s="44" t="str">
        <x:v>Not Started</x:v>
      </x:c>
      <x:c r="C2464" s="45" t="n">
        <x:v>43888</x:v>
      </x:c>
      <x:c r="D2464" s="33" t="str">
        <x:v>Law &amp; Order: Special Victims Unit</x:v>
      </x:c>
      <x:c r="E2464" s="33" t="str">
        <x:v>Law &amp; Order</x:v>
      </x:c>
      <x:c r="F2464" s="33" t="str">
        <x:v>core</x:v>
      </x:c>
      <x:c r="G2464" s="50" t="n">
        <x:v>21</x:v>
      </x:c>
      <x:c r="H2464" s="50" t="n">
        <x:v>16</x:v>
      </x:c>
      <x:c r="I2464" s="44" t="str">
        <x:v>21.16</x:v>
      </x:c>
      <x:c r="J2464" s="33" t="str">
        <x:v>Eternal Relief from Pain</x:v>
      </x:c>
      <x:c r="K2464" s="33" t="str"/>
      <x:c r="L2464" s="33" t="str"/>
      <x:c r="M2464" s="44" t="str"/>
      <x:c r="N2464" s="50" t="n">
        <x:v>43</x:v>
      </x:c>
      <x:c r="O2464" s="53" t="str">
        <x:v>Rollins' sister stirs up trouble and a possible SVU investigation when she reports a doctor who trades prescription painkillers for sex.</x:v>
      </x:c>
      <x:c r="P2464" s="53" t="str">
        <x:v>Core Law &amp; Order franchise</x:v>
      </x:c>
      <x:c r="Q2464" s="17" t="str">
        <x:v>3995071</x:v>
      </x:c>
      <x:c r="R2464" s="17" t="str">
        <x:v>tt11008024</x:v>
      </x:c>
      <x:c r="S2464" s="17" t="str">
        <x:v>1474</x:v>
      </x:c>
    </x:row>
    <x:row r="2465">
      <x:c r="A2465" s="43" t="n">
        <x:v>2461</x:v>
      </x:c>
      <x:c r="B2465" s="44" t="str">
        <x:v>Not Started</x:v>
      </x:c>
      <x:c r="C2465" s="45" t="n">
        <x:v>43895</x:v>
      </x:c>
      <x:c r="D2465" s="33" t="str">
        <x:v>Chicago Med</x:v>
      </x:c>
      <x:c r="E2465" s="33" t="str">
        <x:v>One Chicago</x:v>
      </x:c>
      <x:c r="F2465" s="33" t="str">
        <x:v>core</x:v>
      </x:c>
      <x:c r="G2465" s="50" t="n">
        <x:v>5</x:v>
      </x:c>
      <x:c r="H2465" s="50" t="n">
        <x:v>16</x:v>
      </x:c>
      <x:c r="I2465" s="44" t="str">
        <x:v>05.16</x:v>
      </x:c>
      <x:c r="J2465" s="33" t="str">
        <x:v>Who Should Be the Judge</x:v>
      </x:c>
      <x:c r="K2465" s="33" t="str"/>
      <x:c r="L2465" s="33" t="str"/>
      <x:c r="M2465" s="44" t="str"/>
      <x:c r="N2465" s="50" t="n">
        <x:v>42</x:v>
      </x:c>
      <x:c r="O2465" s="53" t="str">
        <x:v>A convicted murderer’s escape hits close to home when several members of the team find themselves in danger. Dr. Charles and Dr. Halstead continue to clash over patient treatment plans. Dr. Choi and April discover the truth about a patient’s scam. Maggie finally receives some good news.</x:v>
      </x:c>
      <x:c r="P2465" s="53" t="str">
        <x:v>Core One Chicago franchise</x:v>
      </x:c>
      <x:c r="Q2465" s="17" t="str">
        <x:v>4014553</x:v>
      </x:c>
      <x:c r="R2465" s="17" t="str">
        <x:v>tt11568060</x:v>
      </x:c>
      <x:c r="S2465" s="17" t="str"/>
    </x:row>
    <x:row r="2466">
      <x:c r="A2466" s="43" t="n">
        <x:v>2462</x:v>
      </x:c>
      <x:c r="B2466" s="44" t="str">
        <x:v>Not Started</x:v>
      </x:c>
      <x:c r="C2466" s="45" t="n">
        <x:v>43895</x:v>
      </x:c>
      <x:c r="D2466" s="33" t="str">
        <x:v>Chicago P.D.</x:v>
      </x:c>
      <x:c r="E2466" s="33" t="str">
        <x:v>One Chicago</x:v>
      </x:c>
      <x:c r="F2466" s="33" t="str">
        <x:v>core</x:v>
      </x:c>
      <x:c r="G2466" s="50" t="n">
        <x:v>7</x:v>
      </x:c>
      <x:c r="H2466" s="50" t="n">
        <x:v>16</x:v>
      </x:c>
      <x:c r="I2466" s="44" t="str">
        <x:v>07.16</x:v>
      </x:c>
      <x:c r="J2466" s="33" t="str">
        <x:v>Intimate Violence</x:v>
      </x:c>
      <x:c r="K2466" s="33" t="str"/>
      <x:c r="L2466" s="33" t="str"/>
      <x:c r="M2466" s="44" t="str"/>
      <x:c r="N2466" s="50" t="n">
        <x:v>42</x:v>
      </x:c>
      <x:c r="O2466" s="53" t="str">
        <x:v>An armed robbery case quickly turns into a homicide investigation. When one suspect’s background suggests domestic violence, Upton is forced to reckon with her childhood. Voight and Halstead butt heads over Halstead’s righteous instinct.</x:v>
      </x:c>
      <x:c r="P2466" s="53" t="str">
        <x:v>Core One Chicago franchise; crossovers with SVU/FBI</x:v>
      </x:c>
      <x:c r="Q2466" s="17" t="str">
        <x:v>3995166</x:v>
      </x:c>
      <x:c r="R2466" s="17" t="str">
        <x:v>tt11565302</x:v>
      </x:c>
      <x:c r="S2466" s="17" t="str"/>
    </x:row>
    <x:row r="2467">
      <x:c r="A2467" s="43" t="n">
        <x:v>2463</x:v>
      </x:c>
      <x:c r="B2467" s="44" t="str">
        <x:v>Not Started</x:v>
      </x:c>
      <x:c r="C2467" s="45" t="n">
        <x:v>43895</x:v>
      </x:c>
      <x:c r="D2467" s="33" t="str">
        <x:v>Chicago Fire</x:v>
      </x:c>
      <x:c r="E2467" s="33" t="str">
        <x:v>One Chicago</x:v>
      </x:c>
      <x:c r="F2467" s="33" t="str">
        <x:v>core</x:v>
      </x:c>
      <x:c r="G2467" s="50" t="n">
        <x:v>8</x:v>
      </x:c>
      <x:c r="H2467" s="50" t="n">
        <x:v>16</x:v>
      </x:c>
      <x:c r="I2467" s="44" t="str">
        <x:v>08.16</x:v>
      </x:c>
      <x:c r="J2467" s="33" t="str">
        <x:v>The Tendency of a Drowning Victim</x:v>
      </x:c>
      <x:c r="K2467" s="33" t="str"/>
      <x:c r="L2467" s="33" t="str"/>
      <x:c r="M2467" s="44" t="str"/>
      <x:c r="N2467" s="50" t="n">
        <x:v>42</x:v>
      </x:c>
      <x:c r="O2467" s="53" t="str">
        <x:v>Boden is on edge after starting a new fad diet. Casey and Severide disagree on a call. Brett’s birth mother shares life-altering news. A familiar face has a proposition for Herrmann.</x:v>
      </x:c>
      <x:c r="P2467" s="53" t="str">
        <x:v>Core One Chicago franchise</x:v>
      </x:c>
      <x:c r="Q2467" s="17" t="str">
        <x:v>4010793</x:v>
      </x:c>
      <x:c r="R2467" s="17" t="str">
        <x:v>tt11565390</x:v>
      </x:c>
      <x:c r="S2467" s="17" t="str"/>
    </x:row>
    <x:row r="2468">
      <x:c r="A2468" s="43" t="n">
        <x:v>2464</x:v>
      </x:c>
      <x:c r="B2468" s="44" t="str">
        <x:v>Not Started</x:v>
      </x:c>
      <x:c r="C2468" s="45" t="n">
        <x:v>43901</x:v>
      </x:c>
      <x:c r="D2468" s="33" t="str">
        <x:v>FBI: Most Wanted</x:v>
      </x:c>
      <x:c r="E2468" s="33" t="str">
        <x:v>FBI</x:v>
      </x:c>
      <x:c r="F2468" s="33" t="str">
        <x:v>core</x:v>
      </x:c>
      <x:c r="G2468" s="50" t="n">
        <x:v>1</x:v>
      </x:c>
      <x:c r="H2468" s="50" t="n">
        <x:v>7</x:v>
      </x:c>
      <x:c r="I2468" s="44" t="str">
        <x:v>01.07</x:v>
      </x:c>
      <x:c r="J2468" s="33" t="str">
        <x:v>Ghosts</x:v>
      </x:c>
      <x:c r="K2468" s="33" t="str"/>
      <x:c r="L2468" s="33" t="str"/>
      <x:c r="M2468" s="44" t="str"/>
      <x:c r="N2468" s="50" t="n">
        <x:v>43</x:v>
      </x:c>
      <x:c r="O2468" s="53" t="str">
        <x:v>After the disappearance of his daughter is ignored by local police, a Native American man decides to take matters into his own hands. When his search escalates to murder, the team must track him down before his crusade claims any more lives.</x:v>
      </x:c>
      <x:c r="P2468" s="53" t="str">
        <x:v>Core FBI franchise</x:v>
      </x:c>
      <x:c r="Q2468" s="17" t="str">
        <x:v>3889135</x:v>
      </x:c>
      <x:c r="R2468" s="17" t="str">
        <x:v>tt11230470</x:v>
      </x:c>
      <x:c r="S2468" s="17" t="str"/>
    </x:row>
    <x:row r="2469">
      <x:c r="A2469" s="43" t="n">
        <x:v>2465</x:v>
      </x:c>
      <x:c r="B2469" s="44" t="str">
        <x:v>Not Started</x:v>
      </x:c>
      <x:c r="C2469" s="45" t="n">
        <x:v>43901</x:v>
      </x:c>
      <x:c r="D2469" s="33" t="str">
        <x:v>FBI</x:v>
      </x:c>
      <x:c r="E2469" s="33" t="str">
        <x:v>FBI</x:v>
      </x:c>
      <x:c r="F2469" s="33" t="str">
        <x:v>core</x:v>
      </x:c>
      <x:c r="G2469" s="50" t="n">
        <x:v>2</x:v>
      </x:c>
      <x:c r="H2469" s="50" t="n">
        <x:v>17</x:v>
      </x:c>
      <x:c r="I2469" s="44" t="str">
        <x:v>02.17</x:v>
      </x:c>
      <x:c r="J2469" s="33" t="str">
        <x:v>Broken Promises</x:v>
      </x:c>
      <x:c r="K2469" s="33" t="str"/>
      <x:c r="L2469" s="33" t="str"/>
      <x:c r="M2469" s="44" t="str"/>
      <x:c r="N2469" s="50" t="n">
        <x:v>43</x:v>
      </x:c>
      <x:c r="O2469" s="53" t="str">
        <x:v>When the team is called to the scene of a murder, they quickly suspect political motivation, but when another murder occurs, they work to uncover a common thread before more bodies pile up. Also, Maggie contemplates a decision that could affect her entire career.</x:v>
      </x:c>
      <x:c r="P2469" s="53" t="str">
        <x:v>Core FBI franchise</x:v>
      </x:c>
      <x:c r="Q2469" s="17" t="str">
        <x:v>3962718</x:v>
      </x:c>
      <x:c r="R2469" s="17" t="str">
        <x:v>tt11778518</x:v>
      </x:c>
      <x:c r="S2469" s="17" t="str"/>
    </x:row>
    <x:row r="2470">
      <x:c r="A2470" s="43" t="n">
        <x:v>2466</x:v>
      </x:c>
      <x:c r="B2470" s="44" t="str">
        <x:v>Not Started</x:v>
      </x:c>
      <x:c r="C2470" s="45" t="n">
        <x:v>43905</x:v>
      </x:c>
      <x:c r="D2470" s="33" t="str">
        <x:v>Cold Justice</x:v>
      </x:c>
      <x:c r="E2470" s="33" t="str">
        <x:v>Crossover Adjacent</x:v>
      </x:c>
      <x:c r="F2470" s="33" t="str">
        <x:v>complete</x:v>
      </x:c>
      <x:c r="G2470" s="50" t="n">
        <x:v>5</x:v>
      </x:c>
      <x:c r="H2470" s="50" t="n">
        <x:v>19</x:v>
      </x:c>
      <x:c r="I2470" s="44" t="str">
        <x:v>05.19</x:v>
      </x:c>
      <x:c r="J2470" s="33" t="str">
        <x:v>Valentine's Day Violence</x:v>
      </x:c>
      <x:c r="K2470" s="33" t="str"/>
      <x:c r="L2470" s="33" t="str"/>
      <x:c r="M2470" s="44" t="str"/>
      <x:c r="N2470" s="50" t="n">
        <x:v>42</x:v>
      </x:c>
      <x:c r="O2470" s="53" t="str">
        <x:v>Kelly and Tonya investigate the 2016 murder of Heyzel Obando, a young Florida mother shot to death in her own home. It’ll take cutting-edge forensic technology and old-school interrogation techniques to catch her killer and bring justice to her grieving mother.</x:v>
      </x:c>
      <x:c r="P2470" s="53" t="str">
        <x:v>Wolf Entertainment unscripted true-crime series</x:v>
      </x:c>
      <x:c r="Q2470" s="17" t="str">
        <x:v>4055216</x:v>
      </x:c>
      <x:c r="R2470" s="17" t="str"/>
      <x:c r="S2470" s="17" t="str"/>
    </x:row>
    <x:row r="2471">
      <x:c r="A2471" s="43" t="n">
        <x:v>2467</x:v>
      </x:c>
      <x:c r="B2471" s="44" t="str">
        <x:v>Not Started</x:v>
      </x:c>
      <x:c r="C2471" s="45" t="n">
        <x:v>43908</x:v>
      </x:c>
      <x:c r="D2471" s="33" t="str">
        <x:v>FBI: Most Wanted</x:v>
      </x:c>
      <x:c r="E2471" s="33" t="str">
        <x:v>FBI</x:v>
      </x:c>
      <x:c r="F2471" s="33" t="str">
        <x:v>core</x:v>
      </x:c>
      <x:c r="G2471" s="50" t="n">
        <x:v>1</x:v>
      </x:c>
      <x:c r="H2471" s="50" t="n">
        <x:v>8</x:v>
      </x:c>
      <x:c r="I2471" s="44" t="str">
        <x:v>01.08</x:v>
      </x:c>
      <x:c r="J2471" s="33" t="str">
        <x:v>Predators</x:v>
      </x:c>
      <x:c r="K2471" s="33" t="str"/>
      <x:c r="L2471" s="33" t="str"/>
      <x:c r="M2471" s="44" t="str"/>
      <x:c r="N2471" s="50" t="n">
        <x:v>43</x:v>
      </x:c>
      <x:c r="O2471" s="53" t="str">
        <x:v>When a domineering man and his girlfriend embark on a terrifying multi-state killing spree, the team races to find a pattern behind the deranged couple's seemingly random acts of extreme violence. Also, Jess worries he's being left out of Tali's life when he finds out his daughter has already won an award at school.</x:v>
      </x:c>
      <x:c r="P2471" s="53" t="str">
        <x:v>Core FBI franchise</x:v>
      </x:c>
      <x:c r="Q2471" s="17" t="str">
        <x:v>3889136</x:v>
      </x:c>
      <x:c r="R2471" s="17" t="str">
        <x:v>tt11854096</x:v>
      </x:c>
      <x:c r="S2471" s="17" t="str"/>
    </x:row>
    <x:row r="2472">
      <x:c r="A2472" s="43" t="n">
        <x:v>2468</x:v>
      </x:c>
      <x:c r="B2472" s="44" t="str">
        <x:v>Not Started</x:v>
      </x:c>
      <x:c r="C2472" s="45" t="n">
        <x:v>43909</x:v>
      </x:c>
      <x:c r="D2472" s="33" t="str">
        <x:v>Chicago Med</x:v>
      </x:c>
      <x:c r="E2472" s="33" t="str">
        <x:v>One Chicago</x:v>
      </x:c>
      <x:c r="F2472" s="33" t="str">
        <x:v>core</x:v>
      </x:c>
      <x:c r="G2472" s="50" t="n">
        <x:v>5</x:v>
      </x:c>
      <x:c r="H2472" s="50" t="n">
        <x:v>17</x:v>
      </x:c>
      <x:c r="I2472" s="44" t="str">
        <x:v>05.17</x:v>
      </x:c>
      <x:c r="J2472" s="33" t="str">
        <x:v>The Ghosts of the Past</x:v>
      </x:c>
      <x:c r="K2472" s="33" t="str"/>
      <x:c r="L2472" s="33" t="str"/>
      <x:c r="M2472" s="44" t="str"/>
      <x:c r="N2472" s="50" t="n">
        <x:v>42</x:v>
      </x:c>
      <x:c r="O2472" s="53" t="str">
        <x:v>Dr. Manning and Dr. Charles assist in a complicated case helping a 4-year old who they quickly learn is no stranger to the ED. Dr. Marcel and Dr. Choi tend to a police officer with a mysterious gunshot wound to the abdomen. Relationships are put to the test as secrets are revealed.</x:v>
      </x:c>
      <x:c r="P2472" s="53" t="str">
        <x:v>Core One Chicago franchise</x:v>
      </x:c>
      <x:c r="Q2472" s="17" t="str">
        <x:v>4034694</x:v>
      </x:c>
      <x:c r="R2472" s="17" t="str">
        <x:v>tt11568068</x:v>
      </x:c>
      <x:c r="S2472" s="17" t="str"/>
    </x:row>
    <x:row r="2473">
      <x:c r="A2473" s="43" t="n">
        <x:v>2469</x:v>
      </x:c>
      <x:c r="B2473" s="44" t="str">
        <x:v>Not Started</x:v>
      </x:c>
      <x:c r="C2473" s="45" t="n">
        <x:v>43909</x:v>
      </x:c>
      <x:c r="D2473" s="33" t="str">
        <x:v>Chicago P.D.</x:v>
      </x:c>
      <x:c r="E2473" s="33" t="str">
        <x:v>One Chicago</x:v>
      </x:c>
      <x:c r="F2473" s="33" t="str">
        <x:v>core</x:v>
      </x:c>
      <x:c r="G2473" s="50" t="n">
        <x:v>7</x:v>
      </x:c>
      <x:c r="H2473" s="50" t="n">
        <x:v>17</x:v>
      </x:c>
      <x:c r="I2473" s="44" t="str">
        <x:v>07.17</x:v>
      </x:c>
      <x:c r="J2473" s="33" t="str">
        <x:v>Before the Fall</x:v>
      </x:c>
      <x:c r="K2473" s="33" t="str"/>
      <x:c r="L2473" s="33" t="str"/>
      <x:c r="M2473" s="44" t="str"/>
      <x:c r="N2473" s="50" t="n">
        <x:v>42</x:v>
      </x:c>
      <x:c r="O2473" s="53" t="str">
        <x:v>Voight enlists the help of a reformed gang member to get a key witness' testimony in a murder case. More lives are put on the line as a gang war brews.</x:v>
      </x:c>
      <x:c r="P2473" s="53" t="str">
        <x:v>Core One Chicago franchise; crossovers with SVU/FBI</x:v>
      </x:c>
      <x:c r="Q2473" s="17" t="str">
        <x:v>4008051</x:v>
      </x:c>
      <x:c r="R2473" s="17" t="str">
        <x:v>tt11565310</x:v>
      </x:c>
      <x:c r="S2473" s="17" t="str"/>
    </x:row>
    <x:row r="2474">
      <x:c r="A2474" s="43" t="n">
        <x:v>2470</x:v>
      </x:c>
      <x:c r="B2474" s="44" t="str">
        <x:v>Not Started</x:v>
      </x:c>
      <x:c r="C2474" s="45" t="n">
        <x:v>43909</x:v>
      </x:c>
      <x:c r="D2474" s="33" t="str">
        <x:v>Chicago Fire</x:v>
      </x:c>
      <x:c r="E2474" s="33" t="str">
        <x:v>One Chicago</x:v>
      </x:c>
      <x:c r="F2474" s="33" t="str">
        <x:v>core</x:v>
      </x:c>
      <x:c r="G2474" s="50" t="n">
        <x:v>8</x:v>
      </x:c>
      <x:c r="H2474" s="50" t="n">
        <x:v>17</x:v>
      </x:c>
      <x:c r="I2474" s="44" t="str">
        <x:v>08.17</x:v>
      </x:c>
      <x:c r="J2474" s="33" t="str">
        <x:v>Protect a Child</x:v>
      </x:c>
      <x:c r="K2474" s="33" t="str"/>
      <x:c r="L2474" s="33" t="str"/>
      <x:c r="M2474" s="44" t="str"/>
      <x:c r="N2474" s="50" t="n">
        <x:v>42</x:v>
      </x:c>
      <x:c r="O2474" s="53" t="str">
        <x:v>Things get personal for Casey and Gallo in the aftermath of a suburban house fire involving a mother and her young son. Herrmann campaigns for more respect. Kidd has an idea for giving back to her community.</x:v>
      </x:c>
      <x:c r="P2474" s="53" t="str">
        <x:v>Core One Chicago franchise</x:v>
      </x:c>
      <x:c r="Q2474" s="17" t="str">
        <x:v>4034798</x:v>
      </x:c>
      <x:c r="R2474" s="17" t="str">
        <x:v>tt11565706</x:v>
      </x:c>
      <x:c r="S2474" s="17" t="str"/>
    </x:row>
    <x:row r="2475">
      <x:c r="A2475" s="43" t="n">
        <x:v>2471</x:v>
      </x:c>
      <x:c r="B2475" s="44" t="str">
        <x:v>Not Started</x:v>
      </x:c>
      <x:c r="C2475" s="45" t="n">
        <x:v>43912</x:v>
      </x:c>
      <x:c r="D2475" s="33" t="str">
        <x:v>Cold Justice</x:v>
      </x:c>
      <x:c r="E2475" s="33" t="str">
        <x:v>Crossover Adjacent</x:v>
      </x:c>
      <x:c r="F2475" s="33" t="str">
        <x:v>complete</x:v>
      </x:c>
      <x:c r="G2475" s="50" t="n">
        <x:v>5</x:v>
      </x:c>
      <x:c r="H2475" s="50" t="n">
        <x:v>20</x:v>
      </x:c>
      <x:c r="I2475" s="44" t="str">
        <x:v>05.20</x:v>
      </x:c>
      <x:c r="J2475" s="33" t="str">
        <x:v>Small Town Predator</x:v>
      </x:c>
      <x:c r="K2475" s="33" t="str"/>
      <x:c r="L2475" s="33" t="str"/>
      <x:c r="M2475" s="44" t="str"/>
      <x:c r="N2475" s="50" t="n">
        <x:v>42</x:v>
      </x:c>
      <x:c r="O2475" s="53" t="str">
        <x:v>Kelly and Johnny team up to tackle the 1988 murder of Cindi Smith whose headless body was found at a cemetery after a night at a local bar. The patrons of the bar could hold the key to identifying her killer and getting her family justice.</x:v>
      </x:c>
      <x:c r="P2475" s="53" t="str">
        <x:v>Wolf Entertainment unscripted true-crime series</x:v>
      </x:c>
      <x:c r="Q2475" s="17" t="str">
        <x:v>4055217</x:v>
      </x:c>
      <x:c r="R2475" s="17" t="str"/>
      <x:c r="S2475" s="17" t="str"/>
    </x:row>
    <x:row r="2476">
      <x:c r="A2476" s="43" t="n">
        <x:v>2472</x:v>
      </x:c>
      <x:c r="B2476" s="44" t="str">
        <x:v>Not Started</x:v>
      </x:c>
      <x:c r="C2476" s="45" t="n">
        <x:v>43915</x:v>
      </x:c>
      <x:c r="D2476" s="33" t="str">
        <x:v>FBI: Most Wanted</x:v>
      </x:c>
      <x:c r="E2476" s="33" t="str">
        <x:v>FBI</x:v>
      </x:c>
      <x:c r="F2476" s="33" t="str">
        <x:v>core</x:v>
      </x:c>
      <x:c r="G2476" s="50" t="n">
        <x:v>1</x:v>
      </x:c>
      <x:c r="H2476" s="50" t="n">
        <x:v>9</x:v>
      </x:c>
      <x:c r="I2476" s="44" t="str">
        <x:v>01.09</x:v>
      </x:c>
      <x:c r="J2476" s="33" t="str">
        <x:v>Reveille (II)</x:v>
      </x:c>
      <x:c r="K2476" s="33" t="str">
        <x:v>Crossover</x:v>
      </x:c>
      <x:c r="L2476" s="33" t="str">
        <x:v>American Dreams / Reveille</x:v>
      </x:c>
      <x:c r="M2476" s="44" t="str">
        <x:v>2/2</x:v>
      </x:c>
      <x:c r="N2476" s="50" t="n">
        <x:v>43</x:v>
      </x:c>
      <x:c r="O2476" s="53" t="str">
        <x:v>After taking down a terrorist, the FBI and their Fugitive Task Force partners turn their attention to the terrorist’s wife who escaped with one million dollars and is determined to follow through with her husband’s deadly plan. Also, LaCroix’s daughter, Tali, is taken away by ICE, but as Jess tracks her down, he realizes her detainment may be more than just random coincidence.
The crossover starts on FBI S02E18 American Dreams (I).</x:v>
      </x:c>
      <x:c r="P2476" s="53" t="str">
        <x:v>Core FBI franchise</x:v>
      </x:c>
      <x:c r="Q2476" s="17" t="str">
        <x:v>3889137</x:v>
      </x:c>
      <x:c r="R2476" s="17" t="str">
        <x:v>tt11388002</x:v>
      </x:c>
      <x:c r="S2476" s="17" t="str">
        <x:v>https://one-chicago-fbi.fandom.com/wiki/Crossovers_and_Milestones</x:v>
      </x:c>
    </x:row>
    <x:row r="2477">
      <x:c r="A2477" s="43" t="n">
        <x:v>2473</x:v>
      </x:c>
      <x:c r="B2477" s="44" t="str">
        <x:v>Not Started</x:v>
      </x:c>
      <x:c r="C2477" s="45" t="n">
        <x:v>43915</x:v>
      </x:c>
      <x:c r="D2477" s="33" t="str">
        <x:v>FBI</x:v>
      </x:c>
      <x:c r="E2477" s="33" t="str">
        <x:v>FBI</x:v>
      </x:c>
      <x:c r="F2477" s="33" t="str">
        <x:v>core</x:v>
      </x:c>
      <x:c r="G2477" s="50" t="n">
        <x:v>2</x:v>
      </x:c>
      <x:c r="H2477" s="50" t="n">
        <x:v>18</x:v>
      </x:c>
      <x:c r="I2477" s="44" t="str">
        <x:v>02.18</x:v>
      </x:c>
      <x:c r="J2477" s="33" t="str">
        <x:v>American Dreams (I)</x:v>
      </x:c>
      <x:c r="K2477" s="33" t="str">
        <x:v>Crossover</x:v>
      </x:c>
      <x:c r="L2477" s="33" t="str">
        <x:v>American Dreams / Reveille</x:v>
      </x:c>
      <x:c r="M2477" s="44" t="str">
        <x:v>1/2</x:v>
      </x:c>
      <x:c r="N2477" s="50" t="n">
        <x:v>43</x:v>
      </x:c>
      <x:c r="O2477" s="53" t="str">
        <x:v>Jess LaCroix and his team come to help OA find a fugitive LaCroix arrested years ago after a bus with 26 students goes missing and he's the main suspect.
The crossover continues on FBI: Most Wanted S01E09 Reveille (II).</x:v>
      </x:c>
      <x:c r="P2477" s="53" t="str">
        <x:v>Core FBI franchise</x:v>
      </x:c>
      <x:c r="Q2477" s="17" t="str">
        <x:v>3962719</x:v>
      </x:c>
      <x:c r="R2477" s="17" t="str">
        <x:v>tt11854090</x:v>
      </x:c>
      <x:c r="S2477" s="17" t="str">
        <x:v>https://one-chicago-fbi.fandom.com/wiki/Crossovers_and_Milestones</x:v>
      </x:c>
    </x:row>
    <x:row r="2478">
      <x:c r="A2478" s="43" t="n">
        <x:v>2474</x:v>
      </x:c>
      <x:c r="B2478" s="44" t="str">
        <x:v>Not Started</x:v>
      </x:c>
      <x:c r="C2478" s="45" t="n">
        <x:v>43916</x:v>
      </x:c>
      <x:c r="D2478" s="33" t="str">
        <x:v>Chicago Med</x:v>
      </x:c>
      <x:c r="E2478" s="33" t="str">
        <x:v>One Chicago</x:v>
      </x:c>
      <x:c r="F2478" s="33" t="str">
        <x:v>core</x:v>
      </x:c>
      <x:c r="G2478" s="50" t="n">
        <x:v>5</x:v>
      </x:c>
      <x:c r="H2478" s="50" t="n">
        <x:v>18</x:v>
      </x:c>
      <x:c r="I2478" s="44" t="str">
        <x:v>05.18</x:v>
      </x:c>
      <x:c r="J2478" s="33" t="str">
        <x:v>In the Name of Love</x:v>
      </x:c>
      <x:c r="K2478" s="33" t="str"/>
      <x:c r="L2478" s="33" t="str"/>
      <x:c r="M2478" s="44" t="str"/>
      <x:c r="N2478" s="50" t="n">
        <x:v>42</x:v>
      </x:c>
      <x:c r="O2478" s="53" t="str">
        <x:v>Dr. Charles and Goodwin fear Dr. Halstead is repeating his past mistakes when a patient with early-onset Alzheimer’s is brought into the E.D. Maggie and Ben become concerned when one of Ben’s students is admitted. Dr. Manning and Dr. Marcel treat a terminally ill patient and disagree over the best course of action.</x:v>
      </x:c>
      <x:c r="P2478" s="53" t="str">
        <x:v>Core One Chicago franchise</x:v>
      </x:c>
      <x:c r="Q2478" s="17" t="str">
        <x:v>4060701</x:v>
      </x:c>
      <x:c r="R2478" s="17" t="str">
        <x:v>tt11568074</x:v>
      </x:c>
      <x:c r="S2478" s="17" t="str"/>
    </x:row>
    <x:row r="2479">
      <x:c r="A2479" s="43" t="n">
        <x:v>2475</x:v>
      </x:c>
      <x:c r="B2479" s="44" t="str">
        <x:v>Not Started</x:v>
      </x:c>
      <x:c r="C2479" s="45" t="n">
        <x:v>43916</x:v>
      </x:c>
      <x:c r="D2479" s="33" t="str">
        <x:v>Chicago P.D.</x:v>
      </x:c>
      <x:c r="E2479" s="33" t="str">
        <x:v>One Chicago</x:v>
      </x:c>
      <x:c r="F2479" s="33" t="str">
        <x:v>core</x:v>
      </x:c>
      <x:c r="G2479" s="50" t="n">
        <x:v>7</x:v>
      </x:c>
      <x:c r="H2479" s="50" t="n">
        <x:v>18</x:v>
      </x:c>
      <x:c r="I2479" s="44" t="str">
        <x:v>07.18</x:v>
      </x:c>
      <x:c r="J2479" s="33" t="str">
        <x:v>Lines</x:v>
      </x:c>
      <x:c r="K2479" s="33" t="str"/>
      <x:c r="L2479" s="33" t="str"/>
      <x:c r="M2479" s="44" t="str"/>
      <x:c r="N2479" s="50" t="n">
        <x:v>42</x:v>
      </x:c>
      <x:c r="O2479" s="53" t="str">
        <x:v>Intelligence does everything they can to build a case against the elusive leader of a drug ring, but things get complicated when Rojas realizes someone she cares about might be involved.</x:v>
      </x:c>
      <x:c r="P2479" s="53" t="str">
        <x:v>Core One Chicago franchise; crossovers with SVU/FBI</x:v>
      </x:c>
      <x:c r="Q2479" s="17" t="str">
        <x:v>4033065</x:v>
      </x:c>
      <x:c r="R2479" s="17" t="str">
        <x:v>tt11565314</x:v>
      </x:c>
      <x:c r="S2479" s="17" t="str"/>
    </x:row>
    <x:row r="2480">
      <x:c r="A2480" s="43" t="n">
        <x:v>2476</x:v>
      </x:c>
      <x:c r="B2480" s="44" t="str">
        <x:v>Not Started</x:v>
      </x:c>
      <x:c r="C2480" s="45" t="n">
        <x:v>43916</x:v>
      </x:c>
      <x:c r="D2480" s="33" t="str">
        <x:v>Chicago Fire</x:v>
      </x:c>
      <x:c r="E2480" s="33" t="str">
        <x:v>One Chicago</x:v>
      </x:c>
      <x:c r="F2480" s="33" t="str">
        <x:v>core</x:v>
      </x:c>
      <x:c r="G2480" s="50" t="n">
        <x:v>8</x:v>
      </x:c>
      <x:c r="H2480" s="50" t="n">
        <x:v>18</x:v>
      </x:c>
      <x:c r="I2480" s="44" t="str">
        <x:v>08.18</x:v>
      </x:c>
      <x:c r="J2480" s="33" t="str">
        <x:v>I'll Cover You</x:v>
      </x:c>
      <x:c r="K2480" s="33" t="str"/>
      <x:c r="L2480" s="33" t="str"/>
      <x:c r="M2480" s="44" t="str"/>
      <x:c r="N2480" s="50" t="n">
        <x:v>42</x:v>
      </x:c>
      <x:c r="O2480" s="53" t="str">
        <x:v>Lt. Severide teams up with Seager and the OFI when a motel structure fire turns suspicious. Firehouse 51 members become amateur sleuths following a Reddit post involving one of their own. Brett continues to get invested in her birth mother, Julie.</x:v>
      </x:c>
      <x:c r="P2480" s="53" t="str">
        <x:v>Core One Chicago franchise</x:v>
      </x:c>
      <x:c r="Q2480" s="17" t="str">
        <x:v>4043828</x:v>
      </x:c>
      <x:c r="R2480" s="17" t="str">
        <x:v>tt11565730</x:v>
      </x:c>
      <x:c r="S2480" s="17" t="str"/>
    </x:row>
    <x:row r="2481">
      <x:c r="A2481" s="43" t="n">
        <x:v>2477</x:v>
      </x:c>
      <x:c r="B2481" s="44" t="str">
        <x:v>Not Started</x:v>
      </x:c>
      <x:c r="C2481" s="45" t="n">
        <x:v>43916</x:v>
      </x:c>
      <x:c r="D2481" s="33" t="str">
        <x:v>Law &amp; Order: Special Victims Unit</x:v>
      </x:c>
      <x:c r="E2481" s="33" t="str">
        <x:v>Law &amp; Order</x:v>
      </x:c>
      <x:c r="F2481" s="33" t="str">
        <x:v>core</x:v>
      </x:c>
      <x:c r="G2481" s="50" t="n">
        <x:v>21</x:v>
      </x:c>
      <x:c r="H2481" s="50" t="n">
        <x:v>17</x:v>
      </x:c>
      <x:c r="I2481" s="44" t="str">
        <x:v>21.17</x:v>
      </x:c>
      <x:c r="J2481" s="33" t="str">
        <x:v>Dance, Lies and Videotape</x:v>
      </x:c>
      <x:c r="K2481" s="33" t="str"/>
      <x:c r="L2481" s="33" t="str"/>
      <x:c r="M2481" s="44" t="str"/>
      <x:c r="N2481" s="50" t="n">
        <x:v>43</x:v>
      </x:c>
      <x:c r="O2481" s="53" t="str">
        <x:v>An ingénue ballerina discovers she's been secretly videotaped for a pornographic website.</x:v>
      </x:c>
      <x:c r="P2481" s="53" t="str">
        <x:v>Core Law &amp; Order franchise</x:v>
      </x:c>
      <x:c r="Q2481" s="17" t="str">
        <x:v>3994300</x:v>
      </x:c>
      <x:c r="R2481" s="17" t="str">
        <x:v>tt11008026</x:v>
      </x:c>
      <x:c r="S2481" s="17" t="str">
        <x:v>1475</x:v>
      </x:c>
    </x:row>
    <x:row r="2482">
      <x:c r="A2482" s="43" t="n">
        <x:v>2478</x:v>
      </x:c>
      <x:c r="B2482" s="44" t="str">
        <x:v>Not Started</x:v>
      </x:c>
      <x:c r="C2482" s="45" t="n">
        <x:v>43919</x:v>
      </x:c>
      <x:c r="D2482" s="33" t="str">
        <x:v>Cold Justice</x:v>
      </x:c>
      <x:c r="E2482" s="33" t="str">
        <x:v>Crossover Adjacent</x:v>
      </x:c>
      <x:c r="F2482" s="33" t="str">
        <x:v>complete</x:v>
      </x:c>
      <x:c r="G2482" s="50" t="n">
        <x:v>5</x:v>
      </x:c>
      <x:c r="H2482" s="50" t="n">
        <x:v>21</x:v>
      </x:c>
      <x:c r="I2482" s="44" t="str">
        <x:v>05.21</x:v>
      </x:c>
      <x:c r="J2482" s="33" t="str">
        <x:v>Mystery on the Mountain</x:v>
      </x:c>
      <x:c r="K2482" s="33" t="str"/>
      <x:c r="L2482" s="33" t="str"/>
      <x:c r="M2482" s="44" t="str"/>
      <x:c r="N2482" s="50" t="n">
        <x:v>42</x:v>
      </x:c>
      <x:c r="O2482" s="53" t="str">
        <x:v>Kelly and Abbey investigate the 2012 disappearance of Brian Shookman, a young father who was traveling to Idaho to attend a family reunion, but never showed up. As the list of suspects grows, can the team uncover the truth behind his vanishing?</x:v>
      </x:c>
      <x:c r="P2482" s="53" t="str">
        <x:v>Wolf Entertainment unscripted true-crime series</x:v>
      </x:c>
      <x:c r="Q2482" s="17" t="str">
        <x:v>4055218</x:v>
      </x:c>
      <x:c r="R2482" s="17" t="str">
        <x:v>tt11933942</x:v>
      </x:c>
      <x:c r="S2482" s="17" t="str"/>
    </x:row>
    <x:row r="2483">
      <x:c r="A2483" s="43" t="n">
        <x:v>2479</x:v>
      </x:c>
      <x:c r="B2483" s="44" t="str">
        <x:v>Not Started</x:v>
      </x:c>
      <x:c r="C2483" s="45" t="n">
        <x:v>43922</x:v>
      </x:c>
      <x:c r="D2483" s="33" t="str">
        <x:v>FBI: Most Wanted</x:v>
      </x:c>
      <x:c r="E2483" s="33" t="str">
        <x:v>FBI</x:v>
      </x:c>
      <x:c r="F2483" s="33" t="str">
        <x:v>core</x:v>
      </x:c>
      <x:c r="G2483" s="50" t="n">
        <x:v>1</x:v>
      </x:c>
      <x:c r="H2483" s="50" t="n">
        <x:v>10</x:v>
      </x:c>
      <x:c r="I2483" s="44" t="str">
        <x:v>01.10</x:v>
      </x:c>
      <x:c r="J2483" s="33" t="str">
        <x:v>Silkworm</x:v>
      </x:c>
      <x:c r="K2483" s="33" t="str"/>
      <x:c r="L2483" s="33" t="str"/>
      <x:c r="M2483" s="44" t="str"/>
      <x:c r="N2483" s="50" t="n">
        <x:v>43</x:v>
      </x:c>
      <x:c r="O2483" s="53" t="str">
        <x:v>After a former counter-intelligence officer is caught leaking classified information to a foreign government and attacks his former partners, the team must track him down before he escapes the country.</x:v>
      </x:c>
      <x:c r="P2483" s="53" t="str">
        <x:v>Core FBI franchise</x:v>
      </x:c>
      <x:c r="Q2483" s="17" t="str">
        <x:v>3889138</x:v>
      </x:c>
      <x:c r="R2483" s="17" t="str">
        <x:v>tt11969210</x:v>
      </x:c>
      <x:c r="S2483" s="17" t="str"/>
    </x:row>
    <x:row r="2484">
      <x:c r="A2484" s="43" t="n">
        <x:v>2480</x:v>
      </x:c>
      <x:c r="B2484" s="44" t="str">
        <x:v>Not Started</x:v>
      </x:c>
      <x:c r="C2484" s="45" t="n">
        <x:v>43922</x:v>
      </x:c>
      <x:c r="D2484" s="33" t="str">
        <x:v>FBI</x:v>
      </x:c>
      <x:c r="E2484" s="33" t="str">
        <x:v>FBI</x:v>
      </x:c>
      <x:c r="F2484" s="33" t="str">
        <x:v>core</x:v>
      </x:c>
      <x:c r="G2484" s="50" t="n">
        <x:v>2</x:v>
      </x:c>
      <x:c r="H2484" s="50" t="n">
        <x:v>19</x:v>
      </x:c>
      <x:c r="I2484" s="44" t="str">
        <x:v>02.19</x:v>
      </x:c>
      <x:c r="J2484" s="33" t="str">
        <x:v>Emotional Rescue</x:v>
      </x:c>
      <x:c r="K2484" s="33" t="str">
        <x:v>Character bridge</x:v>
      </x:c>
      <x:c r="L2484" s="33" t="str">
        <x:v>Chicago P.D. agent exchange</x:v>
      </x:c>
      <x:c r="M2484" s="44" t="str"/>
      <x:c r="N2484" s="50" t="n">
        <x:v>43</x:v>
      </x:c>
      <x:c r="O2484" s="53" t="str">
        <x:v>The FBI team investigates a drug deal gone bad after the body of a college student is found. Also, Detective Hailey Upton temporarily joins the team and finds her usual investigative methods clash with the Bureau's more buttoned-up environment.</x:v>
      </x:c>
      <x:c r="P2484" s="53" t="str">
        <x:v>Core FBI franchise</x:v>
      </x:c>
      <x:c r="Q2484" s="17" t="str">
        <x:v>4023794</x:v>
      </x:c>
      <x:c r="R2484" s="17" t="str">
        <x:v>tt11986728</x:v>
      </x:c>
      <x:c r="S2484" s="17" t="str">
        <x:v>https://one-chicago-fbi.fandom.com/wiki/Crossovers_and_Milestones</x:v>
      </x:c>
    </x:row>
    <x:row r="2485">
      <x:c r="A2485" s="43" t="n">
        <x:v>2481</x:v>
      </x:c>
      <x:c r="B2485" s="44" t="str">
        <x:v>Not Started</x:v>
      </x:c>
      <x:c r="C2485" s="45" t="n">
        <x:v>43923</x:v>
      </x:c>
      <x:c r="D2485" s="33" t="str">
        <x:v>Law &amp; Order: Special Victims Unit</x:v>
      </x:c>
      <x:c r="E2485" s="33" t="str">
        <x:v>Law &amp; Order</x:v>
      </x:c>
      <x:c r="F2485" s="33" t="str">
        <x:v>core</x:v>
      </x:c>
      <x:c r="G2485" s="50" t="n">
        <x:v>21</x:v>
      </x:c>
      <x:c r="H2485" s="50" t="n">
        <x:v>18</x:v>
      </x:c>
      <x:c r="I2485" s="44" t="str">
        <x:v>21.18</x:v>
      </x:c>
      <x:c r="J2485" s="33" t="str">
        <x:v>Garland's Baptism by Fire</x:v>
      </x:c>
      <x:c r="K2485" s="33" t="str"/>
      <x:c r="L2485" s="33" t="str"/>
      <x:c r="M2485" s="44" t="str"/>
      <x:c r="N2485" s="50" t="n">
        <x:v>43</x:v>
      </x:c>
      <x:c r="O2485" s="53" t="str">
        <x:v>Chief Garland must put friendship aside when a pastor at his church is arrested.</x:v>
      </x:c>
      <x:c r="P2485" s="53" t="str">
        <x:v>Core Law &amp; Order franchise</x:v>
      </x:c>
      <x:c r="Q2485" s="17" t="str">
        <x:v>4031503</x:v>
      </x:c>
      <x:c r="R2485" s="17" t="str">
        <x:v>tt11008030</x:v>
      </x:c>
      <x:c r="S2485" s="17" t="str">
        <x:v>1476</x:v>
      </x:c>
    </x:row>
    <x:row r="2486">
      <x:c r="A2486" s="43" t="n">
        <x:v>2482</x:v>
      </x:c>
      <x:c r="B2486" s="44" t="str">
        <x:v>Not Started</x:v>
      </x:c>
      <x:c r="C2486" s="45" t="n">
        <x:v>43926</x:v>
      </x:c>
      <x:c r="D2486" s="33" t="str">
        <x:v>Cold Justice</x:v>
      </x:c>
      <x:c r="E2486" s="33" t="str">
        <x:v>Crossover Adjacent</x:v>
      </x:c>
      <x:c r="F2486" s="33" t="str">
        <x:v>complete</x:v>
      </x:c>
      <x:c r="G2486" s="50" t="n">
        <x:v>5</x:v>
      </x:c>
      <x:c r="H2486" s="50" t="n">
        <x:v>22</x:v>
      </x:c>
      <x:c r="I2486" s="44" t="str">
        <x:v>05.22</x:v>
      </x:c>
      <x:c r="J2486" s="33" t="str">
        <x:v>Double Life Discovered</x:v>
      </x:c>
      <x:c r="K2486" s="33" t="str"/>
      <x:c r="L2486" s="33" t="str"/>
      <x:c r="M2486" s="44" t="str"/>
      <x:c r="N2486" s="50" t="n">
        <x:v>42</x:v>
      </x:c>
      <x:c r="O2486" s="53" t="str">
        <x:v>Kelly and Johnny investigate one of their oldest cases ever -- the brutal 1984 murder of Johnnie Albritton, an elderly store owner in Texas known for having a wife with a violent temper. Was his death the robbery gone wrong it appeared to be, or a plot of his wife’s design?</x:v>
      </x:c>
      <x:c r="P2486" s="53" t="str">
        <x:v>Wolf Entertainment unscripted true-crime series</x:v>
      </x:c>
      <x:c r="Q2486" s="17" t="str">
        <x:v>4055219</x:v>
      </x:c>
      <x:c r="R2486" s="17" t="str"/>
      <x:c r="S2486" s="17" t="str"/>
    </x:row>
    <x:row r="2487">
      <x:c r="A2487" s="43" t="n">
        <x:v>2483</x:v>
      </x:c>
      <x:c r="B2487" s="44" t="str">
        <x:v>Not Started</x:v>
      </x:c>
      <x:c r="C2487" s="45" t="n">
        <x:v>43930</x:v>
      </x:c>
      <x:c r="D2487" s="33" t="str">
        <x:v>Chicago Med</x:v>
      </x:c>
      <x:c r="E2487" s="33" t="str">
        <x:v>One Chicago</x:v>
      </x:c>
      <x:c r="F2487" s="33" t="str">
        <x:v>core</x:v>
      </x:c>
      <x:c r="G2487" s="50" t="n">
        <x:v>5</x:v>
      </x:c>
      <x:c r="H2487" s="50" t="n">
        <x:v>19</x:v>
      </x:c>
      <x:c r="I2487" s="44" t="str">
        <x:v>05.19</x:v>
      </x:c>
      <x:c r="J2487" s="33" t="str">
        <x:v>Just a River in Egypt</x:v>
      </x:c>
      <x:c r="K2487" s="33" t="str"/>
      <x:c r="L2487" s="33" t="str"/>
      <x:c r="M2487" s="44" t="str"/>
      <x:c r="N2487" s="50" t="n">
        <x:v>42</x:v>
      </x:c>
      <x:c r="O2487" s="53" t="str">
        <x:v>Dr. Charles evaluates a 15-year old who is brought into the E.D. after an apparent fall off an overpass. Will sides with Dr. Asher on a risky treatment plan. Tensions run high between Dr. Choi and Dr. Marcel.</x:v>
      </x:c>
      <x:c r="P2487" s="53" t="str">
        <x:v>Core One Chicago franchise</x:v>
      </x:c>
      <x:c r="Q2487" s="17" t="str">
        <x:v>4074658</x:v>
      </x:c>
      <x:c r="R2487" s="17" t="str">
        <x:v>tt11568084</x:v>
      </x:c>
      <x:c r="S2487" s="17" t="str"/>
    </x:row>
    <x:row r="2488">
      <x:c r="A2488" s="43" t="n">
        <x:v>2484</x:v>
      </x:c>
      <x:c r="B2488" s="44" t="str">
        <x:v>Not Started</x:v>
      </x:c>
      <x:c r="C2488" s="45" t="n">
        <x:v>43930</x:v>
      </x:c>
      <x:c r="D2488" s="33" t="str">
        <x:v>Chicago P.D.</x:v>
      </x:c>
      <x:c r="E2488" s="33" t="str">
        <x:v>One Chicago</x:v>
      </x:c>
      <x:c r="F2488" s="33" t="str">
        <x:v>core</x:v>
      </x:c>
      <x:c r="G2488" s="50" t="n">
        <x:v>7</x:v>
      </x:c>
      <x:c r="H2488" s="50" t="n">
        <x:v>19</x:v>
      </x:c>
      <x:c r="I2488" s="44" t="str">
        <x:v>07.19</x:v>
      </x:c>
      <x:c r="J2488" s="33" t="str">
        <x:v>Buried Secrets</x:v>
      </x:c>
      <x:c r="K2488" s="33" t="str"/>
      <x:c r="L2488" s="33" t="str"/>
      <x:c r="M2488" s="44" t="str"/>
      <x:c r="N2488" s="50" t="n">
        <x:v>42</x:v>
      </x:c>
      <x:c r="O2488" s="53" t="str">
        <x:v>The clock is on after Ruzek witnesses a woman's kidnapping and the team races to put the pieces together. Burgess tries to connect with Ruzek outside of work but he mysteriously distances himself from her.</x:v>
      </x:c>
      <x:c r="P2488" s="53" t="str">
        <x:v>Core One Chicago franchise; crossovers with SVU/FBI</x:v>
      </x:c>
      <x:c r="Q2488" s="17" t="str">
        <x:v>4044914</x:v>
      </x:c>
      <x:c r="R2488" s="17" t="str">
        <x:v>tt11565318</x:v>
      </x:c>
      <x:c r="S2488" s="17" t="str"/>
    </x:row>
    <x:row r="2489">
      <x:c r="A2489" s="43" t="n">
        <x:v>2485</x:v>
      </x:c>
      <x:c r="B2489" s="44" t="str">
        <x:v>Not Started</x:v>
      </x:c>
      <x:c r="C2489" s="45" t="n">
        <x:v>43930</x:v>
      </x:c>
      <x:c r="D2489" s="33" t="str">
        <x:v>Chicago Fire</x:v>
      </x:c>
      <x:c r="E2489" s="33" t="str">
        <x:v>One Chicago</x:v>
      </x:c>
      <x:c r="F2489" s="33" t="str">
        <x:v>core</x:v>
      </x:c>
      <x:c r="G2489" s="50" t="n">
        <x:v>8</x:v>
      </x:c>
      <x:c r="H2489" s="50" t="n">
        <x:v>19</x:v>
      </x:c>
      <x:c r="I2489" s="44" t="str">
        <x:v>08.19</x:v>
      </x:c>
      <x:c r="J2489" s="33" t="str">
        <x:v>Light Things Up</x:v>
      </x:c>
      <x:c r="K2489" s="33" t="str"/>
      <x:c r="L2489" s="33" t="str"/>
      <x:c r="M2489" s="44" t="str"/>
      <x:c r="N2489" s="50" t="n">
        <x:v>42</x:v>
      </x:c>
      <x:c r="O2489" s="53" t="str">
        <x:v>Tension builds when a group of rabble-rousers attempt to lock down the firehouse. Brett is faced with a monumental decision. Cruz readies himself for a big day. Gallo and Ritter attempt to launch Firehouse 51 into the social media age.</x:v>
      </x:c>
      <x:c r="P2489" s="53" t="str">
        <x:v>Core One Chicago franchise</x:v>
      </x:c>
      <x:c r="Q2489" s="17" t="str">
        <x:v>4068538</x:v>
      </x:c>
      <x:c r="R2489" s="17" t="str">
        <x:v>tt11565748</x:v>
      </x:c>
      <x:c r="S2489" s="17" t="str"/>
    </x:row>
    <x:row r="2490">
      <x:c r="A2490" s="43" t="n">
        <x:v>2486</x:v>
      </x:c>
      <x:c r="B2490" s="44" t="str">
        <x:v>Not Started</x:v>
      </x:c>
      <x:c r="C2490" s="45" t="n">
        <x:v>43933</x:v>
      </x:c>
      <x:c r="D2490" s="33" t="str">
        <x:v>Cold Justice</x:v>
      </x:c>
      <x:c r="E2490" s="33" t="str">
        <x:v>Crossover Adjacent</x:v>
      </x:c>
      <x:c r="F2490" s="33" t="str">
        <x:v>complete</x:v>
      </x:c>
      <x:c r="G2490" s="50" t="n">
        <x:v>5</x:v>
      </x:c>
      <x:c r="H2490" s="50" t="n">
        <x:v>23</x:v>
      </x:c>
      <x:c r="I2490" s="44" t="str">
        <x:v>05.23</x:v>
      </x:c>
      <x:c r="J2490" s="33" t="str">
        <x:v>Digging For Answers</x:v>
      </x:c>
      <x:c r="K2490" s="33" t="str"/>
      <x:c r="L2490" s="33" t="str"/>
      <x:c r="M2490" s="44" t="str"/>
      <x:c r="N2490" s="50" t="n">
        <x:v>42</x:v>
      </x:c>
      <x:c r="O2490" s="53" t="str">
        <x:v>Kelly and Steve head to Oregon to help solve the 1993 murder of a young man allegedly shot and buried by a group of dangerous criminals. They'll need to pit them against each other to crack the case and finally bring justice to his family.</x:v>
      </x:c>
      <x:c r="P2490" s="53" t="str">
        <x:v>Wolf Entertainment unscripted true-crime series</x:v>
      </x:c>
      <x:c r="Q2490" s="17" t="str">
        <x:v>4055220</x:v>
      </x:c>
      <x:c r="R2490" s="17" t="str"/>
      <x:c r="S2490" s="17" t="str"/>
    </x:row>
    <x:row r="2491">
      <x:c r="A2491" s="43" t="n">
        <x:v>2487</x:v>
      </x:c>
      <x:c r="B2491" s="44" t="str">
        <x:v>Not Started</x:v>
      </x:c>
      <x:c r="C2491" s="45" t="n">
        <x:v>43936</x:v>
      </x:c>
      <x:c r="D2491" s="33" t="str">
        <x:v>FBI: Most Wanted</x:v>
      </x:c>
      <x:c r="E2491" s="33" t="str">
        <x:v>FBI</x:v>
      </x:c>
      <x:c r="F2491" s="33" t="str">
        <x:v>core</x:v>
      </x:c>
      <x:c r="G2491" s="50" t="n">
        <x:v>1</x:v>
      </x:c>
      <x:c r="H2491" s="50" t="n">
        <x:v>11</x:v>
      </x:c>
      <x:c r="I2491" s="44" t="str">
        <x:v>01.11</x:v>
      </x:c>
      <x:c r="J2491" s="33" t="str">
        <x:v>Ironbound</x:v>
      </x:c>
      <x:c r="K2491" s="33" t="str"/>
      <x:c r="L2491" s="33" t="str"/>
      <x:c r="M2491" s="44" t="str"/>
      <x:c r="N2491" s="50" t="n">
        <x:v>43</x:v>
      </x:c>
      <x:c r="O2491" s="53" t="str">
        <x:v>After a small town police officer claims he’s the victim of a deep-rooted conspiracy and begins taking revenge on those he believes are responsible for his downfall, Jess and the team find he just might be right, on the first of two new back-to-back episodes</x:v>
      </x:c>
      <x:c r="P2491" s="53" t="str">
        <x:v>Core FBI franchise</x:v>
      </x:c>
      <x:c r="Q2491" s="17" t="str">
        <x:v>3889139</x:v>
      </x:c>
      <x:c r="R2491" s="17" t="str">
        <x:v>tt10919266</x:v>
      </x:c>
      <x:c r="S2491" s="17" t="str"/>
    </x:row>
    <x:row r="2492">
      <x:c r="A2492" s="43" t="n">
        <x:v>2488</x:v>
      </x:c>
      <x:c r="B2492" s="44" t="str">
        <x:v>Not Started</x:v>
      </x:c>
      <x:c r="C2492" s="45" t="n">
        <x:v>43936</x:v>
      </x:c>
      <x:c r="D2492" s="33" t="str">
        <x:v>FBI: Most Wanted</x:v>
      </x:c>
      <x:c r="E2492" s="33" t="str">
        <x:v>FBI</x:v>
      </x:c>
      <x:c r="F2492" s="33" t="str">
        <x:v>core</x:v>
      </x:c>
      <x:c r="G2492" s="50" t="n">
        <x:v>1</x:v>
      </x:c>
      <x:c r="H2492" s="50" t="n">
        <x:v>12</x:v>
      </x:c>
      <x:c r="I2492" s="44" t="str">
        <x:v>01.12</x:v>
      </x:c>
      <x:c r="J2492" s="33" t="str">
        <x:v>Ride or Die</x:v>
      </x:c>
      <x:c r="K2492" s="33" t="str"/>
      <x:c r="L2492" s="33" t="str"/>
      <x:c r="M2492" s="44" t="str"/>
      <x:c r="N2492" s="50" t="n">
        <x:v>43</x:v>
      </x:c>
      <x:c r="O2492" s="53" t="str">
        <x:v>After a manipulative student commits murder in a fit of jealousy, the team races to capture her before she escapes across the border. Also, Jess teaches Tali how to stand up to bullies, on the second of two new back-to-back episodes</x:v>
      </x:c>
      <x:c r="P2492" s="53" t="str">
        <x:v>Core FBI franchise</x:v>
      </x:c>
      <x:c r="Q2492" s="17" t="str">
        <x:v>3899988</x:v>
      </x:c>
      <x:c r="R2492" s="17" t="str">
        <x:v>tt10926008</x:v>
      </x:c>
      <x:c r="S2492" s="17" t="str"/>
    </x:row>
    <x:row r="2493">
      <x:c r="A2493" s="43" t="n">
        <x:v>2489</x:v>
      </x:c>
      <x:c r="B2493" s="44" t="str">
        <x:v>Not Started</x:v>
      </x:c>
      <x:c r="C2493" s="45" t="n">
        <x:v>43937</x:v>
      </x:c>
      <x:c r="D2493" s="33" t="str">
        <x:v>Chicago Med</x:v>
      </x:c>
      <x:c r="E2493" s="33" t="str">
        <x:v>One Chicago</x:v>
      </x:c>
      <x:c r="F2493" s="33" t="str">
        <x:v>core</x:v>
      </x:c>
      <x:c r="G2493" s="50" t="n">
        <x:v>5</x:v>
      </x:c>
      <x:c r="H2493" s="50" t="n">
        <x:v>20</x:v>
      </x:c>
      <x:c r="I2493" s="44" t="str">
        <x:v>05.20</x:v>
      </x:c>
      <x:c r="J2493" s="33" t="str">
        <x:v>A Needle in the Heart</x:v>
      </x:c>
      <x:c r="K2493" s="33" t="str"/>
      <x:c r="L2493" s="33" t="str"/>
      <x:c r="M2493" s="44" t="str"/>
      <x:c r="N2493" s="50" t="n">
        <x:v>42</x:v>
      </x:c>
      <x:c r="O2493" s="53" t="str">
        <x:v>Dr. Crockett is visited by two New Orleans detectives who have questions about his past. Dr. Choi puts his life in danger to save a child. Dr. Charles gives fatherly advice to his young daughter.</x:v>
      </x:c>
      <x:c r="P2493" s="53" t="str">
        <x:v>Core One Chicago franchise</x:v>
      </x:c>
      <x:c r="Q2493" s="17" t="str">
        <x:v>4094112</x:v>
      </x:c>
      <x:c r="R2493" s="17" t="str">
        <x:v>tt11568092</x:v>
      </x:c>
      <x:c r="S2493" s="17" t="str"/>
    </x:row>
    <x:row r="2494">
      <x:c r="A2494" s="43" t="n">
        <x:v>2490</x:v>
      </x:c>
      <x:c r="B2494" s="44" t="str">
        <x:v>Not Started</x:v>
      </x:c>
      <x:c r="C2494" s="45" t="n">
        <x:v>43937</x:v>
      </x:c>
      <x:c r="D2494" s="33" t="str">
        <x:v>Chicago P.D.</x:v>
      </x:c>
      <x:c r="E2494" s="33" t="str">
        <x:v>One Chicago</x:v>
      </x:c>
      <x:c r="F2494" s="33" t="str">
        <x:v>core</x:v>
      </x:c>
      <x:c r="G2494" s="50" t="n">
        <x:v>7</x:v>
      </x:c>
      <x:c r="H2494" s="50" t="n">
        <x:v>20</x:v>
      </x:c>
      <x:c r="I2494" s="44" t="str">
        <x:v>07.20</x:v>
      </x:c>
      <x:c r="J2494" s="33" t="str">
        <x:v>Silence of the Night</x:v>
      </x:c>
      <x:c r="K2494" s="33" t="str"/>
      <x:c r="L2494" s="33" t="str"/>
      <x:c r="M2494" s="44" t="str"/>
      <x:c r="N2494" s="50" t="n">
        <x:v>42</x:v>
      </x:c>
      <x:c r="O2494" s="53" t="str">
        <x:v>Atwater goes undercover to take down a gun-trafficking ring, but discovers an officer from his past is undercover in the same organization.</x:v>
      </x:c>
      <x:c r="P2494" s="53" t="str">
        <x:v>Core One Chicago franchise; crossovers with SVU/FBI</x:v>
      </x:c>
      <x:c r="Q2494" s="17" t="str">
        <x:v>4077904</x:v>
      </x:c>
      <x:c r="R2494" s="17" t="str">
        <x:v>tt11565320</x:v>
      </x:c>
      <x:c r="S2494" s="17" t="str"/>
    </x:row>
    <x:row r="2495">
      <x:c r="A2495" s="43" t="n">
        <x:v>2491</x:v>
      </x:c>
      <x:c r="B2495" s="44" t="str">
        <x:v>Not Started</x:v>
      </x:c>
      <x:c r="C2495" s="45" t="n">
        <x:v>43937</x:v>
      </x:c>
      <x:c r="D2495" s="33" t="str">
        <x:v>Chicago Fire</x:v>
      </x:c>
      <x:c r="E2495" s="33" t="str">
        <x:v>One Chicago</x:v>
      </x:c>
      <x:c r="F2495" s="33" t="str">
        <x:v>core</x:v>
      </x:c>
      <x:c r="G2495" s="50" t="n">
        <x:v>8</x:v>
      </x:c>
      <x:c r="H2495" s="50" t="n">
        <x:v>20</x:v>
      </x:c>
      <x:c r="I2495" s="44" t="str">
        <x:v>08.20</x:v>
      </x:c>
      <x:c r="J2495" s="33" t="str">
        <x:v>51's Original Bell</x:v>
      </x:c>
      <x:c r="K2495" s="33" t="str"/>
      <x:c r="L2495" s="33" t="str"/>
      <x:c r="M2495" s="44" t="str"/>
      <x:c r="N2495" s="50" t="n">
        <x:v>41</x:v>
      </x:c>
      <x:c r="O2495" s="53" t="str">
        <x:v>When one of 51's own gets injured on a call, Lt. Severide becomes obsessed with helping out. Foster contemplates a big decision. Kidd is concerned for one of her high school trainees.</x:v>
      </x:c>
      <x:c r="P2495" s="53" t="str">
        <x:v>Core One Chicago franchise</x:v>
      </x:c>
      <x:c r="Q2495" s="17" t="str">
        <x:v>4077913</x:v>
      </x:c>
      <x:c r="R2495" s="17" t="str">
        <x:v>tt11565782</x:v>
      </x:c>
      <x:c r="S2495" s="17" t="str"/>
    </x:row>
    <x:row r="2496">
      <x:c r="A2496" s="43" t="n">
        <x:v>2492</x:v>
      </x:c>
      <x:c r="B2496" s="44" t="str">
        <x:v>Not Started</x:v>
      </x:c>
      <x:c r="C2496" s="45" t="n">
        <x:v>43937</x:v>
      </x:c>
      <x:c r="D2496" s="33" t="str">
        <x:v>Law &amp; Order: Special Victims Unit</x:v>
      </x:c>
      <x:c r="E2496" s="33" t="str">
        <x:v>Law &amp; Order</x:v>
      </x:c>
      <x:c r="F2496" s="33" t="str">
        <x:v>core</x:v>
      </x:c>
      <x:c r="G2496" s="50" t="n">
        <x:v>21</x:v>
      </x:c>
      <x:c r="H2496" s="50" t="n">
        <x:v>19</x:v>
      </x:c>
      <x:c r="I2496" s="44" t="str">
        <x:v>21.19</x:v>
      </x:c>
      <x:c r="J2496" s="33" t="str">
        <x:v>Solving for the Unknowns</x:v>
      </x:c>
      <x:c r="K2496" s="33" t="str"/>
      <x:c r="L2496" s="33" t="str"/>
      <x:c r="M2496" s="44" t="str"/>
      <x:c r="N2496" s="50" t="n">
        <x:v>43</x:v>
      </x:c>
      <x:c r="O2496" s="53" t="str">
        <x:v>The SVU struggles to find a serial predator who uses a date rape drug that leaves no evidence behind. Rollins receives some good news.</x:v>
      </x:c>
      <x:c r="P2496" s="53" t="str">
        <x:v>Core Law &amp; Order franchise</x:v>
      </x:c>
      <x:c r="Q2496" s="17" t="str">
        <x:v>4056481</x:v>
      </x:c>
      <x:c r="R2496" s="17" t="str">
        <x:v>tt11008032</x:v>
      </x:c>
      <x:c r="S2496" s="17" t="str">
        <x:v>1477</x:v>
      </x:c>
    </x:row>
    <x:row r="2497">
      <x:c r="A2497" s="43" t="n">
        <x:v>2493</x:v>
      </x:c>
      <x:c r="B2497" s="44" t="str">
        <x:v>Not Started</x:v>
      </x:c>
      <x:c r="C2497" s="45" t="n">
        <x:v>43940</x:v>
      </x:c>
      <x:c r="D2497" s="33" t="str">
        <x:v>Cold Justice</x:v>
      </x:c>
      <x:c r="E2497" s="33" t="str">
        <x:v>Crossover Adjacent</x:v>
      </x:c>
      <x:c r="F2497" s="33" t="str">
        <x:v>complete</x:v>
      </x:c>
      <x:c r="G2497" s="50" t="n">
        <x:v>5</x:v>
      </x:c>
      <x:c r="H2497" s="50" t="n">
        <x:v>24</x:v>
      </x:c>
      <x:c r="I2497" s="44" t="str">
        <x:v>05.24</x:v>
      </x:c>
      <x:c r="J2497" s="33" t="str">
        <x:v>Deadly Affairs</x:v>
      </x:c>
      <x:c r="K2497" s="33" t="str"/>
      <x:c r="L2497" s="33" t="str"/>
      <x:c r="M2497" s="44" t="str"/>
      <x:c r="N2497" s="50" t="n">
        <x:v>42</x:v>
      </x:c>
      <x:c r="O2497" s="53" t="str">
        <x:v>Kelly and Steve investigate the 2016 homicide of Stacey Devine, a hard-working mother who was strangled to death and dumped in a ditch. Was it a random act of violence, or did her strained marriage factor in to her murder?</x:v>
      </x:c>
      <x:c r="P2497" s="53" t="str">
        <x:v>Wolf Entertainment unscripted true-crime series</x:v>
      </x:c>
      <x:c r="Q2497" s="17" t="str">
        <x:v>4055222</x:v>
      </x:c>
      <x:c r="R2497" s="17" t="str"/>
      <x:c r="S2497" s="17" t="str"/>
    </x:row>
    <x:row r="2498">
      <x:c r="A2498" s="43" t="n">
        <x:v>2494</x:v>
      </x:c>
      <x:c r="B2498" s="44" t="str">
        <x:v>Not Started</x:v>
      </x:c>
      <x:c r="C2498" s="45" t="n">
        <x:v>43944</x:v>
      </x:c>
      <x:c r="D2498" s="33" t="str">
        <x:v>Law &amp; Order: Special Victims Unit</x:v>
      </x:c>
      <x:c r="E2498" s="33" t="str">
        <x:v>Law &amp; Order</x:v>
      </x:c>
      <x:c r="F2498" s="33" t="str">
        <x:v>core</x:v>
      </x:c>
      <x:c r="G2498" s="50" t="n">
        <x:v>21</x:v>
      </x:c>
      <x:c r="H2498" s="50" t="n">
        <x:v>20</x:v>
      </x:c>
      <x:c r="I2498" s="44" t="str">
        <x:v>21.20</x:v>
      </x:c>
      <x:c r="J2498" s="33" t="str">
        <x:v>The Things We Have to Lose</x:v>
      </x:c>
      <x:c r="K2498" s="33" t="str"/>
      <x:c r="L2498" s="33" t="str"/>
      <x:c r="M2498" s="44" t="str"/>
      <x:c r="N2498" s="50" t="n">
        <x:v>43</x:v>
      </x:c>
      <x:c r="O2498" s="53" t="str">
        <x:v>As Carisi begins the long-anticipated trial of Sir Toby Moore, the SVU faces setbacks in several other cases.</x:v>
      </x:c>
      <x:c r="P2498" s="53" t="str">
        <x:v>Core Law &amp; Order franchise</x:v>
      </x:c>
      <x:c r="Q2498" s="17" t="str">
        <x:v>4062520</x:v>
      </x:c>
      <x:c r="R2498" s="17" t="str">
        <x:v>tt11008034</x:v>
      </x:c>
      <x:c r="S2498" s="17" t="str">
        <x:v>1478</x:v>
      </x:c>
    </x:row>
    <x:row r="2499">
      <x:c r="A2499" s="43" t="n">
        <x:v>2495</x:v>
      </x:c>
      <x:c r="B2499" s="44" t="str">
        <x:v>Not Started</x:v>
      </x:c>
      <x:c r="C2499" s="45" t="n">
        <x:v>43947</x:v>
      </x:c>
      <x:c r="D2499" s="33" t="str">
        <x:v>Cold Justice</x:v>
      </x:c>
      <x:c r="E2499" s="33" t="str">
        <x:v>Crossover Adjacent</x:v>
      </x:c>
      <x:c r="F2499" s="33" t="str">
        <x:v>complete</x:v>
      </x:c>
      <x:c r="G2499" s="50" t="n">
        <x:v>5</x:v>
      </x:c>
      <x:c r="H2499" s="50" t="n">
        <x:v>25</x:v>
      </x:c>
      <x:c r="I2499" s="44" t="str">
        <x:v>05.25</x:v>
      </x:c>
      <x:c r="J2499" s="33" t="str">
        <x:v>A Family's Nightmare</x:v>
      </x:c>
      <x:c r="K2499" s="33" t="str"/>
      <x:c r="L2499" s="33" t="str"/>
      <x:c r="M2499" s="44" t="str"/>
      <x:c r="N2499" s="50" t="n">
        <x:v>42</x:v>
      </x:c>
      <x:c r="O2499" s="53" t="str">
        <x:v>Kelly and Abbey search for new clues in the fatal shooting of a mother of six that was initially considered suicide. Their investigation exposes a heart-breaking trail of secrets hidden for 25 years.</x:v>
      </x:c>
      <x:c r="P2499" s="53" t="str">
        <x:v>Wolf Entertainment unscripted true-crime series</x:v>
      </x:c>
      <x:c r="Q2499" s="17" t="str">
        <x:v>4055224</x:v>
      </x:c>
      <x:c r="R2499" s="17" t="str">
        <x:v>tt11933958</x:v>
      </x:c>
      <x:c r="S2499" s="17" t="str"/>
    </x:row>
    <x:row r="2500">
      <x:c r="A2500" s="43" t="n">
        <x:v>2496</x:v>
      </x:c>
      <x:c r="B2500" s="44" t="str">
        <x:v>Not Started</x:v>
      </x:c>
      <x:c r="C2500" s="45" t="n">
        <x:v>43950</x:v>
      </x:c>
      <x:c r="D2500" s="33" t="str">
        <x:v>FBI: Most Wanted</x:v>
      </x:c>
      <x:c r="E2500" s="33" t="str">
        <x:v>FBI</x:v>
      </x:c>
      <x:c r="F2500" s="33" t="str">
        <x:v>core</x:v>
      </x:c>
      <x:c r="G2500" s="50" t="n">
        <x:v>1</x:v>
      </x:c>
      <x:c r="H2500" s="50" t="n">
        <x:v>13</x:v>
      </x:c>
      <x:c r="I2500" s="44" t="str">
        <x:v>01.13</x:v>
      </x:c>
      <x:c r="J2500" s="33" t="str">
        <x:v>Grudge</x:v>
      </x:c>
      <x:c r="K2500" s="33" t="str"/>
      <x:c r="L2500" s="33" t="str"/>
      <x:c r="M2500" s="44" t="str"/>
      <x:c r="N2500" s="50" t="n">
        <x:v>43</x:v>
      </x:c>
      <x:c r="O2500" s="53" t="str">
        <x:v>When a case of cyber-stalking escalates to multiple murders, the team must track down a hacker who will stop at nothing to get revenge on those he believes have wronged him. Someone from Hana’s past offers her help on the case, but at a price she’s not willing to pay.</x:v>
      </x:c>
      <x:c r="P2500" s="53" t="str">
        <x:v>Core FBI franchise</x:v>
      </x:c>
      <x:c r="Q2500" s="17" t="str">
        <x:v>4078787</x:v>
      </x:c>
      <x:c r="R2500" s="17" t="str">
        <x:v>tt11478142</x:v>
      </x:c>
      <x:c r="S2500" s="17" t="str"/>
    </x:row>
    <x:row r="2501">
      <x:c r="A2501" s="43" t="n">
        <x:v>2497</x:v>
      </x:c>
      <x:c r="B2501" s="44" t="str">
        <x:v>Not Started</x:v>
      </x:c>
      <x:c r="C2501" s="45" t="n">
        <x:v>43954</x:v>
      </x:c>
      <x:c r="D2501" s="33" t="str">
        <x:v>Cold Justice</x:v>
      </x:c>
      <x:c r="E2501" s="33" t="str">
        <x:v>Crossover Adjacent</x:v>
      </x:c>
      <x:c r="F2501" s="33" t="str">
        <x:v>complete</x:v>
      </x:c>
      <x:c r="G2501" s="50" t="n">
        <x:v>5</x:v>
      </x:c>
      <x:c r="H2501" s="50" t="n">
        <x:v>26</x:v>
      </x:c>
      <x:c r="I2501" s="44" t="str">
        <x:v>05.26</x:v>
      </x:c>
      <x:c r="J2501" s="33" t="str">
        <x:v>Fatal Betrayal (Fort Myers, FL)</x:v>
      </x:c>
      <x:c r="K2501" s="33" t="str"/>
      <x:c r="L2501" s="33" t="str"/>
      <x:c r="M2501" s="44" t="str"/>
      <x:c r="N2501" s="50" t="n">
        <x:v>42</x:v>
      </x:c>
      <x:c r="O2501" s="53" t="str">
        <x:v>Kelly and Abbey return to Fort Myers, FL, to tackle the 1997 murder of Keith Jones, an aspiring police officer mugged and shot in his motel room; multiple suspects include a female witness that may have set him up.</x:v>
      </x:c>
      <x:c r="P2501" s="53" t="str">
        <x:v>Wolf Entertainment unscripted true-crime series</x:v>
      </x:c>
      <x:c r="Q2501" s="17" t="str">
        <x:v>4055226</x:v>
      </x:c>
      <x:c r="R2501" s="17" t="str"/>
      <x:c r="S2501" s="17" t="str"/>
    </x:row>
    <x:row r="2502">
      <x:c r="A2502" s="43" t="n">
        <x:v>2498</x:v>
      </x:c>
      <x:c r="B2502" s="44" t="str">
        <x:v>Not Started</x:v>
      </x:c>
      <x:c r="C2502" s="45" t="n">
        <x:v>43957</x:v>
      </x:c>
      <x:c r="D2502" s="33" t="str">
        <x:v>FBI: Most Wanted</x:v>
      </x:c>
      <x:c r="E2502" s="33" t="str">
        <x:v>FBI</x:v>
      </x:c>
      <x:c r="F2502" s="33" t="str">
        <x:v>core</x:v>
      </x:c>
      <x:c r="G2502" s="50" t="n">
        <x:v>1</x:v>
      </x:c>
      <x:c r="H2502" s="50" t="n">
        <x:v>14</x:v>
      </x:c>
      <x:c r="I2502" s="44" t="str">
        <x:v>01.14</x:v>
      </x:c>
      <x:c r="J2502" s="33" t="str">
        <x:v>Getaway</x:v>
      </x:c>
      <x:c r="K2502" s="33" t="str"/>
      <x:c r="L2502" s="33" t="str"/>
      <x:c r="M2502" s="44" t="str"/>
      <x:c r="N2502" s="50" t="n">
        <x:v>43</x:v>
      </x:c>
      <x:c r="O2502" s="53" t="str">
        <x:v>When a father and son bank robbing duo escape from a prison transport van on their way to trial and pick up where they left off, the team must hunt them down before they steal enough money to escape the country. Jess draws on his own personal history to profile the duo’s father-son dynamic.</x:v>
      </x:c>
      <x:c r="P2502" s="53" t="str">
        <x:v>Core FBI franchise</x:v>
      </x:c>
      <x:c r="Q2502" s="17" t="str">
        <x:v>4078788</x:v>
      </x:c>
      <x:c r="R2502" s="17" t="str">
        <x:v>tt11388008</x:v>
      </x:c>
      <x:c r="S2502" s="17" t="str"/>
    </x:row>
    <x:row r="2503">
      <x:c r="A2503" s="43" t="n">
        <x:v>2499</x:v>
      </x:c>
      <x:c r="B2503" s="44" t="str">
        <x:v>Not Started</x:v>
      </x:c>
      <x:c r="C2503" s="45" t="n">
        <x:v>44147</x:v>
      </x:c>
      <x:c r="D2503" s="33" t="str">
        <x:v>Chicago Med</x:v>
      </x:c>
      <x:c r="E2503" s="33" t="str">
        <x:v>One Chicago</x:v>
      </x:c>
      <x:c r="F2503" s="33" t="str">
        <x:v>core</x:v>
      </x:c>
      <x:c r="G2503" s="50" t="n">
        <x:v>6</x:v>
      </x:c>
      <x:c r="H2503" s="50" t="n">
        <x:v>1</x:v>
      </x:c>
      <x:c r="I2503" s="44" t="str">
        <x:v>06.01</x:v>
      </x:c>
      <x:c r="J2503" s="33" t="str">
        <x:v>When Did We Begin to Change</x:v>
      </x:c>
      <x:c r="K2503" s="33" t="str"/>
      <x:c r="L2503" s="33" t="str"/>
      <x:c r="M2503" s="44" t="str"/>
      <x:c r="N2503" s="50" t="n">
        <x:v>42</x:v>
      </x:c>
      <x:c r="O2503" s="53" t="str">
        <x:v>The staff adjusts to the new normal of the pandemic. Dr. Choi, Dr. Lanik and April fight on the front lines. Dr. Halstead and Hannah face a troubling reality. Dr. Charles tries to clear the air with his daughter following recent developments.</x:v>
      </x:c>
      <x:c r="P2503" s="53" t="str">
        <x:v>Core One Chicago franchise</x:v>
      </x:c>
      <x:c r="Q2503" s="17" t="str">
        <x:v>4409292</x:v>
      </x:c>
      <x:c r="R2503" s="17" t="str">
        <x:v>tt11873126</x:v>
      </x:c>
      <x:c r="S2503" s="17" t="str"/>
    </x:row>
    <x:row r="2504">
      <x:c r="A2504" s="43" t="n">
        <x:v>2500</x:v>
      </x:c>
      <x:c r="B2504" s="44" t="str">
        <x:v>Not Started</x:v>
      </x:c>
      <x:c r="C2504" s="45" t="n">
        <x:v>44147</x:v>
      </x:c>
      <x:c r="D2504" s="33" t="str">
        <x:v>Chicago P.D.</x:v>
      </x:c>
      <x:c r="E2504" s="33" t="str">
        <x:v>One Chicago</x:v>
      </x:c>
      <x:c r="F2504" s="33" t="str">
        <x:v>core</x:v>
      </x:c>
      <x:c r="G2504" s="50" t="n">
        <x:v>8</x:v>
      </x:c>
      <x:c r="H2504" s="50" t="n">
        <x:v>1</x:v>
      </x:c>
      <x:c r="I2504" s="44" t="str">
        <x:v>08.01</x:v>
      </x:c>
      <x:c r="J2504" s="33" t="str">
        <x:v>Fighting Ghosts</x:v>
      </x:c>
      <x:c r="K2504" s="33" t="str"/>
      <x:c r="L2504" s="33" t="str"/>
      <x:c r="M2504" s="44" t="str"/>
      <x:c r="N2504" s="50" t="n">
        <x:v>42</x:v>
      </x:c>
      <x:c r="O2504" s="53" t="str">
        <x:v>The team responds to the shooting of a 5-year-old girl and must work the case while facing new obstacles that come from the heightened attention on police reform. Atwater is targeted by a group of officers who want to hurt him for standing against the blue wall. Voight questions whether he's cut out for a new form of policing as he manages oversight from the CPD's deputy superintendent.</x:v>
      </x:c>
      <x:c r="P2504" s="53" t="str">
        <x:v>Core One Chicago franchise; crossovers with SVU/FBI</x:v>
      </x:c>
      <x:c r="Q2504" s="17" t="str">
        <x:v>4408322</x:v>
      </x:c>
      <x:c r="R2504" s="17" t="str">
        <x:v>tt11873114</x:v>
      </x:c>
      <x:c r="S2504" s="17" t="str"/>
    </x:row>
    <x:row r="2505">
      <x:c r="A2505" s="43" t="n">
        <x:v>2501</x:v>
      </x:c>
      <x:c r="B2505" s="44" t="str">
        <x:v>Not Started</x:v>
      </x:c>
      <x:c r="C2505" s="45" t="n">
        <x:v>44147</x:v>
      </x:c>
      <x:c r="D2505" s="33" t="str">
        <x:v>Chicago Fire</x:v>
      </x:c>
      <x:c r="E2505" s="33" t="str">
        <x:v>One Chicago</x:v>
      </x:c>
      <x:c r="F2505" s="33" t="str">
        <x:v>core</x:v>
      </x:c>
      <x:c r="G2505" s="50" t="n">
        <x:v>9</x:v>
      </x:c>
      <x:c r="H2505" s="50" t="n">
        <x:v>1</x:v>
      </x:c>
      <x:c r="I2505" s="44" t="str">
        <x:v>09.01</x:v>
      </x:c>
      <x:c r="J2505" s="33" t="str">
        <x:v>Rattle Second City</x:v>
      </x:c>
      <x:c r="K2505" s="33" t="str"/>
      <x:c r="L2505" s="33" t="str"/>
      <x:c r="M2505" s="44" t="str"/>
      <x:c r="N2505" s="50" t="n">
        <x:v>42</x:v>
      </x:c>
      <x:c r="O2505" s="53" t="str">
        <x:v>Firehouse 51 welcomes a new member to the team, whose presence could provide some complications. Brett's leadership shines during a scary call. Boden sees great potential in Kidd and proposes an idea that could have lasting repercussions.</x:v>
      </x:c>
      <x:c r="P2505" s="53" t="str">
        <x:v>Core One Chicago franchise</x:v>
      </x:c>
      <x:c r="Q2505" s="17" t="str">
        <x:v>4407322</x:v>
      </x:c>
      <x:c r="R2505" s="17" t="str">
        <x:v>tt11873102</x:v>
      </x:c>
      <x:c r="S2505" s="17" t="str"/>
    </x:row>
    <x:row r="2506">
      <x:c r="A2506" s="43" t="n">
        <x:v>2502</x:v>
      </x:c>
      <x:c r="B2506" s="44" t="str">
        <x:v>Not Started</x:v>
      </x:c>
      <x:c r="C2506" s="45" t="n">
        <x:v>44147</x:v>
      </x:c>
      <x:c r="D2506" s="33" t="str">
        <x:v>Law &amp; Order: Special Victims Unit</x:v>
      </x:c>
      <x:c r="E2506" s="33" t="str">
        <x:v>Law &amp; Order</x:v>
      </x:c>
      <x:c r="F2506" s="33" t="str">
        <x:v>core</x:v>
      </x:c>
      <x:c r="G2506" s="50" t="n">
        <x:v>22</x:v>
      </x:c>
      <x:c r="H2506" s="50" t="n">
        <x:v>1</x:v>
      </x:c>
      <x:c r="I2506" s="44" t="str">
        <x:v>22.01</x:v>
      </x:c>
      <x:c r="J2506" s="33" t="str">
        <x:v>Guardians and Gladiators</x:v>
      </x:c>
      <x:c r="K2506" s="33" t="str"/>
      <x:c r="L2506" s="33" t="str"/>
      <x:c r="M2506" s="44" t="str"/>
      <x:c r="N2506" s="50" t="n">
        <x:v>43</x:v>
      </x:c>
      <x:c r="O2506" s="53" t="str">
        <x:v>When the squad tries to solve an assault in Central Park, they are hampered by their own blind spots and a community that is losing trust in the police.</x:v>
      </x:c>
      <x:c r="P2506" s="53" t="str">
        <x:v>Core Law &amp; Order franchise</x:v>
      </x:c>
      <x:c r="Q2506" s="17" t="str">
        <x:v>4385742</x:v>
      </x:c>
      <x:c r="R2506" s="17" t="str">
        <x:v>tt11873140</x:v>
      </x:c>
      <x:c r="S2506" s="17" t="str">
        <x:v>1479</x:v>
      </x:c>
    </x:row>
    <x:row r="2507">
      <x:c r="A2507" s="43" t="n">
        <x:v>2503</x:v>
      </x:c>
      <x:c r="B2507" s="44" t="str">
        <x:v>Not Started</x:v>
      </x:c>
      <x:c r="C2507" s="45" t="n">
        <x:v>44148</x:v>
      </x:c>
      <x:c r="D2507" s="33" t="str">
        <x:v>Law &amp; Order</x:v>
      </x:c>
      <x:c r="E2507" s="33" t="str">
        <x:v>Law &amp; Order</x:v>
      </x:c>
      <x:c r="F2507" s="33" t="str">
        <x:v>core</x:v>
      </x:c>
      <x:c r="G2507" s="50" t="n">
        <x:v>0</x:v>
      </x:c>
      <x:c r="H2507" s="50" t="n">
        <x:v>12</x:v>
      </x:c>
      <x:c r="I2507" s="44" t="str">
        <x:v>S00.12</x:v>
      </x:c>
      <x:c r="J2507" s="33" t="str">
        <x:v>The Paley Center Presents Law &amp; Order - Before They Were Stars</x:v>
      </x:c>
      <x:c r="K2507" s="33" t="str"/>
      <x:c r="L2507" s="33" t="str"/>
      <x:c r="M2507" s="44" t="str"/>
      <x:c r="N2507" s="50" t="n">
        <x:v>45</x:v>
      </x:c>
      <x:c r="O2507" s="53" t="str">
        <x:v>For an up-and-coming actor, an appearance on a "Law &amp; Order" episode is a rite of passage. Since 1990, more than a few of the attorneys, victims, perpetrators, witnesses, kids, suspects and police of the week have gone on to become some of the biggest television and movie stars in the world.
With over 1,200 episodes from the "Law &amp; Order" library to date and tens of thousands of roles for actors, it's no surprise that many of them have gone on to incredible careers. This insightful look back is a celebration of 30 years of a legendary franchise and the stars who have helped pave the way.</x:v>
      </x:c>
      <x:c r="P2507" s="53" t="str">
        <x:v>Core Law &amp; Order franchise</x:v>
      </x:c>
      <x:c r="Q2507" s="17" t="str">
        <x:v>34051</x:v>
      </x:c>
      <x:c r="R2507" s="17" t="str"/>
      <x:c r="S2507" s="17" t="str"/>
    </x:row>
    <x:row r="2508">
      <x:c r="A2508" s="43" t="n">
        <x:v>2504</x:v>
      </x:c>
      <x:c r="B2508" s="44" t="str">
        <x:v>Not Started</x:v>
      </x:c>
      <x:c r="C2508" s="45" t="n">
        <x:v>44153</x:v>
      </x:c>
      <x:c r="D2508" s="33" t="str">
        <x:v>FBI: Most Wanted</x:v>
      </x:c>
      <x:c r="E2508" s="33" t="str">
        <x:v>FBI</x:v>
      </x:c>
      <x:c r="F2508" s="33" t="str">
        <x:v>core</x:v>
      </x:c>
      <x:c r="G2508" s="50" t="n">
        <x:v>2</x:v>
      </x:c>
      <x:c r="H2508" s="50" t="n">
        <x:v>1</x:v>
      </x:c>
      <x:c r="I2508" s="44" t="str">
        <x:v>02.01</x:v>
      </x:c>
      <x:c r="J2508" s="33" t="str">
        <x:v>Rampage</x:v>
      </x:c>
      <x:c r="K2508" s="33" t="str"/>
      <x:c r="L2508" s="33" t="str"/>
      <x:c r="M2508" s="44" t="str"/>
      <x:c r="N2508" s="50" t="n">
        <x:v>43</x:v>
      </x:c>
      <x:c r="O2508" s="53" t="str">
        <x:v>With COVID-19 devastating the country, two gunmen take out their desperation and rage on the elite class they perceive to be oppressing them; Jess' father returns and may not be over his old ways.</x:v>
      </x:c>
      <x:c r="P2508" s="53" t="str">
        <x:v>Core FBI franchise</x:v>
      </x:c>
      <x:c r="Q2508" s="17" t="str">
        <x:v>4545421</x:v>
      </x:c>
      <x:c r="R2508" s="17" t="str">
        <x:v>tt13448722</x:v>
      </x:c>
      <x:c r="S2508" s="17" t="str"/>
    </x:row>
    <x:row r="2509">
      <x:c r="A2509" s="43" t="n">
        <x:v>2505</x:v>
      </x:c>
      <x:c r="B2509" s="44" t="str">
        <x:v>Not Started</x:v>
      </x:c>
      <x:c r="C2509" s="45" t="n">
        <x:v>44153</x:v>
      </x:c>
      <x:c r="D2509" s="33" t="str">
        <x:v>FBI</x:v>
      </x:c>
      <x:c r="E2509" s="33" t="str">
        <x:v>FBI</x:v>
      </x:c>
      <x:c r="F2509" s="33" t="str">
        <x:v>core</x:v>
      </x:c>
      <x:c r="G2509" s="50" t="n">
        <x:v>3</x:v>
      </x:c>
      <x:c r="H2509" s="50" t="n">
        <x:v>1</x:v>
      </x:c>
      <x:c r="I2509" s="44" t="str">
        <x:v>03.01</x:v>
      </x:c>
      <x:c r="J2509" s="33" t="str">
        <x:v>Never Trust a Stranger</x:v>
      </x:c>
      <x:c r="K2509" s="33" t="str"/>
      <x:c r="L2509" s="33" t="str"/>
      <x:c r="M2509" s="44" t="str"/>
      <x:c r="N2509" s="50" t="n">
        <x:v>43</x:v>
      </x:c>
      <x:c r="O2509" s="53" t="str">
        <x:v>The team welcomes a new member, Special Agent Tiffany Wallace, as they search for killers who orchestrated a mass shooting at a media company, and OA’s personal connection with the case threatens to cloud his judgement.</x:v>
      </x:c>
      <x:c r="P2509" s="53" t="str">
        <x:v>Core FBI franchise</x:v>
      </x:c>
      <x:c r="Q2509" s="17" t="str">
        <x:v>4545501</x:v>
      </x:c>
      <x:c r="R2509" s="17" t="str">
        <x:v>tt12272126</x:v>
      </x:c>
      <x:c r="S2509" s="17" t="str"/>
    </x:row>
    <x:row r="2510">
      <x:c r="A2510" s="43" t="n">
        <x:v>2506</x:v>
      </x:c>
      <x:c r="B2510" s="44" t="str">
        <x:v>Not Started</x:v>
      </x:c>
      <x:c r="C2510" s="45" t="n">
        <x:v>44154</x:v>
      </x:c>
      <x:c r="D2510" s="33" t="str">
        <x:v>Chicago Med</x:v>
      </x:c>
      <x:c r="E2510" s="33" t="str">
        <x:v>One Chicago</x:v>
      </x:c>
      <x:c r="F2510" s="33" t="str">
        <x:v>core</x:v>
      </x:c>
      <x:c r="G2510" s="50" t="n">
        <x:v>6</x:v>
      </x:c>
      <x:c r="H2510" s="50" t="n">
        <x:v>2</x:v>
      </x:c>
      <x:c r="I2510" s="44" t="str">
        <x:v>06.02</x:v>
      </x:c>
      <x:c r="J2510" s="33" t="str">
        <x:v>Those Things Hidden in Plain Sight</x:v>
      </x:c>
      <x:c r="K2510" s="33" t="str"/>
      <x:c r="L2510" s="33" t="str"/>
      <x:c r="M2510" s="44" t="str"/>
      <x:c r="N2510" s="50" t="n">
        <x:v>42</x:v>
      </x:c>
      <x:c r="O2510" s="53" t="str">
        <x:v>Goodwin announces a new ED Chief and the choice doesn't make everyone happy. Dr. Manning takes a stand for her patient and finds herself dealing with the repercussions. Dr. Charles tends to family affairs.</x:v>
      </x:c>
      <x:c r="P2510" s="53" t="str">
        <x:v>Core One Chicago franchise</x:v>
      </x:c>
      <x:c r="Q2510" s="17" t="str">
        <x:v>4565988</x:v>
      </x:c>
      <x:c r="R2510" s="17" t="str">
        <x:v>tt13175492</x:v>
      </x:c>
      <x:c r="S2510" s="17" t="str"/>
    </x:row>
    <x:row r="2511">
      <x:c r="A2511" s="43" t="n">
        <x:v>2507</x:v>
      </x:c>
      <x:c r="B2511" s="44" t="str">
        <x:v>Not Started</x:v>
      </x:c>
      <x:c r="C2511" s="45" t="n">
        <x:v>44154</x:v>
      </x:c>
      <x:c r="D2511" s="33" t="str">
        <x:v>Chicago P.D.</x:v>
      </x:c>
      <x:c r="E2511" s="33" t="str">
        <x:v>One Chicago</x:v>
      </x:c>
      <x:c r="F2511" s="33" t="str">
        <x:v>core</x:v>
      </x:c>
      <x:c r="G2511" s="50" t="n">
        <x:v>8</x:v>
      </x:c>
      <x:c r="H2511" s="50" t="n">
        <x:v>2</x:v>
      </x:c>
      <x:c r="I2511" s="44" t="str">
        <x:v>08.02</x:v>
      </x:c>
      <x:c r="J2511" s="33" t="str">
        <x:v>White Knuckle</x:v>
      </x:c>
      <x:c r="K2511" s="33" t="str"/>
      <x:c r="L2511" s="33" t="str"/>
      <x:c r="M2511" s="44" t="str"/>
      <x:c r="N2511" s="50" t="n">
        <x:v>42</x:v>
      </x:c>
      <x:c r="O2511" s="53" t="str">
        <x:v>When the son of an influential former officer is implicated in a murder, Moore pressures Voight to charge him quickly. The stakes are raised in Atwater's fight against the blue wall after patrol officers stop responding to his team's calls.</x:v>
      </x:c>
      <x:c r="P2511" s="53" t="str">
        <x:v>Core One Chicago franchise; crossovers with SVU/FBI</x:v>
      </x:c>
      <x:c r="Q2511" s="17" t="str">
        <x:v>4565643</x:v>
      </x:c>
      <x:c r="R2511" s="17" t="str">
        <x:v>tt13159612</x:v>
      </x:c>
      <x:c r="S2511" s="17" t="str"/>
    </x:row>
    <x:row r="2512">
      <x:c r="A2512" s="43" t="n">
        <x:v>2508</x:v>
      </x:c>
      <x:c r="B2512" s="44" t="str">
        <x:v>Not Started</x:v>
      </x:c>
      <x:c r="C2512" s="45" t="n">
        <x:v>44154</x:v>
      </x:c>
      <x:c r="D2512" s="33" t="str">
        <x:v>Chicago Fire</x:v>
      </x:c>
      <x:c r="E2512" s="33" t="str">
        <x:v>One Chicago</x:v>
      </x:c>
      <x:c r="F2512" s="33" t="str">
        <x:v>core</x:v>
      </x:c>
      <x:c r="G2512" s="50" t="n">
        <x:v>9</x:v>
      </x:c>
      <x:c r="H2512" s="50" t="n">
        <x:v>2</x:v>
      </x:c>
      <x:c r="I2512" s="44" t="str">
        <x:v>09.02</x:v>
      </x:c>
      <x:c r="J2512" s="33" t="str">
        <x:v>That Kind of Heat</x:v>
      </x:c>
      <x:c r="K2512" s="33" t="str"/>
      <x:c r="L2512" s="33" t="str"/>
      <x:c r="M2512" s="44" t="str"/>
      <x:c r="N2512" s="50" t="n">
        <x:v>42</x:v>
      </x:c>
      <x:c r="O2512" s="53" t="str">
        <x:v>Brett and Mackey find their lives in peril. Casey and Brett tread in unfamiliar territory. Severide chases a memory while Kidd adeptly solves a firehouse problem. Ritter puts himself in harms way during a harrowing call.</x:v>
      </x:c>
      <x:c r="P2512" s="53" t="str">
        <x:v>Core One Chicago franchise</x:v>
      </x:c>
      <x:c r="Q2512" s="17" t="str">
        <x:v>4565637</x:v>
      </x:c>
      <x:c r="R2512" s="17" t="str">
        <x:v>tt13175504</x:v>
      </x:c>
      <x:c r="S2512" s="17" t="str"/>
    </x:row>
    <x:row r="2513">
      <x:c r="A2513" s="43" t="n">
        <x:v>2509</x:v>
      </x:c>
      <x:c r="B2513" s="44" t="str">
        <x:v>Not Started</x:v>
      </x:c>
      <x:c r="C2513" s="45" t="n">
        <x:v>44154</x:v>
      </x:c>
      <x:c r="D2513" s="33" t="str">
        <x:v>Law &amp; Order: Special Victims Unit</x:v>
      </x:c>
      <x:c r="E2513" s="33" t="str">
        <x:v>Law &amp; Order</x:v>
      </x:c>
      <x:c r="F2513" s="33" t="str">
        <x:v>core</x:v>
      </x:c>
      <x:c r="G2513" s="50" t="n">
        <x:v>22</x:v>
      </x:c>
      <x:c r="H2513" s="50" t="n">
        <x:v>2</x:v>
      </x:c>
      <x:c r="I2513" s="44" t="str">
        <x:v>22.02</x:v>
      </x:c>
      <x:c r="J2513" s="33" t="str">
        <x:v>Ballad of Dwight and Irena</x:v>
      </x:c>
      <x:c r="K2513" s="33" t="str"/>
      <x:c r="L2513" s="33" t="str"/>
      <x:c r="M2513" s="44" t="str"/>
      <x:c r="N2513" s="50" t="n">
        <x:v>43</x:v>
      </x:c>
      <x:c r="O2513" s="53" t="str">
        <x:v>Rollins and Kat respond to a dangerous domestic violence call while Fin gives his deposition in the lawsuit against him.</x:v>
      </x:c>
      <x:c r="P2513" s="53" t="str">
        <x:v>Core Law &amp; Order franchise</x:v>
      </x:c>
      <x:c r="Q2513" s="17" t="str">
        <x:v>4565655</x:v>
      </x:c>
      <x:c r="R2513" s="17" t="str">
        <x:v>tt13058476</x:v>
      </x:c>
      <x:c r="S2513" s="17" t="str">
        <x:v>1480</x:v>
      </x:c>
    </x:row>
    <x:row r="2514">
      <x:c r="A2514" s="43" t="n">
        <x:v>2510</x:v>
      </x:c>
      <x:c r="B2514" s="44" t="str">
        <x:v>Not Started</x:v>
      </x:c>
      <x:c r="C2514" s="45" t="n">
        <x:v>44160</x:v>
      </x:c>
      <x:c r="D2514" s="33" t="str">
        <x:v>FBI: Most Wanted</x:v>
      </x:c>
      <x:c r="E2514" s="33" t="str">
        <x:v>FBI</x:v>
      </x:c>
      <x:c r="F2514" s="33" t="str">
        <x:v>core</x:v>
      </x:c>
      <x:c r="G2514" s="50" t="n">
        <x:v>2</x:v>
      </x:c>
      <x:c r="H2514" s="50" t="n">
        <x:v>2</x:v>
      </x:c>
      <x:c r="I2514" s="44" t="str">
        <x:v>02.02</x:v>
      </x:c>
      <x:c r="J2514" s="33" t="str">
        <x:v>Execute</x:v>
      </x:c>
      <x:c r="K2514" s="33" t="str"/>
      <x:c r="L2514" s="33" t="str"/>
      <x:c r="M2514" s="44" t="str"/>
      <x:c r="N2514" s="50" t="n">
        <x:v>43</x:v>
      </x:c>
      <x:c r="O2514" s="53" t="str">
        <x:v>When a hacker triggers a car crash that kills a family of three, the team races to hunt him down as his ransomware demands escalate and his final target becomes apparent.</x:v>
      </x:c>
      <x:c r="P2514" s="53" t="str">
        <x:v>Core FBI franchise</x:v>
      </x:c>
      <x:c r="Q2514" s="17" t="str">
        <x:v>4565106</x:v>
      </x:c>
      <x:c r="R2514" s="17" t="str">
        <x:v>tt12272162</x:v>
      </x:c>
      <x:c r="S2514" s="17" t="str"/>
    </x:row>
    <x:row r="2515">
      <x:c r="A2515" s="43" t="n">
        <x:v>2511</x:v>
      </x:c>
      <x:c r="B2515" s="44" t="str">
        <x:v>Not Started</x:v>
      </x:c>
      <x:c r="C2515" s="45" t="n">
        <x:v>44160</x:v>
      </x:c>
      <x:c r="D2515" s="33" t="str">
        <x:v>FBI</x:v>
      </x:c>
      <x:c r="E2515" s="33" t="str">
        <x:v>FBI</x:v>
      </x:c>
      <x:c r="F2515" s="33" t="str">
        <x:v>core</x:v>
      </x:c>
      <x:c r="G2515" s="50" t="n">
        <x:v>3</x:v>
      </x:c>
      <x:c r="H2515" s="50" t="n">
        <x:v>2</x:v>
      </x:c>
      <x:c r="I2515" s="44" t="str">
        <x:v>03.02</x:v>
      </x:c>
      <x:c r="J2515" s="33" t="str">
        <x:v>Unreasonable Doubt</x:v>
      </x:c>
      <x:c r="K2515" s="33" t="str"/>
      <x:c r="L2515" s="33" t="str"/>
      <x:c r="M2515" s="44" t="str"/>
      <x:c r="N2515" s="50" t="n">
        <x:v>43</x:v>
      </x:c>
      <x:c r="O2515" s="53" t="str">
        <x:v>The team races to stop an active serial killer after three women are found weighted down at the bottom of a lake, and Jubal looks into an old closed case after there are multiple similarities to the recent victims.</x:v>
      </x:c>
      <x:c r="P2515" s="53" t="str">
        <x:v>Core FBI franchise</x:v>
      </x:c>
      <x:c r="Q2515" s="17" t="str">
        <x:v>4565101</x:v>
      </x:c>
      <x:c r="R2515" s="17" t="str">
        <x:v>tt13452460</x:v>
      </x:c>
      <x:c r="S2515" s="17" t="str"/>
    </x:row>
    <x:row r="2516">
      <x:c r="A2516" s="43" t="n">
        <x:v>2512</x:v>
      </x:c>
      <x:c r="B2516" s="44" t="str">
        <x:v>Not Started</x:v>
      </x:c>
      <x:c r="C2516" s="45" t="n">
        <x:v>44168</x:v>
      </x:c>
      <x:c r="D2516" s="33" t="str">
        <x:v>Law &amp; Order: Special Victims Unit</x:v>
      </x:c>
      <x:c r="E2516" s="33" t="str">
        <x:v>Law &amp; Order</x:v>
      </x:c>
      <x:c r="F2516" s="33" t="str">
        <x:v>core</x:v>
      </x:c>
      <x:c r="G2516" s="50" t="n">
        <x:v>22</x:v>
      </x:c>
      <x:c r="H2516" s="50" t="n">
        <x:v>3</x:v>
      </x:c>
      <x:c r="I2516" s="44" t="str">
        <x:v>22.03</x:v>
      </x:c>
      <x:c r="J2516" s="33" t="str">
        <x:v>Remember Me in Quarantine</x:v>
      </x:c>
      <x:c r="K2516" s="33" t="str"/>
      <x:c r="L2516" s="33" t="str"/>
      <x:c r="M2516" s="44" t="str"/>
      <x:c r="N2516" s="50" t="n">
        <x:v>43</x:v>
      </x:c>
      <x:c r="O2516" s="53" t="str">
        <x:v>The Special Victims Unit questions a group of college roommates when one of them goes missing during Covid lockdown.</x:v>
      </x:c>
      <x:c r="P2516" s="53" t="str">
        <x:v>Core Law &amp; Order franchise</x:v>
      </x:c>
      <x:c r="Q2516" s="17" t="str">
        <x:v>4587752</x:v>
      </x:c>
      <x:c r="R2516" s="17" t="str">
        <x:v>tt13058482</x:v>
      </x:c>
      <x:c r="S2516" s="17" t="str">
        <x:v>1481</x:v>
      </x:c>
    </x:row>
    <x:row r="2517">
      <x:c r="A2517" s="43" t="n">
        <x:v>2513</x:v>
      </x:c>
      <x:c r="B2517" s="44" t="str">
        <x:v>Not Started</x:v>
      </x:c>
      <x:c r="C2517" s="45" t="n">
        <x:v>44174</x:v>
      </x:c>
      <x:c r="D2517" s="33" t="str">
        <x:v>FBI: Most Wanted</x:v>
      </x:c>
      <x:c r="E2517" s="33" t="str">
        <x:v>FBI</x:v>
      </x:c>
      <x:c r="F2517" s="33" t="str">
        <x:v>core</x:v>
      </x:c>
      <x:c r="G2517" s="50" t="n">
        <x:v>2</x:v>
      </x:c>
      <x:c r="H2517" s="50" t="n">
        <x:v>3</x:v>
      </x:c>
      <x:c r="I2517" s="44" t="str">
        <x:v>02.03</x:v>
      </x:c>
      <x:c r="J2517" s="33" t="str">
        <x:v>Deconflict</x:v>
      </x:c>
      <x:c r="K2517" s="33" t="str"/>
      <x:c r="L2517" s="33" t="str"/>
      <x:c r="M2517" s="44" t="str"/>
      <x:c r="N2517" s="50" t="n">
        <x:v>43</x:v>
      </x:c>
      <x:c r="O2517" s="53" t="str">
        <x:v>After witnessing her husband's murder, a woman is kidnapped from her home along with a mysterious stash of money hidden in her floor. When Jess realizes there may be a connection to one of his past cases, the need to find the kidnapper becomes personal.</x:v>
      </x:c>
      <x:c r="P2517" s="53" t="str">
        <x:v>Core FBI franchise</x:v>
      </x:c>
      <x:c r="Q2517" s="17" t="str">
        <x:v>4586929</x:v>
      </x:c>
      <x:c r="R2517" s="17" t="str">
        <x:v>tt13486484</x:v>
      </x:c>
      <x:c r="S2517" s="17" t="str"/>
    </x:row>
    <x:row r="2518">
      <x:c r="A2518" s="43" t="n">
        <x:v>2514</x:v>
      </x:c>
      <x:c r="B2518" s="44" t="str">
        <x:v>Not Started</x:v>
      </x:c>
      <x:c r="C2518" s="45" t="n">
        <x:v>44174</x:v>
      </x:c>
      <x:c r="D2518" s="33" t="str">
        <x:v>FBI</x:v>
      </x:c>
      <x:c r="E2518" s="33" t="str">
        <x:v>FBI</x:v>
      </x:c>
      <x:c r="F2518" s="33" t="str">
        <x:v>core</x:v>
      </x:c>
      <x:c r="G2518" s="50" t="n">
        <x:v>3</x:v>
      </x:c>
      <x:c r="H2518" s="50" t="n">
        <x:v>3</x:v>
      </x:c>
      <x:c r="I2518" s="44" t="str">
        <x:v>03.03</x:v>
      </x:c>
      <x:c r="J2518" s="33" t="str">
        <x:v>Liar's Poker</x:v>
      </x:c>
      <x:c r="K2518" s="33" t="str"/>
      <x:c r="L2518" s="33" t="str"/>
      <x:c r="M2518" s="44" t="str"/>
      <x:c r="N2518" s="50" t="n">
        <x:v>43</x:v>
      </x:c>
      <x:c r="O2518" s="53" t="str">
        <x:v>When the leader of a drug cartel and one of the world's most wanted men, Antonio Vargas, is apprehended by the team, the entire FBI headquarters is put at risk when his henchmen unveil a terroristic threat to free him. During the turmoil, Isobel must make the difficult decision whether to sacrifice her conscience or her career.</x:v>
      </x:c>
      <x:c r="P2518" s="53" t="str">
        <x:v>Core FBI franchise</x:v>
      </x:c>
      <x:c r="Q2518" s="17" t="str">
        <x:v>4567557</x:v>
      </x:c>
      <x:c r="R2518" s="17" t="str">
        <x:v>tt13540664</x:v>
      </x:c>
      <x:c r="S2518" s="17" t="str"/>
    </x:row>
    <x:row r="2519">
      <x:c r="A2519" s="43" t="n">
        <x:v>2515</x:v>
      </x:c>
      <x:c r="B2519" s="44" t="str">
        <x:v>Not Started</x:v>
      </x:c>
      <x:c r="C2519" s="45" t="n">
        <x:v>44203</x:v>
      </x:c>
      <x:c r="D2519" s="33" t="str">
        <x:v>Law &amp; Order: Special Victims Unit</x:v>
      </x:c>
      <x:c r="E2519" s="33" t="str">
        <x:v>Law &amp; Order</x:v>
      </x:c>
      <x:c r="F2519" s="33" t="str">
        <x:v>core</x:v>
      </x:c>
      <x:c r="G2519" s="50" t="n">
        <x:v>22</x:v>
      </x:c>
      <x:c r="H2519" s="50" t="n">
        <x:v>4</x:v>
      </x:c>
      <x:c r="I2519" s="44" t="str">
        <x:v>22.04</x:v>
      </x:c>
      <x:c r="J2519" s="33" t="str">
        <x:v>Sightless in a Savage Land</x:v>
      </x:c>
      <x:c r="K2519" s="33" t="str"/>
      <x:c r="L2519" s="33" t="str"/>
      <x:c r="M2519" s="44" t="str"/>
      <x:c r="N2519" s="50" t="n">
        <x:v>43</x:v>
      </x:c>
      <x:c r="O2519" s="53" t="str">
        <x:v>The squad spends New Year's Eve tracking down an Amber Alert, and Carisi faces off against Counselor Rafael Barba in an emotional courtroom battle.</x:v>
      </x:c>
      <x:c r="P2519" s="53" t="str">
        <x:v>Core Law &amp; Order franchise</x:v>
      </x:c>
      <x:c r="Q2519" s="17" t="str">
        <x:v>4625921</x:v>
      </x:c>
      <x:c r="R2519" s="17" t="str">
        <x:v>tt13095084</x:v>
      </x:c>
      <x:c r="S2519" s="17" t="str">
        <x:v>1482</x:v>
      </x:c>
    </x:row>
    <x:row r="2520">
      <x:c r="A2520" s="43" t="n">
        <x:v>2516</x:v>
      </x:c>
      <x:c r="B2520" s="44" t="str">
        <x:v>Not Started</x:v>
      </x:c>
      <x:c r="C2520" s="45" t="n">
        <x:v>44210</x:v>
      </x:c>
      <x:c r="D2520" s="33" t="str">
        <x:v>Chicago Med</x:v>
      </x:c>
      <x:c r="E2520" s="33" t="str">
        <x:v>One Chicago</x:v>
      </x:c>
      <x:c r="F2520" s="33" t="str">
        <x:v>core</x:v>
      </x:c>
      <x:c r="G2520" s="50" t="n">
        <x:v>6</x:v>
      </x:c>
      <x:c r="H2520" s="50" t="n">
        <x:v>3</x:v>
      </x:c>
      <x:c r="I2520" s="44" t="str">
        <x:v>06.03</x:v>
      </x:c>
      <x:c r="J2520" s="33" t="str">
        <x:v>Do You Know the Way Home?</x:v>
      </x:c>
      <x:c r="K2520" s="33" t="str"/>
      <x:c r="L2520" s="33" t="str"/>
      <x:c r="M2520" s="44" t="str"/>
      <x:c r="N2520" s="50" t="n">
        <x:v>42</x:v>
      </x:c>
      <x:c r="O2520" s="53" t="str">
        <x:v>Dr. Charles and April team up to take on a mysterious patient in the ED. Dr. Halstead is forced to make a life-or-death decision for one of his trial patients. Dr. Marcel is confronted by his past when a former acquaintance is brought into the ED.</x:v>
      </x:c>
      <x:c r="P2520" s="53" t="str">
        <x:v>Core One Chicago franchise</x:v>
      </x:c>
      <x:c r="Q2520" s="17" t="str">
        <x:v>4567904</x:v>
      </x:c>
      <x:c r="R2520" s="17" t="str">
        <x:v>tt13505594</x:v>
      </x:c>
      <x:c r="S2520" s="17" t="str"/>
    </x:row>
    <x:row r="2521">
      <x:c r="A2521" s="43" t="n">
        <x:v>2517</x:v>
      </x:c>
      <x:c r="B2521" s="44" t="str">
        <x:v>Not Started</x:v>
      </x:c>
      <x:c r="C2521" s="45" t="n">
        <x:v>44210</x:v>
      </x:c>
      <x:c r="D2521" s="33" t="str">
        <x:v>Chicago P.D.</x:v>
      </x:c>
      <x:c r="E2521" s="33" t="str">
        <x:v>One Chicago</x:v>
      </x:c>
      <x:c r="F2521" s="33" t="str">
        <x:v>core</x:v>
      </x:c>
      <x:c r="G2521" s="50" t="n">
        <x:v>8</x:v>
      </x:c>
      <x:c r="H2521" s="50" t="n">
        <x:v>3</x:v>
      </x:c>
      <x:c r="I2521" s="44" t="str">
        <x:v>08.03</x:v>
      </x:c>
      <x:c r="J2521" s="33" t="str">
        <x:v>Tender Age</x:v>
      </x:c>
      <x:c r="K2521" s="33" t="str"/>
      <x:c r="L2521" s="33" t="str"/>
      <x:c r="M2521" s="44" t="str"/>
      <x:c r="N2521" s="50" t="n">
        <x:v>42</x:v>
      </x:c>
      <x:c r="O2521" s="53" t="str">
        <x:v>Ruzek and Burgess discover a child walking alone in the middle of the street, and when they take her home, they discover that her entire family has been murdered. Upton is approached with a job offer from the FBI.</x:v>
      </x:c>
      <x:c r="P2521" s="53" t="str">
        <x:v>Core One Chicago franchise; crossovers with SVU/FBI</x:v>
      </x:c>
      <x:c r="Q2521" s="17" t="str">
        <x:v>4588003</x:v>
      </x:c>
      <x:c r="R2521" s="17" t="str">
        <x:v>tt13514530</x:v>
      </x:c>
      <x:c r="S2521" s="17" t="str"/>
    </x:row>
    <x:row r="2522">
      <x:c r="A2522" s="43" t="n">
        <x:v>2518</x:v>
      </x:c>
      <x:c r="B2522" s="44" t="str">
        <x:v>Not Started</x:v>
      </x:c>
      <x:c r="C2522" s="45" t="n">
        <x:v>44210</x:v>
      </x:c>
      <x:c r="D2522" s="33" t="str">
        <x:v>Chicago Fire</x:v>
      </x:c>
      <x:c r="E2522" s="33" t="str">
        <x:v>One Chicago</x:v>
      </x:c>
      <x:c r="F2522" s="33" t="str">
        <x:v>core</x:v>
      </x:c>
      <x:c r="G2522" s="50" t="n">
        <x:v>9</x:v>
      </x:c>
      <x:c r="H2522" s="50" t="n">
        <x:v>3</x:v>
      </x:c>
      <x:c r="I2522" s="44" t="str">
        <x:v>09.03</x:v>
      </x:c>
      <x:c r="J2522" s="33" t="str">
        <x:v>Smash Therapy</x:v>
      </x:c>
      <x:c r="K2522" s="33" t="str"/>
      <x:c r="L2522" s="33" t="str"/>
      <x:c r="M2522" s="44" t="str"/>
      <x:c r="N2522" s="50" t="n">
        <x:v>42</x:v>
      </x:c>
      <x:c r="O2522" s="53" t="str">
        <x:v>A mishap on the aerial ladder in the midst of a fire rescue leaves Mouch shaken and questioning his abilities. Kidd looks for support from Severide while Casey and Brett discuss their future.</x:v>
      </x:c>
      <x:c r="P2522" s="53" t="str">
        <x:v>Core One Chicago franchise</x:v>
      </x:c>
      <x:c r="Q2522" s="17" t="str">
        <x:v>4568361</x:v>
      </x:c>
      <x:c r="R2522" s="17" t="str">
        <x:v>tt13514538</x:v>
      </x:c>
      <x:c r="S2522" s="17" t="str"/>
    </x:row>
    <x:row r="2523">
      <x:c r="A2523" s="43" t="n">
        <x:v>2519</x:v>
      </x:c>
      <x:c r="B2523" s="44" t="str">
        <x:v>Not Started</x:v>
      </x:c>
      <x:c r="C2523" s="45" t="n">
        <x:v>44210</x:v>
      </x:c>
      <x:c r="D2523" s="33" t="str">
        <x:v>Law &amp; Order: Special Victims Unit</x:v>
      </x:c>
      <x:c r="E2523" s="33" t="str">
        <x:v>Law &amp; Order</x:v>
      </x:c>
      <x:c r="F2523" s="33" t="str">
        <x:v>core</x:v>
      </x:c>
      <x:c r="G2523" s="50" t="n">
        <x:v>22</x:v>
      </x:c>
      <x:c r="H2523" s="50" t="n">
        <x:v>5</x:v>
      </x:c>
      <x:c r="I2523" s="44" t="str">
        <x:v>22.05</x:v>
      </x:c>
      <x:c r="J2523" s="33" t="str">
        <x:v>Turn Me On, Take Me Private</x:v>
      </x:c>
      <x:c r="K2523" s="33" t="str"/>
      <x:c r="L2523" s="33" t="str"/>
      <x:c r="M2523" s="44" t="str"/>
      <x:c r="N2523" s="50" t="n">
        <x:v>43</x:v>
      </x:c>
      <x:c r="O2523" s="53" t="str">
        <x:v>The SVU investigates when a role-play session on a camming website turns violent after one user decides to meet his idol in person.</x:v>
      </x:c>
      <x:c r="P2523" s="53" t="str">
        <x:v>Core Law &amp; Order franchise</x:v>
      </x:c>
      <x:c r="Q2523" s="17" t="str">
        <x:v>4706201</x:v>
      </x:c>
      <x:c r="R2523" s="17" t="str">
        <x:v>tt13095086</x:v>
      </x:c>
      <x:c r="S2523" s="17" t="str">
        <x:v>1483</x:v>
      </x:c>
    </x:row>
    <x:row r="2524">
      <x:c r="A2524" s="43" t="n">
        <x:v>2520</x:v>
      </x:c>
      <x:c r="B2524" s="44" t="str">
        <x:v>Not Started</x:v>
      </x:c>
      <x:c r="C2524" s="45" t="n">
        <x:v>44216</x:v>
      </x:c>
      <x:c r="D2524" s="33" t="str">
        <x:v>FBI: Most Wanted</x:v>
      </x:c>
      <x:c r="E2524" s="33" t="str">
        <x:v>FBI</x:v>
      </x:c>
      <x:c r="F2524" s="33" t="str">
        <x:v>core</x:v>
      </x:c>
      <x:c r="G2524" s="50" t="n">
        <x:v>2</x:v>
      </x:c>
      <x:c r="H2524" s="50" t="n">
        <x:v>4</x:v>
      </x:c>
      <x:c r="I2524" s="44" t="str">
        <x:v>02.04</x:v>
      </x:c>
      <x:c r="J2524" s="33" t="str">
        <x:v>Anonymous</x:v>
      </x:c>
      <x:c r="K2524" s="33" t="str"/>
      <x:c r="L2524" s="33" t="str"/>
      <x:c r="M2524" s="44" t="str"/>
      <x:c r="N2524" s="50" t="n">
        <x:v>43</x:v>
      </x:c>
      <x:c r="O2524" s="53" t="str">
        <x:v>The team searches for a young woman who is heading down a deadly path of vengeance, using ties to an online radical conspiracy organization to further her cause. Also, Barnes must make a life-changing decision, finding it hard to not let the dark side of her job affect her.</x:v>
      </x:c>
      <x:c r="P2524" s="53" t="str">
        <x:v>Core FBI franchise</x:v>
      </x:c>
      <x:c r="Q2524" s="17" t="str">
        <x:v>4586930</x:v>
      </x:c>
      <x:c r="R2524" s="17" t="str">
        <x:v>tt13556474</x:v>
      </x:c>
      <x:c r="S2524" s="17" t="str"/>
    </x:row>
    <x:row r="2525">
      <x:c r="A2525" s="43" t="n">
        <x:v>2521</x:v>
      </x:c>
      <x:c r="B2525" s="44" t="str">
        <x:v>Not Started</x:v>
      </x:c>
      <x:c r="C2525" s="45" t="n">
        <x:v>44217</x:v>
      </x:c>
      <x:c r="D2525" s="33" t="str">
        <x:v>Law &amp; Order: Special Victims Unit</x:v>
      </x:c>
      <x:c r="E2525" s="33" t="str">
        <x:v>Law &amp; Order</x:v>
      </x:c>
      <x:c r="F2525" s="33" t="str">
        <x:v>core</x:v>
      </x:c>
      <x:c r="G2525" s="50" t="n">
        <x:v>22</x:v>
      </x:c>
      <x:c r="H2525" s="50" t="n">
        <x:v>6</x:v>
      </x:c>
      <x:c r="I2525" s="44" t="str">
        <x:v>22.06</x:v>
      </x:c>
      <x:c r="J2525" s="33" t="str">
        <x:v>The Long Arm of the Witness</x:v>
      </x:c>
      <x:c r="K2525" s="33" t="str"/>
      <x:c r="L2525" s="33" t="str"/>
      <x:c r="M2525" s="44" t="str"/>
      <x:c r="N2525" s="50" t="n">
        <x:v>43</x:v>
      </x:c>
      <x:c r="O2525" s="53" t="str">
        <x:v>Carisi takes on a powerful judge when he inexplicably dismisses the rape case of a university student.</x:v>
      </x:c>
      <x:c r="P2525" s="53" t="str">
        <x:v>Core Law &amp; Order franchise</x:v>
      </x:c>
      <x:c r="Q2525" s="17" t="str">
        <x:v>4706203</x:v>
      </x:c>
      <x:c r="R2525" s="17" t="str">
        <x:v>tt13095094</x:v>
      </x:c>
      <x:c r="S2525" s="17" t="str">
        <x:v>1484</x:v>
      </x:c>
    </x:row>
    <x:row r="2526">
      <x:c r="A2526" s="43" t="n">
        <x:v>2522</x:v>
      </x:c>
      <x:c r="B2526" s="44" t="str">
        <x:v>Not Started</x:v>
      </x:c>
      <x:c r="C2526" s="45" t="n">
        <x:v>44221</x:v>
      </x:c>
      <x:c r="D2526" s="33" t="str">
        <x:v>FBI</x:v>
      </x:c>
      <x:c r="E2526" s="33" t="str">
        <x:v>FBI</x:v>
      </x:c>
      <x:c r="F2526" s="33" t="str">
        <x:v>core</x:v>
      </x:c>
      <x:c r="G2526" s="50" t="n">
        <x:v>3</x:v>
      </x:c>
      <x:c r="H2526" s="50" t="n">
        <x:v>4</x:v>
      </x:c>
      <x:c r="I2526" s="44" t="str">
        <x:v>03.04</x:v>
      </x:c>
      <x:c r="J2526" s="33" t="str">
        <x:v>Crazy Love</x:v>
      </x:c>
      <x:c r="K2526" s="33" t="str"/>
      <x:c r="L2526" s="33" t="str"/>
      <x:c r="M2526" s="44" t="str"/>
      <x:c r="N2526" s="50" t="n">
        <x:v>43</x:v>
      </x:c>
      <x:c r="O2526" s="53" t="str">
        <x:v>A shooting at a quinceañera leaves two dead, but the team believes they may not have been the intended targets. Also, Maggie is trapped between a rock and a hard place as the team decides the best plan of action for using a witness to take down the suspect.</x:v>
      </x:c>
      <x:c r="P2526" s="53" t="str">
        <x:v>Core FBI franchise</x:v>
      </x:c>
      <x:c r="Q2526" s="17" t="str">
        <x:v>4567562</x:v>
      </x:c>
      <x:c r="R2526" s="17" t="str">
        <x:v>tt13677138</x:v>
      </x:c>
      <x:c r="S2526" s="17" t="str"/>
    </x:row>
    <x:row r="2527">
      <x:c r="A2527" s="43" t="n">
        <x:v>2523</x:v>
      </x:c>
      <x:c r="B2527" s="44" t="str">
        <x:v>Not Started</x:v>
      </x:c>
      <x:c r="C2527" s="45" t="n">
        <x:v>44223</x:v>
      </x:c>
      <x:c r="D2527" s="33" t="str">
        <x:v>FBI: Most Wanted</x:v>
      </x:c>
      <x:c r="E2527" s="33" t="str">
        <x:v>FBI</x:v>
      </x:c>
      <x:c r="F2527" s="33" t="str">
        <x:v>core</x:v>
      </x:c>
      <x:c r="G2527" s="50" t="n">
        <x:v>2</x:v>
      </x:c>
      <x:c r="H2527" s="50" t="n">
        <x:v>5</x:v>
      </x:c>
      <x:c r="I2527" s="44" t="str">
        <x:v>02.05</x:v>
      </x:c>
      <x:c r="J2527" s="33" t="str">
        <x:v>The Line</x:v>
      </x:c>
      <x:c r="K2527" s="33" t="str"/>
      <x:c r="L2527" s="33" t="str"/>
      <x:c r="M2527" s="44" t="str"/>
      <x:c r="N2527" s="50" t="n">
        <x:v>43</x:v>
      </x:c>
      <x:c r="O2527" s="53" t="str">
        <x:v>After a rogue militia group opens fire on several teenagers crossing the Canadian border into the U.S., the team races to find the ringleader and his final target. Also, Jess' relationship with his father, Byron reaches a breaking point.</x:v>
      </x:c>
      <x:c r="P2527" s="53" t="str">
        <x:v>Core FBI franchise</x:v>
      </x:c>
      <x:c r="Q2527" s="17" t="str">
        <x:v>4683538</x:v>
      </x:c>
      <x:c r="R2527" s="17" t="str">
        <x:v>tt13698494</x:v>
      </x:c>
      <x:c r="S2527" s="17" t="str"/>
    </x:row>
    <x:row r="2528">
      <x:c r="A2528" s="43" t="n">
        <x:v>2524</x:v>
      </x:c>
      <x:c r="B2528" s="44" t="str">
        <x:v>Not Started</x:v>
      </x:c>
      <x:c r="C2528" s="45" t="n">
        <x:v>44223</x:v>
      </x:c>
      <x:c r="D2528" s="33" t="str">
        <x:v>FBI</x:v>
      </x:c>
      <x:c r="E2528" s="33" t="str">
        <x:v>FBI</x:v>
      </x:c>
      <x:c r="F2528" s="33" t="str">
        <x:v>core</x:v>
      </x:c>
      <x:c r="G2528" s="50" t="n">
        <x:v>3</x:v>
      </x:c>
      <x:c r="H2528" s="50" t="n">
        <x:v>5</x:v>
      </x:c>
      <x:c r="I2528" s="44" t="str">
        <x:v>03.05</x:v>
      </x:c>
      <x:c r="J2528" s="33" t="str">
        <x:v>Clean Slate</x:v>
      </x:c>
      <x:c r="K2528" s="33" t="str"/>
      <x:c r="L2528" s="33" t="str"/>
      <x:c r="M2528" s="44" t="str"/>
      <x:c r="N2528" s="50" t="n">
        <x:v>43</x:v>
      </x:c>
      <x:c r="O2528" s="53" t="str">
        <x:v>As the team searches for a young girl who was kidnapped from a cabin during a family vacation, they discover that the abduction may be tied to a skeleton in her family's closet. Also, Maggie questions her relationship with Nestor when she learns he hasn't been completely honest with her.</x:v>
      </x:c>
      <x:c r="P2528" s="53" t="str">
        <x:v>Core FBI franchise</x:v>
      </x:c>
      <x:c r="Q2528" s="17" t="str">
        <x:v>4683544</x:v>
      </x:c>
      <x:c r="R2528" s="17" t="str">
        <x:v>tt13841380</x:v>
      </x:c>
      <x:c r="S2528" s="17" t="str"/>
    </x:row>
    <x:row r="2529">
      <x:c r="A2529" s="43" t="n">
        <x:v>2525</x:v>
      </x:c>
      <x:c r="B2529" s="44" t="str">
        <x:v>Not Started</x:v>
      </x:c>
      <x:c r="C2529" s="45" t="n">
        <x:v>44224</x:v>
      </x:c>
      <x:c r="D2529" s="33" t="str">
        <x:v>Chicago Med</x:v>
      </x:c>
      <x:c r="E2529" s="33" t="str">
        <x:v>One Chicago</x:v>
      </x:c>
      <x:c r="F2529" s="33" t="str">
        <x:v>core</x:v>
      </x:c>
      <x:c r="G2529" s="50" t="n">
        <x:v>6</x:v>
      </x:c>
      <x:c r="H2529" s="50" t="n">
        <x:v>4</x:v>
      </x:c>
      <x:c r="I2529" s="44" t="str">
        <x:v>06.04</x:v>
      </x:c>
      <x:c r="J2529" s="33" t="str">
        <x:v>In Search of Forgiveness, Not Permission</x:v>
      </x:c>
      <x:c r="K2529" s="33" t="str"/>
      <x:c r="L2529" s="33" t="str"/>
      <x:c r="M2529" s="44" t="str"/>
      <x:c r="N2529" s="50" t="n">
        <x:v>43</x:v>
      </x:c>
      <x:c r="O2529" s="53" t="str">
        <x:v>Dr. Marcel and Dr. Manning lay everything on the line to assist a sick woman. Dr. Halstead faces an uphill battle in getting participants involved in his clinical trial. Dr. Choi clashes with a patient who demands absolute perfection of himself.</x:v>
      </x:c>
      <x:c r="P2529" s="53" t="str">
        <x:v>Core One Chicago franchise</x:v>
      </x:c>
      <x:c r="Q2529" s="17" t="str">
        <x:v>4669033</x:v>
      </x:c>
      <x:c r="R2529" s="17" t="str">
        <x:v>tt13659378</x:v>
      </x:c>
      <x:c r="S2529" s="17" t="str"/>
    </x:row>
    <x:row r="2530">
      <x:c r="A2530" s="43" t="n">
        <x:v>2526</x:v>
      </x:c>
      <x:c r="B2530" s="44" t="str">
        <x:v>Not Started</x:v>
      </x:c>
      <x:c r="C2530" s="45" t="n">
        <x:v>44224</x:v>
      </x:c>
      <x:c r="D2530" s="33" t="str">
        <x:v>Chicago P.D.</x:v>
      </x:c>
      <x:c r="E2530" s="33" t="str">
        <x:v>One Chicago</x:v>
      </x:c>
      <x:c r="F2530" s="33" t="str">
        <x:v>core</x:v>
      </x:c>
      <x:c r="G2530" s="50" t="n">
        <x:v>8</x:v>
      </x:c>
      <x:c r="H2530" s="50" t="n">
        <x:v>4</x:v>
      </x:c>
      <x:c r="I2530" s="44" t="str">
        <x:v>08.04</x:v>
      </x:c>
      <x:c r="J2530" s="33" t="str">
        <x:v>Unforgiven</x:v>
      </x:c>
      <x:c r="K2530" s="33" t="str"/>
      <x:c r="L2530" s="33" t="str"/>
      <x:c r="M2530" s="44" t="str"/>
      <x:c r="N2530" s="50" t="n">
        <x:v>42</x:v>
      </x:c>
      <x:c r="O2530" s="53" t="str">
        <x:v>A cop is murdered, and suspicion falls on someone who has been holding a grudge against the officer. Intelligence works hard to solve the case, but Deputy Superintendent Samantha Miller is hesitant to defend him until she knows the whole story.</x:v>
      </x:c>
      <x:c r="P2530" s="53" t="str">
        <x:v>Core One Chicago franchise; crossovers with SVU/FBI</x:v>
      </x:c>
      <x:c r="Q2530" s="17" t="str">
        <x:v>4669626</x:v>
      </x:c>
      <x:c r="R2530" s="17" t="str">
        <x:v>tt13731310</x:v>
      </x:c>
      <x:c r="S2530" s="17" t="str"/>
    </x:row>
    <x:row r="2531">
      <x:c r="A2531" s="43" t="n">
        <x:v>2527</x:v>
      </x:c>
      <x:c r="B2531" s="44" t="str">
        <x:v>Not Started</x:v>
      </x:c>
      <x:c r="C2531" s="45" t="n">
        <x:v>44224</x:v>
      </x:c>
      <x:c r="D2531" s="33" t="str">
        <x:v>Chicago Fire</x:v>
      </x:c>
      <x:c r="E2531" s="33" t="str">
        <x:v>One Chicago</x:v>
      </x:c>
      <x:c r="F2531" s="33" t="str">
        <x:v>core</x:v>
      </x:c>
      <x:c r="G2531" s="50" t="n">
        <x:v>9</x:v>
      </x:c>
      <x:c r="H2531" s="50" t="n">
        <x:v>4</x:v>
      </x:c>
      <x:c r="I2531" s="44" t="str">
        <x:v>09.04</x:v>
      </x:c>
      <x:c r="J2531" s="33" t="str">
        <x:v>Funny What Things Remind Us</x:v>
      </x:c>
      <x:c r="K2531" s="33" t="str"/>
      <x:c r="L2531" s="33" t="str"/>
      <x:c r="M2531" s="44" t="str"/>
      <x:c r="N2531" s="50" t="n">
        <x:v>42</x:v>
      </x:c>
      <x:c r="O2531" s="53" t="str">
        <x:v>While completing a task assigned by headquarters, Boden makes an unforeseen connection. Gallo is forced to make a surprise rescue to one of their own when the firehouse is called to the site of a construction explosion. Mouch reignites an old feud.</x:v>
      </x:c>
      <x:c r="P2531" s="53" t="str">
        <x:v>Core One Chicago franchise</x:v>
      </x:c>
      <x:c r="Q2531" s="17" t="str">
        <x:v>4669051</x:v>
      </x:c>
      <x:c r="R2531" s="17" t="str">
        <x:v>tt13731314</x:v>
      </x:c>
      <x:c r="S2531" s="17" t="str"/>
    </x:row>
    <x:row r="2532">
      <x:c r="A2532" s="43" t="n">
        <x:v>2528</x:v>
      </x:c>
      <x:c r="B2532" s="44" t="str">
        <x:v>Not Started</x:v>
      </x:c>
      <x:c r="C2532" s="45" t="n">
        <x:v>44231</x:v>
      </x:c>
      <x:c r="D2532" s="33" t="str">
        <x:v>Chicago Med</x:v>
      </x:c>
      <x:c r="E2532" s="33" t="str">
        <x:v>One Chicago</x:v>
      </x:c>
      <x:c r="F2532" s="33" t="str">
        <x:v>core</x:v>
      </x:c>
      <x:c r="G2532" s="50" t="n">
        <x:v>6</x:v>
      </x:c>
      <x:c r="H2532" s="50" t="n">
        <x:v>5</x:v>
      </x:c>
      <x:c r="I2532" s="44" t="str">
        <x:v>06.05</x:v>
      </x:c>
      <x:c r="J2532" s="33" t="str">
        <x:v>When Your Heart Rules Your Head</x:v>
      </x:c>
      <x:c r="K2532" s="33" t="str"/>
      <x:c r="L2532" s="33" t="str"/>
      <x:c r="M2532" s="44" t="str"/>
      <x:c r="N2532" s="50" t="n">
        <x:v>42</x:v>
      </x:c>
      <x:c r="O2532" s="53" t="str">
        <x:v>Dr. Halstead finds continued success in his trial. Dr. Charles' daughter, Anna, receives life-changing news. Noah finds himself in a situation not even April can fix.</x:v>
      </x:c>
      <x:c r="P2532" s="53" t="str">
        <x:v>Core One Chicago franchise</x:v>
      </x:c>
      <x:c r="Q2532" s="17" t="str">
        <x:v>4685032</x:v>
      </x:c>
      <x:c r="R2532" s="17" t="str">
        <x:v>tt13761532</x:v>
      </x:c>
      <x:c r="S2532" s="17" t="str"/>
    </x:row>
    <x:row r="2533">
      <x:c r="A2533" s="43" t="n">
        <x:v>2529</x:v>
      </x:c>
      <x:c r="B2533" s="44" t="str">
        <x:v>Not Started</x:v>
      </x:c>
      <x:c r="C2533" s="45" t="n">
        <x:v>44231</x:v>
      </x:c>
      <x:c r="D2533" s="33" t="str">
        <x:v>Chicago P.D.</x:v>
      </x:c>
      <x:c r="E2533" s="33" t="str">
        <x:v>One Chicago</x:v>
      </x:c>
      <x:c r="F2533" s="33" t="str">
        <x:v>core</x:v>
      </x:c>
      <x:c r="G2533" s="50" t="n">
        <x:v>8</x:v>
      </x:c>
      <x:c r="H2533" s="50" t="n">
        <x:v>5</x:v>
      </x:c>
      <x:c r="I2533" s="44" t="str">
        <x:v>08.05</x:v>
      </x:c>
      <x:c r="J2533" s="33" t="str">
        <x:v>In Your Care</x:v>
      </x:c>
      <x:c r="K2533" s="33" t="str"/>
      <x:c r="L2533" s="33" t="str"/>
      <x:c r="M2533" s="44" t="str"/>
      <x:c r="N2533" s="50" t="n">
        <x:v>42</x:v>
      </x:c>
      <x:c r="O2533" s="53" t="str">
        <x:v>The team investigates a rash of car jackings and finds the truth is more complicated than they realize. Burgess makes a discovery about a previous case that will change her life forever.</x:v>
      </x:c>
      <x:c r="P2533" s="53" t="str">
        <x:v>Core One Chicago franchise; crossovers with SVU/FBI</x:v>
      </x:c>
      <x:c r="Q2533" s="17" t="str">
        <x:v>4685031</x:v>
      </x:c>
      <x:c r="R2533" s="17" t="str">
        <x:v>tt13761534</x:v>
      </x:c>
      <x:c r="S2533" s="17" t="str"/>
    </x:row>
    <x:row r="2534">
      <x:c r="A2534" s="43" t="n">
        <x:v>2530</x:v>
      </x:c>
      <x:c r="B2534" s="44" t="str">
        <x:v>Not Started</x:v>
      </x:c>
      <x:c r="C2534" s="45" t="n">
        <x:v>44231</x:v>
      </x:c>
      <x:c r="D2534" s="33" t="str">
        <x:v>Chicago Fire</x:v>
      </x:c>
      <x:c r="E2534" s="33" t="str">
        <x:v>One Chicago</x:v>
      </x:c>
      <x:c r="F2534" s="33" t="str">
        <x:v>core</x:v>
      </x:c>
      <x:c r="G2534" s="50" t="n">
        <x:v>9</x:v>
      </x:c>
      <x:c r="H2534" s="50" t="n">
        <x:v>5</x:v>
      </x:c>
      <x:c r="I2534" s="44" t="str">
        <x:v>09.05</x:v>
      </x:c>
      <x:c r="J2534" s="33" t="str">
        <x:v>My Lucky Day</x:v>
      </x:c>
      <x:c r="K2534" s="33" t="str"/>
      <x:c r="L2534" s="33" t="str"/>
      <x:c r="M2534" s="44" t="str"/>
      <x:c r="N2534" s="50" t="n">
        <x:v>42</x:v>
      </x:c>
      <x:c r="O2534" s="53" t="str">
        <x:v>When Firehouse 51 is called to the scene of a dangerous blaze inside a 10-story storage unit, Herrmann and Cruz find themselves trapped inside a freight elevator with all communications cut off.</x:v>
      </x:c>
      <x:c r="P2534" s="53" t="str">
        <x:v>Core One Chicago franchise</x:v>
      </x:c>
      <x:c r="Q2534" s="17" t="str">
        <x:v>4685995</x:v>
      </x:c>
      <x:c r="R2534" s="17" t="str">
        <x:v>tt13761550</x:v>
      </x:c>
      <x:c r="S2534" s="17" t="str"/>
    </x:row>
    <x:row r="2535">
      <x:c r="A2535" s="43" t="n">
        <x:v>2531</x:v>
      </x:c>
      <x:c r="B2535" s="44" t="str">
        <x:v>Not Started</x:v>
      </x:c>
      <x:c r="C2535" s="45" t="n">
        <x:v>44237</x:v>
      </x:c>
      <x:c r="D2535" s="33" t="str">
        <x:v>FBI: Most Wanted</x:v>
      </x:c>
      <x:c r="E2535" s="33" t="str">
        <x:v>FBI</x:v>
      </x:c>
      <x:c r="F2535" s="33" t="str">
        <x:v>core</x:v>
      </x:c>
      <x:c r="G2535" s="50" t="n">
        <x:v>2</x:v>
      </x:c>
      <x:c r="H2535" s="50" t="n">
        <x:v>6</x:v>
      </x:c>
      <x:c r="I2535" s="44" t="str">
        <x:v>02.06</x:v>
      </x:c>
      <x:c r="J2535" s="33" t="str">
        <x:v>Dysfunction</x:v>
      </x:c>
      <x:c r="K2535" s="33" t="str"/>
      <x:c r="L2535" s="33" t="str"/>
      <x:c r="M2535" s="44" t="str"/>
      <x:c r="N2535" s="50" t="n">
        <x:v>43</x:v>
      </x:c>
      <x:c r="O2535" s="53" t="str">
        <x:v>After a robbery gone wrong ends with a murder and kidnapping, the team races to rescue a mother and daughter whose abductors are not what they seem. Also, Crosby enters a new living arrangement.</x:v>
      </x:c>
      <x:c r="P2535" s="53" t="str">
        <x:v>Core FBI franchise</x:v>
      </x:c>
      <x:c r="Q2535" s="17" t="str">
        <x:v>4723836</x:v>
      </x:c>
      <x:c r="R2535" s="17" t="str">
        <x:v>tt13889098</x:v>
      </x:c>
      <x:c r="S2535" s="17" t="str"/>
    </x:row>
    <x:row r="2536">
      <x:c r="A2536" s="43" t="n">
        <x:v>2532</x:v>
      </x:c>
      <x:c r="B2536" s="44" t="str">
        <x:v>Not Started</x:v>
      </x:c>
      <x:c r="C2536" s="45" t="n">
        <x:v>44237</x:v>
      </x:c>
      <x:c r="D2536" s="33" t="str">
        <x:v>FBI</x:v>
      </x:c>
      <x:c r="E2536" s="33" t="str">
        <x:v>FBI</x:v>
      </x:c>
      <x:c r="F2536" s="33" t="str">
        <x:v>core</x:v>
      </x:c>
      <x:c r="G2536" s="50" t="n">
        <x:v>3</x:v>
      </x:c>
      <x:c r="H2536" s="50" t="n">
        <x:v>6</x:v>
      </x:c>
      <x:c r="I2536" s="44" t="str">
        <x:v>03.06</x:v>
      </x:c>
      <x:c r="J2536" s="33" t="str">
        <x:v>Uncovered</x:v>
      </x:c>
      <x:c r="K2536" s="33" t="str"/>
      <x:c r="L2536" s="33" t="str"/>
      <x:c r="M2536" s="44" t="str"/>
      <x:c r="N2536" s="50" t="n">
        <x:v>43</x:v>
      </x:c>
      <x:c r="O2536" s="53" t="str">
        <x:v>The team must infiltrate a drug trafficking gang after the robbery of a chemical plant leaves two customs agents dead. Also, Nestor offers his help on the case, giving Maggie new insight into his character.</x:v>
      </x:c>
      <x:c r="P2536" s="53" t="str">
        <x:v>Core FBI franchise</x:v>
      </x:c>
      <x:c r="Q2536" s="17" t="str">
        <x:v>4723850</x:v>
      </x:c>
      <x:c r="R2536" s="17" t="str">
        <x:v>tt13931750</x:v>
      </x:c>
      <x:c r="S2536" s="17" t="str"/>
    </x:row>
    <x:row r="2537">
      <x:c r="A2537" s="43" t="n">
        <x:v>2533</x:v>
      </x:c>
      <x:c r="B2537" s="44" t="str">
        <x:v>Not Started</x:v>
      </x:c>
      <x:c r="C2537" s="45" t="n">
        <x:v>44238</x:v>
      </x:c>
      <x:c r="D2537" s="33" t="str">
        <x:v>Chicago Med</x:v>
      </x:c>
      <x:c r="E2537" s="33" t="str">
        <x:v>One Chicago</x:v>
      </x:c>
      <x:c r="F2537" s="33" t="str">
        <x:v>core</x:v>
      </x:c>
      <x:c r="G2537" s="50" t="n">
        <x:v>6</x:v>
      </x:c>
      <x:c r="H2537" s="50" t="n">
        <x:v>6</x:v>
      </x:c>
      <x:c r="I2537" s="44" t="str">
        <x:v>06.06</x:v>
      </x:c>
      <x:c r="J2537" s="33" t="str">
        <x:v>Don't Want to Face This Now</x:v>
      </x:c>
      <x:c r="K2537" s="33" t="str"/>
      <x:c r="L2537" s="33" t="str"/>
      <x:c r="M2537" s="44" t="str"/>
      <x:c r="N2537" s="50" t="n">
        <x:v>43</x:v>
      </x:c>
      <x:c r="O2537" s="53" t="str">
        <x:v>Dr. Choi helps a patient with chronic pain find a solution. Dr. Halstead considers a new path. Dr. Charles and Anna bond over a scary situation.</x:v>
      </x:c>
      <x:c r="P2537" s="53" t="str">
        <x:v>Core One Chicago franchise</x:v>
      </x:c>
      <x:c r="Q2537" s="17" t="str">
        <x:v>4740459</x:v>
      </x:c>
      <x:c r="R2537" s="17" t="str">
        <x:v>tt13916512</x:v>
      </x:c>
      <x:c r="S2537" s="17" t="str"/>
    </x:row>
    <x:row r="2538">
      <x:c r="A2538" s="43" t="n">
        <x:v>2534</x:v>
      </x:c>
      <x:c r="B2538" s="44" t="str">
        <x:v>Not Started</x:v>
      </x:c>
      <x:c r="C2538" s="45" t="n">
        <x:v>44238</x:v>
      </x:c>
      <x:c r="D2538" s="33" t="str">
        <x:v>Chicago P.D.</x:v>
      </x:c>
      <x:c r="E2538" s="33" t="str">
        <x:v>One Chicago</x:v>
      </x:c>
      <x:c r="F2538" s="33" t="str">
        <x:v>core</x:v>
      </x:c>
      <x:c r="G2538" s="50" t="n">
        <x:v>8</x:v>
      </x:c>
      <x:c r="H2538" s="50" t="n">
        <x:v>6</x:v>
      </x:c>
      <x:c r="I2538" s="44" t="str">
        <x:v>08.06</x:v>
      </x:c>
      <x:c r="J2538" s="33" t="str">
        <x:v>Equal Justice</x:v>
      </x:c>
      <x:c r="K2538" s="33" t="str"/>
      <x:c r="L2538" s="33" t="str"/>
      <x:c r="M2538" s="44" t="str"/>
      <x:c r="N2538" s="50" t="n">
        <x:v>42</x:v>
      </x:c>
      <x:c r="O2538" s="53" t="str">
        <x:v>Halstead and Ruzek try to infiltrate a crime ring and encounter a complicated situation. The team recruits an unlikely ally to help solve a murder.</x:v>
      </x:c>
      <x:c r="P2538" s="53" t="str">
        <x:v>Core One Chicago franchise; crossovers with SVU/FBI</x:v>
      </x:c>
      <x:c r="Q2538" s="17" t="str">
        <x:v>4765079</x:v>
      </x:c>
      <x:c r="R2538" s="17" t="str">
        <x:v>tt13918458</x:v>
      </x:c>
      <x:c r="S2538" s="17" t="str"/>
    </x:row>
    <x:row r="2539">
      <x:c r="A2539" s="43" t="n">
        <x:v>2535</x:v>
      </x:c>
      <x:c r="B2539" s="44" t="str">
        <x:v>Not Started</x:v>
      </x:c>
      <x:c r="C2539" s="45" t="n">
        <x:v>44238</x:v>
      </x:c>
      <x:c r="D2539" s="33" t="str">
        <x:v>Chicago Fire</x:v>
      </x:c>
      <x:c r="E2539" s="33" t="str">
        <x:v>One Chicago</x:v>
      </x:c>
      <x:c r="F2539" s="33" t="str">
        <x:v>core</x:v>
      </x:c>
      <x:c r="G2539" s="50" t="n">
        <x:v>9</x:v>
      </x:c>
      <x:c r="H2539" s="50" t="n">
        <x:v>6</x:v>
      </x:c>
      <x:c r="I2539" s="44" t="str">
        <x:v>09.06</x:v>
      </x:c>
      <x:c r="J2539" s="33" t="str">
        <x:v>Blow This Up Somehow</x:v>
      </x:c>
      <x:c r="K2539" s="33" t="str"/>
      <x:c r="L2539" s="33" t="str"/>
      <x:c r="M2539" s="44" t="str"/>
      <x:c r="N2539" s="50" t="n">
        <x:v>42</x:v>
      </x:c>
      <x:c r="O2539" s="53" t="str">
        <x:v>Gallo makes a split-second decision during a dangerous fire rescue leaving Casey steaming that his direct orders were not obeyed. Kidd feels a strain in her relationship with Severide. Brett and Mackey find themselves searching for answers following a series of suspicious calls.</x:v>
      </x:c>
      <x:c r="P2539" s="53" t="str">
        <x:v>Core One Chicago franchise</x:v>
      </x:c>
      <x:c r="Q2539" s="17" t="str">
        <x:v>4735557</x:v>
      </x:c>
      <x:c r="R2539" s="17" t="str">
        <x:v>tt13918454</x:v>
      </x:c>
      <x:c r="S2539" s="17" t="str"/>
    </x:row>
    <x:row r="2540">
      <x:c r="A2540" s="43" t="n">
        <x:v>2536</x:v>
      </x:c>
      <x:c r="B2540" s="44" t="str">
        <x:v>Not Started</x:v>
      </x:c>
      <x:c r="C2540" s="45" t="n">
        <x:v>44245</x:v>
      </x:c>
      <x:c r="D2540" s="33" t="str">
        <x:v>Chicago Med</x:v>
      </x:c>
      <x:c r="E2540" s="33" t="str">
        <x:v>One Chicago</x:v>
      </x:c>
      <x:c r="F2540" s="33" t="str">
        <x:v>core</x:v>
      </x:c>
      <x:c r="G2540" s="50" t="n">
        <x:v>6</x:v>
      </x:c>
      <x:c r="H2540" s="50" t="n">
        <x:v>7</x:v>
      </x:c>
      <x:c r="I2540" s="44" t="str">
        <x:v>06.07</x:v>
      </x:c>
      <x:c r="J2540" s="33" t="str">
        <x:v>Better Is the Enemy of Good</x:v>
      </x:c>
      <x:c r="K2540" s="33" t="str"/>
      <x:c r="L2540" s="33" t="str"/>
      <x:c r="M2540" s="44" t="str"/>
      <x:c r="N2540" s="50" t="n">
        <x:v>42</x:v>
      </x:c>
      <x:c r="O2540" s="53" t="str">
        <x:v>Will runs into trouble when one of his trial patients falls ill. His own stress and symptoms have Ethan struggling to get through the day.</x:v>
      </x:c>
      <x:c r="P2540" s="53" t="str">
        <x:v>Core One Chicago franchise</x:v>
      </x:c>
      <x:c r="Q2540" s="17" t="str">
        <x:v>4786106</x:v>
      </x:c>
      <x:c r="R2540" s="17" t="str">
        <x:v>tt13916544</x:v>
      </x:c>
      <x:c r="S2540" s="17" t="str"/>
    </x:row>
    <x:row r="2541">
      <x:c r="A2541" s="43" t="n">
        <x:v>2537</x:v>
      </x:c>
      <x:c r="B2541" s="44" t="str">
        <x:v>Not Started</x:v>
      </x:c>
      <x:c r="C2541" s="45" t="n">
        <x:v>44245</x:v>
      </x:c>
      <x:c r="D2541" s="33" t="str">
        <x:v>Chicago P.D.</x:v>
      </x:c>
      <x:c r="E2541" s="33" t="str">
        <x:v>One Chicago</x:v>
      </x:c>
      <x:c r="F2541" s="33" t="str">
        <x:v>core</x:v>
      </x:c>
      <x:c r="G2541" s="50" t="n">
        <x:v>8</x:v>
      </x:c>
      <x:c r="H2541" s="50" t="n">
        <x:v>7</x:v>
      </x:c>
      <x:c r="I2541" s="44" t="str">
        <x:v>08.07</x:v>
      </x:c>
      <x:c r="J2541" s="33" t="str">
        <x:v>Instinct</x:v>
      </x:c>
      <x:c r="K2541" s="33" t="str"/>
      <x:c r="L2541" s="33" t="str"/>
      <x:c r="M2541" s="44" t="str"/>
      <x:c r="N2541" s="50" t="n">
        <x:v>42</x:v>
      </x:c>
      <x:c r="O2541" s="53" t="str">
        <x:v>After a series of deadly ambushes, the team goes undercover to bring down a dangerous new drug dealer who is determined to push out the competition. Ruzek's informant proves to be a loose cannon that could upset the whole operation.</x:v>
      </x:c>
      <x:c r="P2541" s="53" t="str">
        <x:v>Core One Chicago franchise; crossovers with SVU/FBI</x:v>
      </x:c>
      <x:c r="Q2541" s="17" t="str">
        <x:v>4789952</x:v>
      </x:c>
      <x:c r="R2541" s="17" t="str">
        <x:v>tt13971578</x:v>
      </x:c>
      <x:c r="S2541" s="17" t="str"/>
    </x:row>
    <x:row r="2542">
      <x:c r="A2542" s="43" t="n">
        <x:v>2538</x:v>
      </x:c>
      <x:c r="B2542" s="44" t="str">
        <x:v>Not Started</x:v>
      </x:c>
      <x:c r="C2542" s="45" t="n">
        <x:v>44245</x:v>
      </x:c>
      <x:c r="D2542" s="33" t="str">
        <x:v>Chicago Fire</x:v>
      </x:c>
      <x:c r="E2542" s="33" t="str">
        <x:v>One Chicago</x:v>
      </x:c>
      <x:c r="F2542" s="33" t="str">
        <x:v>core</x:v>
      </x:c>
      <x:c r="G2542" s="50" t="n">
        <x:v>9</x:v>
      </x:c>
      <x:c r="H2542" s="50" t="n">
        <x:v>7</x:v>
      </x:c>
      <x:c r="I2542" s="44" t="str">
        <x:v>09.07</x:v>
      </x:c>
      <x:c r="J2542" s="33" t="str">
        <x:v>Dead of Winter</x:v>
      </x:c>
      <x:c r="K2542" s="33" t="str"/>
      <x:c r="L2542" s="33" t="str"/>
      <x:c r="M2542" s="44" t="str"/>
      <x:c r="N2542" s="50" t="n">
        <x:v>42</x:v>
      </x:c>
      <x:c r="O2542" s="53" t="str">
        <x:v>A fire at a homeless encampment leaves Severide and Casey searching for answers. Cruz is shaken up after a close call. Ritter lends a helping hand to a victim.</x:v>
      </x:c>
      <x:c r="P2542" s="53" t="str">
        <x:v>Core One Chicago franchise</x:v>
      </x:c>
      <x:c r="Q2542" s="17" t="str">
        <x:v>4735558</x:v>
      </x:c>
      <x:c r="R2542" s="17" t="str">
        <x:v>tt13971576</x:v>
      </x:c>
      <x:c r="S2542" s="17" t="str"/>
    </x:row>
    <x:row r="2543">
      <x:c r="A2543" s="43" t="n">
        <x:v>2539</x:v>
      </x:c>
      <x:c r="B2543" s="44" t="str">
        <x:v>Not Started</x:v>
      </x:c>
      <x:c r="C2543" s="45" t="n">
        <x:v>44245</x:v>
      </x:c>
      <x:c r="D2543" s="33" t="str">
        <x:v>Law &amp; Order: Special Victims Unit</x:v>
      </x:c>
      <x:c r="E2543" s="33" t="str">
        <x:v>Law &amp; Order</x:v>
      </x:c>
      <x:c r="F2543" s="33" t="str">
        <x:v>core</x:v>
      </x:c>
      <x:c r="G2543" s="50" t="n">
        <x:v>22</x:v>
      </x:c>
      <x:c r="H2543" s="50" t="n">
        <x:v>7</x:v>
      </x:c>
      <x:c r="I2543" s="44" t="str">
        <x:v>22.07</x:v>
      </x:c>
      <x:c r="J2543" s="33" t="str">
        <x:v>Hunt, Trap, Rape, and Release</x:v>
      </x:c>
      <x:c r="K2543" s="33" t="str"/>
      <x:c r="L2543" s="33" t="str"/>
      <x:c r="M2543" s="44" t="str"/>
      <x:c r="N2543" s="50" t="n">
        <x:v>43</x:v>
      </x:c>
      <x:c r="O2543" s="53" t="str">
        <x:v>Benson teams up with Lt. Barek and the Bronx SVU to track down a serial rapist with victims in both boroughs.</x:v>
      </x:c>
      <x:c r="P2543" s="53" t="str">
        <x:v>Core Law &amp; Order franchise</x:v>
      </x:c>
      <x:c r="Q2543" s="17" t="str">
        <x:v>4784944</x:v>
      </x:c>
      <x:c r="R2543" s="17" t="str">
        <x:v>tt13095096</x:v>
      </x:c>
      <x:c r="S2543" s="17" t="str">
        <x:v>1485</x:v>
      </x:c>
    </x:row>
    <x:row r="2544">
      <x:c r="A2544" s="43" t="n">
        <x:v>2540</x:v>
      </x:c>
      <x:c r="B2544" s="44" t="str">
        <x:v>Not Started</x:v>
      </x:c>
      <x:c r="C2544" s="45" t="n">
        <x:v>44252</x:v>
      </x:c>
      <x:c r="D2544" s="33" t="str">
        <x:v>Law &amp; Order: Special Victims Unit</x:v>
      </x:c>
      <x:c r="E2544" s="33" t="str">
        <x:v>Law &amp; Order</x:v>
      </x:c>
      <x:c r="F2544" s="33" t="str">
        <x:v>core</x:v>
      </x:c>
      <x:c r="G2544" s="50" t="n">
        <x:v>22</x:v>
      </x:c>
      <x:c r="H2544" s="50" t="n">
        <x:v>8</x:v>
      </x:c>
      <x:c r="I2544" s="44" t="str">
        <x:v>22.08</x:v>
      </x:c>
      <x:c r="J2544" s="33" t="str">
        <x:v>The Only Way Out Is Through</x:v>
      </x:c>
      <x:c r="K2544" s="33" t="str"/>
      <x:c r="L2544" s="33" t="str"/>
      <x:c r="M2544" s="44" t="str"/>
      <x:c r="N2544" s="50" t="n">
        <x:v>43</x:v>
      </x:c>
      <x:c r="O2544" s="53" t="str">
        <x:v>Benson helps two sisters get closure from a harrowing childhood assault. Kat's cousin reaches out for help.</x:v>
      </x:c>
      <x:c r="P2544" s="53" t="str">
        <x:v>Core Law &amp; Order franchise</x:v>
      </x:c>
      <x:c r="Q2544" s="17" t="str">
        <x:v>4784945</x:v>
      </x:c>
      <x:c r="R2544" s="17" t="str">
        <x:v>tt13095118</x:v>
      </x:c>
      <x:c r="S2544" s="17" t="str">
        <x:v>1486</x:v>
      </x:c>
    </x:row>
    <x:row r="2545">
      <x:c r="A2545" s="43" t="n">
        <x:v>2541</x:v>
      </x:c>
      <x:c r="B2545" s="44" t="str">
        <x:v>Not Started</x:v>
      </x:c>
      <x:c r="C2545" s="45" t="n">
        <x:v>44258</x:v>
      </x:c>
      <x:c r="D2545" s="33" t="str">
        <x:v>FBI: Most Wanted</x:v>
      </x:c>
      <x:c r="E2545" s="33" t="str">
        <x:v>FBI</x:v>
      </x:c>
      <x:c r="F2545" s="33" t="str">
        <x:v>core</x:v>
      </x:c>
      <x:c r="G2545" s="50" t="n">
        <x:v>2</x:v>
      </x:c>
      <x:c r="H2545" s="50" t="n">
        <x:v>7</x:v>
      </x:c>
      <x:c r="I2545" s="44" t="str">
        <x:v>02.07</x:v>
      </x:c>
      <x:c r="J2545" s="33" t="str">
        <x:v>Winner</x:v>
      </x:c>
      <x:c r="K2545" s="33" t="str"/>
      <x:c r="L2545" s="33" t="str"/>
      <x:c r="M2545" s="44" t="str"/>
      <x:c r="N2545" s="50" t="n">
        <x:v>43</x:v>
      </x:c>
      <x:c r="O2545" s="53" t="str">
        <x:v>After a suspect escapes trial and goes on a murder spree, the team partners with his bail bondsperson, Jackie, in order to track him down. Also, Jess continues to struggle with moving forward in his love life.</x:v>
      </x:c>
      <x:c r="P2545" s="53" t="str">
        <x:v>Core FBI franchise</x:v>
      </x:c>
      <x:c r="Q2545" s="17" t="str">
        <x:v>4733534</x:v>
      </x:c>
      <x:c r="R2545" s="17" t="str">
        <x:v>tt13996596</x:v>
      </x:c>
      <x:c r="S2545" s="17" t="str"/>
    </x:row>
    <x:row r="2546">
      <x:c r="A2546" s="43" t="n">
        <x:v>2542</x:v>
      </x:c>
      <x:c r="B2546" s="44" t="str">
        <x:v>Not Started</x:v>
      </x:c>
      <x:c r="C2546" s="45" t="n">
        <x:v>44258</x:v>
      </x:c>
      <x:c r="D2546" s="33" t="str">
        <x:v>FBI</x:v>
      </x:c>
      <x:c r="E2546" s="33" t="str">
        <x:v>FBI</x:v>
      </x:c>
      <x:c r="F2546" s="33" t="str">
        <x:v>core</x:v>
      </x:c>
      <x:c r="G2546" s="50" t="n">
        <x:v>3</x:v>
      </x:c>
      <x:c r="H2546" s="50" t="n">
        <x:v>7</x:v>
      </x:c>
      <x:c r="I2546" s="44" t="str">
        <x:v>03.07</x:v>
      </x:c>
      <x:c r="J2546" s="33" t="str">
        <x:v>Discord</x:v>
      </x:c>
      <x:c r="K2546" s="33" t="str"/>
      <x:c r="L2546" s="33" t="str"/>
      <x:c r="M2546" s="44" t="str"/>
      <x:c r="N2546" s="50" t="n">
        <x:v>41</x:v>
      </x:c>
      <x:c r="O2546" s="53" t="str">
        <x:v>As the team hunts a killer who is fatally shooting seemingly unrelated targets, an experience on the job has new agent Tiffany Wallace examining the tension between her career as an FBI special agent and the responsibility she feels to her community as a Black woman.</x:v>
      </x:c>
      <x:c r="P2546" s="53" t="str">
        <x:v>Core FBI franchise</x:v>
      </x:c>
      <x:c r="Q2546" s="17" t="str">
        <x:v>4733546</x:v>
      </x:c>
      <x:c r="R2546" s="17" t="str">
        <x:v>tt14039612</x:v>
      </x:c>
      <x:c r="S2546" s="17" t="str"/>
    </x:row>
    <x:row r="2547">
      <x:c r="A2547" s="43" t="n">
        <x:v>2543</x:v>
      </x:c>
      <x:c r="B2547" s="44" t="str">
        <x:v>Not Started</x:v>
      </x:c>
      <x:c r="C2547" s="45" t="n">
        <x:v>44265</x:v>
      </x:c>
      <x:c r="D2547" s="33" t="str">
        <x:v>FBI: Most Wanted</x:v>
      </x:c>
      <x:c r="E2547" s="33" t="str">
        <x:v>FBI</x:v>
      </x:c>
      <x:c r="F2547" s="33" t="str">
        <x:v>core</x:v>
      </x:c>
      <x:c r="G2547" s="50" t="n">
        <x:v>2</x:v>
      </x:c>
      <x:c r="H2547" s="50" t="n">
        <x:v>8</x:v>
      </x:c>
      <x:c r="I2547" s="44" t="str">
        <x:v>02.08</x:v>
      </x:c>
      <x:c r="J2547" s="33" t="str">
        <x:v>Vanished</x:v>
      </x:c>
      <x:c r="K2547" s="33" t="str"/>
      <x:c r="L2547" s="33" t="str"/>
      <x:c r="M2547" s="44" t="str"/>
      <x:c r="N2547" s="50" t="n">
        <x:v>43</x:v>
      </x:c>
      <x:c r="O2547" s="53" t="str">
        <x:v>The team welcomes a new member as they begin their hunt for a repeat offender and the child he kidnapped after murdering the boy’s single mother. Also, Jess tries to move past the awkward exchange he had with Sarah during their last encounter.</x:v>
      </x:c>
      <x:c r="P2547" s="53" t="str">
        <x:v>Core FBI franchise</x:v>
      </x:c>
      <x:c r="Q2547" s="17" t="str">
        <x:v>4798523</x:v>
      </x:c>
      <x:c r="R2547" s="17" t="str">
        <x:v>tt14123396</x:v>
      </x:c>
      <x:c r="S2547" s="17" t="str"/>
    </x:row>
    <x:row r="2548">
      <x:c r="A2548" s="43" t="n">
        <x:v>2544</x:v>
      </x:c>
      <x:c r="B2548" s="44" t="str">
        <x:v>Not Started</x:v>
      </x:c>
      <x:c r="C2548" s="45" t="n">
        <x:v>44265</x:v>
      </x:c>
      <x:c r="D2548" s="33" t="str">
        <x:v>FBI</x:v>
      </x:c>
      <x:c r="E2548" s="33" t="str">
        <x:v>FBI</x:v>
      </x:c>
      <x:c r="F2548" s="33" t="str">
        <x:v>core</x:v>
      </x:c>
      <x:c r="G2548" s="50" t="n">
        <x:v>3</x:v>
      </x:c>
      <x:c r="H2548" s="50" t="n">
        <x:v>8</x:v>
      </x:c>
      <x:c r="I2548" s="44" t="str">
        <x:v>03.08</x:v>
      </x:c>
      <x:c r="J2548" s="33" t="str">
        <x:v>Walk the Line</x:v>
      </x:c>
      <x:c r="K2548" s="33" t="str"/>
      <x:c r="L2548" s="33" t="str"/>
      <x:c r="M2548" s="44" t="str"/>
      <x:c r="N2548" s="50" t="n">
        <x:v>42</x:v>
      </x:c>
      <x:c r="O2548" s="53" t="str">
        <x:v>After a bomb leaves three people dead, the team presses a reluctant informant to gather information from his close friends who are under suspicion. Also, OA finds tension in his relationship with his girlfriend, Mona, when they clash on where the informant’s rights lie.</x:v>
      </x:c>
      <x:c r="P2548" s="53" t="str">
        <x:v>Core FBI franchise</x:v>
      </x:c>
      <x:c r="Q2548" s="17" t="str">
        <x:v>4798536</x:v>
      </x:c>
      <x:c r="R2548" s="17" t="str">
        <x:v>tt14074552</x:v>
      </x:c>
      <x:c r="S2548" s="17" t="str"/>
    </x:row>
    <x:row r="2549">
      <x:c r="A2549" s="43" t="n">
        <x:v>2545</x:v>
      </x:c>
      <x:c r="B2549" s="44" t="str">
        <x:v>Not Started</x:v>
      </x:c>
      <x:c r="C2549" s="45" t="n">
        <x:v>44266</x:v>
      </x:c>
      <x:c r="D2549" s="33" t="str">
        <x:v>Chicago Med</x:v>
      </x:c>
      <x:c r="E2549" s="33" t="str">
        <x:v>One Chicago</x:v>
      </x:c>
      <x:c r="F2549" s="33" t="str">
        <x:v>core</x:v>
      </x:c>
      <x:c r="G2549" s="50" t="n">
        <x:v>6</x:v>
      </x:c>
      <x:c r="H2549" s="50" t="n">
        <x:v>8</x:v>
      </x:c>
      <x:c r="I2549" s="44" t="str">
        <x:v>06.08</x:v>
      </x:c>
      <x:c r="J2549" s="33" t="str">
        <x:v>Fathers and Mothers, Daughters and Sons</x:v>
      </x:c>
      <x:c r="K2549" s="33" t="str"/>
      <x:c r="L2549" s="33" t="str"/>
      <x:c r="M2549" s="44" t="str"/>
      <x:c r="N2549" s="50" t="n">
        <x:v>42</x:v>
      </x:c>
      <x:c r="O2549" s="53" t="str">
        <x:v>Ethan hires an old Navy colleague to join him in the ED. A final custody hearing threatens to separate Charles and his daughter. Maggie must make a choice that will change Auggie's life.</x:v>
      </x:c>
      <x:c r="P2549" s="53" t="str">
        <x:v>Core One Chicago franchise</x:v>
      </x:c>
      <x:c r="Q2549" s="17" t="str">
        <x:v>4835256</x:v>
      </x:c>
      <x:c r="R2549" s="17" t="str">
        <x:v>tt14109700</x:v>
      </x:c>
      <x:c r="S2549" s="17" t="str"/>
    </x:row>
    <x:row r="2550">
      <x:c r="A2550" s="43" t="n">
        <x:v>2546</x:v>
      </x:c>
      <x:c r="B2550" s="44" t="str">
        <x:v>Not Started</x:v>
      </x:c>
      <x:c r="C2550" s="45" t="n">
        <x:v>44266</x:v>
      </x:c>
      <x:c r="D2550" s="33" t="str">
        <x:v>Chicago P.D.</x:v>
      </x:c>
      <x:c r="E2550" s="33" t="str">
        <x:v>One Chicago</x:v>
      </x:c>
      <x:c r="F2550" s="33" t="str">
        <x:v>core</x:v>
      </x:c>
      <x:c r="G2550" s="50" t="n">
        <x:v>8</x:v>
      </x:c>
      <x:c r="H2550" s="50" t="n">
        <x:v>8</x:v>
      </x:c>
      <x:c r="I2550" s="44" t="str">
        <x:v>08.08</x:v>
      </x:c>
      <x:c r="J2550" s="33" t="str">
        <x:v>Protect and Serve</x:v>
      </x:c>
      <x:c r="K2550" s="33" t="str"/>
      <x:c r="L2550" s="33" t="str"/>
      <x:c r="M2550" s="44" t="str"/>
      <x:c r="N2550" s="50" t="n">
        <x:v>42</x:v>
      </x:c>
      <x:c r="O2550" s="53" t="str">
        <x:v>Ruzek and Atwater are tasked with making an arrest after a high-profile shooting. The situation becomes complicated when it's clear someone doesn't want them to make it back to the station.</x:v>
      </x:c>
      <x:c r="P2550" s="53" t="str">
        <x:v>Core One Chicago franchise; crossovers with SVU/FBI</x:v>
      </x:c>
      <x:c r="Q2550" s="17" t="str">
        <x:v>4835480</x:v>
      </x:c>
      <x:c r="R2550" s="17" t="str">
        <x:v>tt14109722</x:v>
      </x:c>
      <x:c r="S2550" s="17" t="str"/>
    </x:row>
    <x:row r="2551">
      <x:c r="A2551" s="43" t="n">
        <x:v>2547</x:v>
      </x:c>
      <x:c r="B2551" s="44" t="str">
        <x:v>Not Started</x:v>
      </x:c>
      <x:c r="C2551" s="45" t="n">
        <x:v>44266</x:v>
      </x:c>
      <x:c r="D2551" s="33" t="str">
        <x:v>Chicago Fire</x:v>
      </x:c>
      <x:c r="E2551" s="33" t="str">
        <x:v>One Chicago</x:v>
      </x:c>
      <x:c r="F2551" s="33" t="str">
        <x:v>core</x:v>
      </x:c>
      <x:c r="G2551" s="50" t="n">
        <x:v>9</x:v>
      </x:c>
      <x:c r="H2551" s="50" t="n">
        <x:v>8</x:v>
      </x:c>
      <x:c r="I2551" s="44" t="str">
        <x:v>09.08</x:v>
      </x:c>
      <x:c r="J2551" s="33" t="str">
        <x:v>Escape Route</x:v>
      </x:c>
      <x:c r="K2551" s="33" t="str"/>
      <x:c r="L2551" s="33" t="str"/>
      <x:c r="M2551" s="44" t="str"/>
      <x:c r="N2551" s="50" t="n">
        <x:v>42</x:v>
      </x:c>
      <x:c r="O2551" s="53" t="str">
        <x:v>A call to a familiar location brings back mixed emotions for Severide. Herrmann heads out for a vacation. Casey is not thrilled with his replacement.</x:v>
      </x:c>
      <x:c r="P2551" s="53" t="str">
        <x:v>Core One Chicago franchise</x:v>
      </x:c>
      <x:c r="Q2551" s="17" t="str">
        <x:v>4735559</x:v>
      </x:c>
      <x:c r="R2551" s="17" t="str">
        <x:v>tt14109710</x:v>
      </x:c>
      <x:c r="S2551" s="17" t="str"/>
    </x:row>
    <x:row r="2552">
      <x:c r="A2552" s="43" t="n">
        <x:v>2548</x:v>
      </x:c>
      <x:c r="B2552" s="44" t="str">
        <x:v>Not Started</x:v>
      </x:c>
      <x:c r="C2552" s="45" t="n">
        <x:v>44272</x:v>
      </x:c>
      <x:c r="D2552" s="33" t="str">
        <x:v>FBI: Most Wanted</x:v>
      </x:c>
      <x:c r="E2552" s="33" t="str">
        <x:v>FBI</x:v>
      </x:c>
      <x:c r="F2552" s="33" t="str">
        <x:v>core</x:v>
      </x:c>
      <x:c r="G2552" s="50" t="n">
        <x:v>2</x:v>
      </x:c>
      <x:c r="H2552" s="50" t="n">
        <x:v>9</x:v>
      </x:c>
      <x:c r="I2552" s="44" t="str">
        <x:v>02.09</x:v>
      </x:c>
      <x:c r="J2552" s="33" t="str">
        <x:v>One-Zero</x:v>
      </x:c>
      <x:c r="K2552" s="33" t="str"/>
      <x:c r="L2552" s="33" t="str"/>
      <x:c r="M2552" s="44" t="str"/>
      <x:c r="N2552" s="50" t="n">
        <x:v>43</x:v>
      </x:c>
      <x:c r="O2552" s="53" t="str">
        <x:v>The team chases an unlikely serial killer whose end game takes a shocking turn. Also, Hana returns from medical leave, and Jess and Sarah's relationship continues to evolve.</x:v>
      </x:c>
      <x:c r="P2552" s="53" t="str">
        <x:v>Core FBI franchise</x:v>
      </x:c>
      <x:c r="Q2552" s="17" t="str">
        <x:v>4829721</x:v>
      </x:c>
      <x:c r="R2552" s="17" t="str">
        <x:v>tt14169748</x:v>
      </x:c>
      <x:c r="S2552" s="17" t="str"/>
    </x:row>
    <x:row r="2553">
      <x:c r="A2553" s="43" t="n">
        <x:v>2549</x:v>
      </x:c>
      <x:c r="B2553" s="44" t="str">
        <x:v>Not Started</x:v>
      </x:c>
      <x:c r="C2553" s="45" t="n">
        <x:v>44272</x:v>
      </x:c>
      <x:c r="D2553" s="33" t="str">
        <x:v>FBI</x:v>
      </x:c>
      <x:c r="E2553" s="33" t="str">
        <x:v>FBI</x:v>
      </x:c>
      <x:c r="F2553" s="33" t="str">
        <x:v>core</x:v>
      </x:c>
      <x:c r="G2553" s="50" t="n">
        <x:v>3</x:v>
      </x:c>
      <x:c r="H2553" s="50" t="n">
        <x:v>9</x:v>
      </x:c>
      <x:c r="I2553" s="44" t="str">
        <x:v>03.09</x:v>
      </x:c>
      <x:c r="J2553" s="33" t="str">
        <x:v>Leverage</x:v>
      </x:c>
      <x:c r="K2553" s="33" t="str"/>
      <x:c r="L2553" s="33" t="str"/>
      <x:c r="M2553" s="44" t="str"/>
      <x:c r="N2553" s="50" t="n">
        <x:v>43</x:v>
      </x:c>
      <x:c r="O2553" s="53" t="str">
        <x:v>When a political reporter is kidnapped and held without a ransom demand, the team must dig into her past relationships in order to pin down her assailant’s motive. Also, Isobel’s relationship comes under fire when the case makes a connection to her boyfriend, Ethan.</x:v>
      </x:c>
      <x:c r="P2553" s="53" t="str">
        <x:v>Core FBI franchise</x:v>
      </x:c>
      <x:c r="Q2553" s="17" t="str">
        <x:v>4829722</x:v>
      </x:c>
      <x:c r="R2553" s="17" t="str">
        <x:v>tt14165926</x:v>
      </x:c>
      <x:c r="S2553" s="17" t="str"/>
    </x:row>
    <x:row r="2554">
      <x:c r="A2554" s="43" t="n">
        <x:v>2550</x:v>
      </x:c>
      <x:c r="B2554" s="44" t="str">
        <x:v>Not Started</x:v>
      </x:c>
      <x:c r="C2554" s="45" t="n">
        <x:v>44273</x:v>
      </x:c>
      <x:c r="D2554" s="33" t="str">
        <x:v>Chicago Med</x:v>
      </x:c>
      <x:c r="E2554" s="33" t="str">
        <x:v>One Chicago</x:v>
      </x:c>
      <x:c r="F2554" s="33" t="str">
        <x:v>core</x:v>
      </x:c>
      <x:c r="G2554" s="50" t="n">
        <x:v>6</x:v>
      </x:c>
      <x:c r="H2554" s="50" t="n">
        <x:v>9</x:v>
      </x:c>
      <x:c r="I2554" s="44" t="str">
        <x:v>06.09</x:v>
      </x:c>
      <x:c r="J2554" s="33" t="str">
        <x:v>For the Want of a Nail</x:v>
      </x:c>
      <x:c r="K2554" s="33" t="str"/>
      <x:c r="L2554" s="33" t="str"/>
      <x:c r="M2554" s="44" t="str"/>
      <x:c r="N2554" s="50" t="n">
        <x:v>42</x:v>
      </x:c>
      <x:c r="O2554" s="53" t="str">
        <x:v>As Maggie deals with her own trauma, she steps in to help a mother in need. Dean continues to stir the pot with more than one doctor. A patient comes to Med needing immediate treatment, but doesn't want it from them.</x:v>
      </x:c>
      <x:c r="P2554" s="53" t="str">
        <x:v>Core One Chicago franchise</x:v>
      </x:c>
      <x:c r="Q2554" s="17" t="str">
        <x:v>4878137</x:v>
      </x:c>
      <x:c r="R2554" s="17" t="str">
        <x:v>tt14153088</x:v>
      </x:c>
      <x:c r="S2554" s="17" t="str"/>
    </x:row>
    <x:row r="2555">
      <x:c r="A2555" s="43" t="n">
        <x:v>2551</x:v>
      </x:c>
      <x:c r="B2555" s="44" t="str">
        <x:v>Not Started</x:v>
      </x:c>
      <x:c r="C2555" s="45" t="n">
        <x:v>44273</x:v>
      </x:c>
      <x:c r="D2555" s="33" t="str">
        <x:v>Chicago P.D.</x:v>
      </x:c>
      <x:c r="E2555" s="33" t="str">
        <x:v>One Chicago</x:v>
      </x:c>
      <x:c r="F2555" s="33" t="str">
        <x:v>core</x:v>
      </x:c>
      <x:c r="G2555" s="50" t="n">
        <x:v>8</x:v>
      </x:c>
      <x:c r="H2555" s="50" t="n">
        <x:v>9</x:v>
      </x:c>
      <x:c r="I2555" s="44" t="str">
        <x:v>08.09</x:v>
      </x:c>
      <x:c r="J2555" s="33" t="str">
        <x:v>Impossible Dream</x:v>
      </x:c>
      <x:c r="K2555" s="33" t="str"/>
      <x:c r="L2555" s="33" t="str"/>
      <x:c r="M2555" s="44" t="str"/>
      <x:c r="N2555" s="50" t="n">
        <x:v>42</x:v>
      </x:c>
      <x:c r="O2555" s="53" t="str">
        <x:v>When a local business owner is gunned down in his shop, it becomes personal for Atwater, who patrolled the neighborhood as a young cop. Dep. Supt. Samantha Miller comes to Voight with a special request about Andre Cooper.</x:v>
      </x:c>
      <x:c r="P2555" s="53" t="str">
        <x:v>Core One Chicago franchise; crossovers with SVU/FBI</x:v>
      </x:c>
      <x:c r="Q2555" s="17" t="str">
        <x:v>4878163</x:v>
      </x:c>
      <x:c r="R2555" s="17" t="str">
        <x:v>tt14153094</x:v>
      </x:c>
      <x:c r="S2555" s="17" t="str"/>
    </x:row>
    <x:row r="2556">
      <x:c r="A2556" s="43" t="n">
        <x:v>2552</x:v>
      </x:c>
      <x:c r="B2556" s="44" t="str">
        <x:v>Not Started</x:v>
      </x:c>
      <x:c r="C2556" s="45" t="n">
        <x:v>44273</x:v>
      </x:c>
      <x:c r="D2556" s="33" t="str">
        <x:v>Chicago Fire</x:v>
      </x:c>
      <x:c r="E2556" s="33" t="str">
        <x:v>One Chicago</x:v>
      </x:c>
      <x:c r="F2556" s="33" t="str">
        <x:v>core</x:v>
      </x:c>
      <x:c r="G2556" s="50" t="n">
        <x:v>9</x:v>
      </x:c>
      <x:c r="H2556" s="50" t="n">
        <x:v>9</x:v>
      </x:c>
      <x:c r="I2556" s="44" t="str">
        <x:v>09.09</x:v>
      </x:c>
      <x:c r="J2556" s="33" t="str">
        <x:v>Double Red</x:v>
      </x:c>
      <x:c r="K2556" s="33" t="str"/>
      <x:c r="L2556" s="33" t="str"/>
      <x:c r="M2556" s="44" t="str"/>
      <x:c r="N2556" s="50" t="n">
        <x:v>42</x:v>
      </x:c>
      <x:c r="O2556" s="53" t="str">
        <x:v>Mouch, Gallo, Ritter and Mackey report for training. A nasty blow to the head brings Casey unimaginable pain.</x:v>
      </x:c>
      <x:c r="P2556" s="53" t="str">
        <x:v>Core One Chicago franchise</x:v>
      </x:c>
      <x:c r="Q2556" s="17" t="str">
        <x:v>4878169</x:v>
      </x:c>
      <x:c r="R2556" s="17" t="str">
        <x:v>tt14153076</x:v>
      </x:c>
      <x:c r="S2556" s="17" t="str"/>
    </x:row>
    <x:row r="2557">
      <x:c r="A2557" s="43" t="n">
        <x:v>2553</x:v>
      </x:c>
      <x:c r="B2557" s="44" t="str">
        <x:v>Not Started</x:v>
      </x:c>
      <x:c r="C2557" s="45" t="n">
        <x:v>44287</x:v>
      </x:c>
      <x:c r="D2557" s="33" t="str">
        <x:v>Law &amp; Order: Organized Crime</x:v>
      </x:c>
      <x:c r="E2557" s="33" t="str">
        <x:v>Law &amp; Order</x:v>
      </x:c>
      <x:c r="F2557" s="33" t="str">
        <x:v>core</x:v>
      </x:c>
      <x:c r="G2557" s="50" t="n">
        <x:v>1</x:v>
      </x:c>
      <x:c r="H2557" s="50" t="n">
        <x:v>1</x:v>
      </x:c>
      <x:c r="I2557" s="44" t="str">
        <x:v>01.01</x:v>
      </x:c>
      <x:c r="J2557" s="33" t="str">
        <x:v>What Happens in Puglia (II)</x:v>
      </x:c>
      <x:c r="K2557" s="33" t="str">
        <x:v>Crossover</x:v>
      </x:c>
      <x:c r="L2557" s="33" t="str">
        <x:v>Return of the Prodigal Son</x:v>
      </x:c>
      <x:c r="M2557" s="44" t="str">
        <x:v>2/2</x:v>
      </x:c>
      <x:c r="N2557" s="50" t="n">
        <x:v>42</x:v>
      </x:c>
      <x:c r="O2557" s="53" t="str">
        <x:v>Elliot Stabler returns to the NYPD to take on the city's most powerful organized crime syndicates and rebuild his life in the wake of a devastating personal loss.
The crossover starts on Law &amp; Order: Special Victims Unit S22E09 Return of the Prodigal Son (I).</x:v>
      </x:c>
      <x:c r="P2557" s="53" t="str">
        <x:v>Core Law &amp; Order franchise</x:v>
      </x:c>
      <x:c r="Q2557" s="17" t="str">
        <x:v>4780389</x:v>
      </x:c>
      <x:c r="R2557" s="17" t="str">
        <x:v>tt12992796</x:v>
      </x:c>
      <x:c r="S2557" s="17" t="str">
        <x:v>https://one-chicago-fbi.fandom.com/wiki/Crossovers_and_Milestones</x:v>
      </x:c>
    </x:row>
    <x:row r="2558">
      <x:c r="A2558" s="43" t="n">
        <x:v>2554</x:v>
      </x:c>
      <x:c r="B2558" s="44" t="str">
        <x:v>Not Started</x:v>
      </x:c>
      <x:c r="C2558" s="45" t="n">
        <x:v>44287</x:v>
      </x:c>
      <x:c r="D2558" s="33" t="str">
        <x:v>Chicago Med</x:v>
      </x:c>
      <x:c r="E2558" s="33" t="str">
        <x:v>One Chicago</x:v>
      </x:c>
      <x:c r="F2558" s="33" t="str">
        <x:v>core</x:v>
      </x:c>
      <x:c r="G2558" s="50" t="n">
        <x:v>6</x:v>
      </x:c>
      <x:c r="H2558" s="50" t="n">
        <x:v>10</x:v>
      </x:c>
      <x:c r="I2558" s="44" t="str">
        <x:v>06.10</x:v>
      </x:c>
      <x:c r="J2558" s="33" t="str">
        <x:v>So Many Things We've Kept Buried</x:v>
      </x:c>
      <x:c r="K2558" s="33" t="str"/>
      <x:c r="L2558" s="33" t="str"/>
      <x:c r="M2558" s="44" t="str"/>
      <x:c r="N2558" s="50" t="n">
        <x:v>42</x:v>
      </x:c>
      <x:c r="O2558" s="53" t="str">
        <x:v>Crockett deals with a patient who ends up having more in common with him than he thinks. Will and Ethan clash over a pregnant patient with an irregular heartbeat.</x:v>
      </x:c>
      <x:c r="P2558" s="53" t="str">
        <x:v>Core One Chicago franchise</x:v>
      </x:c>
      <x:c r="Q2558" s="17" t="str">
        <x:v>4912451</x:v>
      </x:c>
      <x:c r="R2558" s="17" t="str">
        <x:v>tt14251054</x:v>
      </x:c>
      <x:c r="S2558" s="17" t="str"/>
    </x:row>
    <x:row r="2559">
      <x:c r="A2559" s="43" t="n">
        <x:v>2555</x:v>
      </x:c>
      <x:c r="B2559" s="44" t="str">
        <x:v>Not Started</x:v>
      </x:c>
      <x:c r="C2559" s="45" t="n">
        <x:v>44287</x:v>
      </x:c>
      <x:c r="D2559" s="33" t="str">
        <x:v>Chicago P.D.</x:v>
      </x:c>
      <x:c r="E2559" s="33" t="str">
        <x:v>One Chicago</x:v>
      </x:c>
      <x:c r="F2559" s="33" t="str">
        <x:v>core</x:v>
      </x:c>
      <x:c r="G2559" s="50" t="n">
        <x:v>8</x:v>
      </x:c>
      <x:c r="H2559" s="50" t="n">
        <x:v>10</x:v>
      </x:c>
      <x:c r="I2559" s="44" t="str">
        <x:v>08.10</x:v>
      </x:c>
      <x:c r="J2559" s="33" t="str">
        <x:v>The Radical Truth</x:v>
      </x:c>
      <x:c r="K2559" s="33" t="str"/>
      <x:c r="L2559" s="33" t="str"/>
      <x:c r="M2559" s="44" t="str"/>
      <x:c r="N2559" s="50" t="n">
        <x:v>42</x:v>
      </x:c>
      <x:c r="O2559" s="53" t="str">
        <x:v>Ruzek's father, Bob, goes missing and the team races to find him before it's too late.</x:v>
      </x:c>
      <x:c r="P2559" s="53" t="str">
        <x:v>Core One Chicago franchise; crossovers with SVU/FBI</x:v>
      </x:c>
      <x:c r="Q2559" s="17" t="str">
        <x:v>4912461</x:v>
      </x:c>
      <x:c r="R2559" s="17" t="str">
        <x:v>tt14251078</x:v>
      </x:c>
      <x:c r="S2559" s="17" t="str"/>
    </x:row>
    <x:row r="2560">
      <x:c r="A2560" s="43" t="n">
        <x:v>2556</x:v>
      </x:c>
      <x:c r="B2560" s="44" t="str">
        <x:v>Not Started</x:v>
      </x:c>
      <x:c r="C2560" s="45" t="n">
        <x:v>44287</x:v>
      </x:c>
      <x:c r="D2560" s="33" t="str">
        <x:v>Chicago Fire</x:v>
      </x:c>
      <x:c r="E2560" s="33" t="str">
        <x:v>One Chicago</x:v>
      </x:c>
      <x:c r="F2560" s="33" t="str">
        <x:v>core</x:v>
      </x:c>
      <x:c r="G2560" s="50" t="n">
        <x:v>9</x:v>
      </x:c>
      <x:c r="H2560" s="50" t="n">
        <x:v>10</x:v>
      </x:c>
      <x:c r="I2560" s="44" t="str">
        <x:v>09.10</x:v>
      </x:c>
      <x:c r="J2560" s="33" t="str">
        <x:v>One Crazy Shift</x:v>
      </x:c>
      <x:c r="K2560" s="33" t="str"/>
      <x:c r="L2560" s="33" t="str"/>
      <x:c r="M2560" s="44" t="str"/>
      <x:c r="N2560" s="50" t="n">
        <x:v>42</x:v>
      </x:c>
      <x:c r="O2560" s="53" t="str">
        <x:v>A series of suspicious fires sends 51 on a search for the cause. Casey continues down a troubling path. Mouch is looking to make his long-awaited dream come true.</x:v>
      </x:c>
      <x:c r="P2560" s="53" t="str">
        <x:v>Core One Chicago franchise</x:v>
      </x:c>
      <x:c r="Q2560" s="17" t="str">
        <x:v>4912476</x:v>
      </x:c>
      <x:c r="R2560" s="17" t="str">
        <x:v>tt14251062</x:v>
      </x:c>
      <x:c r="S2560" s="17" t="str"/>
    </x:row>
    <x:row r="2561">
      <x:c r="A2561" s="43" t="n">
        <x:v>2557</x:v>
      </x:c>
      <x:c r="B2561" s="44" t="str">
        <x:v>Not Started</x:v>
      </x:c>
      <x:c r="C2561" s="45" t="n">
        <x:v>44287</x:v>
      </x:c>
      <x:c r="D2561" s="33" t="str">
        <x:v>Law &amp; Order: Special Victims Unit</x:v>
      </x:c>
      <x:c r="E2561" s="33" t="str">
        <x:v>Law &amp; Order</x:v>
      </x:c>
      <x:c r="F2561" s="33" t="str">
        <x:v>core</x:v>
      </x:c>
      <x:c r="G2561" s="50" t="n">
        <x:v>22</x:v>
      </x:c>
      <x:c r="H2561" s="50" t="n">
        <x:v>9</x:v>
      </x:c>
      <x:c r="I2561" s="44" t="str">
        <x:v>22.09</x:v>
      </x:c>
      <x:c r="J2561" s="33" t="str">
        <x:v>Return of the Prodigal Son (I)</x:v>
      </x:c>
      <x:c r="K2561" s="33" t="str">
        <x:v>Crossover</x:v>
      </x:c>
      <x:c r="L2561" s="33" t="str">
        <x:v>Return of the Prodigal Son</x:v>
      </x:c>
      <x:c r="M2561" s="44" t="str">
        <x:v>1/2</x:v>
      </x:c>
      <x:c r="N2561" s="50" t="n">
        <x:v>43</x:v>
      </x:c>
      <x:c r="O2561" s="53" t="str">
        <x:v>The squad rallies around Det. Stabler to find the suspect behind a threat to his family.
The crossover continues on Law &amp; Order: Organized Crime S01E01 What Happens in Puglia (II).</x:v>
      </x:c>
      <x:c r="P2561" s="53" t="str">
        <x:v>Core Law &amp; Order franchise</x:v>
      </x:c>
      <x:c r="Q2561" s="17" t="str">
        <x:v>4874135</x:v>
      </x:c>
      <x:c r="R2561" s="17" t="str">
        <x:v>tt13095126</x:v>
      </x:c>
      <x:c r="S2561" s="17" t="str">
        <x:v>https://one-chicago-fbi.fandom.com/wiki/Crossovers_and_Milestones</x:v>
      </x:c>
    </x:row>
    <x:row r="2562">
      <x:c r="A2562" s="43" t="n">
        <x:v>2558</x:v>
      </x:c>
      <x:c r="B2562" s="44" t="str">
        <x:v>Not Started</x:v>
      </x:c>
      <x:c r="C2562" s="45" t="n">
        <x:v>44293</x:v>
      </x:c>
      <x:c r="D2562" s="33" t="str">
        <x:v>FBI: Most Wanted</x:v>
      </x:c>
      <x:c r="E2562" s="33" t="str">
        <x:v>FBI</x:v>
      </x:c>
      <x:c r="F2562" s="33" t="str">
        <x:v>core</x:v>
      </x:c>
      <x:c r="G2562" s="50" t="n">
        <x:v>2</x:v>
      </x:c>
      <x:c r="H2562" s="50" t="n">
        <x:v>10</x:v>
      </x:c>
      <x:c r="I2562" s="44" t="str">
        <x:v>02.10</x:v>
      </x:c>
      <x:c r="J2562" s="33" t="str">
        <x:v>Spiderwebs</x:v>
      </x:c>
      <x:c r="K2562" s="33" t="str"/>
      <x:c r="L2562" s="33" t="str"/>
      <x:c r="M2562" s="44" t="str"/>
      <x:c r="N2562" s="50" t="n">
        <x:v>43</x:v>
      </x:c>
      <x:c r="O2562" s="53" t="str">
        <x:v>After Crosby's old army buddy is attacked in an apparent drug deal gone wrong, the team's quest for answers uncovers a dangerous web of conspiracy. Also, Jess questions his relationship with Sarah after an unexpected encounter.</x:v>
      </x:c>
      <x:c r="P2562" s="53" t="str">
        <x:v>Core FBI franchise</x:v>
      </x:c>
      <x:c r="Q2562" s="17" t="str">
        <x:v>4849461</x:v>
      </x:c>
      <x:c r="R2562" s="17" t="str">
        <x:v>tt14318058</x:v>
      </x:c>
      <x:c r="S2562" s="17" t="str"/>
    </x:row>
    <x:row r="2563">
      <x:c r="A2563" s="43" t="n">
        <x:v>2559</x:v>
      </x:c>
      <x:c r="B2563" s="44" t="str">
        <x:v>Not Started</x:v>
      </x:c>
      <x:c r="C2563" s="45" t="n">
        <x:v>44293</x:v>
      </x:c>
      <x:c r="D2563" s="33" t="str">
        <x:v>FBI</x:v>
      </x:c>
      <x:c r="E2563" s="33" t="str">
        <x:v>FBI</x:v>
      </x:c>
      <x:c r="F2563" s="33" t="str">
        <x:v>core</x:v>
      </x:c>
      <x:c r="G2563" s="50" t="n">
        <x:v>3</x:v>
      </x:c>
      <x:c r="H2563" s="50" t="n">
        <x:v>10</x:v>
      </x:c>
      <x:c r="I2563" s="44" t="str">
        <x:v>03.10</x:v>
      </x:c>
      <x:c r="J2563" s="33" t="str">
        <x:v>Checks and Balances</x:v>
      </x:c>
      <x:c r="K2563" s="33" t="str"/>
      <x:c r="L2563" s="33" t="str"/>
      <x:c r="M2563" s="44" t="str"/>
      <x:c r="N2563" s="50" t="n">
        <x:v>41</x:v>
      </x:c>
      <x:c r="O2563" s="53" t="str">
        <x:v>The team must track down two assailants who wear animal masks while committing armed robberies, with the latest leaving an off-duty 26 Fed security guard dead. Also, Tiffany and Scola butt heads on whether or not to accept the local NYPD’s offer to help in the investigation.</x:v>
      </x:c>
      <x:c r="P2563" s="53" t="str">
        <x:v>Core FBI franchise</x:v>
      </x:c>
      <x:c r="Q2563" s="17" t="str">
        <x:v>4849508</x:v>
      </x:c>
      <x:c r="R2563" s="17" t="str">
        <x:v>tt14286514</x:v>
      </x:c>
      <x:c r="S2563" s="17" t="str"/>
    </x:row>
    <x:row r="2564">
      <x:c r="A2564" s="43" t="n">
        <x:v>2560</x:v>
      </x:c>
      <x:c r="B2564" s="44" t="str">
        <x:v>Not Started</x:v>
      </x:c>
      <x:c r="C2564" s="45" t="n">
        <x:v>44294</x:v>
      </x:c>
      <x:c r="D2564" s="33" t="str">
        <x:v>Law &amp; Order: Organized Crime</x:v>
      </x:c>
      <x:c r="E2564" s="33" t="str">
        <x:v>Law &amp; Order</x:v>
      </x:c>
      <x:c r="F2564" s="33" t="str">
        <x:v>core</x:v>
      </x:c>
      <x:c r="G2564" s="50" t="n">
        <x:v>1</x:v>
      </x:c>
      <x:c r="H2564" s="50" t="n">
        <x:v>2</x:v>
      </x:c>
      <x:c r="I2564" s="44" t="str">
        <x:v>01.02</x:v>
      </x:c>
      <x:c r="J2564" s="33" t="str">
        <x:v>Not Your Father's Organized Crime</x:v>
      </x:c>
      <x:c r="K2564" s="33" t="str"/>
      <x:c r="L2564" s="33" t="str"/>
      <x:c r="M2564" s="44" t="str"/>
      <x:c r="N2564" s="50" t="n">
        <x:v>42</x:v>
      </x:c>
      <x:c r="O2564" s="53" t="str">
        <x:v>Bell and Stabler welcome two new faces to the task force, and they investigate two seemingly unrelated crimes in hopes they'll be connected back to their case.</x:v>
      </x:c>
      <x:c r="P2564" s="53" t="str">
        <x:v>Core Law &amp; Order franchise</x:v>
      </x:c>
      <x:c r="Q2564" s="17" t="str">
        <x:v>4984394</x:v>
      </x:c>
      <x:c r="R2564" s="17" t="str">
        <x:v>tt12992798</x:v>
      </x:c>
      <x:c r="S2564" s="17" t="str">
        <x:v>1490</x:v>
      </x:c>
    </x:row>
    <x:row r="2565">
      <x:c r="A2565" s="43" t="n">
        <x:v>2561</x:v>
      </x:c>
      <x:c r="B2565" s="44" t="str">
        <x:v>Not Started</x:v>
      </x:c>
      <x:c r="C2565" s="45" t="n">
        <x:v>44294</x:v>
      </x:c>
      <x:c r="D2565" s="33" t="str">
        <x:v>Chicago Med</x:v>
      </x:c>
      <x:c r="E2565" s="33" t="str">
        <x:v>One Chicago</x:v>
      </x:c>
      <x:c r="F2565" s="33" t="str">
        <x:v>core</x:v>
      </x:c>
      <x:c r="G2565" s="50" t="n">
        <x:v>6</x:v>
      </x:c>
      <x:c r="H2565" s="50" t="n">
        <x:v>11</x:v>
      </x:c>
      <x:c r="I2565" s="44" t="str">
        <x:v>06.11</x:v>
      </x:c>
      <x:c r="J2565" s="33" t="str">
        <x:v>Letting Go Only to Come Together</x:v>
      </x:c>
      <x:c r="K2565" s="33" t="str"/>
      <x:c r="L2565" s="33" t="str"/>
      <x:c r="M2565" s="44" t="str"/>
      <x:c r="N2565" s="50" t="n">
        <x:v>42</x:v>
      </x:c>
      <x:c r="O2565" s="53" t="str">
        <x:v>Ethan teams up with an unexpected person to treat a famous tennis player who is afraid his career might be over. Goodwin's new protocols cause a stir.</x:v>
      </x:c>
      <x:c r="P2565" s="53" t="str">
        <x:v>Core One Chicago franchise</x:v>
      </x:c>
      <x:c r="Q2565" s="17" t="str">
        <x:v>4953860</x:v>
      </x:c>
      <x:c r="R2565" s="17" t="str">
        <x:v>tt14301672</x:v>
      </x:c>
      <x:c r="S2565" s="17" t="str"/>
    </x:row>
    <x:row r="2566">
      <x:c r="A2566" s="43" t="n">
        <x:v>2562</x:v>
      </x:c>
      <x:c r="B2566" s="44" t="str">
        <x:v>Not Started</x:v>
      </x:c>
      <x:c r="C2566" s="45" t="n">
        <x:v>44294</x:v>
      </x:c>
      <x:c r="D2566" s="33" t="str">
        <x:v>Chicago P.D.</x:v>
      </x:c>
      <x:c r="E2566" s="33" t="str">
        <x:v>One Chicago</x:v>
      </x:c>
      <x:c r="F2566" s="33" t="str">
        <x:v>core</x:v>
      </x:c>
      <x:c r="G2566" s="50" t="n">
        <x:v>8</x:v>
      </x:c>
      <x:c r="H2566" s="50" t="n">
        <x:v>11</x:v>
      </x:c>
      <x:c r="I2566" s="44" t="str">
        <x:v>08.11</x:v>
      </x:c>
      <x:c r="J2566" s="33" t="str">
        <x:v>Signs of Violence</x:v>
      </x:c>
      <x:c r="K2566" s="33" t="str"/>
      <x:c r="L2566" s="33" t="str"/>
      <x:c r="M2566" s="44" t="str"/>
      <x:c r="N2566" s="50" t="n">
        <x:v>42</x:v>
      </x:c>
      <x:c r="O2566" s="53" t="str">
        <x:v>A wellness check on a family reveals signs of foul play and Upton is determined to find the parents and young daughter. As Hailey delves further into the troubled family dynamics, she finds herself reflecting on her own childhood trauma.</x:v>
      </x:c>
      <x:c r="P2566" s="53" t="str">
        <x:v>Core One Chicago franchise; crossovers with SVU/FBI</x:v>
      </x:c>
      <x:c r="Q2566" s="17" t="str">
        <x:v>4954269</x:v>
      </x:c>
      <x:c r="R2566" s="17" t="str">
        <x:v>tt14301686</x:v>
      </x:c>
      <x:c r="S2566" s="17" t="str"/>
    </x:row>
    <x:row r="2567">
      <x:c r="A2567" s="43" t="n">
        <x:v>2563</x:v>
      </x:c>
      <x:c r="B2567" s="44" t="str">
        <x:v>Not Started</x:v>
      </x:c>
      <x:c r="C2567" s="45" t="n">
        <x:v>44294</x:v>
      </x:c>
      <x:c r="D2567" s="33" t="str">
        <x:v>Chicago Fire</x:v>
      </x:c>
      <x:c r="E2567" s="33" t="str">
        <x:v>One Chicago</x:v>
      </x:c>
      <x:c r="F2567" s="33" t="str">
        <x:v>core</x:v>
      </x:c>
      <x:c r="G2567" s="50" t="n">
        <x:v>9</x:v>
      </x:c>
      <x:c r="H2567" s="50" t="n">
        <x:v>11</x:v>
      </x:c>
      <x:c r="I2567" s="44" t="str">
        <x:v>09.11</x:v>
      </x:c>
      <x:c r="J2567" s="33" t="str">
        <x:v>A Couple Hundred Degrees</x:v>
      </x:c>
      <x:c r="K2567" s="33" t="str"/>
      <x:c r="L2567" s="33" t="str"/>
      <x:c r="M2567" s="44" t="str"/>
      <x:c r="N2567" s="50" t="n">
        <x:v>42</x:v>
      </x:c>
      <x:c r="O2567" s="53" t="str">
        <x:v>A new recruit with ties to the CFD tests Serveride's patience. Violet receives a mysterious note that sends her and Brett on a hunt for the person who wrote it.</x:v>
      </x:c>
      <x:c r="P2567" s="53" t="str">
        <x:v>Core One Chicago franchise</x:v>
      </x:c>
      <x:c r="Q2567" s="17" t="str">
        <x:v>4954360</x:v>
      </x:c>
      <x:c r="R2567" s="17" t="str">
        <x:v>tt14301676</x:v>
      </x:c>
      <x:c r="S2567" s="17" t="str"/>
    </x:row>
    <x:row r="2568">
      <x:c r="A2568" s="43" t="n">
        <x:v>2564</x:v>
      </x:c>
      <x:c r="B2568" s="44" t="str">
        <x:v>Not Started</x:v>
      </x:c>
      <x:c r="C2568" s="45" t="n">
        <x:v>44294</x:v>
      </x:c>
      <x:c r="D2568" s="33" t="str">
        <x:v>Law &amp; Order: Special Victims Unit</x:v>
      </x:c>
      <x:c r="E2568" s="33" t="str">
        <x:v>Law &amp; Order</x:v>
      </x:c>
      <x:c r="F2568" s="33" t="str">
        <x:v>core</x:v>
      </x:c>
      <x:c r="G2568" s="50" t="n">
        <x:v>22</x:v>
      </x:c>
      <x:c r="H2568" s="50" t="n">
        <x:v>10</x:v>
      </x:c>
      <x:c r="I2568" s="44" t="str">
        <x:v>22.10</x:v>
      </x:c>
      <x:c r="J2568" s="33" t="str">
        <x:v>Welcome to the Pedo Motel</x:v>
      </x:c>
      <x:c r="K2568" s="33" t="str"/>
      <x:c r="L2568" s="33" t="str"/>
      <x:c r="M2568" s="44" t="str"/>
      <x:c r="N2568" s="50" t="n">
        <x:v>43</x:v>
      </x:c>
      <x:c r="O2568" s="53" t="str">
        <x:v>The SVU steps in when a girl goes missing near a building that houses several sex offenders.</x:v>
      </x:c>
      <x:c r="P2568" s="53" t="str">
        <x:v>Core Law &amp; Order franchise</x:v>
      </x:c>
      <x:c r="Q2568" s="17" t="str">
        <x:v>4874136</x:v>
      </x:c>
      <x:c r="R2568" s="17" t="str">
        <x:v>tt13095138</x:v>
      </x:c>
      <x:c r="S2568" s="17" t="str">
        <x:v>1489</x:v>
      </x:c>
    </x:row>
    <x:row r="2569">
      <x:c r="A2569" s="43" t="n">
        <x:v>2565</x:v>
      </x:c>
      <x:c r="B2569" s="44" t="str">
        <x:v>Not Started</x:v>
      </x:c>
      <x:c r="C2569" s="45" t="n">
        <x:v>44301</x:v>
      </x:c>
      <x:c r="D2569" s="33" t="str">
        <x:v>Law &amp; Order: Organized Crime</x:v>
      </x:c>
      <x:c r="E2569" s="33" t="str">
        <x:v>Law &amp; Order</x:v>
      </x:c>
      <x:c r="F2569" s="33" t="str">
        <x:v>core</x:v>
      </x:c>
      <x:c r="G2569" s="50" t="n">
        <x:v>1</x:v>
      </x:c>
      <x:c r="H2569" s="50" t="n">
        <x:v>3</x:v>
      </x:c>
      <x:c r="I2569" s="44" t="str">
        <x:v>01.03</x:v>
      </x:c>
      <x:c r="J2569" s="33" t="str">
        <x:v>Say Hello to My Little Friends</x:v>
      </x:c>
      <x:c r="K2569" s="33" t="str"/>
      <x:c r="L2569" s="33" t="str"/>
      <x:c r="M2569" s="44" t="str"/>
      <x:c r="N2569" s="50" t="n">
        <x:v>42</x:v>
      </x:c>
      <x:c r="O2569" s="53" t="str">
        <x:v>Stabler and Bell team up to investigate a major lead. Wheatley makes moves to elevate his business.</x:v>
      </x:c>
      <x:c r="P2569" s="53" t="str">
        <x:v>Core Law &amp; Order franchise</x:v>
      </x:c>
      <x:c r="Q2569" s="17" t="str">
        <x:v>4984395</x:v>
      </x:c>
      <x:c r="R2569" s="17" t="str">
        <x:v>tt12992804</x:v>
      </x:c>
      <x:c r="S2569" s="17" t="str">
        <x:v>1492</x:v>
      </x:c>
    </x:row>
    <x:row r="2570">
      <x:c r="A2570" s="43" t="n">
        <x:v>2566</x:v>
      </x:c>
      <x:c r="B2570" s="44" t="str">
        <x:v>Not Started</x:v>
      </x:c>
      <x:c r="C2570" s="45" t="n">
        <x:v>44301</x:v>
      </x:c>
      <x:c r="D2570" s="33" t="str">
        <x:v>Law &amp; Order: Special Victims Unit</x:v>
      </x:c>
      <x:c r="E2570" s="33" t="str">
        <x:v>Law &amp; Order</x:v>
      </x:c>
      <x:c r="F2570" s="33" t="str">
        <x:v>core</x:v>
      </x:c>
      <x:c r="G2570" s="50" t="n">
        <x:v>22</x:v>
      </x:c>
      <x:c r="H2570" s="50" t="n">
        <x:v>11</x:v>
      </x:c>
      <x:c r="I2570" s="44" t="str">
        <x:v>22.11</x:v>
      </x:c>
      <x:c r="J2570" s="33" t="str">
        <x:v>Our Words Will Not Be Heard</x:v>
      </x:c>
      <x:c r="K2570" s="33" t="str"/>
      <x:c r="L2570" s="33" t="str"/>
      <x:c r="M2570" s="44" t="str"/>
      <x:c r="N2570" s="50" t="n">
        <x:v>43</x:v>
      </x:c>
      <x:c r="O2570" s="53" t="str">
        <x:v>A high-profile activist suspects her sister has been kidnapped by a hate group.</x:v>
      </x:c>
      <x:c r="P2570" s="53" t="str">
        <x:v>Core Law &amp; Order franchise</x:v>
      </x:c>
      <x:c r="Q2570" s="17" t="str">
        <x:v>4874139</x:v>
      </x:c>
      <x:c r="R2570" s="17" t="str">
        <x:v>tt13095158</x:v>
      </x:c>
      <x:c r="S2570" s="17" t="str">
        <x:v>1491</x:v>
      </x:c>
    </x:row>
    <x:row r="2571">
      <x:c r="A2571" s="43" t="n">
        <x:v>2567</x:v>
      </x:c>
      <x:c r="B2571" s="44" t="str">
        <x:v>Not Started</x:v>
      </x:c>
      <x:c r="C2571" s="45" t="n">
        <x:v>44308</x:v>
      </x:c>
      <x:c r="D2571" s="33" t="str">
        <x:v>Law &amp; Order: Organized Crime</x:v>
      </x:c>
      <x:c r="E2571" s="33" t="str">
        <x:v>Law &amp; Order</x:v>
      </x:c>
      <x:c r="F2571" s="33" t="str">
        <x:v>core</x:v>
      </x:c>
      <x:c r="G2571" s="50" t="n">
        <x:v>1</x:v>
      </x:c>
      <x:c r="H2571" s="50" t="n">
        <x:v>4</x:v>
      </x:c>
      <x:c r="I2571" s="44" t="str">
        <x:v>01.04</x:v>
      </x:c>
      <x:c r="J2571" s="33" t="str">
        <x:v>The Stuff That Dreams Are Made Of</x:v>
      </x:c>
      <x:c r="K2571" s="33" t="str"/>
      <x:c r="L2571" s="33" t="str"/>
      <x:c r="M2571" s="44" t="str"/>
      <x:c r="N2571" s="50" t="n">
        <x:v>42</x:v>
      </x:c>
      <x:c r="O2571" s="53" t="str">
        <x:v>While the Wheatleys celebrate an important birthday, Benson joins a Stabler family gathering. Bell investigates an accidental death. Jet gets some offsite experience.</x:v>
      </x:c>
      <x:c r="P2571" s="53" t="str">
        <x:v>Core Law &amp; Order franchise</x:v>
      </x:c>
      <x:c r="Q2571" s="17" t="str">
        <x:v>5094334</x:v>
      </x:c>
      <x:c r="R2571" s="17" t="str">
        <x:v>tt12992806</x:v>
      </x:c>
      <x:c r="S2571" s="17" t="str">
        <x:v>1494</x:v>
      </x:c>
    </x:row>
    <x:row r="2572">
      <x:c r="A2572" s="43" t="n">
        <x:v>2568</x:v>
      </x:c>
      <x:c r="B2572" s="44" t="str">
        <x:v>Not Started</x:v>
      </x:c>
      <x:c r="C2572" s="45" t="n">
        <x:v>44308</x:v>
      </x:c>
      <x:c r="D2572" s="33" t="str">
        <x:v>Chicago Med</x:v>
      </x:c>
      <x:c r="E2572" s="33" t="str">
        <x:v>One Chicago</x:v>
      </x:c>
      <x:c r="F2572" s="33" t="str">
        <x:v>core</x:v>
      </x:c>
      <x:c r="G2572" s="50" t="n">
        <x:v>6</x:v>
      </x:c>
      <x:c r="H2572" s="50" t="n">
        <x:v>12</x:v>
      </x:c>
      <x:c r="I2572" s="44" t="str">
        <x:v>06.12</x:v>
      </x:c>
      <x:c r="J2572" s="33" t="str">
        <x:v>Some Things Are Worth the Risk</x:v>
      </x:c>
      <x:c r="K2572" s="33" t="str"/>
      <x:c r="L2572" s="33" t="str"/>
      <x:c r="M2572" s="44" t="str"/>
      <x:c r="N2572" s="50" t="n">
        <x:v>42</x:v>
      </x:c>
      <x:c r="O2572" s="53" t="str">
        <x:v>Dean and Ethan respond to a scene that brings back some bad memories. When Carol's condition worsens, Natalie is willing to do whatever it takes to get her mom feeling better.</x:v>
      </x:c>
      <x:c r="P2572" s="53" t="str">
        <x:v>Core One Chicago franchise</x:v>
      </x:c>
      <x:c r="Q2572" s="17" t="str">
        <x:v>5071253</x:v>
      </x:c>
      <x:c r="R2572" s="17" t="str">
        <x:v>tt14397498</x:v>
      </x:c>
      <x:c r="S2572" s="17" t="str"/>
    </x:row>
    <x:row r="2573">
      <x:c r="A2573" s="43" t="n">
        <x:v>2569</x:v>
      </x:c>
      <x:c r="B2573" s="44" t="str">
        <x:v>Not Started</x:v>
      </x:c>
      <x:c r="C2573" s="45" t="n">
        <x:v>44308</x:v>
      </x:c>
      <x:c r="D2573" s="33" t="str">
        <x:v>Chicago P.D.</x:v>
      </x:c>
      <x:c r="E2573" s="33" t="str">
        <x:v>One Chicago</x:v>
      </x:c>
      <x:c r="F2573" s="33" t="str">
        <x:v>core</x:v>
      </x:c>
      <x:c r="G2573" s="50" t="n">
        <x:v>8</x:v>
      </x:c>
      <x:c r="H2573" s="50" t="n">
        <x:v>12</x:v>
      </x:c>
      <x:c r="I2573" s="44" t="str">
        <x:v>08.12</x:v>
      </x:c>
      <x:c r="J2573" s="33" t="str">
        <x:v>Due Process</x:v>
      </x:c>
      <x:c r="K2573" s="33" t="str"/>
      <x:c r="L2573" s="33" t="str"/>
      <x:c r="M2573" s="44" t="str"/>
      <x:c r="N2573" s="50" t="n">
        <x:v>42</x:v>
      </x:c>
      <x:c r="O2573" s="53" t="str">
        <x:v>The team pursues a crafty serial rapist. Sergeant Voight finds himself resisting some old, familiar tendencies in his quest for justice.</x:v>
      </x:c>
      <x:c r="P2573" s="53" t="str">
        <x:v>Core One Chicago franchise; crossovers with SVU/FBI</x:v>
      </x:c>
      <x:c r="Q2573" s="17" t="str">
        <x:v>5071252</x:v>
      </x:c>
      <x:c r="R2573" s="17" t="str">
        <x:v>tt14397512</x:v>
      </x:c>
      <x:c r="S2573" s="17" t="str"/>
    </x:row>
    <x:row r="2574">
      <x:c r="A2574" s="43" t="n">
        <x:v>2570</x:v>
      </x:c>
      <x:c r="B2574" s="44" t="str">
        <x:v>Not Started</x:v>
      </x:c>
      <x:c r="C2574" s="45" t="n">
        <x:v>44308</x:v>
      </x:c>
      <x:c r="D2574" s="33" t="str">
        <x:v>Chicago Fire</x:v>
      </x:c>
      <x:c r="E2574" s="33" t="str">
        <x:v>One Chicago</x:v>
      </x:c>
      <x:c r="F2574" s="33" t="str">
        <x:v>core</x:v>
      </x:c>
      <x:c r="G2574" s="50" t="n">
        <x:v>9</x:v>
      </x:c>
      <x:c r="H2574" s="50" t="n">
        <x:v>12</x:v>
      </x:c>
      <x:c r="I2574" s="44" t="str">
        <x:v>09.12</x:v>
      </x:c>
      <x:c r="J2574" s="33" t="str">
        <x:v>Natural Born Firefighter</x:v>
      </x:c>
      <x:c r="K2574" s="33" t="str"/>
      <x:c r="L2574" s="33" t="str"/>
      <x:c r="M2574" s="44" t="str"/>
      <x:c r="N2574" s="50" t="n">
        <x:v>43</x:v>
      </x:c>
      <x:c r="O2574" s="53" t="str">
        <x:v>While Mouch makes an incredible save, all eyes are on a mystery man who helped save his neighbor. Casey worries about his future at the CFD.</x:v>
      </x:c>
      <x:c r="P2574" s="53" t="str">
        <x:v>Core One Chicago franchise</x:v>
      </x:c>
      <x:c r="Q2574" s="17" t="str">
        <x:v>5072230</x:v>
      </x:c>
      <x:c r="R2574" s="17" t="str">
        <x:v>tt14397168</x:v>
      </x:c>
      <x:c r="S2574" s="17" t="str"/>
    </x:row>
    <x:row r="2575">
      <x:c r="A2575" s="43" t="n">
        <x:v>2571</x:v>
      </x:c>
      <x:c r="B2575" s="44" t="str">
        <x:v>Not Started</x:v>
      </x:c>
      <x:c r="C2575" s="45" t="n">
        <x:v>44308</x:v>
      </x:c>
      <x:c r="D2575" s="33" t="str">
        <x:v>Law &amp; Order: Special Victims Unit</x:v>
      </x:c>
      <x:c r="E2575" s="33" t="str">
        <x:v>Law &amp; Order</x:v>
      </x:c>
      <x:c r="F2575" s="33" t="str">
        <x:v>core</x:v>
      </x:c>
      <x:c r="G2575" s="50" t="n">
        <x:v>22</x:v>
      </x:c>
      <x:c r="H2575" s="50" t="n">
        <x:v>12</x:v>
      </x:c>
      <x:c r="I2575" s="44" t="str">
        <x:v>22.12</x:v>
      </x:c>
      <x:c r="J2575" s="33" t="str">
        <x:v>In the Year We All Fell Down</x:v>
      </x:c>
      <x:c r="K2575" s="33" t="str"/>
      <x:c r="L2575" s="33" t="str"/>
      <x:c r="M2575" s="44" t="str"/>
      <x:c r="N2575" s="50" t="n">
        <x:v>43</x:v>
      </x:c>
      <x:c r="O2575" s="53" t="str">
        <x:v>Benson walks into a hostage situation at a neighborhood restaurant. Rollins tries to help her father after he's hospitalized.</x:v>
      </x:c>
      <x:c r="P2575" s="53" t="str">
        <x:v>Core Law &amp; Order franchise</x:v>
      </x:c>
      <x:c r="Q2575" s="17" t="str">
        <x:v>5117381</x:v>
      </x:c>
      <x:c r="R2575" s="17" t="str">
        <x:v>tt13095166</x:v>
      </x:c>
      <x:c r="S2575" s="17" t="str">
        <x:v>1493</x:v>
      </x:c>
    </x:row>
    <x:row r="2576">
      <x:c r="A2576" s="43" t="n">
        <x:v>2572</x:v>
      </x:c>
      <x:c r="B2576" s="44" t="str">
        <x:v>Not Started</x:v>
      </x:c>
      <x:c r="C2576" s="45" t="n">
        <x:v>44314</x:v>
      </x:c>
      <x:c r="D2576" s="33" t="str">
        <x:v>FBI: Most Wanted</x:v>
      </x:c>
      <x:c r="E2576" s="33" t="str">
        <x:v>FBI</x:v>
      </x:c>
      <x:c r="F2576" s="33" t="str">
        <x:v>core</x:v>
      </x:c>
      <x:c r="G2576" s="50" t="n">
        <x:v>2</x:v>
      </x:c>
      <x:c r="H2576" s="50" t="n">
        <x:v>11</x:v>
      </x:c>
      <x:c r="I2576" s="44" t="str">
        <x:v>02.11</x:v>
      </x:c>
      <x:c r="J2576" s="33" t="str">
        <x:v>Obstruction</x:v>
      </x:c>
      <x:c r="K2576" s="33" t="str"/>
      <x:c r="L2576" s="33" t="str"/>
      <x:c r="M2576" s="44" t="str"/>
      <x:c r="N2576" s="50" t="n">
        <x:v>43</x:v>
      </x:c>
      <x:c r="O2576" s="53" t="str">
        <x:v>After a double murder takes place in a small town, the team goes after the vigilante who relies on internet sleuths to exact revenge on suspects in the name of justice. Also, Jess and Sarah's relationship continues to grow, but not everyone approves.</x:v>
      </x:c>
      <x:c r="P2576" s="53" t="str">
        <x:v>Core FBI franchise</x:v>
      </x:c>
      <x:c r="Q2576" s="17" t="str">
        <x:v>5061224</x:v>
      </x:c>
      <x:c r="R2576" s="17" t="str">
        <x:v>tt14354518</x:v>
      </x:c>
      <x:c r="S2576" s="17" t="str"/>
    </x:row>
    <x:row r="2577">
      <x:c r="A2577" s="43" t="n">
        <x:v>2573</x:v>
      </x:c>
      <x:c r="B2577" s="44" t="str">
        <x:v>Not Started</x:v>
      </x:c>
      <x:c r="C2577" s="45" t="n">
        <x:v>44314</x:v>
      </x:c>
      <x:c r="D2577" s="33" t="str">
        <x:v>FBI</x:v>
      </x:c>
      <x:c r="E2577" s="33" t="str">
        <x:v>FBI</x:v>
      </x:c>
      <x:c r="F2577" s="33" t="str">
        <x:v>core</x:v>
      </x:c>
      <x:c r="G2577" s="50" t="n">
        <x:v>3</x:v>
      </x:c>
      <x:c r="H2577" s="50" t="n">
        <x:v>11</x:v>
      </x:c>
      <x:c r="I2577" s="44" t="str">
        <x:v>03.11</x:v>
      </x:c>
      <x:c r="J2577" s="33" t="str">
        <x:v>Brother's Keeper</x:v>
      </x:c>
      <x:c r="K2577" s="33" t="str"/>
      <x:c r="L2577" s="33" t="str"/>
      <x:c r="M2577" s="44" t="str"/>
      <x:c r="N2577" s="50" t="n">
        <x:v>43</x:v>
      </x:c>
      <x:c r="O2577" s="53" t="str">
        <x:v>After a man is killed by an explosive package shipped to his home, the team attempts to capture the sender and intercept his latest deadly parcel. Also, Maggie tries to trust her younger sister, Erin, is truly staying out of trouble as a new college student in NYC.</x:v>
      </x:c>
      <x:c r="P2577" s="53" t="str">
        <x:v>Core FBI franchise</x:v>
      </x:c>
      <x:c r="Q2577" s="17" t="str">
        <x:v>5116959</x:v>
      </x:c>
      <x:c r="R2577" s="17" t="str">
        <x:v>tt14409256</x:v>
      </x:c>
      <x:c r="S2577" s="17" t="str"/>
    </x:row>
    <x:row r="2578">
      <x:c r="A2578" s="43" t="n">
        <x:v>2574</x:v>
      </x:c>
      <x:c r="B2578" s="44" t="str">
        <x:v>Not Started</x:v>
      </x:c>
      <x:c r="C2578" s="45" t="n">
        <x:v>44321</x:v>
      </x:c>
      <x:c r="D2578" s="33" t="str">
        <x:v>FBI: Most Wanted</x:v>
      </x:c>
      <x:c r="E2578" s="33" t="str">
        <x:v>FBI</x:v>
      </x:c>
      <x:c r="F2578" s="33" t="str">
        <x:v>core</x:v>
      </x:c>
      <x:c r="G2578" s="50" t="n">
        <x:v>2</x:v>
      </x:c>
      <x:c r="H2578" s="50" t="n">
        <x:v>12</x:v>
      </x:c>
      <x:c r="I2578" s="44" t="str">
        <x:v>02.12</x:v>
      </x:c>
      <x:c r="J2578" s="33" t="str">
        <x:v>Criminal Justice</x:v>
      </x:c>
      <x:c r="K2578" s="33" t="str"/>
      <x:c r="L2578" s="33" t="str"/>
      <x:c r="M2578" s="44" t="str"/>
      <x:c r="N2578" s="50" t="n">
        <x:v>43</x:v>
      </x:c>
      <x:c r="O2578" s="53" t="str">
        <x:v>When a young man accidentally shoots a cop in self-defense and goes on the run, the team members find themselves in a moral dilemma on the best way to carry out justice. Also, Barnes and her wife struggle with their plans to have another child.</x:v>
      </x:c>
      <x:c r="P2578" s="53" t="str">
        <x:v>Core FBI franchise</x:v>
      </x:c>
      <x:c r="Q2578" s="17" t="str">
        <x:v>5071225</x:v>
      </x:c>
      <x:c r="R2578" s="17" t="str">
        <x:v>tt14354530</x:v>
      </x:c>
      <x:c r="S2578" s="17" t="str"/>
    </x:row>
    <x:row r="2579">
      <x:c r="A2579" s="43" t="n">
        <x:v>2575</x:v>
      </x:c>
      <x:c r="B2579" s="44" t="str">
        <x:v>Not Started</x:v>
      </x:c>
      <x:c r="C2579" s="45" t="n">
        <x:v>44321</x:v>
      </x:c>
      <x:c r="D2579" s="33" t="str">
        <x:v>FBI</x:v>
      </x:c>
      <x:c r="E2579" s="33" t="str">
        <x:v>FBI</x:v>
      </x:c>
      <x:c r="F2579" s="33" t="str">
        <x:v>core</x:v>
      </x:c>
      <x:c r="G2579" s="50" t="n">
        <x:v>3</x:v>
      </x:c>
      <x:c r="H2579" s="50" t="n">
        <x:v>12</x:v>
      </x:c>
      <x:c r="I2579" s="44" t="str">
        <x:v>03.12</x:v>
      </x:c>
      <x:c r="J2579" s="33" t="str">
        <x:v>Fathers and Sons</x:v>
      </x:c>
      <x:c r="K2579" s="33" t="str"/>
      <x:c r="L2579" s="33" t="str"/>
      <x:c r="M2579" s="44" t="str"/>
      <x:c r="N2579" s="50" t="n">
        <x:v>43</x:v>
      </x:c>
      <x:c r="O2579" s="53" t="str">
        <x:v>The team rushes to track down two doctors abducted by a desperate father willing to do anything to save his son. Also, Jubal's uncertainty in his family life affects his judgement during the hostage situation.</x:v>
      </x:c>
      <x:c r="P2579" s="53" t="str">
        <x:v>Core FBI franchise</x:v>
      </x:c>
      <x:c r="Q2579" s="17" t="str">
        <x:v>5141272</x:v>
      </x:c>
      <x:c r="R2579" s="17" t="str">
        <x:v>tt14459430</x:v>
      </x:c>
      <x:c r="S2579" s="17" t="str"/>
    </x:row>
    <x:row r="2580">
      <x:c r="A2580" s="43" t="n">
        <x:v>2576</x:v>
      </x:c>
      <x:c r="B2580" s="44" t="str">
        <x:v>Not Started</x:v>
      </x:c>
      <x:c r="C2580" s="45" t="n">
        <x:v>44322</x:v>
      </x:c>
      <x:c r="D2580" s="33" t="str">
        <x:v>Chicago Med</x:v>
      </x:c>
      <x:c r="E2580" s="33" t="str">
        <x:v>One Chicago</x:v>
      </x:c>
      <x:c r="F2580" s="33" t="str">
        <x:v>core</x:v>
      </x:c>
      <x:c r="G2580" s="50" t="n">
        <x:v>6</x:v>
      </x:c>
      <x:c r="H2580" s="50" t="n">
        <x:v>13</x:v>
      </x:c>
      <x:c r="I2580" s="44" t="str">
        <x:v>06.13</x:v>
      </x:c>
      <x:c r="J2580" s="33" t="str">
        <x:v>What a Tangled Web We Weave</x:v>
      </x:c>
      <x:c r="K2580" s="33" t="str"/>
      <x:c r="L2580" s="33" t="str"/>
      <x:c r="M2580" s="44" t="str"/>
      <x:c r="N2580" s="50" t="n">
        <x:v>42</x:v>
      </x:c>
      <x:c r="O2580" s="53" t="str">
        <x:v>An auto accident sends Goodwin into a spiral as she tries to help a young boy and his mother. Natalie's secretive behavior begins to draw the attention of Dr. Marcel and Dr. Halstead.</x:v>
      </x:c>
      <x:c r="P2580" s="53" t="str">
        <x:v>Core One Chicago franchise</x:v>
      </x:c>
      <x:c r="Q2580" s="17" t="str">
        <x:v>5113016</x:v>
      </x:c>
      <x:c r="R2580" s="17" t="str">
        <x:v>tt14444592</x:v>
      </x:c>
      <x:c r="S2580" s="17" t="str"/>
    </x:row>
    <x:row r="2581">
      <x:c r="A2581" s="43" t="n">
        <x:v>2577</x:v>
      </x:c>
      <x:c r="B2581" s="44" t="str">
        <x:v>Not Started</x:v>
      </x:c>
      <x:c r="C2581" s="45" t="n">
        <x:v>44322</x:v>
      </x:c>
      <x:c r="D2581" s="33" t="str">
        <x:v>Chicago P.D.</x:v>
      </x:c>
      <x:c r="E2581" s="33" t="str">
        <x:v>One Chicago</x:v>
      </x:c>
      <x:c r="F2581" s="33" t="str">
        <x:v>core</x:v>
      </x:c>
      <x:c r="G2581" s="50" t="n">
        <x:v>8</x:v>
      </x:c>
      <x:c r="H2581" s="50" t="n">
        <x:v>13</x:v>
      </x:c>
      <x:c r="I2581" s="44" t="str">
        <x:v>08.13</x:v>
      </x:c>
      <x:c r="J2581" s="33" t="str">
        <x:v>Trouble Dolls</x:v>
      </x:c>
      <x:c r="K2581" s="33" t="str"/>
      <x:c r="L2581" s="33" t="str"/>
      <x:c r="M2581" s="44" t="str"/>
      <x:c r="N2581" s="50" t="n">
        <x:v>42</x:v>
      </x:c>
      <x:c r="O2581" s="53" t="str">
        <x:v>The shocking murder of a young pregnant woman leads the team on a desperate hunt for the killer, revealing something even darker than expected. Burgess has to make a tough decision about Makayla.</x:v>
      </x:c>
      <x:c r="P2581" s="53" t="str">
        <x:v>Core One Chicago franchise; crossovers with SVU/FBI</x:v>
      </x:c>
      <x:c r="Q2581" s="17" t="str">
        <x:v>5113021</x:v>
      </x:c>
      <x:c r="R2581" s="17" t="str">
        <x:v>tt14444588</x:v>
      </x:c>
      <x:c r="S2581" s="17" t="str"/>
    </x:row>
    <x:row r="2582">
      <x:c r="A2582" s="43" t="n">
        <x:v>2578</x:v>
      </x:c>
      <x:c r="B2582" s="44" t="str">
        <x:v>Not Started</x:v>
      </x:c>
      <x:c r="C2582" s="45" t="n">
        <x:v>44322</x:v>
      </x:c>
      <x:c r="D2582" s="33" t="str">
        <x:v>Chicago Fire</x:v>
      </x:c>
      <x:c r="E2582" s="33" t="str">
        <x:v>One Chicago</x:v>
      </x:c>
      <x:c r="F2582" s="33" t="str">
        <x:v>core</x:v>
      </x:c>
      <x:c r="G2582" s="50" t="n">
        <x:v>9</x:v>
      </x:c>
      <x:c r="H2582" s="50" t="n">
        <x:v>13</x:v>
      </x:c>
      <x:c r="I2582" s="44" t="str">
        <x:v>09.13</x:v>
      </x:c>
      <x:c r="J2582" s="33" t="str">
        <x:v>Don't Hang Up</x:v>
      </x:c>
      <x:c r="K2582" s="33" t="str"/>
      <x:c r="L2582" s="33" t="str"/>
      <x:c r="M2582" s="44" t="str"/>
      <x:c r="N2582" s="50" t="n">
        <x:v>42</x:v>
      </x:c>
      <x:c r="O2582" s="53" t="str">
        <x:v>A mysterious caller who is in danger relies on Kidd to help save her and her brother. The firehouse helps Cruz get ready for fatherhood.</x:v>
      </x:c>
      <x:c r="P2582" s="53" t="str">
        <x:v>Core One Chicago franchise</x:v>
      </x:c>
      <x:c r="Q2582" s="17" t="str">
        <x:v>5113020</x:v>
      </x:c>
      <x:c r="R2582" s="17" t="str">
        <x:v>tt14444600</x:v>
      </x:c>
      <x:c r="S2582" s="17" t="str"/>
    </x:row>
    <x:row r="2583">
      <x:c r="A2583" s="43" t="n">
        <x:v>2579</x:v>
      </x:c>
      <x:c r="B2583" s="44" t="str">
        <x:v>Not Started</x:v>
      </x:c>
      <x:c r="C2583" s="45" t="n">
        <x:v>44328</x:v>
      </x:c>
      <x:c r="D2583" s="33" t="str">
        <x:v>FBI: Most Wanted</x:v>
      </x:c>
      <x:c r="E2583" s="33" t="str">
        <x:v>FBI</x:v>
      </x:c>
      <x:c r="F2583" s="33" t="str">
        <x:v>core</x:v>
      </x:c>
      <x:c r="G2583" s="50" t="n">
        <x:v>2</x:v>
      </x:c>
      <x:c r="H2583" s="50" t="n">
        <x:v>13</x:v>
      </x:c>
      <x:c r="I2583" s="44" t="str">
        <x:v>02.13</x:v>
      </x:c>
      <x:c r="J2583" s="33" t="str">
        <x:v>Toxic</x:v>
      </x:c>
      <x:c r="K2583" s="33" t="str"/>
      <x:c r="L2583" s="33" t="str"/>
      <x:c r="M2583" s="44" t="str"/>
      <x:c r="N2583" s="50" t="n">
        <x:v>43</x:v>
      </x:c>
      <x:c r="O2583" s="53" t="str">
        <x:v>The team tracks two brothers set on getting revenge against members of the company that caused their town's environmental destruction. Also, Sarah meets the rest of the LaCroix family, including Jess' sister, Louise.</x:v>
      </x:c>
      <x:c r="P2583" s="53" t="str">
        <x:v>Core FBI franchise</x:v>
      </x:c>
      <x:c r="Q2583" s="17" t="str">
        <x:v>5128967</x:v>
      </x:c>
      <x:c r="R2583" s="17" t="str">
        <x:v>tt14495154</x:v>
      </x:c>
      <x:c r="S2583" s="17" t="str"/>
    </x:row>
    <x:row r="2584">
      <x:c r="A2584" s="43" t="n">
        <x:v>2580</x:v>
      </x:c>
      <x:c r="B2584" s="44" t="str">
        <x:v>Not Started</x:v>
      </x:c>
      <x:c r="C2584" s="45" t="n">
        <x:v>44328</x:v>
      </x:c>
      <x:c r="D2584" s="33" t="str">
        <x:v>FBI</x:v>
      </x:c>
      <x:c r="E2584" s="33" t="str">
        <x:v>FBI</x:v>
      </x:c>
      <x:c r="F2584" s="33" t="str">
        <x:v>core</x:v>
      </x:c>
      <x:c r="G2584" s="50" t="n">
        <x:v>3</x:v>
      </x:c>
      <x:c r="H2584" s="50" t="n">
        <x:v>13</x:v>
      </x:c>
      <x:c r="I2584" s="44" t="str">
        <x:v>03.13</x:v>
      </x:c>
      <x:c r="J2584" s="33" t="str">
        <x:v>Short Squeeze</x:v>
      </x:c>
      <x:c r="K2584" s="33" t="str"/>
      <x:c r="L2584" s="33" t="str"/>
      <x:c r="M2584" s="44" t="str"/>
      <x:c r="N2584" s="50" t="n">
        <x:v>42</x:v>
      </x:c>
      <x:c r="O2584" s="53" t="str">
        <x:v>When the CEO of a major brokerage firm is shot and killed while surrounded by protesters, the team looks into who had the most to lose from his company's perceived manipulations. Also, Scola's previous Wall Street career and the reasons he left come to light as the financial details of the case begin to unfold.</x:v>
      </x:c>
      <x:c r="P2584" s="53" t="str">
        <x:v>Core FBI franchise</x:v>
      </x:c>
      <x:c r="Q2584" s="17" t="str">
        <x:v>5141273</x:v>
      </x:c>
      <x:c r="R2584" s="17" t="str">
        <x:v>tt14495130</x:v>
      </x:c>
      <x:c r="S2584" s="17" t="str"/>
    </x:row>
    <x:row r="2585">
      <x:c r="A2585" s="43" t="n">
        <x:v>2581</x:v>
      </x:c>
      <x:c r="B2585" s="44" t="str">
        <x:v>Not Started</x:v>
      </x:c>
      <x:c r="C2585" s="45" t="n">
        <x:v>44329</x:v>
      </x:c>
      <x:c r="D2585" s="33" t="str">
        <x:v>Law &amp; Order: Organized Crime</x:v>
      </x:c>
      <x:c r="E2585" s="33" t="str">
        <x:v>Law &amp; Order</x:v>
      </x:c>
      <x:c r="F2585" s="33" t="str">
        <x:v>core</x:v>
      </x:c>
      <x:c r="G2585" s="50" t="n">
        <x:v>1</x:v>
      </x:c>
      <x:c r="H2585" s="50" t="n">
        <x:v>5</x:v>
      </x:c>
      <x:c r="I2585" s="44" t="str">
        <x:v>01.05</x:v>
      </x:c>
      <x:c r="J2585" s="33" t="str">
        <x:v>An Inferior Product (II)</x:v>
      </x:c>
      <x:c r="K2585" s="33" t="str">
        <x:v>Multi-episode arc</x:v>
      </x:c>
      <x:c r="L2585" s="33" t="str">
        <x:v>An Inferior Product</x:v>
      </x:c>
      <x:c r="M2585" s="44" t="str"/>
      <x:c r="N2585" s="50" t="n">
        <x:v>42</x:v>
      </x:c>
      <x:c r="O2585" s="53" t="str">
        <x:v>Stabler faces the consequences of a failed drug bust. Bell is forced to choose between the job and her family. Gina gets an unexpected visitor.
The crossover starts on Law &amp; Order: Special Victims Unit S22E13 Trick-Rolled at the Moulin (I).</x:v>
      </x:c>
      <x:c r="P2585" s="53" t="str">
        <x:v>Core Law &amp; Order franchise</x:v>
      </x:c>
      <x:c r="Q2585" s="17" t="str">
        <x:v>5132463</x:v>
      </x:c>
      <x:c r="R2585" s="17" t="str">
        <x:v>tt12992810</x:v>
      </x:c>
      <x:c r="S2585" s="17" t="str">
        <x:v>Canonical episode title notation; editorial inference.</x:v>
      </x:c>
    </x:row>
    <x:row r="2586">
      <x:c r="A2586" s="43" t="n">
        <x:v>2582</x:v>
      </x:c>
      <x:c r="B2586" s="44" t="str">
        <x:v>Not Started</x:v>
      </x:c>
      <x:c r="C2586" s="45" t="n">
        <x:v>44329</x:v>
      </x:c>
      <x:c r="D2586" s="33" t="str">
        <x:v>Chicago Med</x:v>
      </x:c>
      <x:c r="E2586" s="33" t="str">
        <x:v>One Chicago</x:v>
      </x:c>
      <x:c r="F2586" s="33" t="str">
        <x:v>core</x:v>
      </x:c>
      <x:c r="G2586" s="50" t="n">
        <x:v>6</x:v>
      </x:c>
      <x:c r="H2586" s="50" t="n">
        <x:v>14</x:v>
      </x:c>
      <x:c r="I2586" s="44" t="str">
        <x:v>06.14</x:v>
      </x:c>
      <x:c r="J2586" s="33" t="str">
        <x:v>A Red Pill, a Blue Pill</x:v>
      </x:c>
      <x:c r="K2586" s="33" t="str"/>
      <x:c r="L2586" s="33" t="str"/>
      <x:c r="M2586" s="44" t="str"/>
      <x:c r="N2586" s="50" t="n">
        <x:v>42</x:v>
      </x:c>
      <x:c r="O2586" s="53" t="str">
        <x:v>Third-year med students begin their rotation in the ED and Maggie keeps a careful eye on one of them. Natalie, whose mom's health takes another decline, tries to cover up how she broke the rules to treat her.</x:v>
      </x:c>
      <x:c r="P2586" s="53" t="str">
        <x:v>Core One Chicago franchise</x:v>
      </x:c>
      <x:c r="Q2586" s="17" t="str">
        <x:v>5113017</x:v>
      </x:c>
      <x:c r="R2586" s="17" t="str">
        <x:v>tt14532768</x:v>
      </x:c>
      <x:c r="S2586" s="17" t="str"/>
    </x:row>
    <x:row r="2587">
      <x:c r="A2587" s="43" t="n">
        <x:v>2583</x:v>
      </x:c>
      <x:c r="B2587" s="44" t="str">
        <x:v>Not Started</x:v>
      </x:c>
      <x:c r="C2587" s="45" t="n">
        <x:v>44329</x:v>
      </x:c>
      <x:c r="D2587" s="33" t="str">
        <x:v>Chicago P.D.</x:v>
      </x:c>
      <x:c r="E2587" s="33" t="str">
        <x:v>One Chicago</x:v>
      </x:c>
      <x:c r="F2587" s="33" t="str">
        <x:v>core</x:v>
      </x:c>
      <x:c r="G2587" s="50" t="n">
        <x:v>8</x:v>
      </x:c>
      <x:c r="H2587" s="50" t="n">
        <x:v>14</x:v>
      </x:c>
      <x:c r="I2587" s="44" t="str">
        <x:v>08.14</x:v>
      </x:c>
      <x:c r="J2587" s="33" t="str">
        <x:v>Safe</x:v>
      </x:c>
      <x:c r="K2587" s="33" t="str"/>
      <x:c r="L2587" s="33" t="str"/>
      <x:c r="M2587" s="44" t="str"/>
      <x:c r="N2587" s="50" t="n">
        <x:v>42</x:v>
      </x:c>
      <x:c r="O2587" s="53" t="str">
        <x:v>After a series of brutal home invasion robberies, Upton immerses herself in the case and finds herself caught between Voight and Halstead.</x:v>
      </x:c>
      <x:c r="P2587" s="53" t="str">
        <x:v>Core One Chicago franchise; crossovers with SVU/FBI</x:v>
      </x:c>
      <x:c r="Q2587" s="17" t="str">
        <x:v>5141166</x:v>
      </x:c>
      <x:c r="R2587" s="17" t="str">
        <x:v>tt14532776</x:v>
      </x:c>
      <x:c r="S2587" s="17" t="str"/>
    </x:row>
    <x:row r="2588">
      <x:c r="A2588" s="43" t="n">
        <x:v>2584</x:v>
      </x:c>
      <x:c r="B2588" s="44" t="str">
        <x:v>Not Started</x:v>
      </x:c>
      <x:c r="C2588" s="45" t="n">
        <x:v>44329</x:v>
      </x:c>
      <x:c r="D2588" s="33" t="str">
        <x:v>Chicago Fire</x:v>
      </x:c>
      <x:c r="E2588" s="33" t="str">
        <x:v>One Chicago</x:v>
      </x:c>
      <x:c r="F2588" s="33" t="str">
        <x:v>core</x:v>
      </x:c>
      <x:c r="G2588" s="50" t="n">
        <x:v>9</x:v>
      </x:c>
      <x:c r="H2588" s="50" t="n">
        <x:v>14</x:v>
      </x:c>
      <x:c r="I2588" s="44" t="str">
        <x:v>09.14</x:v>
      </x:c>
      <x:c r="J2588" s="33" t="str">
        <x:v>What Comes Next</x:v>
      </x:c>
      <x:c r="K2588" s="33" t="str"/>
      <x:c r="L2588" s="33" t="str"/>
      <x:c r="M2588" s="44" t="str"/>
      <x:c r="N2588" s="50" t="n">
        <x:v>42</x:v>
      </x:c>
      <x:c r="O2588" s="53" t="str">
        <x:v>A fire breaks out at a pet food factory and Casey and Severide help the owner, Pete, get to the bottom of it. The annual garage sale takes place at 51 and everyone is on edge.</x:v>
      </x:c>
      <x:c r="P2588" s="53" t="str">
        <x:v>Core One Chicago franchise</x:v>
      </x:c>
      <x:c r="Q2588" s="17" t="str">
        <x:v>5137581</x:v>
      </x:c>
      <x:c r="R2588" s="17" t="str">
        <x:v>tt14532774</x:v>
      </x:c>
      <x:c r="S2588" s="17" t="str"/>
    </x:row>
    <x:row r="2589">
      <x:c r="A2589" s="43" t="n">
        <x:v>2585</x:v>
      </x:c>
      <x:c r="B2589" s="44" t="str">
        <x:v>Not Started</x:v>
      </x:c>
      <x:c r="C2589" s="45" t="n">
        <x:v>44329</x:v>
      </x:c>
      <x:c r="D2589" s="33" t="str">
        <x:v>Law &amp; Order: Special Victims Unit</x:v>
      </x:c>
      <x:c r="E2589" s="33" t="str">
        <x:v>Law &amp; Order</x:v>
      </x:c>
      <x:c r="F2589" s="33" t="str">
        <x:v>core</x:v>
      </x:c>
      <x:c r="G2589" s="50" t="n">
        <x:v>22</x:v>
      </x:c>
      <x:c r="H2589" s="50" t="n">
        <x:v>13</x:v>
      </x:c>
      <x:c r="I2589" s="44" t="str">
        <x:v>22.13</x:v>
      </x:c>
      <x:c r="J2589" s="33" t="str">
        <x:v>Trick-Rolled at the Moulin (I)</x:v>
      </x:c>
      <x:c r="K2589" s="33" t="str">
        <x:v>Multi-episode arc</x:v>
      </x:c>
      <x:c r="L2589" s="33" t="str">
        <x:v>Trick-Rolled at the Moulin</x:v>
      </x:c>
      <x:c r="M2589" s="44" t="str"/>
      <x:c r="N2589" s="50" t="n">
        <x:v>43</x:v>
      </x:c>
      <x:c r="O2589" s="53" t="str">
        <x:v>The SVU search for three women suspected of drugging and robbing wealthy men. The case leads to personal connections for both Benson and Kat.
The crossover continues on Law &amp; Order: Organized Crime S01E05 An Inferior Product (II).</x:v>
      </x:c>
      <x:c r="P2589" s="53" t="str">
        <x:v>Core Law &amp; Order franchise</x:v>
      </x:c>
      <x:c r="Q2589" s="17" t="str">
        <x:v>5133628</x:v>
      </x:c>
      <x:c r="R2589" s="17" t="str">
        <x:v>tt13095170</x:v>
      </x:c>
      <x:c r="S2589" s="17" t="str">
        <x:v>Canonical episode title notation; editorial inference.</x:v>
      </x:c>
    </x:row>
    <x:row r="2590">
      <x:c r="A2590" s="43" t="n">
        <x:v>2586</x:v>
      </x:c>
      <x:c r="B2590" s="44" t="str">
        <x:v>Not Started</x:v>
      </x:c>
      <x:c r="C2590" s="45" t="n">
        <x:v>44335</x:v>
      </x:c>
      <x:c r="D2590" s="33" t="str">
        <x:v>FBI: Most Wanted</x:v>
      </x:c>
      <x:c r="E2590" s="33" t="str">
        <x:v>FBI</x:v>
      </x:c>
      <x:c r="F2590" s="33" t="str">
        <x:v>core</x:v>
      </x:c>
      <x:c r="G2590" s="50" t="n">
        <x:v>2</x:v>
      </x:c>
      <x:c r="H2590" s="50" t="n">
        <x:v>14</x:v>
      </x:c>
      <x:c r="I2590" s="44" t="str">
        <x:v>02.14</x:v>
      </x:c>
      <x:c r="J2590" s="33" t="str">
        <x:v>Hustler</x:v>
      </x:c>
      <x:c r="K2590" s="33" t="str"/>
      <x:c r="L2590" s="33" t="str"/>
      <x:c r="M2590" s="44" t="str"/>
      <x:c r="N2590" s="50" t="n">
        <x:v>43</x:v>
      </x:c>
      <x:c r="O2590" s="53" t="str">
        <x:v>The team heads to D.C. to protect Ortiz's former informant after a hitman tries to kill her. Also, Sarah helps Jess' family prepares for Byron and Marie's last-minute wedding on Jess' farm.</x:v>
      </x:c>
      <x:c r="P2590" s="53" t="str">
        <x:v>Core FBI franchise</x:v>
      </x:c>
      <x:c r="Q2590" s="17" t="str">
        <x:v>5145253</x:v>
      </x:c>
      <x:c r="R2590" s="17" t="str">
        <x:v>tt14495156</x:v>
      </x:c>
      <x:c r="S2590" s="17" t="str"/>
    </x:row>
    <x:row r="2591">
      <x:c r="A2591" s="43" t="n">
        <x:v>2587</x:v>
      </x:c>
      <x:c r="B2591" s="44" t="str">
        <x:v>Not Started</x:v>
      </x:c>
      <x:c r="C2591" s="45" t="n">
        <x:v>44335</x:v>
      </x:c>
      <x:c r="D2591" s="33" t="str">
        <x:v>FBI</x:v>
      </x:c>
      <x:c r="E2591" s="33" t="str">
        <x:v>FBI</x:v>
      </x:c>
      <x:c r="F2591" s="33" t="str">
        <x:v>core</x:v>
      </x:c>
      <x:c r="G2591" s="50" t="n">
        <x:v>3</x:v>
      </x:c>
      <x:c r="H2591" s="50" t="n">
        <x:v>14</x:v>
      </x:c>
      <x:c r="I2591" s="44" t="str">
        <x:v>03.14</x:v>
      </x:c>
      <x:c r="J2591" s="33" t="str">
        <x:v>Trigger Effect</x:v>
      </x:c>
      <x:c r="K2591" s="33" t="str"/>
      <x:c r="L2591" s="33" t="str"/>
      <x:c r="M2591" s="44" t="str"/>
      <x:c r="N2591" s="50" t="n">
        <x:v>42</x:v>
      </x:c>
      <x:c r="O2591" s="53" t="str">
        <x:v>While investigating a mass casualty incident at a New York City restaurant, the team scrambles to determine if it was racially motivated and if there was more than one gunman. Also, Maggie starts to notice troubling behavior from her co-worker, Elise.</x:v>
      </x:c>
      <x:c r="P2591" s="53" t="str">
        <x:v>Core FBI franchise</x:v>
      </x:c>
      <x:c r="Q2591" s="17" t="str">
        <x:v>5153393</x:v>
      </x:c>
      <x:c r="R2591" s="17" t="str">
        <x:v>tt14495136</x:v>
      </x:c>
      <x:c r="S2591" s="17" t="str"/>
    </x:row>
    <x:row r="2592">
      <x:c r="A2592" s="43" t="n">
        <x:v>2588</x:v>
      </x:c>
      <x:c r="B2592" s="44" t="str">
        <x:v>Not Started</x:v>
      </x:c>
      <x:c r="C2592" s="45" t="n">
        <x:v>44336</x:v>
      </x:c>
      <x:c r="D2592" s="33" t="str">
        <x:v>Law &amp; Order: Organized Crime</x:v>
      </x:c>
      <x:c r="E2592" s="33" t="str">
        <x:v>Law &amp; Order</x:v>
      </x:c>
      <x:c r="F2592" s="33" t="str">
        <x:v>core</x:v>
      </x:c>
      <x:c r="G2592" s="50" t="n">
        <x:v>1</x:v>
      </x:c>
      <x:c r="H2592" s="50" t="n">
        <x:v>6</x:v>
      </x:c>
      <x:c r="I2592" s="44" t="str">
        <x:v>01.06</x:v>
      </x:c>
      <x:c r="J2592" s="33" t="str">
        <x:v>I Got This Rat</x:v>
      </x:c>
      <x:c r="K2592" s="33" t="str"/>
      <x:c r="L2592" s="33" t="str"/>
      <x:c r="M2592" s="44" t="str"/>
      <x:c r="N2592" s="50" t="n">
        <x:v>42</x:v>
      </x:c>
      <x:c r="O2592" s="53" t="str">
        <x:v>As Wheatley finalizes plans with a new client, Richie takes a big step in joining the family business.</x:v>
      </x:c>
      <x:c r="P2592" s="53" t="str">
        <x:v>Core Law &amp; Order franchise</x:v>
      </x:c>
      <x:c r="Q2592" s="17" t="str">
        <x:v>5151364</x:v>
      </x:c>
      <x:c r="R2592" s="17" t="str">
        <x:v>tt12992812</x:v>
      </x:c>
      <x:c r="S2592" s="17" t="str">
        <x:v>1498</x:v>
      </x:c>
    </x:row>
    <x:row r="2593">
      <x:c r="A2593" s="43" t="n">
        <x:v>2589</x:v>
      </x:c>
      <x:c r="B2593" s="44" t="str">
        <x:v>Not Started</x:v>
      </x:c>
      <x:c r="C2593" s="45" t="n">
        <x:v>44336</x:v>
      </x:c>
      <x:c r="D2593" s="33" t="str">
        <x:v>Chicago Med</x:v>
      </x:c>
      <x:c r="E2593" s="33" t="str">
        <x:v>One Chicago</x:v>
      </x:c>
      <x:c r="F2593" s="33" t="str">
        <x:v>core</x:v>
      </x:c>
      <x:c r="G2593" s="50" t="n">
        <x:v>6</x:v>
      </x:c>
      <x:c r="H2593" s="50" t="n">
        <x:v>15</x:v>
      </x:c>
      <x:c r="I2593" s="44" t="str">
        <x:v>06.15</x:v>
      </x:c>
      <x:c r="J2593" s="33" t="str">
        <x:v>Stories, Secrets, Half Truths and Lies</x:v>
      </x:c>
      <x:c r="K2593" s="33" t="str"/>
      <x:c r="L2593" s="33" t="str"/>
      <x:c r="M2593" s="44" t="str"/>
      <x:c r="N2593" s="50" t="n">
        <x:v>42</x:v>
      </x:c>
      <x:c r="O2593" s="53" t="str">
        <x:v>Crockett worries he made a surgical error when a recent transplant patient comes in with complications. Carol is once again in distress. Will and Natalie must take action to right their wrong.</x:v>
      </x:c>
      <x:c r="P2593" s="53" t="str">
        <x:v>Core One Chicago franchise</x:v>
      </x:c>
      <x:c r="Q2593" s="17" t="str">
        <x:v>5113018</x:v>
      </x:c>
      <x:c r="R2593" s="17" t="str">
        <x:v>tt14577238</x:v>
      </x:c>
      <x:c r="S2593" s="17" t="str"/>
    </x:row>
    <x:row r="2594">
      <x:c r="A2594" s="43" t="n">
        <x:v>2590</x:v>
      </x:c>
      <x:c r="B2594" s="44" t="str">
        <x:v>Not Started</x:v>
      </x:c>
      <x:c r="C2594" s="45" t="n">
        <x:v>44336</x:v>
      </x:c>
      <x:c r="D2594" s="33" t="str">
        <x:v>Chicago P.D.</x:v>
      </x:c>
      <x:c r="E2594" s="33" t="str">
        <x:v>One Chicago</x:v>
      </x:c>
      <x:c r="F2594" s="33" t="str">
        <x:v>core</x:v>
      </x:c>
      <x:c r="G2594" s="50" t="n">
        <x:v>8</x:v>
      </x:c>
      <x:c r="H2594" s="50" t="n">
        <x:v>15</x:v>
      </x:c>
      <x:c r="I2594" s="44" t="str">
        <x:v>08.15</x:v>
      </x:c>
      <x:c r="J2594" s="33" t="str">
        <x:v>The Right Thing (1)</x:v>
      </x:c>
      <x:c r="K2594" s="33" t="str"/>
      <x:c r="L2594" s="33" t="str"/>
      <x:c r="M2594" s="44" t="str"/>
      <x:c r="N2594" s="50" t="n">
        <x:v>42</x:v>
      </x:c>
      <x:c r="O2594" s="53" t="str">
        <x:v>Voight and the team pursue a ruthless crime ring whose business has hit close to home. As they dig deeper, the extent of the danger becomes more apparent. Deputy Superintendent Samantha Miller second-guesses her decisions.</x:v>
      </x:c>
      <x:c r="P2594" s="53" t="str">
        <x:v>Core One Chicago franchise; crossovers with SVU/FBI</x:v>
      </x:c>
      <x:c r="Q2594" s="17" t="str">
        <x:v>5147674</x:v>
      </x:c>
      <x:c r="R2594" s="17" t="str">
        <x:v>tt14569342</x:v>
      </x:c>
      <x:c r="S2594" s="17" t="str"/>
    </x:row>
    <x:row r="2595">
      <x:c r="A2595" s="43" t="n">
        <x:v>2591</x:v>
      </x:c>
      <x:c r="B2595" s="44" t="str">
        <x:v>Not Started</x:v>
      </x:c>
      <x:c r="C2595" s="45" t="n">
        <x:v>44336</x:v>
      </x:c>
      <x:c r="D2595" s="33" t="str">
        <x:v>Chicago Fire</x:v>
      </x:c>
      <x:c r="E2595" s="33" t="str">
        <x:v>One Chicago</x:v>
      </x:c>
      <x:c r="F2595" s="33" t="str">
        <x:v>core</x:v>
      </x:c>
      <x:c r="G2595" s="50" t="n">
        <x:v>9</x:v>
      </x:c>
      <x:c r="H2595" s="50" t="n">
        <x:v>15</x:v>
      </x:c>
      <x:c r="I2595" s="44" t="str">
        <x:v>09.15</x:v>
      </x:c>
      <x:c r="J2595" s="33" t="str">
        <x:v>A White-Knuckle Panic</x:v>
      </x:c>
      <x:c r="K2595" s="33" t="str"/>
      <x:c r="L2595" s="33" t="str"/>
      <x:c r="M2595" s="44" t="str"/>
      <x:c r="N2595" s="50" t="n">
        <x:v>42</x:v>
      </x:c>
      <x:c r="O2595" s="53" t="str">
        <x:v>Severide and Casey try to find the best fit for Kidd. Ritter, Gallo and Violet help plan an event for Mouch.</x:v>
      </x:c>
      <x:c r="P2595" s="53" t="str">
        <x:v>Core One Chicago franchise</x:v>
      </x:c>
      <x:c r="Q2595" s="17" t="str">
        <x:v>5147363</x:v>
      </x:c>
      <x:c r="R2595" s="17" t="str">
        <x:v>tt14577258</x:v>
      </x:c>
      <x:c r="S2595" s="17" t="str"/>
    </x:row>
    <x:row r="2596">
      <x:c r="A2596" s="43" t="n">
        <x:v>2592</x:v>
      </x:c>
      <x:c r="B2596" s="44" t="str">
        <x:v>Not Started</x:v>
      </x:c>
      <x:c r="C2596" s="45" t="n">
        <x:v>44336</x:v>
      </x:c>
      <x:c r="D2596" s="33" t="str">
        <x:v>Law &amp; Order: Special Victims Unit</x:v>
      </x:c>
      <x:c r="E2596" s="33" t="str">
        <x:v>Law &amp; Order</x:v>
      </x:c>
      <x:c r="F2596" s="33" t="str">
        <x:v>core</x:v>
      </x:c>
      <x:c r="G2596" s="50" t="n">
        <x:v>22</x:v>
      </x:c>
      <x:c r="H2596" s="50" t="n">
        <x:v>14</x:v>
      </x:c>
      <x:c r="I2596" s="44" t="str">
        <x:v>22.14</x:v>
      </x:c>
      <x:c r="J2596" s="33" t="str">
        <x:v>Post-Graduate Psychopath</x:v>
      </x:c>
      <x:c r="K2596" s="33" t="str"/>
      <x:c r="L2596" s="33" t="str"/>
      <x:c r="M2596" s="44" t="str"/>
      <x:c r="N2596" s="50" t="n">
        <x:v>43</x:v>
      </x:c>
      <x:c r="O2596" s="53" t="str">
        <x:v>Rollins must revisit an old case when a child sent to juvenile detention is released after his 18th birthday.</x:v>
      </x:c>
      <x:c r="P2596" s="53" t="str">
        <x:v>Core Law &amp; Order franchise</x:v>
      </x:c>
      <x:c r="Q2596" s="17" t="str">
        <x:v>5151362</x:v>
      </x:c>
      <x:c r="R2596" s="17" t="str">
        <x:v>tt13107586</x:v>
      </x:c>
      <x:c r="S2596" s="17" t="str">
        <x:v>1497</x:v>
      </x:c>
    </x:row>
    <x:row r="2597">
      <x:c r="A2597" s="43" t="n">
        <x:v>2593</x:v>
      </x:c>
      <x:c r="B2597" s="44" t="str">
        <x:v>Not Started</x:v>
      </x:c>
      <x:c r="C2597" s="45" t="n">
        <x:v>44342</x:v>
      </x:c>
      <x:c r="D2597" s="33" t="str">
        <x:v>FBI: Most Wanted</x:v>
      </x:c>
      <x:c r="E2597" s="33" t="str">
        <x:v>FBI</x:v>
      </x:c>
      <x:c r="F2597" s="33" t="str">
        <x:v>core</x:v>
      </x:c>
      <x:c r="G2597" s="50" t="n">
        <x:v>2</x:v>
      </x:c>
      <x:c r="H2597" s="50" t="n">
        <x:v>15</x:v>
      </x:c>
      <x:c r="I2597" s="44" t="str">
        <x:v>02.15</x:v>
      </x:c>
      <x:c r="J2597" s="33" t="str">
        <x:v>Chattaboogie</x:v>
      </x:c>
      <x:c r="K2597" s="33" t="str"/>
      <x:c r="L2597" s="33" t="str"/>
      <x:c r="M2597" s="44" t="str"/>
      <x:c r="N2597" s="50" t="n">
        <x:v>43</x:v>
      </x:c>
      <x:c r="O2597" s="53" t="str">
        <x:v>Jess and the Most Wanted team head to Tennessee to track down an undercover DEA agent who appears to have turned dirty amid a major drug ring operation. Also, Sarah wonders if it was a mistake to move in with Jess and Tali so soon.</x:v>
      </x:c>
      <x:c r="P2597" s="53" t="str">
        <x:v>Core FBI franchise</x:v>
      </x:c>
      <x:c r="Q2597" s="17" t="str">
        <x:v>5153673</x:v>
      </x:c>
      <x:c r="R2597" s="17" t="str">
        <x:v>tt14495160</x:v>
      </x:c>
      <x:c r="S2597" s="17" t="str"/>
    </x:row>
    <x:row r="2598">
      <x:c r="A2598" s="43" t="n">
        <x:v>2594</x:v>
      </x:c>
      <x:c r="B2598" s="44" t="str">
        <x:v>Not Started</x:v>
      </x:c>
      <x:c r="C2598" s="45" t="n">
        <x:v>44342</x:v>
      </x:c>
      <x:c r="D2598" s="33" t="str">
        <x:v>FBI</x:v>
      </x:c>
      <x:c r="E2598" s="33" t="str">
        <x:v>FBI</x:v>
      </x:c>
      <x:c r="F2598" s="33" t="str">
        <x:v>core</x:v>
      </x:c>
      <x:c r="G2598" s="50" t="n">
        <x:v>3</x:v>
      </x:c>
      <x:c r="H2598" s="50" t="n">
        <x:v>15</x:v>
      </x:c>
      <x:c r="I2598" s="44" t="str">
        <x:v>03.15</x:v>
      </x:c>
      <x:c r="J2598" s="33" t="str">
        <x:v>Straight Flush</x:v>
      </x:c>
      <x:c r="K2598" s="33" t="str"/>
      <x:c r="L2598" s="33" t="str"/>
      <x:c r="M2598" s="44" t="str"/>
      <x:c r="N2598" s="50" t="n">
        <x:v>43</x:v>
      </x:c>
      <x:c r="O2598" s="53" t="str">
        <x:v>When five prominent men are killed at a trendy New York City restaurant, the team’s investigation brings them into contact with a lieutenant in Antonio Vargas’ cartel, triggering a long-awaited showdown between Isobel and Vargas.</x:v>
      </x:c>
      <x:c r="P2598" s="53" t="str">
        <x:v>Core FBI franchise</x:v>
      </x:c>
      <x:c r="Q2598" s="17" t="str">
        <x:v>5153394</x:v>
      </x:c>
      <x:c r="R2598" s="17" t="str">
        <x:v>tt14495144</x:v>
      </x:c>
      <x:c r="S2598" s="17" t="str"/>
    </x:row>
    <x:row r="2599">
      <x:c r="A2599" s="43" t="n">
        <x:v>2595</x:v>
      </x:c>
      <x:c r="B2599" s="44" t="str">
        <x:v>Not Started</x:v>
      </x:c>
      <x:c r="C2599" s="45" t="n">
        <x:v>44343</x:v>
      </x:c>
      <x:c r="D2599" s="33" t="str">
        <x:v>Law &amp; Order: Organized Crime</x:v>
      </x:c>
      <x:c r="E2599" s="33" t="str">
        <x:v>Law &amp; Order</x:v>
      </x:c>
      <x:c r="F2599" s="33" t="str">
        <x:v>core</x:v>
      </x:c>
      <x:c r="G2599" s="50" t="n">
        <x:v>1</x:v>
      </x:c>
      <x:c r="H2599" s="50" t="n">
        <x:v>7</x:v>
      </x:c>
      <x:c r="I2599" s="44" t="str">
        <x:v>01.07</x:v>
      </x:c>
      <x:c r="J2599" s="33" t="str">
        <x:v>Everybody Takes a Beating Sometime</x:v>
      </x:c>
      <x:c r="K2599" s="33" t="str"/>
      <x:c r="L2599" s="33" t="str"/>
      <x:c r="M2599" s="44" t="str"/>
      <x:c r="N2599" s="50" t="n">
        <x:v>42</x:v>
      </x:c>
      <x:c r="O2599" s="53" t="str">
        <x:v>Bell’s family goes public with their lawsuit. Angela tries to extract her children from Wheatley’s clutches. Stabler puts the finishing touches on a long-awaited plan.</x:v>
      </x:c>
      <x:c r="P2599" s="53" t="str">
        <x:v>Core Law &amp; Order franchise</x:v>
      </x:c>
      <x:c r="Q2599" s="17" t="str">
        <x:v>5153395</x:v>
      </x:c>
      <x:c r="R2599" s="17" t="str">
        <x:v>tt12992816</x:v>
      </x:c>
      <x:c r="S2599" s="17" t="str">
        <x:v>1500</x:v>
      </x:c>
    </x:row>
    <x:row r="2600">
      <x:c r="A2600" s="43" t="n">
        <x:v>2596</x:v>
      </x:c>
      <x:c r="B2600" s="44" t="str">
        <x:v>Not Started</x:v>
      </x:c>
      <x:c r="C2600" s="45" t="n">
        <x:v>44343</x:v>
      </x:c>
      <x:c r="D2600" s="33" t="str">
        <x:v>Chicago Med</x:v>
      </x:c>
      <x:c r="E2600" s="33" t="str">
        <x:v>One Chicago</x:v>
      </x:c>
      <x:c r="F2600" s="33" t="str">
        <x:v>core</x:v>
      </x:c>
      <x:c r="G2600" s="50" t="n">
        <x:v>6</x:v>
      </x:c>
      <x:c r="H2600" s="50" t="n">
        <x:v>16</x:v>
      </x:c>
      <x:c r="I2600" s="44" t="str">
        <x:v>06.16</x:v>
      </x:c>
      <x:c r="J2600" s="33" t="str">
        <x:v>I Will Come to Save You</x:v>
      </x:c>
      <x:c r="K2600" s="33" t="str"/>
      <x:c r="L2600" s="33" t="str"/>
      <x:c r="M2600" s="44" t="str"/>
      <x:c r="N2600" s="50" t="n">
        <x:v>42</x:v>
      </x:c>
      <x:c r="O2600" s="53" t="str">
        <x:v>Carol receives a second chance at life when a new heart becomes available. Ethan and Dean find themselves in hot water with an old patient. Will faces the consequences of the stolen trial medication.</x:v>
      </x:c>
      <x:c r="P2600" s="53" t="str">
        <x:v>Core One Chicago franchise</x:v>
      </x:c>
      <x:c r="Q2600" s="17" t="str">
        <x:v>5113019</x:v>
      </x:c>
      <x:c r="R2600" s="17" t="str">
        <x:v>tt14597126</x:v>
      </x:c>
      <x:c r="S2600" s="17" t="str"/>
    </x:row>
    <x:row r="2601">
      <x:c r="A2601" s="43" t="n">
        <x:v>2597</x:v>
      </x:c>
      <x:c r="B2601" s="44" t="str">
        <x:v>Not Started</x:v>
      </x:c>
      <x:c r="C2601" s="45" t="n">
        <x:v>44343</x:v>
      </x:c>
      <x:c r="D2601" s="33" t="str">
        <x:v>Chicago P.D.</x:v>
      </x:c>
      <x:c r="E2601" s="33" t="str">
        <x:v>One Chicago</x:v>
      </x:c>
      <x:c r="F2601" s="33" t="str">
        <x:v>core</x:v>
      </x:c>
      <x:c r="G2601" s="50" t="n">
        <x:v>8</x:v>
      </x:c>
      <x:c r="H2601" s="50" t="n">
        <x:v>16</x:v>
      </x:c>
      <x:c r="I2601" s="44" t="str">
        <x:v>08.16</x:v>
      </x:c>
      <x:c r="J2601" s="33" t="str">
        <x:v>The Other Side (2)</x:v>
      </x:c>
      <x:c r="K2601" s="33" t="str"/>
      <x:c r="L2601" s="33" t="str"/>
      <x:c r="M2601" s="44" t="str"/>
      <x:c r="N2601" s="50" t="n">
        <x:v>42</x:v>
      </x:c>
      <x:c r="O2601" s="53" t="str">
        <x:v>Voight and the team muster all their expertise to bring down a deadly crime ring. Burgess finds herself in a dangerous situation.</x:v>
      </x:c>
      <x:c r="P2601" s="53" t="str">
        <x:v>Core One Chicago franchise; crossovers with SVU/FBI</x:v>
      </x:c>
      <x:c r="Q2601" s="17" t="str">
        <x:v>5147675</x:v>
      </x:c>
      <x:c r="R2601" s="17" t="str">
        <x:v>tt14597210</x:v>
      </x:c>
      <x:c r="S2601" s="17" t="str"/>
    </x:row>
    <x:row r="2602">
      <x:c r="A2602" s="43" t="n">
        <x:v>2598</x:v>
      </x:c>
      <x:c r="B2602" s="44" t="str">
        <x:v>Not Started</x:v>
      </x:c>
      <x:c r="C2602" s="45" t="n">
        <x:v>44343</x:v>
      </x:c>
      <x:c r="D2602" s="33" t="str">
        <x:v>Chicago Fire</x:v>
      </x:c>
      <x:c r="E2602" s="33" t="str">
        <x:v>One Chicago</x:v>
      </x:c>
      <x:c r="F2602" s="33" t="str">
        <x:v>core</x:v>
      </x:c>
      <x:c r="G2602" s="50" t="n">
        <x:v>9</x:v>
      </x:c>
      <x:c r="H2602" s="50" t="n">
        <x:v>16</x:v>
      </x:c>
      <x:c r="I2602" s="44" t="str">
        <x:v>09.16</x:v>
      </x:c>
      <x:c r="J2602" s="33" t="str">
        <x:v>No Survivors</x:v>
      </x:c>
      <x:c r="K2602" s="33" t="str"/>
      <x:c r="L2602" s="33" t="str"/>
      <x:c r="M2602" s="44" t="str"/>
      <x:c r="N2602" s="50" t="n">
        <x:v>42</x:v>
      </x:c>
      <x:c r="O2602" s="53" t="str">
        <x:v>The firehouse reacts to some exciting news, a mysterious stranger arrives and a shocking call takes Severide's breath away.</x:v>
      </x:c>
      <x:c r="P2602" s="53" t="str">
        <x:v>Core One Chicago franchise</x:v>
      </x:c>
      <x:c r="Q2602" s="17" t="str">
        <x:v>5147677</x:v>
      </x:c>
      <x:c r="R2602" s="17" t="str">
        <x:v>tt14597178</x:v>
      </x:c>
      <x:c r="S2602" s="17" t="str"/>
    </x:row>
    <x:row r="2603">
      <x:c r="A2603" s="43" t="n">
        <x:v>2599</x:v>
      </x:c>
      <x:c r="B2603" s="44" t="str">
        <x:v>Not Started</x:v>
      </x:c>
      <x:c r="C2603" s="45" t="n">
        <x:v>44343</x:v>
      </x:c>
      <x:c r="D2603" s="33" t="str">
        <x:v>Law &amp; Order: Special Victims Unit</x:v>
      </x:c>
      <x:c r="E2603" s="33" t="str">
        <x:v>Law &amp; Order</x:v>
      </x:c>
      <x:c r="F2603" s="33" t="str">
        <x:v>core</x:v>
      </x:c>
      <x:c r="G2603" s="50" t="n">
        <x:v>22</x:v>
      </x:c>
      <x:c r="H2603" s="50" t="n">
        <x:v>15</x:v>
      </x:c>
      <x:c r="I2603" s="44" t="str">
        <x:v>22.15</x:v>
      </x:c>
      <x:c r="J2603" s="33" t="str">
        <x:v>What Can Happen in the Dark</x:v>
      </x:c>
      <x:c r="K2603" s="33" t="str"/>
      <x:c r="L2603" s="33" t="str"/>
      <x:c r="M2603" s="44" t="str"/>
      <x:c r="N2603" s="50" t="n">
        <x:v>43</x:v>
      </x:c>
      <x:c r="O2603" s="53" t="str">
        <x:v>Garland asks Benson to investigate an unusual domestic violence case when his neighbor is found injured.</x:v>
      </x:c>
      <x:c r="P2603" s="53" t="str">
        <x:v>Core Law &amp; Order franchise</x:v>
      </x:c>
      <x:c r="Q2603" s="17" t="str">
        <x:v>5151363</x:v>
      </x:c>
      <x:c r="R2603" s="17" t="str">
        <x:v>tt13107596</x:v>
      </x:c>
      <x:c r="S2603" s="17" t="str">
        <x:v>1499</x:v>
      </x:c>
    </x:row>
    <x:row r="2604">
      <x:c r="A2604" s="43" t="n">
        <x:v>2600</x:v>
      </x:c>
      <x:c r="B2604" s="44" t="str">
        <x:v>Not Started</x:v>
      </x:c>
      <x:c r="C2604" s="45" t="n">
        <x:v>44350</x:v>
      </x:c>
      <x:c r="D2604" s="33" t="str">
        <x:v>Law &amp; Order: Organized Crime</x:v>
      </x:c>
      <x:c r="E2604" s="33" t="str">
        <x:v>Law &amp; Order</x:v>
      </x:c>
      <x:c r="F2604" s="33" t="str">
        <x:v>core</x:v>
      </x:c>
      <x:c r="G2604" s="50" t="n">
        <x:v>1</x:v>
      </x:c>
      <x:c r="H2604" s="50" t="n">
        <x:v>8</x:v>
      </x:c>
      <x:c r="I2604" s="44" t="str">
        <x:v>01.08</x:v>
      </x:c>
      <x:c r="J2604" s="33" t="str">
        <x:v>Forget It, Jake; It's Chinatown</x:v>
      </x:c>
      <x:c r="K2604" s="33" t="str"/>
      <x:c r="L2604" s="33" t="str"/>
      <x:c r="M2604" s="44" t="str"/>
      <x:c r="N2604" s="50" t="n">
        <x:v>42</x:v>
      </x:c>
      <x:c r="O2604" s="53" t="str">
        <x:v>As Wheatley goes to court to face the litany of charges against him, Richie makes moves to save himself. Bell and Stabler must cope with a sudden development in the case.</x:v>
      </x:c>
      <x:c r="P2604" s="53" t="str">
        <x:v>Core Law &amp; Order franchise</x:v>
      </x:c>
      <x:c r="Q2604" s="17" t="str">
        <x:v>5163248</x:v>
      </x:c>
      <x:c r="R2604" s="17" t="str">
        <x:v>tt12992820</x:v>
      </x:c>
      <x:c r="S2604" s="17" t="str">
        <x:v>1502</x:v>
      </x:c>
    </x:row>
    <x:row r="2605">
      <x:c r="A2605" s="43" t="n">
        <x:v>2601</x:v>
      </x:c>
      <x:c r="B2605" s="44" t="str">
        <x:v>Not Started</x:v>
      </x:c>
      <x:c r="C2605" s="45" t="n">
        <x:v>44350</x:v>
      </x:c>
      <x:c r="D2605" s="33" t="str">
        <x:v>Law &amp; Order: Special Victims Unit</x:v>
      </x:c>
      <x:c r="E2605" s="33" t="str">
        <x:v>Law &amp; Order</x:v>
      </x:c>
      <x:c r="F2605" s="33" t="str">
        <x:v>core</x:v>
      </x:c>
      <x:c r="G2605" s="50" t="n">
        <x:v>22</x:v>
      </x:c>
      <x:c r="H2605" s="50" t="n">
        <x:v>16</x:v>
      </x:c>
      <x:c r="I2605" s="44" t="str">
        <x:v>22.16</x:v>
      </x:c>
      <x:c r="J2605" s="33" t="str">
        <x:v>Wolves in Sheep's Clothing</x:v>
      </x:c>
      <x:c r="K2605" s="33" t="str"/>
      <x:c r="L2605" s="33" t="str"/>
      <x:c r="M2605" s="44" t="str"/>
      <x:c r="N2605" s="50" t="n">
        <x:v>43</x:v>
      </x:c>
      <x:c r="O2605" s="53" t="str">
        <x:v>While Fin and Phoebe make wedding plans, Benson and Rollins try to help a homeless single mother who’s being trafficked in exchange for safe housing.</x:v>
      </x:c>
      <x:c r="P2605" s="53" t="str">
        <x:v>Core Law &amp; Order franchise</x:v>
      </x:c>
      <x:c r="Q2605" s="17" t="str">
        <x:v>5153398</x:v>
      </x:c>
      <x:c r="R2605" s="17" t="str">
        <x:v>tt13107600</x:v>
      </x:c>
      <x:c r="S2605" s="17" t="str">
        <x:v>1501</x:v>
      </x:c>
    </x:row>
    <x:row r="2606">
      <x:c r="A2606" s="43" t="n">
        <x:v>2602</x:v>
      </x:c>
      <x:c r="B2606" s="44" t="str">
        <x:v>Not Started</x:v>
      </x:c>
      <x:c r="C2606" s="45" t="n">
        <x:v>44388</x:v>
      </x:c>
      <x:c r="D2606" s="33" t="str">
        <x:v>Cold Justice</x:v>
      </x:c>
      <x:c r="E2606" s="33" t="str">
        <x:v>Crossover Adjacent</x:v>
      </x:c>
      <x:c r="F2606" s="33" t="str">
        <x:v>complete</x:v>
      </x:c>
      <x:c r="G2606" s="50" t="n">
        <x:v>6</x:v>
      </x:c>
      <x:c r="H2606" s="50" t="n">
        <x:v>1</x:v>
      </x:c>
      <x:c r="I2606" s="44" t="str">
        <x:v>06.01</x:v>
      </x:c>
      <x:c r="J2606" s="33" t="str">
        <x:v>Holiday Homicide</x:v>
      </x:c>
      <x:c r="K2606" s="33" t="str"/>
      <x:c r="L2606" s="33" t="str"/>
      <x:c r="M2606" s="44" t="str"/>
      <x:c r="N2606" s="50" t="n">
        <x:v>42</x:v>
      </x:c>
      <x:c r="O2606" s="53" t="str">
        <x:v>Kelly and Abbey head to Stafford, Texas to investigate the cold-blooded killing of a tow truck business owner, Jerry Don Humphrey. Their investigation uncovers a twisted world of alleged abuse, infidelity, and a possible murder-for-hire plot.</x:v>
      </x:c>
      <x:c r="P2606" s="53" t="str">
        <x:v>Wolf Entertainment unscripted true-crime series</x:v>
      </x:c>
      <x:c r="Q2606" s="17" t="str">
        <x:v>3360462</x:v>
      </x:c>
      <x:c r="R2606" s="17" t="str"/>
      <x:c r="S2606" s="17" t="str"/>
    </x:row>
    <x:row r="2607">
      <x:c r="A2607" s="43" t="n">
        <x:v>2603</x:v>
      </x:c>
      <x:c r="B2607" s="44" t="str">
        <x:v>Not Started</x:v>
      </x:c>
      <x:c r="C2607" s="45" t="n">
        <x:v>44395</x:v>
      </x:c>
      <x:c r="D2607" s="33" t="str">
        <x:v>Cold Justice</x:v>
      </x:c>
      <x:c r="E2607" s="33" t="str">
        <x:v>Crossover Adjacent</x:v>
      </x:c>
      <x:c r="F2607" s="33" t="str">
        <x:v>complete</x:v>
      </x:c>
      <x:c r="G2607" s="50" t="n">
        <x:v>6</x:v>
      </x:c>
      <x:c r="H2607" s="50" t="n">
        <x:v>2</x:v>
      </x:c>
      <x:c r="I2607" s="44" t="str">
        <x:v>06.02</x:v>
      </x:c>
      <x:c r="J2607" s="33" t="str">
        <x:v>Deadly Premonition</x:v>
      </x:c>
      <x:c r="K2607" s="33" t="str"/>
      <x:c r="L2607" s="33" t="str"/>
      <x:c r="M2607" s="44" t="str"/>
      <x:c r="N2607" s="50" t="n">
        <x:v>42</x:v>
      </x:c>
      <x:c r="O2607" s="53" t="str">
        <x:v>Kelly and Steve try to solve the mysterious murder of a father beaten and shot to death in his home with his 6-year-old daughter asleep nearby. The key to identifying his killer may lie in the secret audio recordings found in his attic.</x:v>
      </x:c>
      <x:c r="P2607" s="53" t="str">
        <x:v>Wolf Entertainment unscripted true-crime series</x:v>
      </x:c>
      <x:c r="Q2607" s="17" t="str">
        <x:v>3380694</x:v>
      </x:c>
      <x:c r="R2607" s="17" t="str"/>
      <x:c r="S2607" s="17" t="str"/>
    </x:row>
    <x:row r="2608">
      <x:c r="A2608" s="43" t="n">
        <x:v>2604</x:v>
      </x:c>
      <x:c r="B2608" s="44" t="str">
        <x:v>Not Started</x:v>
      </x:c>
      <x:c r="C2608" s="45" t="n">
        <x:v>44402</x:v>
      </x:c>
      <x:c r="D2608" s="33" t="str">
        <x:v>Cold Justice</x:v>
      </x:c>
      <x:c r="E2608" s="33" t="str">
        <x:v>Crossover Adjacent</x:v>
      </x:c>
      <x:c r="F2608" s="33" t="str">
        <x:v>complete</x:v>
      </x:c>
      <x:c r="G2608" s="50" t="n">
        <x:v>6</x:v>
      </x:c>
      <x:c r="H2608" s="50" t="n">
        <x:v>3</x:v>
      </x:c>
      <x:c r="I2608" s="44" t="str">
        <x:v>06.03</x:v>
      </x:c>
      <x:c r="J2608" s="33" t="str">
        <x:v>A Touch of Evidence</x:v>
      </x:c>
      <x:c r="K2608" s="33" t="str"/>
      <x:c r="L2608" s="33" t="str"/>
      <x:c r="M2608" s="44" t="str"/>
      <x:c r="N2608" s="50" t="n">
        <x:v>42</x:v>
      </x:c>
      <x:c r="O2608" s="53" t="str">
        <x:v>Kelly and Tonya investigate the shocking murder of Leola Jordan, a 91-year-old grandmother in Picayune, Mississippi who was stabbed nearly 40 times in her bed. New DNA technology may help identify her killer and reveal a tragic family secret.</x:v>
      </x:c>
      <x:c r="P2608" s="53" t="str">
        <x:v>Wolf Entertainment unscripted true-crime series</x:v>
      </x:c>
      <x:c r="Q2608" s="17" t="str">
        <x:v>3380704</x:v>
      </x:c>
      <x:c r="R2608" s="17" t="str"/>
      <x:c r="S2608" s="17" t="str"/>
    </x:row>
    <x:row r="2609">
      <x:c r="A2609" s="43" t="n">
        <x:v>2605</x:v>
      </x:c>
      <x:c r="B2609" s="44" t="str">
        <x:v>Not Started</x:v>
      </x:c>
      <x:c r="C2609" s="45" t="n">
        <x:v>44409</x:v>
      </x:c>
      <x:c r="D2609" s="33" t="str">
        <x:v>Cold Justice</x:v>
      </x:c>
      <x:c r="E2609" s="33" t="str">
        <x:v>Crossover Adjacent</x:v>
      </x:c>
      <x:c r="F2609" s="33" t="str">
        <x:v>complete</x:v>
      </x:c>
      <x:c r="G2609" s="50" t="n">
        <x:v>6</x:v>
      </x:c>
      <x:c r="H2609" s="50" t="n">
        <x:v>4</x:v>
      </x:c>
      <x:c r="I2609" s="44" t="str">
        <x:v>06.04</x:v>
      </x:c>
      <x:c r="J2609" s="33" t="str">
        <x:v>Unnatural Causes (Rio Arriba County, NM)</x:v>
      </x:c>
      <x:c r="K2609" s="33" t="str"/>
      <x:c r="L2609" s="33" t="str"/>
      <x:c r="M2609" s="44" t="str"/>
      <x:c r="N2609" s="50" t="n">
        <x:v>42</x:v>
      </x:c>
      <x:c r="O2609" s="53" t="str">
        <x:v>In Rio Arriba County, NM, Kelly and Steve investigate the strange case of a man who appeared to have died from natural causes. But when his cremation revealed a bullet in his body, his death became a murder investigation. Is it too late to crack the case?</x:v>
      </x:c>
      <x:c r="P2609" s="53" t="str">
        <x:v>Wolf Entertainment unscripted true-crime series</x:v>
      </x:c>
      <x:c r="Q2609" s="17" t="str">
        <x:v>3380705</x:v>
      </x:c>
      <x:c r="R2609" s="17" t="str"/>
      <x:c r="S2609" s="17" t="str"/>
    </x:row>
    <x:row r="2610">
      <x:c r="A2610" s="43" t="n">
        <x:v>2606</x:v>
      </x:c>
      <x:c r="B2610" s="44" t="str">
        <x:v>Not Started</x:v>
      </x:c>
      <x:c r="C2610" s="45" t="n">
        <x:v>44461</x:v>
      </x:c>
      <x:c r="D2610" s="33" t="str">
        <x:v>FBI: International</x:v>
      </x:c>
      <x:c r="E2610" s="33" t="str">
        <x:v>FBI</x:v>
      </x:c>
      <x:c r="F2610" s="33" t="str">
        <x:v>core</x:v>
      </x:c>
      <x:c r="G2610" s="50" t="n">
        <x:v>1</x:v>
      </x:c>
      <x:c r="H2610" s="50" t="n">
        <x:v>1</x:v>
      </x:c>
      <x:c r="I2610" s="44" t="str">
        <x:v>01.01</x:v>
      </x:c>
      <x:c r="J2610" s="33" t="str">
        <x:v>Pilot (III)</x:v>
      </x:c>
      <x:c r="K2610" s="33" t="str">
        <x:v>Crossover</x:v>
      </x:c>
      <x:c r="L2610" s="33" t="str">
        <x:v>FBI global crossover launch</x:v>
      </x:c>
      <x:c r="M2610" s="44" t="str">
        <x:v>3/3</x:v>
      </x:c>
      <x:c r="N2610" s="50" t="n">
        <x:v>43</x:v>
      </x:c>
      <x:c r="O2610" s="53" t="str">
        <x:v>Special Agent Scott Forrester and his Budapest-based FBI fly team head to Croatia, after Isobel Castille enlists their help to capture an American fugitive who escaped to Zagreb with a 14-year-old girl. OA continues with the mission overseas, intent on bringing the fugitive to justice, while Europol agent Katrin Jaeger attempts to help the team secure the necessary support and access from the less-than-cooperative local authorities.
The crossover starts on FBI S04E01 All That Glitters (I) and FBI: Most Wanted S03E01 Exposed (II).</x:v>
      </x:c>
      <x:c r="P2610" s="53" t="str">
        <x:v>Core FBI franchise</x:v>
      </x:c>
      <x:c r="Q2610" s="17" t="str">
        <x:v>4934244</x:v>
      </x:c>
      <x:c r="R2610" s="17" t="str">
        <x:v>tt14703660</x:v>
      </x:c>
      <x:c r="S2610" s="17" t="str">
        <x:v>https://one-chicago-fbi.fandom.com/wiki/Crossovers_and_Milestones</x:v>
      </x:c>
    </x:row>
    <x:row r="2611">
      <x:c r="A2611" s="43" t="n">
        <x:v>2607</x:v>
      </x:c>
      <x:c r="B2611" s="44" t="str">
        <x:v>Not Started</x:v>
      </x:c>
      <x:c r="C2611" s="45" t="n">
        <x:v>44461</x:v>
      </x:c>
      <x:c r="D2611" s="33" t="str">
        <x:v>FBI: Most Wanted</x:v>
      </x:c>
      <x:c r="E2611" s="33" t="str">
        <x:v>FBI</x:v>
      </x:c>
      <x:c r="F2611" s="33" t="str">
        <x:v>core</x:v>
      </x:c>
      <x:c r="G2611" s="50" t="n">
        <x:v>3</x:v>
      </x:c>
      <x:c r="H2611" s="50" t="n">
        <x:v>1</x:v>
      </x:c>
      <x:c r="I2611" s="44" t="str">
        <x:v>03.01</x:v>
      </x:c>
      <x:c r="J2611" s="33" t="str">
        <x:v>Exposed (II)</x:v>
      </x:c>
      <x:c r="K2611" s="33" t="str">
        <x:v>Crossover</x:v>
      </x:c>
      <x:c r="L2611" s="33" t="str">
        <x:v>FBI global crossover launch</x:v>
      </x:c>
      <x:c r="M2611" s="44" t="str">
        <x:v>2/3</x:v>
      </x:c>
      <x:c r="N2611" s="50" t="n">
        <x:v>42</x:v>
      </x:c>
      <x:c r="O2611" s="53" t="str">
        <x:v>A local FBI case involving two murdered women and a sea of powerful men turns into a manhunt for the dangerous leader of a far-reaching criminal enterprise.
The crossover starts on FBI S04E01 All That Glitters (I). It continues on FBI: International S01E01 Pilot (III).</x:v>
      </x:c>
      <x:c r="P2611" s="53" t="str">
        <x:v>Core FBI franchise</x:v>
      </x:c>
      <x:c r="Q2611" s="17" t="str">
        <x:v>5302179</x:v>
      </x:c>
      <x:c r="R2611" s="17" t="str">
        <x:v>tt13060418</x:v>
      </x:c>
      <x:c r="S2611" s="17" t="str">
        <x:v>https://one-chicago-fbi.fandom.com/wiki/Crossovers_and_Milestones</x:v>
      </x:c>
    </x:row>
    <x:row r="2612">
      <x:c r="A2612" s="43" t="n">
        <x:v>2608</x:v>
      </x:c>
      <x:c r="B2612" s="44" t="str">
        <x:v>Not Started</x:v>
      </x:c>
      <x:c r="C2612" s="45" t="n">
        <x:v>44461</x:v>
      </x:c>
      <x:c r="D2612" s="33" t="str">
        <x:v>FBI</x:v>
      </x:c>
      <x:c r="E2612" s="33" t="str">
        <x:v>FBI</x:v>
      </x:c>
      <x:c r="F2612" s="33" t="str">
        <x:v>core</x:v>
      </x:c>
      <x:c r="G2612" s="50" t="n">
        <x:v>4</x:v>
      </x:c>
      <x:c r="H2612" s="50" t="n">
        <x:v>1</x:v>
      </x:c>
      <x:c r="I2612" s="44" t="str">
        <x:v>04.01</x:v>
      </x:c>
      <x:c r="J2612" s="33" t="str">
        <x:v>All That Glitters (I)</x:v>
      </x:c>
      <x:c r="K2612" s="33" t="str">
        <x:v>Crossover</x:v>
      </x:c>
      <x:c r="L2612" s="33" t="str">
        <x:v>FBI global crossover launch</x:v>
      </x:c>
      <x:c r="M2612" s="44" t="str">
        <x:v>1/3</x:v>
      </x:c>
      <x:c r="N2612" s="50" t="n">
        <x:v>43</x:v>
      </x:c>
      <x:c r="O2612" s="53" t="str">
        <x:v>After a young woman is killed on her way home from a lavish yacht party, the team investigates who she was and how she came to be at the event, which was attended by some of the most influential people in the world. Also, Maggie brings Crosby into the investigation after a murder suspect is identified as a veteran who had been on several Army operations with Crosby.
The crossover continues on FBI: Most Wanted S03E01 Exposed (II) and FBI: International S01E01 Pilot (III).</x:v>
      </x:c>
      <x:c r="P2612" s="53" t="str">
        <x:v>Core FBI franchise</x:v>
      </x:c>
      <x:c r="Q2612" s="17" t="str">
        <x:v>5302183</x:v>
      </x:c>
      <x:c r="R2612" s="17" t="str">
        <x:v>tt14449440</x:v>
      </x:c>
      <x:c r="S2612" s="17" t="str">
        <x:v>https://one-chicago-fbi.fandom.com/wiki/Crossovers_and_Milestones</x:v>
      </x:c>
    </x:row>
    <x:row r="2613">
      <x:c r="A2613" s="43" t="n">
        <x:v>2609</x:v>
      </x:c>
      <x:c r="B2613" s="44" t="str">
        <x:v>Not Started</x:v>
      </x:c>
      <x:c r="C2613" s="45" t="n">
        <x:v>44462</x:v>
      </x:c>
      <x:c r="D2613" s="33" t="str">
        <x:v>Law &amp; Order: Organized Crime</x:v>
      </x:c>
      <x:c r="E2613" s="33" t="str">
        <x:v>Law &amp; Order</x:v>
      </x:c>
      <x:c r="F2613" s="33" t="str">
        <x:v>core</x:v>
      </x:c>
      <x:c r="G2613" s="50" t="n">
        <x:v>2</x:v>
      </x:c>
      <x:c r="H2613" s="50" t="n">
        <x:v>1</x:v>
      </x:c>
      <x:c r="I2613" s="44" t="str">
        <x:v>02.01</x:v>
      </x:c>
      <x:c r="J2613" s="33" t="str">
        <x:v>The Man with No Identity</x:v>
      </x:c>
      <x:c r="K2613" s="33" t="str"/>
      <x:c r="L2613" s="33" t="str"/>
      <x:c r="M2613" s="44" t="str"/>
      <x:c r="N2613" s="50" t="n">
        <x:v>41</x:v>
      </x:c>
      <x:c r="O2613" s="53" t="str">
        <x:v>After taking down Wheatley’s drug empire and discovering his wife’s killer, Det. Stabler must infiltrate a notorious crime family aiming to take over New York City’s cocaine trade. Sgt. Bell is forced to work with a rival colleague.</x:v>
      </x:c>
      <x:c r="P2613" s="53" t="str">
        <x:v>Core Law &amp; Order franchise</x:v>
      </x:c>
      <x:c r="Q2613" s="17" t="str">
        <x:v>5306664</x:v>
      </x:c>
      <x:c r="R2613" s="17" t="str">
        <x:v>tt14650306</x:v>
      </x:c>
      <x:c r="S2613" s="17" t="str">
        <x:v>1505</x:v>
      </x:c>
    </x:row>
    <x:row r="2614">
      <x:c r="A2614" s="43" t="n">
        <x:v>2610</x:v>
      </x:c>
      <x:c r="B2614" s="44" t="str">
        <x:v>Not Started</x:v>
      </x:c>
      <x:c r="C2614" s="45" t="n">
        <x:v>44462</x:v>
      </x:c>
      <x:c r="D2614" s="33" t="str">
        <x:v>Chicago Med</x:v>
      </x:c>
      <x:c r="E2614" s="33" t="str">
        <x:v>One Chicago</x:v>
      </x:c>
      <x:c r="F2614" s="33" t="str">
        <x:v>core</x:v>
      </x:c>
      <x:c r="G2614" s="50" t="n">
        <x:v>7</x:v>
      </x:c>
      <x:c r="H2614" s="50" t="n">
        <x:v>1</x:v>
      </x:c>
      <x:c r="I2614" s="44" t="str">
        <x:v>07.01</x:v>
      </x:c>
      <x:c r="J2614" s="33" t="str">
        <x:v>You Can't Always Trust What You See</x:v>
      </x:c>
      <x:c r="K2614" s="33" t="str"/>
      <x:c r="L2614" s="33" t="str"/>
      <x:c r="M2614" s="44" t="str"/>
      <x:c r="N2614" s="50" t="n">
        <x:v>42</x:v>
      </x:c>
      <x:c r="O2614" s="53" t="str">
        <x:v>Will Halstead returns to Med to help Goodwin with a secret investigation. Archer and Charles deal with twins who insist on being identical inside and out. Stevie and Dylan treat a young patient with sickle cell anemia.</x:v>
      </x:c>
      <x:c r="P2614" s="53" t="str">
        <x:v>Core One Chicago franchise</x:v>
      </x:c>
      <x:c r="Q2614" s="17" t="str">
        <x:v>5307515</x:v>
      </x:c>
      <x:c r="R2614" s="17" t="str">
        <x:v>tt11873128</x:v>
      </x:c>
      <x:c r="S2614" s="17" t="str"/>
    </x:row>
    <x:row r="2615">
      <x:c r="A2615" s="43" t="n">
        <x:v>2611</x:v>
      </x:c>
      <x:c r="B2615" s="44" t="str">
        <x:v>Not Started</x:v>
      </x:c>
      <x:c r="C2615" s="45" t="n">
        <x:v>44462</x:v>
      </x:c>
      <x:c r="D2615" s="33" t="str">
        <x:v>Chicago P.D.</x:v>
      </x:c>
      <x:c r="E2615" s="33" t="str">
        <x:v>One Chicago</x:v>
      </x:c>
      <x:c r="F2615" s="33" t="str">
        <x:v>core</x:v>
      </x:c>
      <x:c r="G2615" s="50" t="n">
        <x:v>9</x:v>
      </x:c>
      <x:c r="H2615" s="50" t="n">
        <x:v>1</x:v>
      </x:c>
      <x:c r="I2615" s="44" t="str">
        <x:v>09.01</x:v>
      </x:c>
      <x:c r="J2615" s="33" t="str">
        <x:v>Closure</x:v>
      </x:c>
      <x:c r="K2615" s="33" t="str"/>
      <x:c r="L2615" s="33" t="str"/>
      <x:c r="M2615" s="44" t="str"/>
      <x:c r="N2615" s="50" t="n">
        <x:v>42</x:v>
      </x:c>
      <x:c r="O2615" s="53" t="str">
        <x:v>When a P.D. informant is murdered, the team digs in to track down the perpetrator only to learn a shocking truth. Voight and Ruzek strategize to help Burgess.</x:v>
      </x:c>
      <x:c r="P2615" s="53" t="str">
        <x:v>Core One Chicago franchise; crossovers with SVU/FBI</x:v>
      </x:c>
      <x:c r="Q2615" s="17" t="str">
        <x:v>5321291</x:v>
      </x:c>
      <x:c r="R2615" s="17" t="str">
        <x:v>tt11873118</x:v>
      </x:c>
      <x:c r="S2615" s="17" t="str"/>
    </x:row>
    <x:row r="2616">
      <x:c r="A2616" s="43" t="n">
        <x:v>2612</x:v>
      </x:c>
      <x:c r="B2616" s="44" t="str">
        <x:v>Not Started</x:v>
      </x:c>
      <x:c r="C2616" s="45" t="n">
        <x:v>44462</x:v>
      </x:c>
      <x:c r="D2616" s="33" t="str">
        <x:v>Chicago Fire</x:v>
      </x:c>
      <x:c r="E2616" s="33" t="str">
        <x:v>One Chicago</x:v>
      </x:c>
      <x:c r="F2616" s="33" t="str">
        <x:v>core</x:v>
      </x:c>
      <x:c r="G2616" s="50" t="n">
        <x:v>10</x:v>
      </x:c>
      <x:c r="H2616" s="50" t="n">
        <x:v>1</x:v>
      </x:c>
      <x:c r="I2616" s="44" t="str">
        <x:v>10.01</x:v>
      </x:c>
      <x:c r="J2616" s="33" t="str">
        <x:v>Mayday</x:v>
      </x:c>
      <x:c r="K2616" s="33" t="str"/>
      <x:c r="L2616" s="33" t="str"/>
      <x:c r="M2616" s="44" t="str"/>
      <x:c r="N2616" s="50" t="n">
        <x:v>42</x:v>
      </x:c>
      <x:c r="O2616" s="53" t="str">
        <x:v>Firehouse 51 deals with the aftermath of the capsized boat rescue. Gallo, Ritter and Violet discuss plans for a side gig.</x:v>
      </x:c>
      <x:c r="P2616" s="53" t="str">
        <x:v>Core One Chicago franchise</x:v>
      </x:c>
      <x:c r="Q2616" s="17" t="str">
        <x:v>5307517</x:v>
      </x:c>
      <x:c r="R2616" s="17" t="str">
        <x:v>tt11873104</x:v>
      </x:c>
      <x:c r="S2616" s="17" t="str"/>
    </x:row>
    <x:row r="2617">
      <x:c r="A2617" s="43" t="n">
        <x:v>2613</x:v>
      </x:c>
      <x:c r="B2617" s="44" t="str">
        <x:v>Not Started</x:v>
      </x:c>
      <x:c r="C2617" s="45" t="n">
        <x:v>44462</x:v>
      </x:c>
      <x:c r="D2617" s="33" t="str">
        <x:v>Law &amp; Order: Special Victims Unit</x:v>
      </x:c>
      <x:c r="E2617" s="33" t="str">
        <x:v>Law &amp; Order</x:v>
      </x:c>
      <x:c r="F2617" s="33" t="str">
        <x:v>core</x:v>
      </x:c>
      <x:c r="G2617" s="50" t="n">
        <x:v>23</x:v>
      </x:c>
      <x:c r="H2617" s="50" t="n">
        <x:v>1</x:v>
      </x:c>
      <x:c r="I2617" s="44" t="str">
        <x:v>23.01</x:v>
      </x:c>
      <x:c r="J2617" s="33" t="str">
        <x:v>And the Empire Strikes Back</x:v>
      </x:c>
      <x:c r="K2617" s="33" t="str"/>
      <x:c r="L2617" s="33" t="str"/>
      <x:c r="M2617" s="44" t="str"/>
      <x:c r="N2617" s="50" t="n">
        <x:v>43</x:v>
      </x:c>
      <x:c r="O2617" s="53" t="str">
        <x:v>Benson's loyalty to Garland is tested. Rollins and Carisi try to keep their witnesses on board when a powerful congressman is identified as a suspect.</x:v>
      </x:c>
      <x:c r="P2617" s="53" t="str">
        <x:v>Core Law &amp; Order franchise</x:v>
      </x:c>
      <x:c r="Q2617" s="17" t="str">
        <x:v>5306666</x:v>
      </x:c>
      <x:c r="R2617" s="17" t="str">
        <x:v>tt11873144</x:v>
      </x:c>
      <x:c r="S2617" s="17" t="str">
        <x:v>1503</x:v>
      </x:c>
    </x:row>
    <x:row r="2618">
      <x:c r="A2618" s="43" t="n">
        <x:v>2614</x:v>
      </x:c>
      <x:c r="B2618" s="44" t="str">
        <x:v>Not Started</x:v>
      </x:c>
      <x:c r="C2618" s="45" t="n">
        <x:v>44462</x:v>
      </x:c>
      <x:c r="D2618" s="33" t="str">
        <x:v>Law &amp; Order: Special Victims Unit</x:v>
      </x:c>
      <x:c r="E2618" s="33" t="str">
        <x:v>Law &amp; Order</x:v>
      </x:c>
      <x:c r="F2618" s="33" t="str">
        <x:v>core</x:v>
      </x:c>
      <x:c r="G2618" s="50" t="n">
        <x:v>23</x:v>
      </x:c>
      <x:c r="H2618" s="50" t="n">
        <x:v>2</x:v>
      </x:c>
      <x:c r="I2618" s="44" t="str">
        <x:v>23.02</x:v>
      </x:c>
      <x:c r="J2618" s="33" t="str">
        <x:v>Never Turn Your Back on Them</x:v>
      </x:c>
      <x:c r="K2618" s="33" t="str"/>
      <x:c r="L2618" s="33" t="str"/>
      <x:c r="M2618" s="44" t="str"/>
      <x:c r="N2618" s="50" t="n">
        <x:v>43</x:v>
      </x:c>
      <x:c r="O2618" s="53" t="str">
        <x:v>The search for a missing witness leads Fin and Kat down a dangerous path. Chief McGrath puts pressure on Garland and Benson to get a conviction.</x:v>
      </x:c>
      <x:c r="P2618" s="53" t="str">
        <x:v>Core Law &amp; Order franchise</x:v>
      </x:c>
      <x:c r="Q2618" s="17" t="str">
        <x:v>5307529</x:v>
      </x:c>
      <x:c r="R2618" s="17" t="str">
        <x:v>tt13107606</x:v>
      </x:c>
      <x:c r="S2618" s="17" t="str">
        <x:v>1504</x:v>
      </x:c>
    </x:row>
    <x:row r="2619">
      <x:c r="A2619" s="43" t="n">
        <x:v>2615</x:v>
      </x:c>
      <x:c r="B2619" s="44" t="str">
        <x:v>Not Started</x:v>
      </x:c>
      <x:c r="C2619" s="45" t="n">
        <x:v>44468</x:v>
      </x:c>
      <x:c r="D2619" s="33" t="str">
        <x:v>FBI: International</x:v>
      </x:c>
      <x:c r="E2619" s="33" t="str">
        <x:v>FBI</x:v>
      </x:c>
      <x:c r="F2619" s="33" t="str">
        <x:v>core</x:v>
      </x:c>
      <x:c r="G2619" s="50" t="n">
        <x:v>1</x:v>
      </x:c>
      <x:c r="H2619" s="50" t="n">
        <x:v>2</x:v>
      </x:c>
      <x:c r="I2619" s="44" t="str">
        <x:v>01.02</x:v>
      </x:c>
      <x:c r="J2619" s="33" t="str">
        <x:v>The Edge</x:v>
      </x:c>
      <x:c r="K2619" s="33" t="str"/>
      <x:c r="L2619" s="33" t="str"/>
      <x:c r="M2619" s="44" t="str"/>
      <x:c r="N2619" s="50" t="n">
        <x:v>43</x:v>
      </x:c>
      <x:c r="O2619" s="53" t="str">
        <x:v>The International Fly Team is called on when a young mother flees to Hungary with her son, after losing partial custody of her son in the U.S. However, after the boy is kidnapped from his mother in broad daylight in Budapest, the team questions which parent is the danger in the child’s life</x:v>
      </x:c>
      <x:c r="P2619" s="53" t="str">
        <x:v>Core FBI franchise</x:v>
      </x:c>
      <x:c r="Q2619" s="17" t="str">
        <x:v>5302159</x:v>
      </x:c>
      <x:c r="R2619" s="17" t="str">
        <x:v>tt15433672</x:v>
      </x:c>
      <x:c r="S2619" s="17" t="str"/>
    </x:row>
    <x:row r="2620">
      <x:c r="A2620" s="43" t="n">
        <x:v>2616</x:v>
      </x:c>
      <x:c r="B2620" s="44" t="str">
        <x:v>Not Started</x:v>
      </x:c>
      <x:c r="C2620" s="45" t="n">
        <x:v>44468</x:v>
      </x:c>
      <x:c r="D2620" s="33" t="str">
        <x:v>FBI: Most Wanted</x:v>
      </x:c>
      <x:c r="E2620" s="33" t="str">
        <x:v>FBI</x:v>
      </x:c>
      <x:c r="F2620" s="33" t="str">
        <x:v>core</x:v>
      </x:c>
      <x:c r="G2620" s="50" t="n">
        <x:v>3</x:v>
      </x:c>
      <x:c r="H2620" s="50" t="n">
        <x:v>2</x:v>
      </x:c>
      <x:c r="I2620" s="44" t="str">
        <x:v>03.02</x:v>
      </x:c>
      <x:c r="J2620" s="33" t="str">
        <x:v>Patriots</x:v>
      </x:c>
      <x:c r="K2620" s="33" t="str"/>
      <x:c r="L2620" s="33" t="str"/>
      <x:c r="M2620" s="44" t="str"/>
      <x:c r="N2620" s="50" t="n">
        <x:v>43</x:v>
      </x:c>
      <x:c r="O2620" s="53" t="str">
        <x:v>New Fugitive Task Force member Kristin Gaines joins Jess and the team, as they head to D.C. to find a dangerous fugitive from the Jan. 6 Capitol riot</x:v>
      </x:c>
      <x:c r="P2620" s="53" t="str">
        <x:v>Core FBI franchise</x:v>
      </x:c>
      <x:c r="Q2620" s="17" t="str">
        <x:v>5302180</x:v>
      </x:c>
      <x:c r="R2620" s="17" t="str">
        <x:v>tt15433684</x:v>
      </x:c>
      <x:c r="S2620" s="17" t="str"/>
    </x:row>
    <x:row r="2621">
      <x:c r="A2621" s="43" t="n">
        <x:v>2617</x:v>
      </x:c>
      <x:c r="B2621" s="44" t="str">
        <x:v>Not Started</x:v>
      </x:c>
      <x:c r="C2621" s="45" t="n">
        <x:v>44468</x:v>
      </x:c>
      <x:c r="D2621" s="33" t="str">
        <x:v>FBI</x:v>
      </x:c>
      <x:c r="E2621" s="33" t="str">
        <x:v>FBI</x:v>
      </x:c>
      <x:c r="F2621" s="33" t="str">
        <x:v>core</x:v>
      </x:c>
      <x:c r="G2621" s="50" t="n">
        <x:v>4</x:v>
      </x:c>
      <x:c r="H2621" s="50" t="n">
        <x:v>2</x:v>
      </x:c>
      <x:c r="I2621" s="44" t="str">
        <x:v>04.02</x:v>
      </x:c>
      <x:c r="J2621" s="33" t="str">
        <x:v>Hacktivist</x:v>
      </x:c>
      <x:c r="K2621" s="33" t="str"/>
      <x:c r="L2621" s="33" t="str"/>
      <x:c r="M2621" s="44" t="str"/>
      <x:c r="N2621" s="50" t="n">
        <x:v>43</x:v>
      </x:c>
      <x:c r="O2621" s="53" t="str">
        <x:v>Maggie, OA and the team must stop a hacker who is disabling life-saving equipment in several New York City hospitals. Jubal's son waits for important surgery at one of the impacted hospitals.</x:v>
      </x:c>
      <x:c r="P2621" s="53" t="str">
        <x:v>Core FBI franchise</x:v>
      </x:c>
      <x:c r="Q2621" s="17" t="str">
        <x:v>5438335</x:v>
      </x:c>
      <x:c r="R2621" s="17" t="str">
        <x:v>tt14888372</x:v>
      </x:c>
      <x:c r="S2621" s="17" t="str"/>
    </x:row>
    <x:row r="2622">
      <x:c r="A2622" s="43" t="n">
        <x:v>2618</x:v>
      </x:c>
      <x:c r="B2622" s="44" t="str">
        <x:v>Not Started</x:v>
      </x:c>
      <x:c r="C2622" s="45" t="n">
        <x:v>44469</x:v>
      </x:c>
      <x:c r="D2622" s="33" t="str">
        <x:v>Law &amp; Order: Organized Crime</x:v>
      </x:c>
      <x:c r="E2622" s="33" t="str">
        <x:v>Law &amp; Order</x:v>
      </x:c>
      <x:c r="F2622" s="33" t="str">
        <x:v>core</x:v>
      </x:c>
      <x:c r="G2622" s="50" t="n">
        <x:v>2</x:v>
      </x:c>
      <x:c r="H2622" s="50" t="n">
        <x:v>2</x:v>
      </x:c>
      <x:c r="I2622" s="44" t="str">
        <x:v>02.02</x:v>
      </x:c>
      <x:c r="J2622" s="33" t="str">
        <x:v>New World Order</x:v>
      </x:c>
      <x:c r="K2622" s="33" t="str"/>
      <x:c r="L2622" s="33" t="str"/>
      <x:c r="M2622" s="44" t="str"/>
      <x:c r="N2622" s="50" t="n">
        <x:v>42</x:v>
      </x:c>
      <x:c r="O2622" s="53" t="str">
        <x:v>Stabler’s loyalty is put to the test at work and again at home when his mother unexpectedly shows up. Bell and Jet navigate the newly established joint task force.</x:v>
      </x:c>
      <x:c r="P2622" s="53" t="str">
        <x:v>Core Law &amp; Order franchise</x:v>
      </x:c>
      <x:c r="Q2622" s="17" t="str">
        <x:v>5308187</x:v>
      </x:c>
      <x:c r="R2622" s="17" t="str">
        <x:v>tt15053524</x:v>
      </x:c>
      <x:c r="S2622" s="17" t="str">
        <x:v>1507</x:v>
      </x:c>
    </x:row>
    <x:row r="2623">
      <x:c r="A2623" s="43" t="n">
        <x:v>2619</x:v>
      </x:c>
      <x:c r="B2623" s="44" t="str">
        <x:v>Not Started</x:v>
      </x:c>
      <x:c r="C2623" s="45" t="n">
        <x:v>44469</x:v>
      </x:c>
      <x:c r="D2623" s="33" t="str">
        <x:v>Law &amp; Order: Organized Crime</x:v>
      </x:c>
      <x:c r="E2623" s="33" t="str">
        <x:v>Law &amp; Order</x:v>
      </x:c>
      <x:c r="F2623" s="33" t="str">
        <x:v>core</x:v>
      </x:c>
      <x:c r="G2623" s="50" t="n">
        <x:v>2</x:v>
      </x:c>
      <x:c r="H2623" s="50" t="n">
        <x:v>3</x:v>
      </x:c>
      <x:c r="I2623" s="44" t="str">
        <x:v>02.03</x:v>
      </x:c>
      <x:c r="J2623" s="33" t="str">
        <x:v>The Outlaw Eddie Wagner</x:v>
      </x:c>
      <x:c r="K2623" s="33" t="str"/>
      <x:c r="L2623" s="33" t="str"/>
      <x:c r="M2623" s="44" t="str"/>
      <x:c r="N2623" s="50" t="n">
        <x:v>42</x:v>
      </x:c>
      <x:c r="O2623" s="53" t="str">
        <x:v>While Jet steps into the field to secure necessary intel for the team, Bell considers a proposition from Congressman Kilbride. Albi takes drastic measures to keep a secret safe. Stabler and Benson air some long-standing grievances.</x:v>
      </x:c>
      <x:c r="P2623" s="53" t="str">
        <x:v>Core Law &amp; Order franchise</x:v>
      </x:c>
      <x:c r="Q2623" s="17" t="str">
        <x:v>5308188</x:v>
      </x:c>
      <x:c r="R2623" s="17" t="str">
        <x:v>tt15053530</x:v>
      </x:c>
      <x:c r="S2623" s="17" t="str">
        <x:v>1508</x:v>
      </x:c>
    </x:row>
    <x:row r="2624">
      <x:c r="A2624" s="43" t="n">
        <x:v>2620</x:v>
      </x:c>
      <x:c r="B2624" s="44" t="str">
        <x:v>Not Started</x:v>
      </x:c>
      <x:c r="C2624" s="45" t="n">
        <x:v>44469</x:v>
      </x:c>
      <x:c r="D2624" s="33" t="str">
        <x:v>Chicago Med</x:v>
      </x:c>
      <x:c r="E2624" s="33" t="str">
        <x:v>One Chicago</x:v>
      </x:c>
      <x:c r="F2624" s="33" t="str">
        <x:v>core</x:v>
      </x:c>
      <x:c r="G2624" s="50" t="n">
        <x:v>7</x:v>
      </x:c>
      <x:c r="H2624" s="50" t="n">
        <x:v>2</x:v>
      </x:c>
      <x:c r="I2624" s="44" t="str">
        <x:v>07.02</x:v>
      </x:c>
      <x:c r="J2624" s="33" t="str">
        <x:v>To Lean In, or to Let Go</x:v>
      </x:c>
      <x:c r="K2624" s="33" t="str"/>
      <x:c r="L2624" s="33" t="str"/>
      <x:c r="M2624" s="44" t="str"/>
      <x:c r="N2624" s="50" t="n">
        <x:v>42</x:v>
      </x:c>
      <x:c r="O2624" s="53" t="str">
        <x:v>Vanessa and Archer disagree on how to handle the victim of a motorcycle accident. Dylan and Charles deal with a UNICEF negotiator with repressed trauma. Stevie and Will treat a high schooler with Addison's disease and a clingy mother.</x:v>
      </x:c>
      <x:c r="P2624" s="53" t="str">
        <x:v>Core One Chicago franchise</x:v>
      </x:c>
      <x:c r="Q2624" s="17" t="str">
        <x:v>5500654</x:v>
      </x:c>
      <x:c r="R2624" s="17" t="str">
        <x:v>tt15216492</x:v>
      </x:c>
      <x:c r="S2624" s="17" t="str"/>
    </x:row>
    <x:row r="2625">
      <x:c r="A2625" s="43" t="n">
        <x:v>2621</x:v>
      </x:c>
      <x:c r="B2625" s="44" t="str">
        <x:v>Not Started</x:v>
      </x:c>
      <x:c r="C2625" s="45" t="n">
        <x:v>44469</x:v>
      </x:c>
      <x:c r="D2625" s="33" t="str">
        <x:v>Chicago P.D.</x:v>
      </x:c>
      <x:c r="E2625" s="33" t="str">
        <x:v>One Chicago</x:v>
      </x:c>
      <x:c r="F2625" s="33" t="str">
        <x:v>core</x:v>
      </x:c>
      <x:c r="G2625" s="50" t="n">
        <x:v>9</x:v>
      </x:c>
      <x:c r="H2625" s="50" t="n">
        <x:v>2</x:v>
      </x:c>
      <x:c r="I2625" s="44" t="str">
        <x:v>09.02</x:v>
      </x:c>
      <x:c r="J2625" s="33" t="str">
        <x:v>Rage</x:v>
      </x:c>
      <x:c r="K2625" s="33" t="str"/>
      <x:c r="L2625" s="33" t="str"/>
      <x:c r="M2625" s="44" t="str"/>
      <x:c r="N2625" s="50" t="n">
        <x:v>43</x:v>
      </x:c>
      <x:c r="O2625" s="53" t="str">
        <x:v>Officer Kim Burgess fights for her life as the team scrambles to find her kidnapper. Dep. Supt. Sam Miller is desperate to find her son's killer. Voight and Upton deal with the aftermath of their deadly decision. Ruzek struggles with the pressure of the situation.</x:v>
      </x:c>
      <x:c r="P2625" s="53" t="str">
        <x:v>Core One Chicago franchise; crossovers with SVU/FBI</x:v>
      </x:c>
      <x:c r="Q2625" s="17" t="str">
        <x:v>5500056</x:v>
      </x:c>
      <x:c r="R2625" s="17" t="str">
        <x:v>tt15303700</x:v>
      </x:c>
      <x:c r="S2625" s="17" t="str"/>
    </x:row>
    <x:row r="2626">
      <x:c r="A2626" s="43" t="n">
        <x:v>2622</x:v>
      </x:c>
      <x:c r="B2626" s="44" t="str">
        <x:v>Not Started</x:v>
      </x:c>
      <x:c r="C2626" s="45" t="n">
        <x:v>44469</x:v>
      </x:c>
      <x:c r="D2626" s="33" t="str">
        <x:v>Chicago Fire</x:v>
      </x:c>
      <x:c r="E2626" s="33" t="str">
        <x:v>One Chicago</x:v>
      </x:c>
      <x:c r="F2626" s="33" t="str">
        <x:v>core</x:v>
      </x:c>
      <x:c r="G2626" s="50" t="n">
        <x:v>10</x:v>
      </x:c>
      <x:c r="H2626" s="50" t="n">
        <x:v>2</x:v>
      </x:c>
      <x:c r="I2626" s="44" t="str">
        <x:v>10.02</x:v>
      </x:c>
      <x:c r="J2626" s="33" t="str">
        <x:v>Head Count</x:v>
      </x:c>
      <x:c r="K2626" s="33" t="str"/>
      <x:c r="L2626" s="33" t="str"/>
      <x:c r="M2626" s="44" t="str"/>
      <x:c r="N2626" s="50" t="n">
        <x:v>42</x:v>
      </x:c>
      <x:c r="O2626" s="53" t="str">
        <x:v>A video of Casey from the roof rescue goes viral. Mouch sets up a Little Free Library at Firehouse 51. Herrmann breaks protocol.</x:v>
      </x:c>
      <x:c r="P2626" s="53" t="str">
        <x:v>Core One Chicago franchise</x:v>
      </x:c>
      <x:c r="Q2626" s="17" t="str">
        <x:v>5500367</x:v>
      </x:c>
      <x:c r="R2626" s="17" t="str">
        <x:v>tt15326192</x:v>
      </x:c>
      <x:c r="S2626" s="17" t="str"/>
    </x:row>
    <x:row r="2627">
      <x:c r="A2627" s="43" t="n">
        <x:v>2623</x:v>
      </x:c>
      <x:c r="B2627" s="44" t="str">
        <x:v>Not Started</x:v>
      </x:c>
      <x:c r="C2627" s="45" t="n">
        <x:v>44469</x:v>
      </x:c>
      <x:c r="D2627" s="33" t="str">
        <x:v>Law &amp; Order: Special Victims Unit</x:v>
      </x:c>
      <x:c r="E2627" s="33" t="str">
        <x:v>Law &amp; Order</x:v>
      </x:c>
      <x:c r="F2627" s="33" t="str">
        <x:v>core</x:v>
      </x:c>
      <x:c r="G2627" s="50" t="n">
        <x:v>23</x:v>
      </x:c>
      <x:c r="H2627" s="50" t="n">
        <x:v>3</x:v>
      </x:c>
      <x:c r="I2627" s="44" t="str">
        <x:v>23.03</x:v>
      </x:c>
      <x:c r="J2627" s="33" t="str">
        <x:v>I Thought You Were on My Side</x:v>
      </x:c>
      <x:c r="K2627" s="33" t="str"/>
      <x:c r="L2627" s="33" t="str"/>
      <x:c r="M2627" s="44" t="str"/>
      <x:c r="N2627" s="50" t="n">
        <x:v>43</x:v>
      </x:c>
      <x:c r="O2627" s="53" t="str">
        <x:v>Benson and Rollins must contend with the FBI and the Organized Crime bureau when a rape victim identifies a dangerous mobster as her assailant.</x:v>
      </x:c>
      <x:c r="P2627" s="53" t="str">
        <x:v>Core Law &amp; Order franchise</x:v>
      </x:c>
      <x:c r="Q2627" s="17" t="str">
        <x:v>5307530</x:v>
      </x:c>
      <x:c r="R2627" s="17" t="str">
        <x:v>tt13107614</x:v>
      </x:c>
      <x:c r="S2627" s="17" t="str">
        <x:v>1506</x:v>
      </x:c>
    </x:row>
    <x:row r="2628">
      <x:c r="A2628" s="43" t="n">
        <x:v>2624</x:v>
      </x:c>
      <x:c r="B2628" s="44" t="str">
        <x:v>Not Started</x:v>
      </x:c>
      <x:c r="C2628" s="45" t="n">
        <x:v>44475</x:v>
      </x:c>
      <x:c r="D2628" s="33" t="str">
        <x:v>FBI: International</x:v>
      </x:c>
      <x:c r="E2628" s="33" t="str">
        <x:v>FBI</x:v>
      </x:c>
      <x:c r="F2628" s="33" t="str">
        <x:v>core</x:v>
      </x:c>
      <x:c r="G2628" s="50" t="n">
        <x:v>1</x:v>
      </x:c>
      <x:c r="H2628" s="50" t="n">
        <x:v>3</x:v>
      </x:c>
      <x:c r="I2628" s="44" t="str">
        <x:v>01.03</x:v>
      </x:c>
      <x:c r="J2628" s="33" t="str">
        <x:v>Secrets as Weapons</x:v>
      </x:c>
      <x:c r="K2628" s="33" t="str"/>
      <x:c r="L2628" s="33" t="str"/>
      <x:c r="M2628" s="44" t="str"/>
      <x:c r="N2628" s="50" t="n">
        <x:v>43</x:v>
      </x:c>
      <x:c r="O2628" s="53" t="str">
        <x:v>The team investigates when the hijacking of millions worth of cryptocurrency en route to a safety vault in Switzerland leaves an American transporter dead and another on the run.</x:v>
      </x:c>
      <x:c r="P2628" s="53" t="str">
        <x:v>Core FBI franchise</x:v>
      </x:c>
      <x:c r="Q2628" s="17" t="str">
        <x:v>5544385</x:v>
      </x:c>
      <x:c r="R2628" s="17" t="str">
        <x:v>tt15478050</x:v>
      </x:c>
      <x:c r="S2628" s="17" t="str"/>
    </x:row>
    <x:row r="2629">
      <x:c r="A2629" s="43" t="n">
        <x:v>2625</x:v>
      </x:c>
      <x:c r="B2629" s="44" t="str">
        <x:v>Not Started</x:v>
      </x:c>
      <x:c r="C2629" s="45" t="n">
        <x:v>44475</x:v>
      </x:c>
      <x:c r="D2629" s="33" t="str">
        <x:v>FBI: Most Wanted</x:v>
      </x:c>
      <x:c r="E2629" s="33" t="str">
        <x:v>FBI</x:v>
      </x:c>
      <x:c r="F2629" s="33" t="str">
        <x:v>core</x:v>
      </x:c>
      <x:c r="G2629" s="50" t="n">
        <x:v>3</x:v>
      </x:c>
      <x:c r="H2629" s="50" t="n">
        <x:v>3</x:v>
      </x:c>
      <x:c r="I2629" s="44" t="str">
        <x:v>03.03</x:v>
      </x:c>
      <x:c r="J2629" s="33" t="str">
        <x:v>Tough Love</x:v>
      </x:c>
      <x:c r="K2629" s="33" t="str"/>
      <x:c r="L2629" s="33" t="str"/>
      <x:c r="M2629" s="44" t="str"/>
      <x:c r="N2629" s="50" t="n">
        <x:v>43</x:v>
      </x:c>
      <x:c r="O2629" s="53" t="str">
        <x:v>When a judge known for serving harsh sentences to juveniles is murdered, the team looks into his lengthy list of cases in the hunt for his killer. Also, Kristin faces family hurdles while resettling with her teenage daughter in New York City.</x:v>
      </x:c>
      <x:c r="P2629" s="53" t="str">
        <x:v>Core FBI franchise</x:v>
      </x:c>
      <x:c r="Q2629" s="17" t="str">
        <x:v>5543597</x:v>
      </x:c>
      <x:c r="R2629" s="17" t="str">
        <x:v>tt15478068</x:v>
      </x:c>
      <x:c r="S2629" s="17" t="str"/>
    </x:row>
    <x:row r="2630">
      <x:c r="A2630" s="43" t="n">
        <x:v>2626</x:v>
      </x:c>
      <x:c r="B2630" s="44" t="str">
        <x:v>Not Started</x:v>
      </x:c>
      <x:c r="C2630" s="45" t="n">
        <x:v>44475</x:v>
      </x:c>
      <x:c r="D2630" s="33" t="str">
        <x:v>FBI</x:v>
      </x:c>
      <x:c r="E2630" s="33" t="str">
        <x:v>FBI</x:v>
      </x:c>
      <x:c r="F2630" s="33" t="str">
        <x:v>core</x:v>
      </x:c>
      <x:c r="G2630" s="50" t="n">
        <x:v>4</x:v>
      </x:c>
      <x:c r="H2630" s="50" t="n">
        <x:v>3</x:v>
      </x:c>
      <x:c r="I2630" s="44" t="str">
        <x:v>04.03</x:v>
      </x:c>
      <x:c r="J2630" s="33" t="str">
        <x:v>Trauma</x:v>
      </x:c>
      <x:c r="K2630" s="33" t="str"/>
      <x:c r="L2630" s="33" t="str"/>
      <x:c r="M2630" s="44" t="str"/>
      <x:c r="N2630" s="50" t="n">
        <x:v>42</x:v>
      </x:c>
      <x:c r="O2630" s="53" t="str">
        <x:v>The team finds a connection between bombings and a private veterans' club in New York City; Isobel tells a reluctant OA to recruit a former Army buddy for intel.</x:v>
      </x:c>
      <x:c r="P2630" s="53" t="str">
        <x:v>Core FBI franchise</x:v>
      </x:c>
      <x:c r="Q2630" s="17" t="str">
        <x:v>5544547</x:v>
      </x:c>
      <x:c r="R2630" s="17" t="str">
        <x:v>tt14898736</x:v>
      </x:c>
      <x:c r="S2630" s="17" t="str"/>
    </x:row>
    <x:row r="2631">
      <x:c r="A2631" s="43" t="n">
        <x:v>2627</x:v>
      </x:c>
      <x:c r="B2631" s="44" t="str">
        <x:v>Not Started</x:v>
      </x:c>
      <x:c r="C2631" s="45" t="n">
        <x:v>44476</x:v>
      </x:c>
      <x:c r="D2631" s="33" t="str">
        <x:v>Law &amp; Order: Organized Crime</x:v>
      </x:c>
      <x:c r="E2631" s="33" t="str">
        <x:v>Law &amp; Order</x:v>
      </x:c>
      <x:c r="F2631" s="33" t="str">
        <x:v>core</x:v>
      </x:c>
      <x:c r="G2631" s="50" t="n">
        <x:v>2</x:v>
      </x:c>
      <x:c r="H2631" s="50" t="n">
        <x:v>4</x:v>
      </x:c>
      <x:c r="I2631" s="44" t="str">
        <x:v>02.04</x:v>
      </x:c>
      <x:c r="J2631" s="33" t="str">
        <x:v>For a Few Lekë More</x:v>
      </x:c>
      <x:c r="K2631" s="33" t="str"/>
      <x:c r="L2631" s="33" t="str"/>
      <x:c r="M2631" s="44" t="str"/>
      <x:c r="N2631" s="50" t="n">
        <x:v>42</x:v>
      </x:c>
      <x:c r="O2631" s="53" t="str">
        <x:v>Stabler must face the music after crossing a dangerous line with Kosta. Bell and Jet devise a plan to secure intel from every criminal organization in the city. Flutura presents an invitation that’s too valuable to refuse.</x:v>
      </x:c>
      <x:c r="P2631" s="53" t="str">
        <x:v>Core Law &amp; Order franchise</x:v>
      </x:c>
      <x:c r="Q2631" s="17" t="str">
        <x:v>5528886</x:v>
      </x:c>
      <x:c r="R2631" s="17" t="str">
        <x:v>tt15244746</x:v>
      </x:c>
      <x:c r="S2631" s="17" t="str">
        <x:v>1510</x:v>
      </x:c>
    </x:row>
    <x:row r="2632">
      <x:c r="A2632" s="43" t="n">
        <x:v>2628</x:v>
      </x:c>
      <x:c r="B2632" s="44" t="str">
        <x:v>Not Started</x:v>
      </x:c>
      <x:c r="C2632" s="45" t="n">
        <x:v>44476</x:v>
      </x:c>
      <x:c r="D2632" s="33" t="str">
        <x:v>Chicago Med</x:v>
      </x:c>
      <x:c r="E2632" s="33" t="str">
        <x:v>One Chicago</x:v>
      </x:c>
      <x:c r="F2632" s="33" t="str">
        <x:v>core</x:v>
      </x:c>
      <x:c r="G2632" s="50" t="n">
        <x:v>7</x:v>
      </x:c>
      <x:c r="H2632" s="50" t="n">
        <x:v>3</x:v>
      </x:c>
      <x:c r="I2632" s="44" t="str">
        <x:v>07.03</x:v>
      </x:c>
      <x:c r="J2632" s="33" t="str">
        <x:v>Be the Change You Want to See</x:v>
      </x:c>
      <x:c r="K2632" s="33" t="str"/>
      <x:c r="L2632" s="33" t="str"/>
      <x:c r="M2632" s="44" t="str"/>
      <x:c r="N2632" s="50" t="n">
        <x:v>42</x:v>
      </x:c>
      <x:c r="O2632" s="53" t="str">
        <x:v>Dylan and Will deal with a dishonest patient whose lupus is in remission. A wealthy donor makes inappropriate advances toward Stevie. Vanessa, Crockett and Charles try to convince a young woman to have life-saving surgery.</x:v>
      </x:c>
      <x:c r="P2632" s="53" t="str">
        <x:v>Core One Chicago franchise</x:v>
      </x:c>
      <x:c r="Q2632" s="17" t="str">
        <x:v>5526333</x:v>
      </x:c>
      <x:c r="R2632" s="17" t="str">
        <x:v>tt15469076</x:v>
      </x:c>
      <x:c r="S2632" s="17" t="str"/>
    </x:row>
    <x:row r="2633">
      <x:c r="A2633" s="43" t="n">
        <x:v>2629</x:v>
      </x:c>
      <x:c r="B2633" s="44" t="str">
        <x:v>Not Started</x:v>
      </x:c>
      <x:c r="C2633" s="45" t="n">
        <x:v>44476</x:v>
      </x:c>
      <x:c r="D2633" s="33" t="str">
        <x:v>Chicago P.D.</x:v>
      </x:c>
      <x:c r="E2633" s="33" t="str">
        <x:v>One Chicago</x:v>
      </x:c>
      <x:c r="F2633" s="33" t="str">
        <x:v>core</x:v>
      </x:c>
      <x:c r="G2633" s="50" t="n">
        <x:v>9</x:v>
      </x:c>
      <x:c r="H2633" s="50" t="n">
        <x:v>3</x:v>
      </x:c>
      <x:c r="I2633" s="44" t="str">
        <x:v>09.03</x:v>
      </x:c>
      <x:c r="J2633" s="33" t="str">
        <x:v>The One Next to Me</x:v>
      </x:c>
      <x:c r="K2633" s="33" t="str"/>
      <x:c r="L2633" s="33" t="str"/>
      <x:c r="M2633" s="44" t="str"/>
      <x:c r="N2633" s="50" t="n">
        <x:v>43</x:v>
      </x:c>
      <x:c r="O2633" s="53" t="str">
        <x:v>Halstead’s past resurfaces when a former Army colleague is implicated in a deadly blast. As the FBI launches an investigation into Roy’s disappearance, Upton feels the pressure of the secret she and Voight are sharing.</x:v>
      </x:c>
      <x:c r="P2633" s="53" t="str">
        <x:v>Core One Chicago franchise; crossovers with SVU/FBI</x:v>
      </x:c>
      <x:c r="Q2633" s="17" t="str">
        <x:v>5527568</x:v>
      </x:c>
      <x:c r="R2633" s="17" t="str">
        <x:v>tt15326218</x:v>
      </x:c>
      <x:c r="S2633" s="17" t="str"/>
    </x:row>
    <x:row r="2634">
      <x:c r="A2634" s="43" t="n">
        <x:v>2630</x:v>
      </x:c>
      <x:c r="B2634" s="44" t="str">
        <x:v>Not Started</x:v>
      </x:c>
      <x:c r="C2634" s="45" t="n">
        <x:v>44476</x:v>
      </x:c>
      <x:c r="D2634" s="33" t="str">
        <x:v>Chicago Fire</x:v>
      </x:c>
      <x:c r="E2634" s="33" t="str">
        <x:v>One Chicago</x:v>
      </x:c>
      <x:c r="F2634" s="33" t="str">
        <x:v>core</x:v>
      </x:c>
      <x:c r="G2634" s="50" t="n">
        <x:v>10</x:v>
      </x:c>
      <x:c r="H2634" s="50" t="n">
        <x:v>3</x:v>
      </x:c>
      <x:c r="I2634" s="44" t="str">
        <x:v>10.03</x:v>
      </x:c>
      <x:c r="J2634" s="33" t="str">
        <x:v>Counting Your Breaths</x:v>
      </x:c>
      <x:c r="K2634" s="33" t="str"/>
      <x:c r="L2634" s="33" t="str"/>
      <x:c r="M2634" s="44" t="str"/>
      <x:c r="N2634" s="50" t="n">
        <x:v>42</x:v>
      </x:c>
      <x:c r="O2634" s="53" t="str">
        <x:v>Griffin learns the truth about his father’s death and reveals why he really came to visit Casey. Gallo, Ritter and Violet take steps to expand their microbrewery business.</x:v>
      </x:c>
      <x:c r="P2634" s="53" t="str">
        <x:v>Core One Chicago franchise</x:v>
      </x:c>
      <x:c r="Q2634" s="17" t="str">
        <x:v>5522385</x:v>
      </x:c>
      <x:c r="R2634" s="17" t="str">
        <x:v>tt15326198</x:v>
      </x:c>
      <x:c r="S2634" s="17" t="str"/>
    </x:row>
    <x:row r="2635">
      <x:c r="A2635" s="43" t="n">
        <x:v>2631</x:v>
      </x:c>
      <x:c r="B2635" s="44" t="str">
        <x:v>Not Started</x:v>
      </x:c>
      <x:c r="C2635" s="45" t="n">
        <x:v>44476</x:v>
      </x:c>
      <x:c r="D2635" s="33" t="str">
        <x:v>Law &amp; Order: Special Victims Unit</x:v>
      </x:c>
      <x:c r="E2635" s="33" t="str">
        <x:v>Law &amp; Order</x:v>
      </x:c>
      <x:c r="F2635" s="33" t="str">
        <x:v>core</x:v>
      </x:c>
      <x:c r="G2635" s="50" t="n">
        <x:v>23</x:v>
      </x:c>
      <x:c r="H2635" s="50" t="n">
        <x:v>4</x:v>
      </x:c>
      <x:c r="I2635" s="44" t="str">
        <x:v>23.04</x:v>
      </x:c>
      <x:c r="J2635" s="33" t="str">
        <x:v>One More Tale of Two Victims</x:v>
      </x:c>
      <x:c r="K2635" s="33" t="str"/>
      <x:c r="L2635" s="33" t="str"/>
      <x:c r="M2635" s="44" t="str"/>
      <x:c r="N2635" s="50" t="n">
        <x:v>43</x:v>
      </x:c>
      <x:c r="O2635" s="53" t="str">
        <x:v>The SVU searches for a serial rapist who preys on mothers with young children. Benson and Fin struggle under the tightened reins of Chief McGrath.</x:v>
      </x:c>
      <x:c r="P2635" s="53" t="str">
        <x:v>Core Law &amp; Order franchise</x:v>
      </x:c>
      <x:c r="Q2635" s="17" t="str">
        <x:v>5521519</x:v>
      </x:c>
      <x:c r="R2635" s="17" t="str">
        <x:v>tt13107616</x:v>
      </x:c>
      <x:c r="S2635" s="17" t="str">
        <x:v>1509</x:v>
      </x:c>
    </x:row>
    <x:row r="2636">
      <x:c r="A2636" s="43" t="n">
        <x:v>2632</x:v>
      </x:c>
      <x:c r="B2636" s="44" t="str">
        <x:v>Not Started</x:v>
      </x:c>
      <x:c r="C2636" s="45" t="n">
        <x:v>44482</x:v>
      </x:c>
      <x:c r="D2636" s="33" t="str">
        <x:v>FBI: International</x:v>
      </x:c>
      <x:c r="E2636" s="33" t="str">
        <x:v>FBI</x:v>
      </x:c>
      <x:c r="F2636" s="33" t="str">
        <x:v>core</x:v>
      </x:c>
      <x:c r="G2636" s="50" t="n">
        <x:v>1</x:v>
      </x:c>
      <x:c r="H2636" s="50" t="n">
        <x:v>4</x:v>
      </x:c>
      <x:c r="I2636" s="44" t="str">
        <x:v>01.04</x:v>
      </x:c>
      <x:c r="J2636" s="33" t="str">
        <x:v>American Optimism</x:v>
      </x:c>
      <x:c r="K2636" s="33" t="str"/>
      <x:c r="L2636" s="33" t="str"/>
      <x:c r="M2636" s="44" t="str"/>
      <x:c r="N2636" s="50" t="n">
        <x:v>43</x:v>
      </x:c>
      <x:c r="O2636" s="53" t="str">
        <x:v>The team investigates an American citizen who is proclaiming his innocence after seeking sanctuary at Madrid’s U.S. embassy while still covered in the blood of his murdered Spanish boyfriend. Also, Vo and Raines continue to grow their friendship.</x:v>
      </x:c>
      <x:c r="P2636" s="53" t="str">
        <x:v>Core FBI franchise</x:v>
      </x:c>
      <x:c r="Q2636" s="17" t="str">
        <x:v>5551320</x:v>
      </x:c>
      <x:c r="R2636" s="17" t="str">
        <x:v>tt15478056</x:v>
      </x:c>
      <x:c r="S2636" s="17" t="str"/>
    </x:row>
    <x:row r="2637">
      <x:c r="A2637" s="43" t="n">
        <x:v>2633</x:v>
      </x:c>
      <x:c r="B2637" s="44" t="str">
        <x:v>Not Started</x:v>
      </x:c>
      <x:c r="C2637" s="45" t="n">
        <x:v>44482</x:v>
      </x:c>
      <x:c r="D2637" s="33" t="str">
        <x:v>FBI: Most Wanted</x:v>
      </x:c>
      <x:c r="E2637" s="33" t="str">
        <x:v>FBI</x:v>
      </x:c>
      <x:c r="F2637" s="33" t="str">
        <x:v>core</x:v>
      </x:c>
      <x:c r="G2637" s="50" t="n">
        <x:v>3</x:v>
      </x:c>
      <x:c r="H2637" s="50" t="n">
        <x:v>4</x:v>
      </x:c>
      <x:c r="I2637" s="44" t="str">
        <x:v>03.04</x:v>
      </x:c>
      <x:c r="J2637" s="33" t="str">
        <x:v>Inherited</x:v>
      </x:c>
      <x:c r="K2637" s="33" t="str"/>
      <x:c r="L2637" s="33" t="str"/>
      <x:c r="M2637" s="44" t="str"/>
      <x:c r="N2637" s="50" t="n">
        <x:v>43</x:v>
      </x:c>
      <x:c r="O2637" s="53" t="str">
        <x:v>The team must determine if the kidnapping of a young Chinese-American woman is a random hate crime or if she was specifically targeted, in order to find her. Also, Jess and Sarah struggle with Tali’s continued rebellious streak.</x:v>
      </x:c>
      <x:c r="P2637" s="53" t="str">
        <x:v>Core FBI franchise</x:v>
      </x:c>
      <x:c r="Q2637" s="17" t="str">
        <x:v>5576822</x:v>
      </x:c>
      <x:c r="R2637" s="17" t="str">
        <x:v>tt15478076</x:v>
      </x:c>
      <x:c r="S2637" s="17" t="str"/>
    </x:row>
    <x:row r="2638">
      <x:c r="A2638" s="43" t="n">
        <x:v>2634</x:v>
      </x:c>
      <x:c r="B2638" s="44" t="str">
        <x:v>Not Started</x:v>
      </x:c>
      <x:c r="C2638" s="45" t="n">
        <x:v>44482</x:v>
      </x:c>
      <x:c r="D2638" s="33" t="str">
        <x:v>FBI</x:v>
      </x:c>
      <x:c r="E2638" s="33" t="str">
        <x:v>FBI</x:v>
      </x:c>
      <x:c r="F2638" s="33" t="str">
        <x:v>core</x:v>
      </x:c>
      <x:c r="G2638" s="50" t="n">
        <x:v>4</x:v>
      </x:c>
      <x:c r="H2638" s="50" t="n">
        <x:v>4</x:v>
      </x:c>
      <x:c r="I2638" s="44" t="str">
        <x:v>04.04</x:v>
      </x:c>
      <x:c r="J2638" s="33" t="str">
        <x:v>Know Thyself</x:v>
      </x:c>
      <x:c r="K2638" s="33" t="str"/>
      <x:c r="L2638" s="33" t="str"/>
      <x:c r="M2638" s="44" t="str"/>
      <x:c r="N2638" s="50" t="n">
        <x:v>41</x:v>
      </x:c>
      <x:c r="O2638" s="53" t="str">
        <x:v>The team hunts for a serial killer who is targeting young, homeless men. Also, Tiffany and Scola don’t see eye to eye on how to handle the case or the difference between partners and co-workers.</x:v>
      </x:c>
      <x:c r="P2638" s="53" t="str">
        <x:v>Core FBI franchise</x:v>
      </x:c>
      <x:c r="Q2638" s="17" t="str">
        <x:v>5573467</x:v>
      </x:c>
      <x:c r="R2638" s="17" t="str">
        <x:v>tt14898738</x:v>
      </x:c>
      <x:c r="S2638" s="17" t="str"/>
    </x:row>
    <x:row r="2639">
      <x:c r="A2639" s="43" t="n">
        <x:v>2635</x:v>
      </x:c>
      <x:c r="B2639" s="44" t="str">
        <x:v>Not Started</x:v>
      </x:c>
      <x:c r="C2639" s="45" t="n">
        <x:v>44483</x:v>
      </x:c>
      <x:c r="D2639" s="33" t="str">
        <x:v>Law &amp; Order: Organized Crime</x:v>
      </x:c>
      <x:c r="E2639" s="33" t="str">
        <x:v>Law &amp; Order</x:v>
      </x:c>
      <x:c r="F2639" s="33" t="str">
        <x:v>core</x:v>
      </x:c>
      <x:c r="G2639" s="50" t="n">
        <x:v>2</x:v>
      </x:c>
      <x:c r="H2639" s="50" t="n">
        <x:v>5</x:v>
      </x:c>
      <x:c r="I2639" s="44" t="str">
        <x:v>02.05</x:v>
      </x:c>
      <x:c r="J2639" s="33" t="str">
        <x:v>The Good, The Bad and the Lovely</x:v>
      </x:c>
      <x:c r="K2639" s="33" t="str"/>
      <x:c r="L2639" s="33" t="str"/>
      <x:c r="M2639" s="44" t="str"/>
      <x:c r="N2639" s="50" t="n">
        <x:v>42</x:v>
      </x:c>
      <x:c r="O2639" s="53" t="str">
        <x:v>Stabler discovers Flutura’s true role in the family business. Bell asks a favor from Kilbride to move her case forward. Bernadette and Eli adjust to their new living situation.</x:v>
      </x:c>
      <x:c r="P2639" s="53" t="str">
        <x:v>Core Law &amp; Order franchise</x:v>
      </x:c>
      <x:c r="Q2639" s="17" t="str">
        <x:v>5567802</x:v>
      </x:c>
      <x:c r="R2639" s="17" t="str">
        <x:v>tt15535836</x:v>
      </x:c>
      <x:c r="S2639" s="17" t="str">
        <x:v>1512</x:v>
      </x:c>
    </x:row>
    <x:row r="2640">
      <x:c r="A2640" s="43" t="n">
        <x:v>2636</x:v>
      </x:c>
      <x:c r="B2640" s="44" t="str">
        <x:v>Not Started</x:v>
      </x:c>
      <x:c r="C2640" s="45" t="n">
        <x:v>44483</x:v>
      </x:c>
      <x:c r="D2640" s="33" t="str">
        <x:v>Chicago Med</x:v>
      </x:c>
      <x:c r="E2640" s="33" t="str">
        <x:v>One Chicago</x:v>
      </x:c>
      <x:c r="F2640" s="33" t="str">
        <x:v>core</x:v>
      </x:c>
      <x:c r="G2640" s="50" t="n">
        <x:v>7</x:v>
      </x:c>
      <x:c r="H2640" s="50" t="n">
        <x:v>4</x:v>
      </x:c>
      <x:c r="I2640" s="44" t="str">
        <x:v>07.04</x:v>
      </x:c>
      <x:c r="J2640" s="33" t="str">
        <x:v>Status Quo, aka the Mess We're In</x:v>
      </x:c>
      <x:c r="K2640" s="33" t="str"/>
      <x:c r="L2640" s="33" t="str"/>
      <x:c r="M2640" s="44" t="str"/>
      <x:c r="N2640" s="50" t="n">
        <x:v>42</x:v>
      </x:c>
      <x:c r="O2640" s="53" t="str">
        <x:v>Charles helps Dylan with a longtime patient who was recently diagnosed with schizophrenia. Stevie, Maggie and Vanessa investigate the legitimacy of a patient’s cancer diagnosis. Crockett is caught off-guard. Will pitches a new medical technology.</x:v>
      </x:c>
      <x:c r="P2640" s="53" t="str">
        <x:v>Core One Chicago franchise</x:v>
      </x:c>
      <x:c r="Q2640" s="17" t="str">
        <x:v>5571512</x:v>
      </x:c>
      <x:c r="R2640" s="17" t="str">
        <x:v>tt15514078</x:v>
      </x:c>
      <x:c r="S2640" s="17" t="str"/>
    </x:row>
    <x:row r="2641">
      <x:c r="A2641" s="43" t="n">
        <x:v>2637</x:v>
      </x:c>
      <x:c r="B2641" s="44" t="str">
        <x:v>Not Started</x:v>
      </x:c>
      <x:c r="C2641" s="45" t="n">
        <x:v>44483</x:v>
      </x:c>
      <x:c r="D2641" s="33" t="str">
        <x:v>Chicago P.D.</x:v>
      </x:c>
      <x:c r="E2641" s="33" t="str">
        <x:v>One Chicago</x:v>
      </x:c>
      <x:c r="F2641" s="33" t="str">
        <x:v>core</x:v>
      </x:c>
      <x:c r="G2641" s="50" t="n">
        <x:v>9</x:v>
      </x:c>
      <x:c r="H2641" s="50" t="n">
        <x:v>4</x:v>
      </x:c>
      <x:c r="I2641" s="44" t="str">
        <x:v>09.04</x:v>
      </x:c>
      <x:c r="J2641" s="33" t="str">
        <x:v>In the Dark</x:v>
      </x:c>
      <x:c r="K2641" s="33" t="str"/>
      <x:c r="L2641" s="33" t="str"/>
      <x:c r="M2641" s="44" t="str"/>
      <x:c r="N2641" s="50" t="n">
        <x:v>43</x:v>
      </x:c>
      <x:c r="O2641" s="53" t="str">
        <x:v>When Upton and Ruzek answer an emergency call to an abandoned house, their investigation leads them down a dark path.</x:v>
      </x:c>
      <x:c r="P2641" s="53" t="str">
        <x:v>Core One Chicago franchise; crossovers with SVU/FBI</x:v>
      </x:c>
      <x:c r="Q2641" s="17" t="str">
        <x:v>5571599</x:v>
      </x:c>
      <x:c r="R2641" s="17" t="str">
        <x:v>tt15514114</x:v>
      </x:c>
      <x:c r="S2641" s="17" t="str"/>
    </x:row>
    <x:row r="2642">
      <x:c r="A2642" s="43" t="n">
        <x:v>2638</x:v>
      </x:c>
      <x:c r="B2642" s="44" t="str">
        <x:v>Not Started</x:v>
      </x:c>
      <x:c r="C2642" s="45" t="n">
        <x:v>44483</x:v>
      </x:c>
      <x:c r="D2642" s="33" t="str">
        <x:v>Chicago Fire</x:v>
      </x:c>
      <x:c r="E2642" s="33" t="str">
        <x:v>One Chicago</x:v>
      </x:c>
      <x:c r="F2642" s="33" t="str">
        <x:v>core</x:v>
      </x:c>
      <x:c r="G2642" s="50" t="n">
        <x:v>10</x:v>
      </x:c>
      <x:c r="H2642" s="50" t="n">
        <x:v>4</x:v>
      </x:c>
      <x:c r="I2642" s="44" t="str">
        <x:v>10.04</x:v>
      </x:c>
      <x:c r="J2642" s="33" t="str">
        <x:v>The Right Thing</x:v>
      </x:c>
      <x:c r="K2642" s="33" t="str"/>
      <x:c r="L2642" s="33" t="str"/>
      <x:c r="M2642" s="44" t="str"/>
      <x:c r="N2642" s="50" t="n">
        <x:v>42</x:v>
      </x:c>
      <x:c r="O2642" s="53" t="str">
        <x:v>Kidd spreads her wings as a lieutenant. Chief Hawkins rides with Ambulance 61 to learn more about Brett. Casey takes a trip out of town. A Ritter date night turns into an emergency situation.</x:v>
      </x:c>
      <x:c r="P2642" s="53" t="str">
        <x:v>Core One Chicago franchise</x:v>
      </x:c>
      <x:c r="Q2642" s="17" t="str">
        <x:v>5569144</x:v>
      </x:c>
      <x:c r="R2642" s="17" t="str">
        <x:v>tt15514098</x:v>
      </x:c>
      <x:c r="S2642" s="17" t="str"/>
    </x:row>
    <x:row r="2643">
      <x:c r="A2643" s="43" t="n">
        <x:v>2639</x:v>
      </x:c>
      <x:c r="B2643" s="44" t="str">
        <x:v>Not Started</x:v>
      </x:c>
      <x:c r="C2643" s="45" t="n">
        <x:v>44483</x:v>
      </x:c>
      <x:c r="D2643" s="33" t="str">
        <x:v>Law &amp; Order: Special Victims Unit</x:v>
      </x:c>
      <x:c r="E2643" s="33" t="str">
        <x:v>Law &amp; Order</x:v>
      </x:c>
      <x:c r="F2643" s="33" t="str">
        <x:v>core</x:v>
      </x:c>
      <x:c r="G2643" s="50" t="n">
        <x:v>23</x:v>
      </x:c>
      <x:c r="H2643" s="50" t="n">
        <x:v>5</x:v>
      </x:c>
      <x:c r="I2643" s="44" t="str">
        <x:v>23.05</x:v>
      </x:c>
      <x:c r="J2643" s="33" t="str">
        <x:v>Fast Times @TheWheelHouse</x:v>
      </x:c>
      <x:c r="K2643" s="33" t="str"/>
      <x:c r="L2643" s="33" t="str"/>
      <x:c r="M2643" s="44" t="str"/>
      <x:c r="N2643" s="50" t="n">
        <x:v>43</x:v>
      </x:c>
      <x:c r="O2643" s="53" t="str">
        <x:v>The SVU faces the fury of social media fans when they arrest two popular influencer brothers.</x:v>
      </x:c>
      <x:c r="P2643" s="53" t="str">
        <x:v>Core Law &amp; Order franchise</x:v>
      </x:c>
      <x:c r="Q2643" s="17" t="str">
        <x:v>5533186</x:v>
      </x:c>
      <x:c r="R2643" s="17" t="str">
        <x:v>tt13107618</x:v>
      </x:c>
      <x:c r="S2643" s="17" t="str">
        <x:v>1511</x:v>
      </x:c>
    </x:row>
    <x:row r="2644">
      <x:c r="A2644" s="43" t="n">
        <x:v>2640</x:v>
      </x:c>
      <x:c r="B2644" s="44" t="str">
        <x:v>Not Started</x:v>
      </x:c>
      <x:c r="C2644" s="45" t="n">
        <x:v>44490</x:v>
      </x:c>
      <x:c r="D2644" s="33" t="str">
        <x:v>Law &amp; Order: Organized Crime</x:v>
      </x:c>
      <x:c r="E2644" s="33" t="str">
        <x:v>Law &amp; Order</x:v>
      </x:c>
      <x:c r="F2644" s="33" t="str">
        <x:v>core</x:v>
      </x:c>
      <x:c r="G2644" s="50" t="n">
        <x:v>2</x:v>
      </x:c>
      <x:c r="H2644" s="50" t="n">
        <x:v>6</x:v>
      </x:c>
      <x:c r="I2644" s="44" t="str">
        <x:v>02.06</x:v>
      </x:c>
      <x:c r="J2644" s="33" t="str">
        <x:v>Unforgivable</x:v>
      </x:c>
      <x:c r="K2644" s="33" t="str"/>
      <x:c r="L2644" s="33" t="str"/>
      <x:c r="M2644" s="44" t="str"/>
      <x:c r="N2644" s="50" t="n">
        <x:v>42</x:v>
      </x:c>
      <x:c r="O2644" s="53" t="str">
        <x:v>Bell must provide protection when a gubernatorial candidate makes quick enemies of the K-O. Reggie is assigned a dangerous task. A figure from Eddie’s past makes life difficult for Stabler.</x:v>
      </x:c>
      <x:c r="P2644" s="53" t="str">
        <x:v>Core Law &amp; Order franchise</x:v>
      </x:c>
      <x:c r="Q2644" s="17" t="str">
        <x:v>5588443</x:v>
      </x:c>
      <x:c r="R2644" s="17" t="str">
        <x:v>tt15600088</x:v>
      </x:c>
      <x:c r="S2644" s="17" t="str">
        <x:v>1514</x:v>
      </x:c>
    </x:row>
    <x:row r="2645">
      <x:c r="A2645" s="43" t="n">
        <x:v>2641</x:v>
      </x:c>
      <x:c r="B2645" s="44" t="str">
        <x:v>Not Started</x:v>
      </x:c>
      <x:c r="C2645" s="45" t="n">
        <x:v>44490</x:v>
      </x:c>
      <x:c r="D2645" s="33" t="str">
        <x:v>Chicago Med</x:v>
      </x:c>
      <x:c r="E2645" s="33" t="str">
        <x:v>One Chicago</x:v>
      </x:c>
      <x:c r="F2645" s="33" t="str">
        <x:v>core</x:v>
      </x:c>
      <x:c r="G2645" s="50" t="n">
        <x:v>7</x:v>
      </x:c>
      <x:c r="H2645" s="50" t="n">
        <x:v>5</x:v>
      </x:c>
      <x:c r="I2645" s="44" t="str">
        <x:v>07.05</x:v>
      </x:c>
      <x:c r="J2645" s="33" t="str">
        <x:v>Change Is a Tough Pill to Swallow</x:v>
      </x:c>
      <x:c r="K2645" s="33" t="str"/>
      <x:c r="L2645" s="33" t="str"/>
      <x:c r="M2645" s="44" t="str"/>
      <x:c r="N2645" s="50" t="n">
        <x:v>42</x:v>
      </x:c>
      <x:c r="O2645" s="53" t="str">
        <x:v>Dylan and Charles treat patients suffering from Glass Child Syndrome and misdiagnosed ADHD. Crockett has to navigate hospital politics when he cares for the daughter of a transplant surgeon. Will and Stevie must lay egos aside to help save an elderly patient.</x:v>
      </x:c>
      <x:c r="P2645" s="53" t="str">
        <x:v>Core One Chicago franchise</x:v>
      </x:c>
      <x:c r="Q2645" s="17" t="str">
        <x:v>5587193</x:v>
      </x:c>
      <x:c r="R2645" s="17" t="str">
        <x:v>tt15553424</x:v>
      </x:c>
      <x:c r="S2645" s="17" t="str"/>
    </x:row>
    <x:row r="2646">
      <x:c r="A2646" s="43" t="n">
        <x:v>2642</x:v>
      </x:c>
      <x:c r="B2646" s="44" t="str">
        <x:v>Not Started</x:v>
      </x:c>
      <x:c r="C2646" s="45" t="n">
        <x:v>44490</x:v>
      </x:c>
      <x:c r="D2646" s="33" t="str">
        <x:v>Chicago P.D.</x:v>
      </x:c>
      <x:c r="E2646" s="33" t="str">
        <x:v>One Chicago</x:v>
      </x:c>
      <x:c r="F2646" s="33" t="str">
        <x:v>core</x:v>
      </x:c>
      <x:c r="G2646" s="50" t="n">
        <x:v>9</x:v>
      </x:c>
      <x:c r="H2646" s="50" t="n">
        <x:v>5</x:v>
      </x:c>
      <x:c r="I2646" s="44" t="str">
        <x:v>09.05</x:v>
      </x:c>
      <x:c r="J2646" s="33" t="str">
        <x:v>Burnside</x:v>
      </x:c>
      <x:c r="K2646" s="33" t="str"/>
      <x:c r="L2646" s="33" t="str"/>
      <x:c r="M2646" s="44" t="str"/>
      <x:c r="N2646" s="50" t="n">
        <x:v>43</x:v>
      </x:c>
      <x:c r="O2646" s="53" t="str">
        <x:v>As the team works to solve a deadly shooting in Burnside, Atwater realizes he has a very personal connection to the case.</x:v>
      </x:c>
      <x:c r="P2646" s="53" t="str">
        <x:v>Core One Chicago franchise; crossovers with SVU/FBI</x:v>
      </x:c>
      <x:c r="Q2646" s="17" t="str">
        <x:v>5586898</x:v>
      </x:c>
      <x:c r="R2646" s="17" t="str">
        <x:v>tt15553678</x:v>
      </x:c>
      <x:c r="S2646" s="17" t="str"/>
    </x:row>
    <x:row r="2647">
      <x:c r="A2647" s="43" t="n">
        <x:v>2643</x:v>
      </x:c>
      <x:c r="B2647" s="44" t="str">
        <x:v>Not Started</x:v>
      </x:c>
      <x:c r="C2647" s="45" t="n">
        <x:v>44490</x:v>
      </x:c>
      <x:c r="D2647" s="33" t="str">
        <x:v>Chicago Fire</x:v>
      </x:c>
      <x:c r="E2647" s="33" t="str">
        <x:v>One Chicago</x:v>
      </x:c>
      <x:c r="F2647" s="33" t="str">
        <x:v>core</x:v>
      </x:c>
      <x:c r="G2647" s="50" t="n">
        <x:v>10</x:v>
      </x:c>
      <x:c r="H2647" s="50" t="n">
        <x:v>5</x:v>
      </x:c>
      <x:c r="I2647" s="44" t="str">
        <x:v>10.05</x:v>
      </x:c>
      <x:c r="J2647" s="33" t="str">
        <x:v>Two Hundred</x:v>
      </x:c>
      <x:c r="K2647" s="33" t="str"/>
      <x:c r="L2647" s="33" t="str"/>
      <x:c r="M2647" s="44" t="str"/>
      <x:c r="N2647" s="50" t="n">
        <x:v>42</x:v>
      </x:c>
      <x:c r="O2647" s="53" t="str">
        <x:v>Casey makes a life-altering decision. Gallo, Ritter and Violet agree to an interview and photo shoot. Brett and Mouch launch the paramedicine program. Cruz comes closer to fatherhood.</x:v>
      </x:c>
      <x:c r="P2647" s="53" t="str">
        <x:v>Core One Chicago franchise</x:v>
      </x:c>
      <x:c r="Q2647" s="17" t="str">
        <x:v>5587382</x:v>
      </x:c>
      <x:c r="R2647" s="17" t="str">
        <x:v>tt15553430</x:v>
      </x:c>
      <x:c r="S2647" s="17" t="str"/>
    </x:row>
    <x:row r="2648">
      <x:c r="A2648" s="43" t="n">
        <x:v>2644</x:v>
      </x:c>
      <x:c r="B2648" s="44" t="str">
        <x:v>Not Started</x:v>
      </x:c>
      <x:c r="C2648" s="45" t="n">
        <x:v>44490</x:v>
      </x:c>
      <x:c r="D2648" s="33" t="str">
        <x:v>Law &amp; Order: Special Victims Unit</x:v>
      </x:c>
      <x:c r="E2648" s="33" t="str">
        <x:v>Law &amp; Order</x:v>
      </x:c>
      <x:c r="F2648" s="33" t="str">
        <x:v>core</x:v>
      </x:c>
      <x:c r="G2648" s="50" t="n">
        <x:v>23</x:v>
      </x:c>
      <x:c r="H2648" s="50" t="n">
        <x:v>6</x:v>
      </x:c>
      <x:c r="I2648" s="44" t="str">
        <x:v>23.06</x:v>
      </x:c>
      <x:c r="J2648" s="33" t="str">
        <x:v>The Five Hundredth Episode</x:v>
      </x:c>
      <x:c r="K2648" s="33" t="str"/>
      <x:c r="L2648" s="33" t="str"/>
      <x:c r="M2648" s="44" t="str"/>
      <x:c r="N2648" s="50" t="n">
        <x:v>43</x:v>
      </x:c>
      <x:c r="O2648" s="53" t="str">
        <x:v>Amaro returns to ask the SVU for help in clearing a convicted man's name and brings a figure from Benson's past back into her life.</x:v>
      </x:c>
      <x:c r="P2648" s="53" t="str">
        <x:v>Core Law &amp; Order franchise</x:v>
      </x:c>
      <x:c r="Q2648" s="17" t="str">
        <x:v>5533187</x:v>
      </x:c>
      <x:c r="R2648" s="17" t="str">
        <x:v>tt13107624</x:v>
      </x:c>
      <x:c r="S2648" s="17" t="str">
        <x:v>1513</x:v>
      </x:c>
    </x:row>
    <x:row r="2649">
      <x:c r="A2649" s="43" t="n">
        <x:v>2645</x:v>
      </x:c>
      <x:c r="B2649" s="44" t="str">
        <x:v>Not Started</x:v>
      </x:c>
      <x:c r="C2649" s="45" t="n">
        <x:v>44497</x:v>
      </x:c>
      <x:c r="D2649" s="33" t="str">
        <x:v>Chicago Med</x:v>
      </x:c>
      <x:c r="E2649" s="33" t="str">
        <x:v>One Chicago</x:v>
      </x:c>
      <x:c r="F2649" s="33" t="str">
        <x:v>core</x:v>
      </x:c>
      <x:c r="G2649" s="50" t="n">
        <x:v>7</x:v>
      </x:c>
      <x:c r="H2649" s="50" t="n">
        <x:v>6</x:v>
      </x:c>
      <x:c r="I2649" s="44" t="str">
        <x:v>07.06</x:v>
      </x:c>
      <x:c r="J2649" s="33" t="str">
        <x:v>When You're a Hammer Everything's a Nail</x:v>
      </x:c>
      <x:c r="K2649" s="33" t="str"/>
      <x:c r="L2649" s="33" t="str"/>
      <x:c r="M2649" s="44" t="str"/>
      <x:c r="N2649" s="50" t="n">
        <x:v>42</x:v>
      </x:c>
      <x:c r="O2649" s="53" t="str">
        <x:v>Stevie’s personal and professional worlds collide when her mother becomes her patient. Dylan’s history with the father of a patient interferes with his perception of a case. Crockett's allegiances are challenged when his patient's liver is a potential match for one of Dr. Blake's patients.</x:v>
      </x:c>
      <x:c r="P2649" s="53" t="str">
        <x:v>Core One Chicago franchise</x:v>
      </x:c>
      <x:c r="Q2649" s="17" t="str">
        <x:v>5610364</x:v>
      </x:c>
      <x:c r="R2649" s="17" t="str">
        <x:v>tt15661550</x:v>
      </x:c>
      <x:c r="S2649" s="17" t="str"/>
    </x:row>
    <x:row r="2650">
      <x:c r="A2650" s="43" t="n">
        <x:v>2646</x:v>
      </x:c>
      <x:c r="B2650" s="44" t="str">
        <x:v>Not Started</x:v>
      </x:c>
      <x:c r="C2650" s="45" t="n">
        <x:v>44497</x:v>
      </x:c>
      <x:c r="D2650" s="33" t="str">
        <x:v>Chicago P.D.</x:v>
      </x:c>
      <x:c r="E2650" s="33" t="str">
        <x:v>One Chicago</x:v>
      </x:c>
      <x:c r="F2650" s="33" t="str">
        <x:v>core</x:v>
      </x:c>
      <x:c r="G2650" s="50" t="n">
        <x:v>9</x:v>
      </x:c>
      <x:c r="H2650" s="50" t="n">
        <x:v>6</x:v>
      </x:c>
      <x:c r="I2650" s="44" t="str">
        <x:v>09.06</x:v>
      </x:c>
      <x:c r="J2650" s="33" t="str">
        <x:v>End of Watch</x:v>
      </x:c>
      <x:c r="K2650" s="33" t="str"/>
      <x:c r="L2650" s="33" t="str"/>
      <x:c r="M2650" s="44" t="str"/>
      <x:c r="N2650" s="50" t="n">
        <x:v>42</x:v>
      </x:c>
      <x:c r="O2650" s="53" t="str">
        <x:v>Ruzek reunites with an old colleague to take down a crime ring but when things don’t add up, Voight and Burgess do some investigating of their own.</x:v>
      </x:c>
      <x:c r="P2650" s="53" t="str">
        <x:v>Core One Chicago franchise; crossovers with SVU/FBI</x:v>
      </x:c>
      <x:c r="Q2650" s="17" t="str">
        <x:v>5609894</x:v>
      </x:c>
      <x:c r="R2650" s="17" t="str">
        <x:v>tt15661578</x:v>
      </x:c>
      <x:c r="S2650" s="17" t="str"/>
    </x:row>
    <x:row r="2651">
      <x:c r="A2651" s="43" t="n">
        <x:v>2647</x:v>
      </x:c>
      <x:c r="B2651" s="44" t="str">
        <x:v>Not Started</x:v>
      </x:c>
      <x:c r="C2651" s="45" t="n">
        <x:v>44497</x:v>
      </x:c>
      <x:c r="D2651" s="33" t="str">
        <x:v>Chicago Fire</x:v>
      </x:c>
      <x:c r="E2651" s="33" t="str">
        <x:v>One Chicago</x:v>
      </x:c>
      <x:c r="F2651" s="33" t="str">
        <x:v>core</x:v>
      </x:c>
      <x:c r="G2651" s="50" t="n">
        <x:v>10</x:v>
      </x:c>
      <x:c r="H2651" s="50" t="n">
        <x:v>6</x:v>
      </x:c>
      <x:c r="I2651" s="44" t="str">
        <x:v>10.06</x:v>
      </x:c>
      <x:c r="J2651" s="33" t="str">
        <x:v>Dead Zone</x:v>
      </x:c>
      <x:c r="K2651" s="33" t="str"/>
      <x:c r="L2651" s="33" t="str"/>
      <x:c r="M2651" s="44" t="str"/>
      <x:c r="N2651" s="50" t="n">
        <x:v>41</x:v>
      </x:c>
      <x:c r="O2651" s="53" t="str">
        <x:v>A major security breach in the city’s computer networks forces Firehouse 51’s senior leaders to take matters into their own hands. Severide gears up for an arson investigation.</x:v>
      </x:c>
      <x:c r="P2651" s="53" t="str">
        <x:v>Core One Chicago franchise</x:v>
      </x:c>
      <x:c r="Q2651" s="17" t="str">
        <x:v>5609559</x:v>
      </x:c>
      <x:c r="R2651" s="17" t="str">
        <x:v>tt15661554</x:v>
      </x:c>
      <x:c r="S2651" s="17" t="str"/>
    </x:row>
    <x:row r="2652">
      <x:c r="A2652" s="43" t="n">
        <x:v>2648</x:v>
      </x:c>
      <x:c r="B2652" s="44" t="str">
        <x:v>Not Started</x:v>
      </x:c>
      <x:c r="C2652" s="45" t="n">
        <x:v>44503</x:v>
      </x:c>
      <x:c r="D2652" s="33" t="str">
        <x:v>FBI: International</x:v>
      </x:c>
      <x:c r="E2652" s="33" t="str">
        <x:v>FBI</x:v>
      </x:c>
      <x:c r="F2652" s="33" t="str">
        <x:v>core</x:v>
      </x:c>
      <x:c r="G2652" s="50" t="n">
        <x:v>1</x:v>
      </x:c>
      <x:c r="H2652" s="50" t="n">
        <x:v>5</x:v>
      </x:c>
      <x:c r="I2652" s="44" t="str">
        <x:v>01.05</x:v>
      </x:c>
      <x:c r="J2652" s="33" t="str">
        <x:v>The Soul of Chess</x:v>
      </x:c>
      <x:c r="K2652" s="33" t="str"/>
      <x:c r="L2652" s="33" t="str"/>
      <x:c r="M2652" s="44" t="str"/>
      <x:c r="N2652" s="50" t="n">
        <x:v>43</x:v>
      </x:c>
      <x:c r="O2652" s="53" t="str">
        <x:v>The team investigates an American journalist’s death by poison after his attempt to meet with an anonymous source in Poland. Also, Kellett takes Forrester to task for being overprotective with her during the mission.</x:v>
      </x:c>
      <x:c r="P2652" s="53" t="str">
        <x:v>Core FBI franchise</x:v>
      </x:c>
      <x:c r="Q2652" s="17" t="str">
        <x:v>5613482</x:v>
      </x:c>
      <x:c r="R2652" s="17" t="str">
        <x:v>tt15613238</x:v>
      </x:c>
      <x:c r="S2652" s="17" t="str"/>
    </x:row>
    <x:row r="2653">
      <x:c r="A2653" s="43" t="n">
        <x:v>2649</x:v>
      </x:c>
      <x:c r="B2653" s="44" t="str">
        <x:v>Not Started</x:v>
      </x:c>
      <x:c r="C2653" s="45" t="n">
        <x:v>44503</x:v>
      </x:c>
      <x:c r="D2653" s="33" t="str">
        <x:v>FBI: Most Wanted</x:v>
      </x:c>
      <x:c r="E2653" s="33" t="str">
        <x:v>FBI</x:v>
      </x:c>
      <x:c r="F2653" s="33" t="str">
        <x:v>core</x:v>
      </x:c>
      <x:c r="G2653" s="50" t="n">
        <x:v>3</x:v>
      </x:c>
      <x:c r="H2653" s="50" t="n">
        <x:v>5</x:v>
      </x:c>
      <x:c r="I2653" s="44" t="str">
        <x:v>03.05</x:v>
      </x:c>
      <x:c r="J2653" s="33" t="str">
        <x:v>Unhinged</x:v>
      </x:c>
      <x:c r="K2653" s="33" t="str"/>
      <x:c r="L2653" s="33" t="str"/>
      <x:c r="M2653" s="44" t="str"/>
      <x:c r="N2653" s="50" t="n">
        <x:v>42</x:v>
      </x:c>
      <x:c r="O2653" s="53" t="str">
        <x:v>After a deadly fire at an arcade, the team discovers the blaze was just the first step in an intricate plan to exact revenge on one of the victims. Also, Hana rejoins the team, finding new adjustments in all aspects of her life.</x:v>
      </x:c>
      <x:c r="P2653" s="53" t="str">
        <x:v>Core FBI franchise</x:v>
      </x:c>
      <x:c r="Q2653" s="17" t="str">
        <x:v>5619050</x:v>
      </x:c>
      <x:c r="R2653" s="17" t="str">
        <x:v>tt15566426</x:v>
      </x:c>
      <x:c r="S2653" s="17" t="str"/>
    </x:row>
    <x:row r="2654">
      <x:c r="A2654" s="43" t="n">
        <x:v>2650</x:v>
      </x:c>
      <x:c r="B2654" s="44" t="str">
        <x:v>Not Started</x:v>
      </x:c>
      <x:c r="C2654" s="45" t="n">
        <x:v>44503</x:v>
      </x:c>
      <x:c r="D2654" s="33" t="str">
        <x:v>FBI</x:v>
      </x:c>
      <x:c r="E2654" s="33" t="str">
        <x:v>FBI</x:v>
      </x:c>
      <x:c r="F2654" s="33" t="str">
        <x:v>core</x:v>
      </x:c>
      <x:c r="G2654" s="50" t="n">
        <x:v>4</x:v>
      </x:c>
      <x:c r="H2654" s="50" t="n">
        <x:v>5</x:v>
      </x:c>
      <x:c r="I2654" s="44" t="str">
        <x:v>04.05</x:v>
      </x:c>
      <x:c r="J2654" s="33" t="str">
        <x:v>Charlotte’s Web</x:v>
      </x:c>
      <x:c r="K2654" s="33" t="str"/>
      <x:c r="L2654" s="33" t="str"/>
      <x:c r="M2654" s="44" t="str"/>
      <x:c r="N2654" s="50" t="n">
        <x:v>42</x:v>
      </x:c>
      <x:c r="O2654" s="53" t="str">
        <x:v>After a suburban woman is kidnapped from her home, the team looks into trysts on both sides of a seemingly perfect marriage. Also, OA feels pressure from Mona to make changes in his career path.</x:v>
      </x:c>
      <x:c r="P2654" s="53" t="str">
        <x:v>Core FBI franchise</x:v>
      </x:c>
      <x:c r="Q2654" s="17" t="str">
        <x:v>5614187</x:v>
      </x:c>
      <x:c r="R2654" s="17" t="str">
        <x:v>tt15613230</x:v>
      </x:c>
      <x:c r="S2654" s="17" t="str"/>
    </x:row>
    <x:row r="2655">
      <x:c r="A2655" s="43" t="n">
        <x:v>2651</x:v>
      </x:c>
      <x:c r="B2655" s="44" t="str">
        <x:v>Not Started</x:v>
      </x:c>
      <x:c r="C2655" s="45" t="n">
        <x:v>44504</x:v>
      </x:c>
      <x:c r="D2655" s="33" t="str">
        <x:v>Law &amp; Order: Organized Crime</x:v>
      </x:c>
      <x:c r="E2655" s="33" t="str">
        <x:v>Law &amp; Order</x:v>
      </x:c>
      <x:c r="F2655" s="33" t="str">
        <x:v>core</x:v>
      </x:c>
      <x:c r="G2655" s="50" t="n">
        <x:v>2</x:v>
      </x:c>
      <x:c r="H2655" s="50" t="n">
        <x:v>7</x:v>
      </x:c>
      <x:c r="I2655" s="44" t="str">
        <x:v>02.07</x:v>
      </x:c>
      <x:c r="J2655" s="33" t="str">
        <x:v>High Planes Grifter</x:v>
      </x:c>
      <x:c r="K2655" s="33" t="str"/>
      <x:c r="L2655" s="33" t="str"/>
      <x:c r="M2655" s="44" t="str"/>
      <x:c r="N2655" s="50" t="n">
        <x:v>43</x:v>
      </x:c>
      <x:c r="O2655" s="53" t="str">
        <x:v>Stabler and Brewster take advantage of Reggie’s insecurities to force his hand. Bell and Nova must protect each other’s secrets. Agnes makes a desperate choice for her family.</x:v>
      </x:c>
      <x:c r="P2655" s="53" t="str">
        <x:v>Core Law &amp; Order franchise</x:v>
      </x:c>
      <x:c r="Q2655" s="17" t="str">
        <x:v>5631188</x:v>
      </x:c>
      <x:c r="R2655" s="17" t="str">
        <x:v>tt15746192</x:v>
      </x:c>
      <x:c r="S2655" s="17" t="str">
        <x:v>1516</x:v>
      </x:c>
    </x:row>
    <x:row r="2656">
      <x:c r="A2656" s="43" t="n">
        <x:v>2652</x:v>
      </x:c>
      <x:c r="B2656" s="44" t="str">
        <x:v>Not Started</x:v>
      </x:c>
      <x:c r="C2656" s="45" t="n">
        <x:v>44504</x:v>
      </x:c>
      <x:c r="D2656" s="33" t="str">
        <x:v>Chicago Med</x:v>
      </x:c>
      <x:c r="E2656" s="33" t="str">
        <x:v>One Chicago</x:v>
      </x:c>
      <x:c r="F2656" s="33" t="str">
        <x:v>core</x:v>
      </x:c>
      <x:c r="G2656" s="50" t="n">
        <x:v>7</x:v>
      </x:c>
      <x:c r="H2656" s="50" t="n">
        <x:v>7</x:v>
      </x:c>
      <x:c r="I2656" s="44" t="str">
        <x:v>07.07</x:v>
      </x:c>
      <x:c r="J2656" s="33" t="str">
        <x:v>A Square Peg in a Round Hole</x:v>
      </x:c>
      <x:c r="K2656" s="33" t="str"/>
      <x:c r="L2656" s="33" t="str"/>
      <x:c r="M2656" s="44" t="str"/>
      <x:c r="N2656" s="50" t="n">
        <x:v>42</x:v>
      </x:c>
      <x:c r="O2656" s="53" t="str">
        <x:v>Crockett helps Dr. Blake replace a patient’s liver. Vanessa tries to prove herself. Will continues to pursue the truth about Cooper. Ethan gets closer to returning to life in the E.D.</x:v>
      </x:c>
      <x:c r="P2656" s="53" t="str">
        <x:v>Core One Chicago franchise</x:v>
      </x:c>
      <x:c r="Q2656" s="17" t="str">
        <x:v>5635836</x:v>
      </x:c>
      <x:c r="R2656" s="17" t="str">
        <x:v>tt15719092</x:v>
      </x:c>
      <x:c r="S2656" s="17" t="str"/>
    </x:row>
    <x:row r="2657">
      <x:c r="A2657" s="43" t="n">
        <x:v>2653</x:v>
      </x:c>
      <x:c r="B2657" s="44" t="str">
        <x:v>Not Started</x:v>
      </x:c>
      <x:c r="C2657" s="45" t="n">
        <x:v>44504</x:v>
      </x:c>
      <x:c r="D2657" s="33" t="str">
        <x:v>Chicago P.D.</x:v>
      </x:c>
      <x:c r="E2657" s="33" t="str">
        <x:v>One Chicago</x:v>
      </x:c>
      <x:c r="F2657" s="33" t="str">
        <x:v>core</x:v>
      </x:c>
      <x:c r="G2657" s="50" t="n">
        <x:v>9</x:v>
      </x:c>
      <x:c r="H2657" s="50" t="n">
        <x:v>7</x:v>
      </x:c>
      <x:c r="I2657" s="44" t="str">
        <x:v>09.07</x:v>
      </x:c>
      <x:c r="J2657" s="33" t="str">
        <x:v>Trust Me</x:v>
      </x:c>
      <x:c r="K2657" s="33" t="str"/>
      <x:c r="L2657" s="33" t="str"/>
      <x:c r="M2657" s="44" t="str"/>
      <x:c r="N2657" s="50" t="n">
        <x:v>42</x:v>
      </x:c>
      <x:c r="O2657" s="53" t="str">
        <x:v>As the team works to bring down a drug ring, Voight builds trust with a new informant. However, it soon becomes clear she has a plan of her own.</x:v>
      </x:c>
      <x:c r="P2657" s="53" t="str">
        <x:v>Core One Chicago franchise; crossovers with SVU/FBI</x:v>
      </x:c>
      <x:c r="Q2657" s="17" t="str">
        <x:v>5635837</x:v>
      </x:c>
      <x:c r="R2657" s="17" t="str">
        <x:v>tt15719116</x:v>
      </x:c>
      <x:c r="S2657" s="17" t="str"/>
    </x:row>
    <x:row r="2658">
      <x:c r="A2658" s="43" t="n">
        <x:v>2654</x:v>
      </x:c>
      <x:c r="B2658" s="44" t="str">
        <x:v>Not Started</x:v>
      </x:c>
      <x:c r="C2658" s="45" t="n">
        <x:v>44504</x:v>
      </x:c>
      <x:c r="D2658" s="33" t="str">
        <x:v>Chicago Fire</x:v>
      </x:c>
      <x:c r="E2658" s="33" t="str">
        <x:v>One Chicago</x:v>
      </x:c>
      <x:c r="F2658" s="33" t="str">
        <x:v>core</x:v>
      </x:c>
      <x:c r="G2658" s="50" t="n">
        <x:v>10</x:v>
      </x:c>
      <x:c r="H2658" s="50" t="n">
        <x:v>7</x:v>
      </x:c>
      <x:c r="I2658" s="44" t="str">
        <x:v>10.07</x:v>
      </x:c>
      <x:c r="J2658" s="33" t="str">
        <x:v>Whom Shall I Fear?</x:v>
      </x:c>
      <x:c r="K2658" s="33" t="str"/>
      <x:c r="L2658" s="33" t="str"/>
      <x:c r="M2658" s="44" t="str"/>
      <x:c r="N2658" s="50" t="n">
        <x:v>42</x:v>
      </x:c>
      <x:c r="O2658" s="53" t="str">
        <x:v>Gallo clashes with the new lieutenant temporarily filling in for Casey. Severide closes in on a dangerous and deadly arsonist.</x:v>
      </x:c>
      <x:c r="P2658" s="53" t="str">
        <x:v>Core One Chicago franchise</x:v>
      </x:c>
      <x:c r="Q2658" s="17" t="str">
        <x:v>5635838</x:v>
      </x:c>
      <x:c r="R2658" s="17" t="str">
        <x:v>tt15719104</x:v>
      </x:c>
      <x:c r="S2658" s="17" t="str"/>
    </x:row>
    <x:row r="2659">
      <x:c r="A2659" s="43" t="n">
        <x:v>2655</x:v>
      </x:c>
      <x:c r="B2659" s="44" t="str">
        <x:v>Not Started</x:v>
      </x:c>
      <x:c r="C2659" s="45" t="n">
        <x:v>44504</x:v>
      </x:c>
      <x:c r="D2659" s="33" t="str">
        <x:v>Law &amp; Order: Special Victims Unit</x:v>
      </x:c>
      <x:c r="E2659" s="33" t="str">
        <x:v>Law &amp; Order</x:v>
      </x:c>
      <x:c r="F2659" s="33" t="str">
        <x:v>core</x:v>
      </x:c>
      <x:c r="G2659" s="50" t="n">
        <x:v>23</x:v>
      </x:c>
      <x:c r="H2659" s="50" t="n">
        <x:v>7</x:v>
      </x:c>
      <x:c r="I2659" s="44" t="str">
        <x:v>23.07</x:v>
      </x:c>
      <x:c r="J2659" s="33" t="str">
        <x:v>They'd Already Disappeared</x:v>
      </x:c>
      <x:c r="K2659" s="33" t="str"/>
      <x:c r="L2659" s="33" t="str"/>
      <x:c r="M2659" s="44" t="str"/>
      <x:c r="N2659" s="50" t="n">
        <x:v>43</x:v>
      </x:c>
      <x:c r="O2659" s="53" t="str">
        <x:v>When a teenage sex worker disappears, Rollins and Velasco find a key clue in a pile of neglected missing persons reports.</x:v>
      </x:c>
      <x:c r="P2659" s="53" t="str">
        <x:v>Core Law &amp; Order franchise</x:v>
      </x:c>
      <x:c r="Q2659" s="17" t="str">
        <x:v>5631242</x:v>
      </x:c>
      <x:c r="R2659" s="17" t="str">
        <x:v>tt13107630</x:v>
      </x:c>
      <x:c r="S2659" s="17" t="str">
        <x:v>1515</x:v>
      </x:c>
    </x:row>
    <x:row r="2660">
      <x:c r="A2660" s="43" t="n">
        <x:v>2656</x:v>
      </x:c>
      <x:c r="B2660" s="44" t="str">
        <x:v>Not Started</x:v>
      </x:c>
      <x:c r="C2660" s="45" t="n">
        <x:v>44507</x:v>
      </x:c>
      <x:c r="D2660" s="33" t="str">
        <x:v>Cold Justice</x:v>
      </x:c>
      <x:c r="E2660" s="33" t="str">
        <x:v>Crossover Adjacent</x:v>
      </x:c>
      <x:c r="F2660" s="33" t="str">
        <x:v>complete</x:v>
      </x:c>
      <x:c r="G2660" s="50" t="n">
        <x:v>6</x:v>
      </x:c>
      <x:c r="H2660" s="50" t="n">
        <x:v>5</x:v>
      </x:c>
      <x:c r="I2660" s="44" t="str">
        <x:v>06.05</x:v>
      </x:c>
      <x:c r="J2660" s="33" t="str">
        <x:v>An Officer's Promise</x:v>
      </x:c>
      <x:c r="K2660" s="33" t="str"/>
      <x:c r="L2660" s="33" t="str"/>
      <x:c r="M2660" s="44" t="str"/>
      <x:c r="N2660" s="50" t="n">
        <x:v>42</x:v>
      </x:c>
      <x:c r="O2660" s="53" t="str">
        <x:v>Kelly and Tonya help police keep their promise to a grieving mother to solve her daughter's murder. An examination of the victim's cell phone data brings a horrifying tale of obsession and brutality to light.</x:v>
      </x:c>
      <x:c r="P2660" s="53" t="str">
        <x:v>Wolf Entertainment unscripted true-crime series</x:v>
      </x:c>
      <x:c r="Q2660" s="17" t="str">
        <x:v>3380706</x:v>
      </x:c>
      <x:c r="R2660" s="17" t="str"/>
      <x:c r="S2660" s="17" t="str"/>
    </x:row>
    <x:row r="2661">
      <x:c r="A2661" s="43" t="n">
        <x:v>2657</x:v>
      </x:c>
      <x:c r="B2661" s="44" t="str">
        <x:v>Not Started</x:v>
      </x:c>
      <x:c r="C2661" s="45" t="n">
        <x:v>44510</x:v>
      </x:c>
      <x:c r="D2661" s="33" t="str">
        <x:v>FBI: International</x:v>
      </x:c>
      <x:c r="E2661" s="33" t="str">
        <x:v>FBI</x:v>
      </x:c>
      <x:c r="F2661" s="33" t="str">
        <x:v>core</x:v>
      </x:c>
      <x:c r="G2661" s="50" t="n">
        <x:v>1</x:v>
      </x:c>
      <x:c r="H2661" s="50" t="n">
        <x:v>6</x:v>
      </x:c>
      <x:c r="I2661" s="44" t="str">
        <x:v>01.06</x:v>
      </x:c>
      <x:c r="J2661" s="33" t="str">
        <x:v>The Secrets She Knows</x:v>
      </x:c>
      <x:c r="K2661" s="33" t="str"/>
      <x:c r="L2661" s="33" t="str"/>
      <x:c r="M2661" s="44" t="str"/>
      <x:c r="N2661" s="50" t="n">
        <x:v>43</x:v>
      </x:c>
      <x:c r="O2661" s="53" t="str">
        <x:v>After a U.S. intelligence negotiator goes missing and her ransacked Paris apartment is discovered to be covered in her blood, the team is on the clock to find her before the country's nuclear secrets fall into the wrong hands. Also, Forrester finds himself drawing certain parallels to his mother's disappearance.</x:v>
      </x:c>
      <x:c r="P2661" s="53" t="str">
        <x:v>Core FBI franchise</x:v>
      </x:c>
      <x:c r="Q2661" s="17" t="str">
        <x:v>5672081</x:v>
      </x:c>
      <x:c r="R2661" s="17" t="str">
        <x:v>tt15768528</x:v>
      </x:c>
      <x:c r="S2661" s="17" t="str"/>
    </x:row>
    <x:row r="2662">
      <x:c r="A2662" s="43" t="n">
        <x:v>2658</x:v>
      </x:c>
      <x:c r="B2662" s="44" t="str">
        <x:v>Not Started</x:v>
      </x:c>
      <x:c r="C2662" s="45" t="n">
        <x:v>44510</x:v>
      </x:c>
      <x:c r="D2662" s="33" t="str">
        <x:v>FBI: Most Wanted</x:v>
      </x:c>
      <x:c r="E2662" s="33" t="str">
        <x:v>FBI</x:v>
      </x:c>
      <x:c r="F2662" s="33" t="str">
        <x:v>core</x:v>
      </x:c>
      <x:c r="G2662" s="50" t="n">
        <x:v>3</x:v>
      </x:c>
      <x:c r="H2662" s="50" t="n">
        <x:v>6</x:v>
      </x:c>
      <x:c r="I2662" s="44" t="str">
        <x:v>03.06</x:v>
      </x:c>
      <x:c r="J2662" s="33" t="str">
        <x:v>Lovesick</x:v>
      </x:c>
      <x:c r="K2662" s="33" t="str"/>
      <x:c r="L2662" s="33" t="str"/>
      <x:c r="M2662" s="44" t="str"/>
      <x:c r="N2662" s="50" t="n">
        <x:v>41</x:v>
      </x:c>
      <x:c r="O2662" s="53" t="str">
        <x:v>The team attempts to hunt down a family annihilator before he continues his murder spree. Also, Barnes’ intrusive mother puts pressure on her marriage.</x:v>
      </x:c>
      <x:c r="P2662" s="53" t="str">
        <x:v>Core FBI franchise</x:v>
      </x:c>
      <x:c r="Q2662" s="17" t="str">
        <x:v>5672776</x:v>
      </x:c>
      <x:c r="R2662" s="17" t="str">
        <x:v>tt15768530</x:v>
      </x:c>
      <x:c r="S2662" s="17" t="str"/>
    </x:row>
    <x:row r="2663">
      <x:c r="A2663" s="43" t="n">
        <x:v>2659</x:v>
      </x:c>
      <x:c r="B2663" s="44" t="str">
        <x:v>Not Started</x:v>
      </x:c>
      <x:c r="C2663" s="45" t="n">
        <x:v>44510</x:v>
      </x:c>
      <x:c r="D2663" s="33" t="str">
        <x:v>FBI</x:v>
      </x:c>
      <x:c r="E2663" s="33" t="str">
        <x:v>FBI</x:v>
      </x:c>
      <x:c r="F2663" s="33" t="str">
        <x:v>core</x:v>
      </x:c>
      <x:c r="G2663" s="50" t="n">
        <x:v>4</x:v>
      </x:c>
      <x:c r="H2663" s="50" t="n">
        <x:v>6</x:v>
      </x:c>
      <x:c r="I2663" s="44" t="str">
        <x:v>04.06</x:v>
      </x:c>
      <x:c r="J2663" s="33" t="str">
        <x:v>Allegiance</x:v>
      </x:c>
      <x:c r="K2663" s="33" t="str"/>
      <x:c r="L2663" s="33" t="str"/>
      <x:c r="M2663" s="44" t="str"/>
      <x:c r="N2663" s="50" t="n">
        <x:v>41</x:v>
      </x:c>
      <x:c r="O2663" s="53" t="str">
        <x:v>The team must track down a shooter targeting detectives from the same precinct and unit, while facing mounting tension from the NYPD. Also, Tiffany finds that her NYPD roots may be influencing her view of the situation.</x:v>
      </x:c>
      <x:c r="P2663" s="53" t="str">
        <x:v>Core FBI franchise</x:v>
      </x:c>
      <x:c r="Q2663" s="17" t="str">
        <x:v>5672079</x:v>
      </x:c>
      <x:c r="R2663" s="17" t="str">
        <x:v>tt15768526</x:v>
      </x:c>
      <x:c r="S2663" s="17" t="str"/>
    </x:row>
    <x:row r="2664">
      <x:c r="A2664" s="43" t="n">
        <x:v>2660</x:v>
      </x:c>
      <x:c r="B2664" s="44" t="str">
        <x:v>Not Started</x:v>
      </x:c>
      <x:c r="C2664" s="45" t="n">
        <x:v>44511</x:v>
      </x:c>
      <x:c r="D2664" s="33" t="str">
        <x:v>Law &amp; Order: Organized Crime</x:v>
      </x:c>
      <x:c r="E2664" s="33" t="str">
        <x:v>Law &amp; Order</x:v>
      </x:c>
      <x:c r="F2664" s="33" t="str">
        <x:v>core</x:v>
      </x:c>
      <x:c r="G2664" s="50" t="n">
        <x:v>2</x:v>
      </x:c>
      <x:c r="H2664" s="50" t="n">
        <x:v>8</x:v>
      </x:c>
      <x:c r="I2664" s="44" t="str">
        <x:v>02.08</x:v>
      </x:c>
      <x:c r="J2664" s="33" t="str">
        <x:v>Ashes to Ashes</x:v>
      </x:c>
      <x:c r="K2664" s="33" t="str"/>
      <x:c r="L2664" s="33" t="str"/>
      <x:c r="M2664" s="44" t="str"/>
      <x:c r="N2664" s="50" t="n">
        <x:v>42</x:v>
      </x:c>
      <x:c r="O2664" s="53" t="str">
        <x:v>A deadly bombing rocks the NYPD and leaves several suspects in the wind. Nova makes a major discovery.</x:v>
      </x:c>
      <x:c r="P2664" s="53" t="str">
        <x:v>Core Law &amp; Order franchise</x:v>
      </x:c>
      <x:c r="Q2664" s="17" t="str">
        <x:v>5647548</x:v>
      </x:c>
      <x:c r="R2664" s="17" t="str">
        <x:v>tt15767120</x:v>
      </x:c>
      <x:c r="S2664" s="17" t="str">
        <x:v>1518</x:v>
      </x:c>
    </x:row>
    <x:row r="2665">
      <x:c r="A2665" s="43" t="n">
        <x:v>2661</x:v>
      </x:c>
      <x:c r="B2665" s="44" t="str">
        <x:v>Not Started</x:v>
      </x:c>
      <x:c r="C2665" s="45" t="n">
        <x:v>44511</x:v>
      </x:c>
      <x:c r="D2665" s="33" t="str">
        <x:v>Chicago Med</x:v>
      </x:c>
      <x:c r="E2665" s="33" t="str">
        <x:v>One Chicago</x:v>
      </x:c>
      <x:c r="F2665" s="33" t="str">
        <x:v>core</x:v>
      </x:c>
      <x:c r="G2665" s="50" t="n">
        <x:v>7</x:v>
      </x:c>
      <x:c r="H2665" s="50" t="n">
        <x:v>8</x:v>
      </x:c>
      <x:c r="I2665" s="44" t="str">
        <x:v>07.08</x:v>
      </x:c>
      <x:c r="J2665" s="33" t="str">
        <x:v>Just as a Snake Sheds Its Skin</x:v>
      </x:c>
      <x:c r="K2665" s="33" t="str"/>
      <x:c r="L2665" s="33" t="str"/>
      <x:c r="M2665" s="44" t="str"/>
      <x:c r="N2665" s="50" t="n">
        <x:v>42</x:v>
      </x:c>
      <x:c r="O2665" s="53" t="str">
        <x:v>Dylan's loyalty to Med and the police department is challenged when an old family friend and veteran cop exhibits concerning behavior. The annual random drug testing puts a doctor’s career in jeopardy. Ethan tries a risky old-school method on a patient. Will helps Stevie search for her mother.</x:v>
      </x:c>
      <x:c r="P2665" s="53" t="str">
        <x:v>Core One Chicago franchise</x:v>
      </x:c>
      <x:c r="Q2665" s="17" t="str">
        <x:v>5649308</x:v>
      </x:c>
      <x:c r="R2665" s="17" t="str">
        <x:v>tt15771998</x:v>
      </x:c>
      <x:c r="S2665" s="17" t="str"/>
    </x:row>
    <x:row r="2666">
      <x:c r="A2666" s="43" t="n">
        <x:v>2662</x:v>
      </x:c>
      <x:c r="B2666" s="44" t="str">
        <x:v>Not Started</x:v>
      </x:c>
      <x:c r="C2666" s="45" t="n">
        <x:v>44511</x:v>
      </x:c>
      <x:c r="D2666" s="33" t="str">
        <x:v>Chicago P.D.</x:v>
      </x:c>
      <x:c r="E2666" s="33" t="str">
        <x:v>One Chicago</x:v>
      </x:c>
      <x:c r="F2666" s="33" t="str">
        <x:v>core</x:v>
      </x:c>
      <x:c r="G2666" s="50" t="n">
        <x:v>9</x:v>
      </x:c>
      <x:c r="H2666" s="50" t="n">
        <x:v>8</x:v>
      </x:c>
      <x:c r="I2666" s="44" t="str">
        <x:v>09.08</x:v>
      </x:c>
      <x:c r="J2666" s="33" t="str">
        <x:v>Fractures</x:v>
      </x:c>
      <x:c r="K2666" s="33" t="str"/>
      <x:c r="L2666" s="33" t="str"/>
      <x:c r="M2666" s="44" t="str"/>
      <x:c r="N2666" s="50" t="n">
        <x:v>42</x:v>
      </x:c>
      <x:c r="O2666" s="53" t="str">
        <x:v>As the team investigates the stabbing of a father with two young daughters, they begin to suspect there is more to the story than meets the eye. The FBI investigation into Roy Walton’s death intensifies while Voight, Upton and Halstead feel the heat.</x:v>
      </x:c>
      <x:c r="P2666" s="53" t="str">
        <x:v>Core One Chicago franchise; crossovers with SVU/FBI</x:v>
      </x:c>
      <x:c r="Q2666" s="17" t="str">
        <x:v>5649709</x:v>
      </x:c>
      <x:c r="R2666" s="17" t="str">
        <x:v>tt15766790</x:v>
      </x:c>
      <x:c r="S2666" s="17" t="str"/>
    </x:row>
    <x:row r="2667">
      <x:c r="A2667" s="43" t="n">
        <x:v>2663</x:v>
      </x:c>
      <x:c r="B2667" s="44" t="str">
        <x:v>Not Started</x:v>
      </x:c>
      <x:c r="C2667" s="45" t="n">
        <x:v>44511</x:v>
      </x:c>
      <x:c r="D2667" s="33" t="str">
        <x:v>Chicago Fire</x:v>
      </x:c>
      <x:c r="E2667" s="33" t="str">
        <x:v>One Chicago</x:v>
      </x:c>
      <x:c r="F2667" s="33" t="str">
        <x:v>core</x:v>
      </x:c>
      <x:c r="G2667" s="50" t="n">
        <x:v>10</x:v>
      </x:c>
      <x:c r="H2667" s="50" t="n">
        <x:v>8</x:v>
      </x:c>
      <x:c r="I2667" s="44" t="str">
        <x:v>10.08</x:v>
      </x:c>
      <x:c r="J2667" s="33" t="str">
        <x:v>What Happened at Whiskey Point?</x:v>
      </x:c>
      <x:c r="K2667" s="33" t="str"/>
      <x:c r="L2667" s="33" t="str"/>
      <x:c r="M2667" s="44" t="str"/>
      <x:c r="N2667" s="50" t="n">
        <x:v>42</x:v>
      </x:c>
      <x:c r="O2667" s="53" t="str">
        <x:v>Severide and Herrmann clash over office space. Boden looks at Pelham’s past as he considers making him permanent. Gallo’s resentment of Pelham comes to a head. Brett and Ritter force Violet to confront her true feelings for Gallo.</x:v>
      </x:c>
      <x:c r="P2667" s="53" t="str">
        <x:v>Core One Chicago franchise</x:v>
      </x:c>
      <x:c r="Q2667" s="17" t="str">
        <x:v>5649708</x:v>
      </x:c>
      <x:c r="R2667" s="17" t="str">
        <x:v>tt15772008</x:v>
      </x:c>
      <x:c r="S2667" s="17" t="str"/>
    </x:row>
    <x:row r="2668">
      <x:c r="A2668" s="43" t="n">
        <x:v>2664</x:v>
      </x:c>
      <x:c r="B2668" s="44" t="str">
        <x:v>Not Started</x:v>
      </x:c>
      <x:c r="C2668" s="45" t="n">
        <x:v>44511</x:v>
      </x:c>
      <x:c r="D2668" s="33" t="str">
        <x:v>Law &amp; Order: Special Victims Unit</x:v>
      </x:c>
      <x:c r="E2668" s="33" t="str">
        <x:v>Law &amp; Order</x:v>
      </x:c>
      <x:c r="F2668" s="33" t="str">
        <x:v>core</x:v>
      </x:c>
      <x:c r="G2668" s="50" t="n">
        <x:v>23</x:v>
      </x:c>
      <x:c r="H2668" s="50" t="n">
        <x:v>8</x:v>
      </x:c>
      <x:c r="I2668" s="44" t="str">
        <x:v>23.08</x:v>
      </x:c>
      <x:c r="J2668" s="33" t="str">
        <x:v>Nightmares in Drill City</x:v>
      </x:c>
      <x:c r="K2668" s="33" t="str"/>
      <x:c r="L2668" s="33" t="str"/>
      <x:c r="M2668" s="44" t="str"/>
      <x:c r="N2668" s="50" t="n">
        <x:v>43</x:v>
      </x:c>
      <x:c r="O2668" s="53" t="str">
        <x:v>Carisi asks the SVU for help with a murder investigation when one of the witnesses shows signs of abuse.</x:v>
      </x:c>
      <x:c r="P2668" s="53" t="str">
        <x:v>Core Law &amp; Order franchise</x:v>
      </x:c>
      <x:c r="Q2668" s="17" t="str">
        <x:v>5646178</x:v>
      </x:c>
      <x:c r="R2668" s="17" t="str">
        <x:v>tt15767114</x:v>
      </x:c>
      <x:c r="S2668" s="17" t="str">
        <x:v>1517</x:v>
      </x:c>
    </x:row>
    <x:row r="2669">
      <x:c r="A2669" s="43" t="n">
        <x:v>2665</x:v>
      </x:c>
      <x:c r="B2669" s="44" t="str">
        <x:v>Not Started</x:v>
      </x:c>
      <x:c r="C2669" s="45" t="n">
        <x:v>44514</x:v>
      </x:c>
      <x:c r="D2669" s="33" t="str">
        <x:v>Cold Justice</x:v>
      </x:c>
      <x:c r="E2669" s="33" t="str">
        <x:v>Crossover Adjacent</x:v>
      </x:c>
      <x:c r="F2669" s="33" t="str">
        <x:v>complete</x:v>
      </x:c>
      <x:c r="G2669" s="50" t="n">
        <x:v>6</x:v>
      </x:c>
      <x:c r="H2669" s="50" t="n">
        <x:v>6</x:v>
      </x:c>
      <x:c r="I2669" s="44" t="str">
        <x:v>06.06</x:v>
      </x:c>
      <x:c r="J2669" s="33" t="str">
        <x:v>Out In the Cold</x:v>
      </x:c>
      <x:c r="K2669" s="33" t="str"/>
      <x:c r="L2669" s="33" t="str"/>
      <x:c r="M2669" s="44" t="str"/>
      <x:c r="N2669" s="50" t="n">
        <x:v>42</x:v>
      </x:c>
      <x:c r="O2669" s="53" t="str">
        <x:v>Kelly and Terri tackle the mysterious 1986 murder of a young Native American mother whose skull was found in the woods. Her infant daughter, now grown, is desperate to know if her father was involved.</x:v>
      </x:c>
      <x:c r="P2669" s="53" t="str">
        <x:v>Wolf Entertainment unscripted true-crime series</x:v>
      </x:c>
      <x:c r="Q2669" s="17" t="str">
        <x:v>4014912</x:v>
      </x:c>
      <x:c r="R2669" s="17" t="str"/>
      <x:c r="S2669" s="17" t="str"/>
    </x:row>
    <x:row r="2670">
      <x:c r="A2670" s="43" t="n">
        <x:v>2666</x:v>
      </x:c>
      <x:c r="B2670" s="44" t="str">
        <x:v>Not Started</x:v>
      </x:c>
      <x:c r="C2670" s="45" t="n">
        <x:v>44517</x:v>
      </x:c>
      <x:c r="D2670" s="33" t="str">
        <x:v>FBI: International</x:v>
      </x:c>
      <x:c r="E2670" s="33" t="str">
        <x:v>FBI</x:v>
      </x:c>
      <x:c r="F2670" s="33" t="str">
        <x:v>core</x:v>
      </x:c>
      <x:c r="G2670" s="50" t="n">
        <x:v>1</x:v>
      </x:c>
      <x:c r="H2670" s="50" t="n">
        <x:v>7</x:v>
      </x:c>
      <x:c r="I2670" s="44" t="str">
        <x:v>01.07</x:v>
      </x:c>
      <x:c r="J2670" s="33" t="str">
        <x:v>Trying to Grab Smoke</x:v>
      </x:c>
      <x:c r="K2670" s="33" t="str"/>
      <x:c r="L2670" s="33" t="str"/>
      <x:c r="M2670" s="44" t="str"/>
      <x:c r="N2670" s="50" t="n">
        <x:v>43</x:v>
      </x:c>
      <x:c r="O2670" s="53" t="str">
        <x:v>When an American founder of an illegal adults-only site is killed in Prague, the team is tasked to locate his co-founder, who is still on the run in Czech Republic; Kellett struggles to maintain a relationship with her mother.</x:v>
      </x:c>
      <x:c r="P2670" s="53" t="str">
        <x:v>Core FBI franchise</x:v>
      </x:c>
      <x:c r="Q2670" s="17" t="str">
        <x:v>5672082</x:v>
      </x:c>
      <x:c r="R2670" s="17" t="str">
        <x:v>tt15839520</x:v>
      </x:c>
      <x:c r="S2670" s="17" t="str"/>
    </x:row>
    <x:row r="2671">
      <x:c r="A2671" s="43" t="n">
        <x:v>2667</x:v>
      </x:c>
      <x:c r="B2671" s="44" t="str">
        <x:v>Not Started</x:v>
      </x:c>
      <x:c r="C2671" s="45" t="n">
        <x:v>44517</x:v>
      </x:c>
      <x:c r="D2671" s="33" t="str">
        <x:v>FBI: Most Wanted</x:v>
      </x:c>
      <x:c r="E2671" s="33" t="str">
        <x:v>FBI</x:v>
      </x:c>
      <x:c r="F2671" s="33" t="str">
        <x:v>core</x:v>
      </x:c>
      <x:c r="G2671" s="50" t="n">
        <x:v>3</x:v>
      </x:c>
      <x:c r="H2671" s="50" t="n">
        <x:v>7</x:v>
      </x:c>
      <x:c r="I2671" s="44" t="str">
        <x:v>03.07</x:v>
      </x:c>
      <x:c r="J2671" s="33" t="str">
        <x:v>Gladiator</x:v>
      </x:c>
      <x:c r="K2671" s="33" t="str"/>
      <x:c r="L2671" s="33" t="str"/>
      <x:c r="M2671" s="44" t="str"/>
      <x:c r="N2671" s="50" t="n">
        <x:v>42</x:v>
      </x:c>
      <x:c r="O2671" s="53" t="str">
        <x:v>The team investigates the murder of a professional basketball player’s wife, who was a famous lifestyle guru. Also, Kristin and her ex-husband grow closer, and Special Agent in Charge Isobel Castille checks in with the team on the high-profile case.</x:v>
      </x:c>
      <x:c r="P2671" s="53" t="str">
        <x:v>Core FBI franchise</x:v>
      </x:c>
      <x:c r="Q2671" s="17" t="str">
        <x:v>5672783</x:v>
      </x:c>
      <x:c r="R2671" s="17" t="str">
        <x:v>tt15839526</x:v>
      </x:c>
      <x:c r="S2671" s="17" t="str"/>
    </x:row>
    <x:row r="2672">
      <x:c r="A2672" s="43" t="n">
        <x:v>2668</x:v>
      </x:c>
      <x:c r="B2672" s="44" t="str">
        <x:v>Not Started</x:v>
      </x:c>
      <x:c r="C2672" s="45" t="n">
        <x:v>44517</x:v>
      </x:c>
      <x:c r="D2672" s="33" t="str">
        <x:v>FBI</x:v>
      </x:c>
      <x:c r="E2672" s="33" t="str">
        <x:v>FBI</x:v>
      </x:c>
      <x:c r="F2672" s="33" t="str">
        <x:v>core</x:v>
      </x:c>
      <x:c r="G2672" s="50" t="n">
        <x:v>4</x:v>
      </x:c>
      <x:c r="H2672" s="50" t="n">
        <x:v>7</x:v>
      </x:c>
      <x:c r="I2672" s="44" t="str">
        <x:v>04.07</x:v>
      </x:c>
      <x:c r="J2672" s="33" t="str">
        <x:v>Gone Baby Gone</x:v>
      </x:c>
      <x:c r="K2672" s="33" t="str"/>
      <x:c r="L2672" s="33" t="str"/>
      <x:c r="M2672" s="44" t="str"/>
      <x:c r="N2672" s="50" t="n">
        <x:v>43</x:v>
      </x:c>
      <x:c r="O2672" s="53" t="str">
        <x:v>After a young girl is kidnapped from her daycare, the team must help her parents navigate a debt owed to the deadly gang in their neighborhood; Maggie struggles to focus on the case when her sister returns from rehab.</x:v>
      </x:c>
      <x:c r="P2672" s="53" t="str">
        <x:v>Core FBI franchise</x:v>
      </x:c>
      <x:c r="Q2672" s="17" t="str">
        <x:v>5672080</x:v>
      </x:c>
      <x:c r="R2672" s="17" t="str">
        <x:v>tt15839514</x:v>
      </x:c>
      <x:c r="S2672" s="17" t="str"/>
    </x:row>
    <x:row r="2673">
      <x:c r="A2673" s="43" t="n">
        <x:v>2669</x:v>
      </x:c>
      <x:c r="B2673" s="44" t="str">
        <x:v>Not Started</x:v>
      </x:c>
      <x:c r="C2673" s="45" t="n">
        <x:v>44521</x:v>
      </x:c>
      <x:c r="D2673" s="33" t="str">
        <x:v>Cold Justice</x:v>
      </x:c>
      <x:c r="E2673" s="33" t="str">
        <x:v>Crossover Adjacent</x:v>
      </x:c>
      <x:c r="F2673" s="33" t="str">
        <x:v>complete</x:v>
      </x:c>
      <x:c r="G2673" s="50" t="n">
        <x:v>6</x:v>
      </x:c>
      <x:c r="H2673" s="50" t="n">
        <x:v>7</x:v>
      </x:c>
      <x:c r="I2673" s="44" t="str">
        <x:v>06.07</x:v>
      </x:c>
      <x:c r="J2673" s="33" t="str">
        <x:v>A Desperate Father</x:v>
      </x:c>
      <x:c r="K2673" s="33" t="str"/>
      <x:c r="L2673" s="33" t="str"/>
      <x:c r="M2673" s="44" t="str"/>
      <x:c r="N2673" s="50" t="n">
        <x:v>42</x:v>
      </x:c>
      <x:c r="O2673" s="53" t="str">
        <x:v>Kelly and Steve investigate the tragic murder of a 17-year-old girl found strangled to death by the railroad tracks. When their investigation hits roadblock after roadblock, can they uncover the truth and get justice for her grieving father?</x:v>
      </x:c>
      <x:c r="P2673" s="53" t="str">
        <x:v>Wolf Entertainment unscripted true-crime series</x:v>
      </x:c>
      <x:c r="Q2673" s="17" t="str">
        <x:v>4014914</x:v>
      </x:c>
      <x:c r="R2673" s="17" t="str"/>
      <x:c r="S2673" s="17" t="str"/>
    </x:row>
    <x:row r="2674">
      <x:c r="A2674" s="43" t="n">
        <x:v>2670</x:v>
      </x:c>
      <x:c r="B2674" s="44" t="str">
        <x:v>Not Started</x:v>
      </x:c>
      <x:c r="C2674" s="45" t="n">
        <x:v>44528</x:v>
      </x:c>
      <x:c r="D2674" s="33" t="str">
        <x:v>Cold Justice</x:v>
      </x:c>
      <x:c r="E2674" s="33" t="str">
        <x:v>Crossover Adjacent</x:v>
      </x:c>
      <x:c r="F2674" s="33" t="str">
        <x:v>complete</x:v>
      </x:c>
      <x:c r="G2674" s="50" t="n">
        <x:v>6</x:v>
      </x:c>
      <x:c r="H2674" s="50" t="n">
        <x:v>8</x:v>
      </x:c>
      <x:c r="I2674" s="44" t="str">
        <x:v>06.08</x:v>
      </x:c>
      <x:c r="J2674" s="33" t="str">
        <x:v>A Small Town Conspiracy</x:v>
      </x:c>
      <x:c r="K2674" s="33" t="str"/>
      <x:c r="L2674" s="33" t="str"/>
      <x:c r="M2674" s="44" t="str"/>
      <x:c r="N2674" s="50" t="n">
        <x:v>42</x:v>
      </x:c>
      <x:c r="O2674" s="53" t="str">
        <x:v>In a case that fascinated true crime fans, Kelly and Abbey investigate the 2006 homicide of Candace Hiltz, a teenage mother fatally shot just feet away from her infant daughter. Is there any truth to the rumors corrupt cops were involved?</x:v>
      </x:c>
      <x:c r="P2674" s="53" t="str">
        <x:v>Wolf Entertainment unscripted true-crime series</x:v>
      </x:c>
      <x:c r="Q2674" s="17" t="str">
        <x:v>4014916</x:v>
      </x:c>
      <x:c r="R2674" s="17" t="str"/>
      <x:c r="S2674" s="17" t="str"/>
    </x:row>
    <x:row r="2675">
      <x:c r="A2675" s="43" t="n">
        <x:v>2671</x:v>
      </x:c>
      <x:c r="B2675" s="44" t="str">
        <x:v>Not Started</x:v>
      </x:c>
      <x:c r="C2675" s="45" t="n">
        <x:v>44535</x:v>
      </x:c>
      <x:c r="D2675" s="33" t="str">
        <x:v>Cold Justice</x:v>
      </x:c>
      <x:c r="E2675" s="33" t="str">
        <x:v>Crossover Adjacent</x:v>
      </x:c>
      <x:c r="F2675" s="33" t="str">
        <x:v>complete</x:v>
      </x:c>
      <x:c r="G2675" s="50" t="n">
        <x:v>6</x:v>
      </x:c>
      <x:c r="H2675" s="50" t="n">
        <x:v>9</x:v>
      </x:c>
      <x:c r="I2675" s="44" t="str">
        <x:v>06.09</x:v>
      </x:c>
      <x:c r="J2675" s="33" t="str">
        <x:v>Sifting Through the Ashes</x:v>
      </x:c>
      <x:c r="K2675" s="33" t="str"/>
      <x:c r="L2675" s="33" t="str"/>
      <x:c r="M2675" s="44" t="str"/>
      <x:c r="N2675" s="50" t="n">
        <x:v>42</x:v>
      </x:c>
      <x:c r="O2675" s="53" t="str">
        <x:v>Kelly and Steve try to solve the murder of a woman who was brutally stabbed and then lit on fire in an attempt conceal the crime. Could a neighbor’s report of a mysterious black truck lead investigators to her killer?</x:v>
      </x:c>
      <x:c r="P2675" s="53" t="str">
        <x:v>Wolf Entertainment unscripted true-crime series</x:v>
      </x:c>
      <x:c r="Q2675" s="17" t="str">
        <x:v>5726246</x:v>
      </x:c>
      <x:c r="R2675" s="17" t="str"/>
      <x:c r="S2675" s="17" t="str"/>
    </x:row>
    <x:row r="2676">
      <x:c r="A2676" s="43" t="n">
        <x:v>2672</x:v>
      </x:c>
      <x:c r="B2676" s="44" t="str">
        <x:v>Not Started</x:v>
      </x:c>
      <x:c r="C2676" s="45" t="n">
        <x:v>44538</x:v>
      </x:c>
      <x:c r="D2676" s="33" t="str">
        <x:v>FBI: International</x:v>
      </x:c>
      <x:c r="E2676" s="33" t="str">
        <x:v>FBI</x:v>
      </x:c>
      <x:c r="F2676" s="33" t="str">
        <x:v>core</x:v>
      </x:c>
      <x:c r="G2676" s="50" t="n">
        <x:v>1</x:v>
      </x:c>
      <x:c r="H2676" s="50" t="n">
        <x:v>8</x:v>
      </x:c>
      <x:c r="I2676" s="44" t="str">
        <x:v>01.08</x:v>
      </x:c>
      <x:c r="J2676" s="33" t="str">
        <x:v>Voice of the People</x:v>
      </x:c>
      <x:c r="K2676" s="33" t="str"/>
      <x:c r="L2676" s="33" t="str"/>
      <x:c r="M2676" s="44" t="str"/>
      <x:c r="N2676" s="50" t="n">
        <x:v>43</x:v>
      </x:c>
      <x:c r="O2676" s="53" t="str">
        <x:v>When a group of Americans are among the victims of a bombing at a festival in Budapest, the team is brought in to find the perpetrators before they strike again. Also, when Vo's new beau is injured in the blast, she re-evaluates what dating truly means while in the bureau.</x:v>
      </x:c>
      <x:c r="P2676" s="53" t="str">
        <x:v>Core FBI franchise</x:v>
      </x:c>
      <x:c r="Q2676" s="17" t="str">
        <x:v>5689898</x:v>
      </x:c>
      <x:c r="R2676" s="17" t="str">
        <x:v>tt16119888</x:v>
      </x:c>
      <x:c r="S2676" s="17" t="str"/>
    </x:row>
    <x:row r="2677">
      <x:c r="A2677" s="43" t="n">
        <x:v>2673</x:v>
      </x:c>
      <x:c r="B2677" s="44" t="str">
        <x:v>Not Started</x:v>
      </x:c>
      <x:c r="C2677" s="45" t="n">
        <x:v>44538</x:v>
      </x:c>
      <x:c r="D2677" s="33" t="str">
        <x:v>FBI: Most Wanted</x:v>
      </x:c>
      <x:c r="E2677" s="33" t="str">
        <x:v>FBI</x:v>
      </x:c>
      <x:c r="F2677" s="33" t="str">
        <x:v>core</x:v>
      </x:c>
      <x:c r="G2677" s="50" t="n">
        <x:v>3</x:v>
      </x:c>
      <x:c r="H2677" s="50" t="n">
        <x:v>8</x:v>
      </x:c>
      <x:c r="I2677" s="44" t="str">
        <x:v>03.08</x:v>
      </x:c>
      <x:c r="J2677" s="33" t="str">
        <x:v>Sport of Kings</x:v>
      </x:c>
      <x:c r="K2677" s="33" t="str"/>
      <x:c r="L2677" s="33" t="str"/>
      <x:c r="M2677" s="44" t="str"/>
      <x:c r="N2677" s="50" t="n">
        <x:v>43</x:v>
      </x:c>
      <x:c r="O2677" s="53" t="str">
        <x:v>After a prized Kentucky racehorse is stolen and its groomer is taken hostage, the team quickly learns they may be the only ones who consider the young woman’s safety a priority over the horse’s. Also, Byron returns to celebrate the holidays with Jess and his family.</x:v>
      </x:c>
      <x:c r="P2677" s="53" t="str">
        <x:v>Core FBI franchise</x:v>
      </x:c>
      <x:c r="Q2677" s="17" t="str">
        <x:v>5703393</x:v>
      </x:c>
      <x:c r="R2677" s="17" t="str">
        <x:v>tt16123052</x:v>
      </x:c>
      <x:c r="S2677" s="17" t="str"/>
    </x:row>
    <x:row r="2678">
      <x:c r="A2678" s="43" t="n">
        <x:v>2674</x:v>
      </x:c>
      <x:c r="B2678" s="44" t="str">
        <x:v>Not Started</x:v>
      </x:c>
      <x:c r="C2678" s="45" t="n">
        <x:v>44538</x:v>
      </x:c>
      <x:c r="D2678" s="33" t="str">
        <x:v>FBI</x:v>
      </x:c>
      <x:c r="E2678" s="33" t="str">
        <x:v>FBI</x:v>
      </x:c>
      <x:c r="F2678" s="33" t="str">
        <x:v>core</x:v>
      </x:c>
      <x:c r="G2678" s="50" t="n">
        <x:v>4</x:v>
      </x:c>
      <x:c r="H2678" s="50" t="n">
        <x:v>8</x:v>
      </x:c>
      <x:c r="I2678" s="44" t="str">
        <x:v>04.08</x:v>
      </x:c>
      <x:c r="J2678" s="33" t="str">
        <x:v>Fire and Rain</x:v>
      </x:c>
      <x:c r="K2678" s="33" t="str"/>
      <x:c r="L2678" s="33" t="str"/>
      <x:c r="M2678" s="44" t="str"/>
      <x:c r="N2678" s="50" t="n">
        <x:v>43</x:v>
      </x:c>
      <x:c r="O2678" s="53" t="str">
        <x:v>The team attempts to extract key information from a vulnerable 9/11 widow, Hannah Thompson, who is shocked that her new “boyfriend” is the manipulative leader of a terrorist group planning an attack. Also, Scola is reminded of his brother’s death on 9/11, and Tiffany worries about his emotional choices during the investigation.</x:v>
      </x:c>
      <x:c r="P2678" s="53" t="str">
        <x:v>Core FBI franchise</x:v>
      </x:c>
      <x:c r="Q2678" s="17" t="str">
        <x:v>5689896</x:v>
      </x:c>
      <x:c r="R2678" s="17" t="str">
        <x:v>tt16119986</x:v>
      </x:c>
      <x:c r="S2678" s="17" t="str"/>
    </x:row>
    <x:row r="2679">
      <x:c r="A2679" s="43" t="n">
        <x:v>2675</x:v>
      </x:c>
      <x:c r="B2679" s="44" t="str">
        <x:v>Not Started</x:v>
      </x:c>
      <x:c r="C2679" s="45" t="n">
        <x:v>44539</x:v>
      </x:c>
      <x:c r="D2679" s="33" t="str">
        <x:v>Law &amp; Order: Organized Crime</x:v>
      </x:c>
      <x:c r="E2679" s="33" t="str">
        <x:v>Law &amp; Order</x:v>
      </x:c>
      <x:c r="F2679" s="33" t="str">
        <x:v>core</x:v>
      </x:c>
      <x:c r="G2679" s="50" t="n">
        <x:v>2</x:v>
      </x:c>
      <x:c r="H2679" s="50" t="n">
        <x:v>9</x:v>
      </x:c>
      <x:c r="I2679" s="44" t="str">
        <x:v>02.09</x:v>
      </x:c>
      <x:c r="J2679" s="33" t="str">
        <x:v>The Christmas Episode (II)</x:v>
      </x:c>
      <x:c r="K2679" s="33" t="str">
        <x:v>Multi-episode arc</x:v>
      </x:c>
      <x:c r="L2679" s="33" t="str">
        <x:v>The Christmas Episode</x:v>
      </x:c>
      <x:c r="M2679" s="44" t="str"/>
      <x:c r="N2679" s="50" t="n">
        <x:v>42</x:v>
      </x:c>
      <x:c r="O2679" s="53" t="str">
        <x:v>When Eli goes missing, Stabler asks Benson and the task force to help him find his son. Wheatley considers his future.
The crossover starts on Law &amp; Order: Special Victims Unit S23E09 People vs. Richard Wheatley (I).</x:v>
      </x:c>
      <x:c r="P2679" s="53" t="str">
        <x:v>Core Law &amp; Order franchise</x:v>
      </x:c>
      <x:c r="Q2679" s="17" t="str">
        <x:v>5689895</x:v>
      </x:c>
      <x:c r="R2679" s="17" t="str">
        <x:v>tt16034636</x:v>
      </x:c>
      <x:c r="S2679" s="17" t="str">
        <x:v>Canonical episode title notation; editorial inference.</x:v>
      </x:c>
    </x:row>
    <x:row r="2680">
      <x:c r="A2680" s="43" t="n">
        <x:v>2676</x:v>
      </x:c>
      <x:c r="B2680" s="44" t="str">
        <x:v>Not Started</x:v>
      </x:c>
      <x:c r="C2680" s="45" t="n">
        <x:v>44539</x:v>
      </x:c>
      <x:c r="D2680" s="33" t="str">
        <x:v>Chicago Med</x:v>
      </x:c>
      <x:c r="E2680" s="33" t="str">
        <x:v>One Chicago</x:v>
      </x:c>
      <x:c r="F2680" s="33" t="str">
        <x:v>core</x:v>
      </x:c>
      <x:c r="G2680" s="50" t="n">
        <x:v>7</x:v>
      </x:c>
      <x:c r="H2680" s="50" t="n">
        <x:v>9</x:v>
      </x:c>
      <x:c r="I2680" s="44" t="str">
        <x:v>07.09</x:v>
      </x:c>
      <x:c r="J2680" s="33" t="str">
        <x:v>Secret Santa Has a Gift for You</x:v>
      </x:c>
      <x:c r="K2680" s="33" t="str"/>
      <x:c r="L2680" s="33" t="str"/>
      <x:c r="M2680" s="44" t="str"/>
      <x:c r="N2680" s="50" t="n">
        <x:v>42</x:v>
      </x:c>
      <x:c r="O2680" s="53" t="str">
        <x:v>The outcome of Will's investigation weighs heavily on his mind as he works with Dylan to save a 4-month-old patient. Stevie and Vanessa both struggle to keep their secrets. Crockett and Blake work with Abrams to save a patient in need of a liver transplant.</x:v>
      </x:c>
      <x:c r="P2680" s="53" t="str">
        <x:v>Core One Chicago franchise</x:v>
      </x:c>
      <x:c r="Q2680" s="17" t="str">
        <x:v>5690992</x:v>
      </x:c>
      <x:c r="R2680" s="17" t="str">
        <x:v>tt15990292</x:v>
      </x:c>
      <x:c r="S2680" s="17" t="str"/>
    </x:row>
    <x:row r="2681">
      <x:c r="A2681" s="43" t="n">
        <x:v>2677</x:v>
      </x:c>
      <x:c r="B2681" s="44" t="str">
        <x:v>Not Started</x:v>
      </x:c>
      <x:c r="C2681" s="45" t="n">
        <x:v>44539</x:v>
      </x:c>
      <x:c r="D2681" s="33" t="str">
        <x:v>Chicago P.D.</x:v>
      </x:c>
      <x:c r="E2681" s="33" t="str">
        <x:v>One Chicago</x:v>
      </x:c>
      <x:c r="F2681" s="33" t="str">
        <x:v>core</x:v>
      </x:c>
      <x:c r="G2681" s="50" t="n">
        <x:v>9</x:v>
      </x:c>
      <x:c r="H2681" s="50" t="n">
        <x:v>9</x:v>
      </x:c>
      <x:c r="I2681" s="44" t="str">
        <x:v>09.09</x:v>
      </x:c>
      <x:c r="J2681" s="33" t="str">
        <x:v>A Way Out</x:v>
      </x:c>
      <x:c r="K2681" s="33" t="str"/>
      <x:c r="L2681" s="33" t="str"/>
      <x:c r="M2681" s="44" t="str"/>
      <x:c r="N2681" s="50" t="n">
        <x:v>42</x:v>
      </x:c>
      <x:c r="O2681" s="53" t="str">
        <x:v>With the FBI closing in on the Roy Walton investigation, Voight and Halstead strategize on a way out. After a city bus driver is shot by a passenger, the team investigates a possible abduction.</x:v>
      </x:c>
      <x:c r="P2681" s="53" t="str">
        <x:v>Core One Chicago franchise; crossovers with SVU/FBI</x:v>
      </x:c>
      <x:c r="Q2681" s="17" t="str">
        <x:v>5690993</x:v>
      </x:c>
      <x:c r="R2681" s="17" t="str">
        <x:v>tt15988706</x:v>
      </x:c>
      <x:c r="S2681" s="17" t="str"/>
    </x:row>
    <x:row r="2682">
      <x:c r="A2682" s="43" t="n">
        <x:v>2678</x:v>
      </x:c>
      <x:c r="B2682" s="44" t="str">
        <x:v>Not Started</x:v>
      </x:c>
      <x:c r="C2682" s="45" t="n">
        <x:v>44539</x:v>
      </x:c>
      <x:c r="D2682" s="33" t="str">
        <x:v>Chicago Fire</x:v>
      </x:c>
      <x:c r="E2682" s="33" t="str">
        <x:v>One Chicago</x:v>
      </x:c>
      <x:c r="F2682" s="33" t="str">
        <x:v>core</x:v>
      </x:c>
      <x:c r="G2682" s="50" t="n">
        <x:v>10</x:v>
      </x:c>
      <x:c r="H2682" s="50" t="n">
        <x:v>9</x:v>
      </x:c>
      <x:c r="I2682" s="44" t="str">
        <x:v>10.09</x:v>
      </x:c>
      <x:c r="J2682" s="33" t="str">
        <x:v>Winterfest</x:v>
      </x:c>
      <x:c r="K2682" s="33" t="str"/>
      <x:c r="L2682" s="33" t="str"/>
      <x:c r="M2682" s="44" t="str"/>
      <x:c r="N2682" s="50" t="n">
        <x:v>42</x:v>
      </x:c>
      <x:c r="O2682" s="53" t="str">
        <x:v>Gallo, Violet and Ritter debut their microbrewery business at Winterfest. Brett prepares to present her paramedicine program to an oversight panel. Firehouse 51 gets in the holiday spirit.</x:v>
      </x:c>
      <x:c r="P2682" s="53" t="str">
        <x:v>Core One Chicago franchise</x:v>
      </x:c>
      <x:c r="Q2682" s="17" t="str">
        <x:v>5690556</x:v>
      </x:c>
      <x:c r="R2682" s="17" t="str">
        <x:v>tt15988636</x:v>
      </x:c>
      <x:c r="S2682" s="17" t="str"/>
    </x:row>
    <x:row r="2683">
      <x:c r="A2683" s="43" t="n">
        <x:v>2679</x:v>
      </x:c>
      <x:c r="B2683" s="44" t="str">
        <x:v>Not Started</x:v>
      </x:c>
      <x:c r="C2683" s="45" t="n">
        <x:v>44539</x:v>
      </x:c>
      <x:c r="D2683" s="33" t="str">
        <x:v>Law &amp; Order: Special Victims Unit</x:v>
      </x:c>
      <x:c r="E2683" s="33" t="str">
        <x:v>Law &amp; Order</x:v>
      </x:c>
      <x:c r="F2683" s="33" t="str">
        <x:v>core</x:v>
      </x:c>
      <x:c r="G2683" s="50" t="n">
        <x:v>23</x:v>
      </x:c>
      <x:c r="H2683" s="50" t="n">
        <x:v>9</x:v>
      </x:c>
      <x:c r="I2683" s="44" t="str">
        <x:v>23.09</x:v>
      </x:c>
      <x:c r="J2683" s="33" t="str">
        <x:v>People vs. Richard Wheatley (I)</x:v>
      </x:c>
      <x:c r="K2683" s="33" t="str">
        <x:v>Multi-episode arc</x:v>
      </x:c>
      <x:c r="L2683" s="33" t="str">
        <x:v>People vs. Richard Wheatley</x:v>
      </x:c>
      <x:c r="M2683" s="44" t="str"/>
      <x:c r="N2683" s="50" t="n">
        <x:v>43</x:v>
      </x:c>
      <x:c r="O2683" s="53" t="str">
        <x:v>Carisi tries Richard Wheatley for the murder of Kathy Stabler. Benson finds herself at odds with a friend when Barba agrees to take the case.
The crossover continues on Law &amp; Order: Organized Crime S02E09 The Christmas Episode (II).</x:v>
      </x:c>
      <x:c r="P2683" s="53" t="str">
        <x:v>Core Law &amp; Order franchise</x:v>
      </x:c>
      <x:c r="Q2683" s="17" t="str">
        <x:v>5680467</x:v>
      </x:c>
      <x:c r="R2683" s="17" t="str">
        <x:v>tt16025040</x:v>
      </x:c>
      <x:c r="S2683" s="17" t="str">
        <x:v>Canonical episode title notation; editorial inference.</x:v>
      </x:c>
    </x:row>
    <x:row r="2684">
      <x:c r="A2684" s="43" t="n">
        <x:v>2680</x:v>
      </x:c>
      <x:c r="B2684" s="44" t="str">
        <x:v>Not Started</x:v>
      </x:c>
      <x:c r="C2684" s="45" t="n">
        <x:v>44542</x:v>
      </x:c>
      <x:c r="D2684" s="33" t="str">
        <x:v>Cold Justice</x:v>
      </x:c>
      <x:c r="E2684" s="33" t="str">
        <x:v>Crossover Adjacent</x:v>
      </x:c>
      <x:c r="F2684" s="33" t="str">
        <x:v>complete</x:v>
      </x:c>
      <x:c r="G2684" s="50" t="n">
        <x:v>6</x:v>
      </x:c>
      <x:c r="H2684" s="50" t="n">
        <x:v>10</x:v>
      </x:c>
      <x:c r="I2684" s="44" t="str">
        <x:v>06.10</x:v>
      </x:c>
      <x:c r="J2684" s="33" t="str">
        <x:v>Victim or Villian?</x:v>
      </x:c>
      <x:c r="K2684" s="33" t="str"/>
      <x:c r="L2684" s="33" t="str"/>
      <x:c r="M2684" s="44" t="str"/>
      <x:c r="N2684" s="50" t="n">
        <x:v>42</x:v>
      </x:c>
      <x:c r="O2684" s="53" t="str">
        <x:v>Kelly and Steve investigate the tragic homicides of a pregnant mother and her two-year-old son who died in an apartment fire while her husband escaped. An arson specialist is called in to help make sense of the clues and catch the killer.</x:v>
      </x:c>
      <x:c r="P2684" s="53" t="str">
        <x:v>Wolf Entertainment unscripted true-crime series</x:v>
      </x:c>
      <x:c r="Q2684" s="17" t="str">
        <x:v>5741571</x:v>
      </x:c>
      <x:c r="R2684" s="17" t="str"/>
      <x:c r="S2684" s="17" t="str"/>
    </x:row>
    <x:row r="2685">
      <x:c r="A2685" s="43" t="n">
        <x:v>2681</x:v>
      </x:c>
      <x:c r="B2685" s="44" t="str">
        <x:v>Not Started</x:v>
      </x:c>
      <x:c r="C2685" s="45" t="n">
        <x:v>44545</x:v>
      </x:c>
      <x:c r="D2685" s="33" t="str">
        <x:v>FBI: Most Wanted</x:v>
      </x:c>
      <x:c r="E2685" s="33" t="str">
        <x:v>FBI</x:v>
      </x:c>
      <x:c r="F2685" s="33" t="str">
        <x:v>core</x:v>
      </x:c>
      <x:c r="G2685" s="50" t="n">
        <x:v>3</x:v>
      </x:c>
      <x:c r="H2685" s="50" t="n">
        <x:v>9</x:v>
      </x:c>
      <x:c r="I2685" s="44" t="str">
        <x:v>03.09</x:v>
      </x:c>
      <x:c r="J2685" s="33" t="str">
        <x:v>Run-Hide-Fight</x:v>
      </x:c>
      <x:c r="K2685" s="33" t="str"/>
      <x:c r="L2685" s="33" t="str"/>
      <x:c r="M2685" s="44" t="str"/>
      <x:c r="N2685" s="50" t="n">
        <x:v>42</x:v>
      </x:c>
      <x:c r="O2685" s="53" t="str">
        <x:v>While holiday shopping, Barnes and Jess are caught in the middle of a mall shooting, with the exits rigged so no one can escape. Also, Gaines, Hana and Ortiz try to help from the outside, knowing their team's family members are inside and at risk.</x:v>
      </x:c>
      <x:c r="P2685" s="53" t="str">
        <x:v>Core FBI franchise</x:v>
      </x:c>
      <x:c r="Q2685" s="17" t="str">
        <x:v>5726069</x:v>
      </x:c>
      <x:c r="R2685" s="17" t="str">
        <x:v>tt16227118</x:v>
      </x:c>
      <x:c r="S2685" s="17" t="str"/>
    </x:row>
    <x:row r="2686">
      <x:c r="A2686" s="43" t="n">
        <x:v>2682</x:v>
      </x:c>
      <x:c r="B2686" s="44" t="str">
        <x:v>Not Started</x:v>
      </x:c>
      <x:c r="C2686" s="45" t="n">
        <x:v>44545</x:v>
      </x:c>
      <x:c r="D2686" s="33" t="str">
        <x:v>FBI</x:v>
      </x:c>
      <x:c r="E2686" s="33" t="str">
        <x:v>FBI</x:v>
      </x:c>
      <x:c r="F2686" s="33" t="str">
        <x:v>core</x:v>
      </x:c>
      <x:c r="G2686" s="50" t="n">
        <x:v>4</x:v>
      </x:c>
      <x:c r="H2686" s="50" t="n">
        <x:v>9</x:v>
      </x:c>
      <x:c r="I2686" s="44" t="str">
        <x:v>04.09</x:v>
      </x:c>
      <x:c r="J2686" s="33" t="str">
        <x:v>Unfinished Business</x:v>
      </x:c>
      <x:c r="K2686" s="33" t="str"/>
      <x:c r="L2686" s="33" t="str"/>
      <x:c r="M2686" s="44" t="str"/>
      <x:c r="N2686" s="50" t="n">
        <x:v>42</x:v>
      </x:c>
      <x:c r="O2686" s="53" t="str">
        <x:v>After Rina is critically wounded while heading to work with Jubal, the team makes the chilling discovery that a vengeful Vargas orchestrated the shooting from behind bars and continues to target the rest of their team and their loved ones.</x:v>
      </x:c>
      <x:c r="P2686" s="53" t="str">
        <x:v>Core FBI franchise</x:v>
      </x:c>
      <x:c r="Q2686" s="17" t="str">
        <x:v>5689897</x:v>
      </x:c>
      <x:c r="R2686" s="17" t="str">
        <x:v>tt16265940</x:v>
      </x:c>
      <x:c r="S2686" s="17" t="str"/>
    </x:row>
    <x:row r="2687">
      <x:c r="A2687" s="43" t="n">
        <x:v>2683</x:v>
      </x:c>
      <x:c r="B2687" s="44" t="str">
        <x:v>Not Started</x:v>
      </x:c>
      <x:c r="C2687" s="45" t="n">
        <x:v>44549</x:v>
      </x:c>
      <x:c r="D2687" s="33" t="str">
        <x:v>Cold Justice</x:v>
      </x:c>
      <x:c r="E2687" s="33" t="str">
        <x:v>Crossover Adjacent</x:v>
      </x:c>
      <x:c r="F2687" s="33" t="str">
        <x:v>complete</x:v>
      </x:c>
      <x:c r="G2687" s="50" t="n">
        <x:v>6</x:v>
      </x:c>
      <x:c r="H2687" s="50" t="n">
        <x:v>11</x:v>
      </x:c>
      <x:c r="I2687" s="44" t="str">
        <x:v>06.11</x:v>
      </x:c>
      <x:c r="J2687" s="33" t="str">
        <x:v>Father's Day Massacre</x:v>
      </x:c>
      <x:c r="K2687" s="33" t="str"/>
      <x:c r="L2687" s="33" t="str"/>
      <x:c r="M2687" s="44" t="str"/>
      <x:c r="N2687" s="50" t="n">
        <x:v>42</x:v>
      </x:c>
      <x:c r="O2687" s="53" t="str">
        <x:v>In their freshest cold case yet, Kelly and Steve tackle the recent double-homicide of a loving grandfather and his elderly mother gunned down at home; the crime scene suggests a killer with military training.</x:v>
      </x:c>
      <x:c r="P2687" s="53" t="str">
        <x:v>Wolf Entertainment unscripted true-crime series</x:v>
      </x:c>
      <x:c r="Q2687" s="17" t="str">
        <x:v>5757456</x:v>
      </x:c>
      <x:c r="R2687" s="17" t="str"/>
      <x:c r="S2687" s="17" t="str"/>
    </x:row>
    <x:row r="2688">
      <x:c r="A2688" s="43" t="n">
        <x:v>2684</x:v>
      </x:c>
      <x:c r="B2688" s="44" t="str">
        <x:v>Not Started</x:v>
      </x:c>
      <x:c r="C2688" s="45" t="n">
        <x:v>44556</x:v>
      </x:c>
      <x:c r="D2688" s="33" t="str">
        <x:v>Cold Justice</x:v>
      </x:c>
      <x:c r="E2688" s="33" t="str">
        <x:v>Crossover Adjacent</x:v>
      </x:c>
      <x:c r="F2688" s="33" t="str">
        <x:v>complete</x:v>
      </x:c>
      <x:c r="G2688" s="50" t="n">
        <x:v>6</x:v>
      </x:c>
      <x:c r="H2688" s="50" t="n">
        <x:v>12</x:v>
      </x:c>
      <x:c r="I2688" s="44" t="str">
        <x:v>06.12</x:v>
      </x:c>
      <x:c r="J2688" s="33" t="str">
        <x:v>Three Generations Gone</x:v>
      </x:c>
      <x:c r="K2688" s="33" t="str"/>
      <x:c r="L2688" s="33" t="str"/>
      <x:c r="M2688" s="44" t="str"/>
      <x:c r="N2688" s="50" t="n">
        <x:v>42</x:v>
      </x:c>
      <x:c r="O2688" s="53" t="str">
        <x:v>Kelly and Tonya delve into the grisly multiple murders of a young mother, grandmother, toddler, and newborn baby; forensic handwriting analysis could help identify the killer and author of a frightening message written on the wall.</x:v>
      </x:c>
      <x:c r="P2688" s="53" t="str">
        <x:v>Wolf Entertainment unscripted true-crime series</x:v>
      </x:c>
      <x:c r="Q2688" s="17" t="str">
        <x:v>5764482</x:v>
      </x:c>
      <x:c r="R2688" s="17" t="str"/>
      <x:c r="S2688" s="17" t="str"/>
    </x:row>
    <x:row r="2689">
      <x:c r="A2689" s="43" t="n">
        <x:v>2685</x:v>
      </x:c>
      <x:c r="B2689" s="44" t="str">
        <x:v>Not Started</x:v>
      </x:c>
      <x:c r="C2689" s="45" t="n">
        <x:v>44566</x:v>
      </x:c>
      <x:c r="D2689" s="33" t="str">
        <x:v>FBI: International</x:v>
      </x:c>
      <x:c r="E2689" s="33" t="str">
        <x:v>FBI</x:v>
      </x:c>
      <x:c r="F2689" s="33" t="str">
        <x:v>core</x:v>
      </x:c>
      <x:c r="G2689" s="50" t="n">
        <x:v>1</x:v>
      </x:c>
      <x:c r="H2689" s="50" t="n">
        <x:v>9</x:v>
      </x:c>
      <x:c r="I2689" s="44" t="str">
        <x:v>01.09</x:v>
      </x:c>
      <x:c r="J2689" s="33" t="str">
        <x:v>One Kind of Madman</x:v>
      </x:c>
      <x:c r="K2689" s="33" t="str"/>
      <x:c r="L2689" s="33" t="str"/>
      <x:c r="M2689" s="44" t="str"/>
      <x:c r="N2689" s="50" t="n">
        <x:v>43</x:v>
      </x:c>
      <x:c r="O2689" s="53" t="str">
        <x:v>The team jets to Bulgaria when terrorists hold hostage for millions in cryptocurrency a concert hall filled with multinational student performers and their families. Raines is intent on proving his field skills, and Forrester receives news of their dog, Tank.</x:v>
      </x:c>
      <x:c r="P2689" s="53" t="str">
        <x:v>Core FBI franchise</x:v>
      </x:c>
      <x:c r="Q2689" s="17" t="str">
        <x:v>5692631</x:v>
      </x:c>
      <x:c r="R2689" s="17" t="str">
        <x:v>tt16265948</x:v>
      </x:c>
      <x:c r="S2689" s="17" t="str"/>
    </x:row>
    <x:row r="2690">
      <x:c r="A2690" s="43" t="n">
        <x:v>2686</x:v>
      </x:c>
      <x:c r="B2690" s="44" t="str">
        <x:v>Not Started</x:v>
      </x:c>
      <x:c r="C2690" s="45" t="n">
        <x:v>44566</x:v>
      </x:c>
      <x:c r="D2690" s="33" t="str">
        <x:v>FBI: Most Wanted</x:v>
      </x:c>
      <x:c r="E2690" s="33" t="str">
        <x:v>FBI</x:v>
      </x:c>
      <x:c r="F2690" s="33" t="str">
        <x:v>core</x:v>
      </x:c>
      <x:c r="G2690" s="50" t="n">
        <x:v>3</x:v>
      </x:c>
      <x:c r="H2690" s="50" t="n">
        <x:v>10</x:v>
      </x:c>
      <x:c r="I2690" s="44" t="str">
        <x:v>03.10</x:v>
      </x:c>
      <x:c r="J2690" s="33" t="str">
        <x:v>Incendiary</x:v>
      </x:c>
      <x:c r="K2690" s="33" t="str"/>
      <x:c r="L2690" s="33" t="str"/>
      <x:c r="M2690" s="44" t="str"/>
      <x:c r="N2690" s="50" t="n">
        <x:v>43</x:v>
      </x:c>
      <x:c r="O2690" s="53" t="str">
        <x:v>The team hunts for a young man who is using napalm-style bombs to attack his targets. Also, with Tali away, Jess and Sarah begin to adjust to their empty nest.</x:v>
      </x:c>
      <x:c r="P2690" s="53" t="str">
        <x:v>Core FBI franchise</x:v>
      </x:c>
      <x:c r="Q2690" s="17" t="str">
        <x:v>5726073</x:v>
      </x:c>
      <x:c r="R2690" s="17" t="str">
        <x:v>tt16265952</x:v>
      </x:c>
      <x:c r="S2690" s="17" t="str"/>
    </x:row>
    <x:row r="2691">
      <x:c r="A2691" s="43" t="n">
        <x:v>2687</x:v>
      </x:c>
      <x:c r="B2691" s="44" t="str">
        <x:v>Not Started</x:v>
      </x:c>
      <x:c r="C2691" s="45" t="n">
        <x:v>44566</x:v>
      </x:c>
      <x:c r="D2691" s="33" t="str">
        <x:v>FBI</x:v>
      </x:c>
      <x:c r="E2691" s="33" t="str">
        <x:v>FBI</x:v>
      </x:c>
      <x:c r="F2691" s="33" t="str">
        <x:v>core</x:v>
      </x:c>
      <x:c r="G2691" s="50" t="n">
        <x:v>4</x:v>
      </x:c>
      <x:c r="H2691" s="50" t="n">
        <x:v>10</x:v>
      </x:c>
      <x:c r="I2691" s="44" t="str">
        <x:v>04.10</x:v>
      </x:c>
      <x:c r="J2691" s="33" t="str">
        <x:v>Fostered</x:v>
      </x:c>
      <x:c r="K2691" s="33" t="str"/>
      <x:c r="L2691" s="33" t="str"/>
      <x:c r="M2691" s="44" t="str"/>
      <x:c r="N2691" s="50" t="n">
        <x:v>42</x:v>
      </x:c>
      <x:c r="O2691" s="53" t="str">
        <x:v>As the team investigates a string of jewellery store robberies that culminate in a double murder, they uncover a connection to a 16-year-old boy trying to survive the foster care system. Tiffany becomes personally invested after learning about the boy's ill-fated upbringing.</x:v>
      </x:c>
      <x:c r="P2691" s="53" t="str">
        <x:v>Core FBI franchise</x:v>
      </x:c>
      <x:c r="Q2691" s="17" t="str">
        <x:v>5691165</x:v>
      </x:c>
      <x:c r="R2691" s="17" t="str">
        <x:v>tt16265944</x:v>
      </x:c>
      <x:c r="S2691" s="17" t="str"/>
    </x:row>
    <x:row r="2692">
      <x:c r="A2692" s="43" t="n">
        <x:v>2688</x:v>
      </x:c>
      <x:c r="B2692" s="44" t="str">
        <x:v>Not Started</x:v>
      </x:c>
      <x:c r="C2692" s="45" t="n">
        <x:v>44567</x:v>
      </x:c>
      <x:c r="D2692" s="33" t="str">
        <x:v>Law &amp; Order: Organized Crime</x:v>
      </x:c>
      <x:c r="E2692" s="33" t="str">
        <x:v>Law &amp; Order</x:v>
      </x:c>
      <x:c r="F2692" s="33" t="str">
        <x:v>core</x:v>
      </x:c>
      <x:c r="G2692" s="50" t="n">
        <x:v>2</x:v>
      </x:c>
      <x:c r="H2692" s="50" t="n">
        <x:v>10</x:v>
      </x:c>
      <x:c r="I2692" s="44" t="str">
        <x:v>02.10</x:v>
      </x:c>
      <x:c r="J2692" s="33" t="str">
        <x:v>Nemesis</x:v>
      </x:c>
      <x:c r="K2692" s="33" t="str"/>
      <x:c r="L2692" s="33" t="str"/>
      <x:c r="M2692" s="44" t="str"/>
      <x:c r="N2692" s="50" t="n">
        <x:v>42</x:v>
      </x:c>
      <x:c r="O2692" s="53" t="str">
        <x:v>When a notorious cybercriminal escapes a high-security prison, Stabler must team up with an unlikely informant. Kilbride takes Nova under his wing.</x:v>
      </x:c>
      <x:c r="P2692" s="53" t="str">
        <x:v>Core Law &amp; Order franchise</x:v>
      </x:c>
      <x:c r="Q2692" s="17" t="str">
        <x:v>5692607</x:v>
      </x:c>
      <x:c r="R2692" s="17" t="str">
        <x:v>tt16315964</x:v>
      </x:c>
      <x:c r="S2692" s="17" t="str">
        <x:v>1522</x:v>
      </x:c>
    </x:row>
    <x:row r="2693">
      <x:c r="A2693" s="43" t="n">
        <x:v>2689</x:v>
      </x:c>
      <x:c r="B2693" s="44" t="str">
        <x:v>Not Started</x:v>
      </x:c>
      <x:c r="C2693" s="45" t="n">
        <x:v>44567</x:v>
      </x:c>
      <x:c r="D2693" s="33" t="str">
        <x:v>Chicago Med</x:v>
      </x:c>
      <x:c r="E2693" s="33" t="str">
        <x:v>One Chicago</x:v>
      </x:c>
      <x:c r="F2693" s="33" t="str">
        <x:v>core</x:v>
      </x:c>
      <x:c r="G2693" s="50" t="n">
        <x:v>7</x:v>
      </x:c>
      <x:c r="H2693" s="50" t="n">
        <x:v>10</x:v>
      </x:c>
      <x:c r="I2693" s="44" t="str">
        <x:v>07.10</x:v>
      </x:c>
      <x:c r="J2693" s="33" t="str">
        <x:v>No Good Deed Goes Unpunished... in Chicago</x:v>
      </x:c>
      <x:c r="K2693" s="33" t="str"/>
      <x:c r="L2693" s="33" t="str"/>
      <x:c r="M2693" s="44" t="str"/>
      <x:c r="N2693" s="50" t="n">
        <x:v>42</x:v>
      </x:c>
      <x:c r="O2693" s="53" t="str">
        <x:v>In the aftermath of the Vas-COM scandal, Goodwin clashes with the hospital’s new compliance officer. Crockett and Blake try to save a patient who has a son with severe autism. A patient’s son lies to his father about his diagnosis.</x:v>
      </x:c>
      <x:c r="P2693" s="53" t="str">
        <x:v>Core One Chicago franchise</x:v>
      </x:c>
      <x:c r="Q2693" s="17" t="str">
        <x:v>5723482</x:v>
      </x:c>
      <x:c r="R2693" s="17" t="str">
        <x:v>tt16380610</x:v>
      </x:c>
      <x:c r="S2693" s="17" t="str"/>
    </x:row>
    <x:row r="2694">
      <x:c r="A2694" s="43" t="n">
        <x:v>2690</x:v>
      </x:c>
      <x:c r="B2694" s="44" t="str">
        <x:v>Not Started</x:v>
      </x:c>
      <x:c r="C2694" s="45" t="n">
        <x:v>44567</x:v>
      </x:c>
      <x:c r="D2694" s="33" t="str">
        <x:v>Chicago P.D.</x:v>
      </x:c>
      <x:c r="E2694" s="33" t="str">
        <x:v>One Chicago</x:v>
      </x:c>
      <x:c r="F2694" s="33" t="str">
        <x:v>core</x:v>
      </x:c>
      <x:c r="G2694" s="50" t="n">
        <x:v>9</x:v>
      </x:c>
      <x:c r="H2694" s="50" t="n">
        <x:v>10</x:v>
      </x:c>
      <x:c r="I2694" s="44" t="str">
        <x:v>09.10</x:v>
      </x:c>
      <x:c r="J2694" s="33" t="str">
        <x:v>Home Safe</x:v>
      </x:c>
      <x:c r="K2694" s="33" t="str"/>
      <x:c r="L2694" s="33" t="str"/>
      <x:c r="M2694" s="44" t="str"/>
      <x:c r="N2694" s="50" t="n">
        <x:v>43</x:v>
      </x:c>
      <x:c r="O2694" s="53" t="str">
        <x:v>The team searches for a missing child in what turns out to be a very complicated case. Burgess and Ruzek are in for a shock when someone from Makayla’s past comes forward.</x:v>
      </x:c>
      <x:c r="P2694" s="53" t="str">
        <x:v>Core One Chicago franchise; crossovers with SVU/FBI</x:v>
      </x:c>
      <x:c r="Q2694" s="17" t="str">
        <x:v>5723483</x:v>
      </x:c>
      <x:c r="R2694" s="17" t="str">
        <x:v>tt16034876</x:v>
      </x:c>
      <x:c r="S2694" s="17" t="str"/>
    </x:row>
    <x:row r="2695">
      <x:c r="A2695" s="43" t="n">
        <x:v>2691</x:v>
      </x:c>
      <x:c r="B2695" s="44" t="str">
        <x:v>Not Started</x:v>
      </x:c>
      <x:c r="C2695" s="45" t="n">
        <x:v>44567</x:v>
      </x:c>
      <x:c r="D2695" s="33" t="str">
        <x:v>Chicago Fire</x:v>
      </x:c>
      <x:c r="E2695" s="33" t="str">
        <x:v>One Chicago</x:v>
      </x:c>
      <x:c r="F2695" s="33" t="str">
        <x:v>core</x:v>
      </x:c>
      <x:c r="G2695" s="50" t="n">
        <x:v>10</x:v>
      </x:c>
      <x:c r="H2695" s="50" t="n">
        <x:v>10</x:v>
      </x:c>
      <x:c r="I2695" s="44" t="str">
        <x:v>10.10</x:v>
      </x:c>
      <x:c r="J2695" s="33" t="str">
        <x:v>Back with a Bang</x:v>
      </x:c>
      <x:c r="K2695" s="33" t="str"/>
      <x:c r="L2695" s="33" t="str"/>
      <x:c r="M2695" s="44" t="str"/>
      <x:c r="N2695" s="50" t="n">
        <x:v>42</x:v>
      </x:c>
      <x:c r="O2695" s="53" t="str">
        <x:v>Stella Kidd returns to Firehouse 51. The team must work together to put out a potassium fire in a tunnel. After that incident, Ritter begins to worry about a young cop who witnessed the fiery death of a truck driver.</x:v>
      </x:c>
      <x:c r="P2695" s="53" t="str">
        <x:v>Core One Chicago franchise</x:v>
      </x:c>
      <x:c r="Q2695" s="17" t="str">
        <x:v>5723865</x:v>
      </x:c>
      <x:c r="R2695" s="17" t="str">
        <x:v>tt16380122</x:v>
      </x:c>
      <x:c r="S2695" s="17" t="str"/>
    </x:row>
    <x:row r="2696">
      <x:c r="A2696" s="43" t="n">
        <x:v>2692</x:v>
      </x:c>
      <x:c r="B2696" s="44" t="str">
        <x:v>Not Started</x:v>
      </x:c>
      <x:c r="C2696" s="45" t="n">
        <x:v>44567</x:v>
      </x:c>
      <x:c r="D2696" s="33" t="str">
        <x:v>Law &amp; Order: Special Victims Unit</x:v>
      </x:c>
      <x:c r="E2696" s="33" t="str">
        <x:v>Law &amp; Order</x:v>
      </x:c>
      <x:c r="F2696" s="33" t="str">
        <x:v>core</x:v>
      </x:c>
      <x:c r="G2696" s="50" t="n">
        <x:v>23</x:v>
      </x:c>
      <x:c r="H2696" s="50" t="n">
        <x:v>10</x:v>
      </x:c>
      <x:c r="I2696" s="44" t="str">
        <x:v>23.10</x:v>
      </x:c>
      <x:c r="J2696" s="33" t="str">
        <x:v>Silent Night, Hateful Night</x:v>
      </x:c>
      <x:c r="K2696" s="33" t="str"/>
      <x:c r="L2696" s="33" t="str"/>
      <x:c r="M2696" s="44" t="str"/>
      <x:c r="N2696" s="50" t="n">
        <x:v>43</x:v>
      </x:c>
      <x:c r="O2696" s="53" t="str">
        <x:v>The SVU is called in to help investigate a wave of hate crimes on Christmas Eve. Rollins catches up with an old flame.</x:v>
      </x:c>
      <x:c r="P2696" s="53" t="str">
        <x:v>Core Law &amp; Order franchise</x:v>
      </x:c>
      <x:c r="Q2696" s="17" t="str">
        <x:v>5692419</x:v>
      </x:c>
      <x:c r="R2696" s="17" t="str">
        <x:v>tt16296942</x:v>
      </x:c>
      <x:c r="S2696" s="17" t="str">
        <x:v>1521</x:v>
      </x:c>
    </x:row>
    <x:row r="2697">
      <x:c r="A2697" s="43" t="n">
        <x:v>2693</x:v>
      </x:c>
      <x:c r="B2697" s="44" t="str">
        <x:v>Not Started</x:v>
      </x:c>
      <x:c r="C2697" s="45" t="n">
        <x:v>44573</x:v>
      </x:c>
      <x:c r="D2697" s="33" t="str">
        <x:v>FBI: International</x:v>
      </x:c>
      <x:c r="E2697" s="33" t="str">
        <x:v>FBI</x:v>
      </x:c>
      <x:c r="F2697" s="33" t="str">
        <x:v>core</x:v>
      </x:c>
      <x:c r="G2697" s="50" t="n">
        <x:v>1</x:v>
      </x:c>
      <x:c r="H2697" s="50" t="n">
        <x:v>10</x:v>
      </x:c>
      <x:c r="I2697" s="44" t="str">
        <x:v>01.10</x:v>
      </x:c>
      <x:c r="J2697" s="33" t="str">
        <x:v>Close to the Sun</x:v>
      </x:c>
      <x:c r="K2697" s="33" t="str"/>
      <x:c r="L2697" s="33" t="str"/>
      <x:c r="M2697" s="44" t="str"/>
      <x:c r="N2697" s="50" t="n">
        <x:v>43</x:v>
      </x:c>
      <x:c r="O2697" s="53" t="str">
        <x:v>Kellett and the team reluctantly join an investigation in Northern Ireland, when one of Kellett's informants is arrested for his connection to a robbery and murder, and calls her to help clear his name.</x:v>
      </x:c>
      <x:c r="P2697" s="53" t="str">
        <x:v>Core FBI franchise</x:v>
      </x:c>
      <x:c r="Q2697" s="17" t="str">
        <x:v>5798644</x:v>
      </x:c>
      <x:c r="R2697" s="17" t="str">
        <x:v>tt16452430</x:v>
      </x:c>
      <x:c r="S2697" s="17" t="str"/>
    </x:row>
    <x:row r="2698">
      <x:c r="A2698" s="43" t="n">
        <x:v>2694</x:v>
      </x:c>
      <x:c r="B2698" s="44" t="str">
        <x:v>Not Started</x:v>
      </x:c>
      <x:c r="C2698" s="45" t="n">
        <x:v>44573</x:v>
      </x:c>
      <x:c r="D2698" s="33" t="str">
        <x:v>FBI: Most Wanted</x:v>
      </x:c>
      <x:c r="E2698" s="33" t="str">
        <x:v>FBI</x:v>
      </x:c>
      <x:c r="F2698" s="33" t="str">
        <x:v>core</x:v>
      </x:c>
      <x:c r="G2698" s="50" t="n">
        <x:v>3</x:v>
      </x:c>
      <x:c r="H2698" s="50" t="n">
        <x:v>11</x:v>
      </x:c>
      <x:c r="I2698" s="44" t="str">
        <x:v>03.11</x:v>
      </x:c>
      <x:c r="J2698" s="33" t="str">
        <x:v>Hunter</x:v>
      </x:c>
      <x:c r="K2698" s="33" t="str"/>
      <x:c r="L2698" s="33" t="str"/>
      <x:c r="M2698" s="44" t="str"/>
      <x:c r="N2698" s="50" t="n">
        <x:v>43</x:v>
      </x:c>
      <x:c r="O2698" s="53" t="str">
        <x:v>The Fugitive Task Force chases a killer who plays a twisted game of cat and mouse with his victims. Also, Hana shares something personal about herself with her new roommate, Ortiz.</x:v>
      </x:c>
      <x:c r="P2698" s="53" t="str">
        <x:v>Core FBI franchise</x:v>
      </x:c>
      <x:c r="Q2698" s="17" t="str">
        <x:v>5782562</x:v>
      </x:c>
      <x:c r="R2698" s="17" t="str">
        <x:v>tt16743506</x:v>
      </x:c>
      <x:c r="S2698" s="17" t="str"/>
    </x:row>
    <x:row r="2699">
      <x:c r="A2699" s="43" t="n">
        <x:v>2695</x:v>
      </x:c>
      <x:c r="B2699" s="44" t="str">
        <x:v>Not Started</x:v>
      </x:c>
      <x:c r="C2699" s="45" t="n">
        <x:v>44573</x:v>
      </x:c>
      <x:c r="D2699" s="33" t="str">
        <x:v>FBI</x:v>
      </x:c>
      <x:c r="E2699" s="33" t="str">
        <x:v>FBI</x:v>
      </x:c>
      <x:c r="F2699" s="33" t="str">
        <x:v>core</x:v>
      </x:c>
      <x:c r="G2699" s="50" t="n">
        <x:v>4</x:v>
      </x:c>
      <x:c r="H2699" s="50" t="n">
        <x:v>11</x:v>
      </x:c>
      <x:c r="I2699" s="44" t="str">
        <x:v>04.11</x:v>
      </x:c>
      <x:c r="J2699" s="33" t="str">
        <x:v>Grief</x:v>
      </x:c>
      <x:c r="K2699" s="33" t="str"/>
      <x:c r="L2699" s="33" t="str"/>
      <x:c r="M2699" s="44" t="str"/>
      <x:c r="N2699" s="50" t="n">
        <x:v>43</x:v>
      </x:c>
      <x:c r="O2699" s="53" t="str">
        <x:v>The team searches for an abducted college coed; Jubal has a tense encounter with Rina's mother.</x:v>
      </x:c>
      <x:c r="P2699" s="53" t="str">
        <x:v>Core FBI franchise</x:v>
      </x:c>
      <x:c r="Q2699" s="17" t="str">
        <x:v>5797548</x:v>
      </x:c>
      <x:c r="R2699" s="17" t="str">
        <x:v>tt16480506</x:v>
      </x:c>
      <x:c r="S2699" s="17" t="str"/>
    </x:row>
    <x:row r="2700">
      <x:c r="A2700" s="43" t="n">
        <x:v>2696</x:v>
      </x:c>
      <x:c r="B2700" s="44" t="str">
        <x:v>Not Started</x:v>
      </x:c>
      <x:c r="C2700" s="45" t="n">
        <x:v>44574</x:v>
      </x:c>
      <x:c r="D2700" s="33" t="str">
        <x:v>Law &amp; Order: Organized Crime</x:v>
      </x:c>
      <x:c r="E2700" s="33" t="str">
        <x:v>Law &amp; Order</x:v>
      </x:c>
      <x:c r="F2700" s="33" t="str">
        <x:v>core</x:v>
      </x:c>
      <x:c r="G2700" s="50" t="n">
        <x:v>2</x:v>
      </x:c>
      <x:c r="H2700" s="50" t="n">
        <x:v>11</x:v>
      </x:c>
      <x:c r="I2700" s="44" t="str">
        <x:v>02.11</x:v>
      </x:c>
      <x:c r="J2700" s="33" t="str">
        <x:v>As Nottingham Was to Robin Hood</x:v>
      </x:c>
      <x:c r="K2700" s="33" t="str"/>
      <x:c r="L2700" s="33" t="str"/>
      <x:c r="M2700" s="44" t="str"/>
      <x:c r="N2700" s="50" t="n">
        <x:v>42</x:v>
      </x:c>
      <x:c r="O2700" s="53" t="str">
        <x:v>When a barrage of cyberattacks cripples the city, Stabler is convinced Wheatley is involved. Bernadette receives an unwelcome visitor.</x:v>
      </x:c>
      <x:c r="P2700" s="53" t="str">
        <x:v>Core Law &amp; Order franchise</x:v>
      </x:c>
      <x:c r="Q2700" s="17" t="str">
        <x:v>5782871</x:v>
      </x:c>
      <x:c r="R2700" s="17" t="str">
        <x:v>tt16728916</x:v>
      </x:c>
      <x:c r="S2700" s="17" t="str">
        <x:v>1524</x:v>
      </x:c>
    </x:row>
    <x:row r="2701">
      <x:c r="A2701" s="43" t="n">
        <x:v>2697</x:v>
      </x:c>
      <x:c r="B2701" s="44" t="str">
        <x:v>Not Started</x:v>
      </x:c>
      <x:c r="C2701" s="45" t="n">
        <x:v>44574</x:v>
      </x:c>
      <x:c r="D2701" s="33" t="str">
        <x:v>Chicago Med</x:v>
      </x:c>
      <x:c r="E2701" s="33" t="str">
        <x:v>One Chicago</x:v>
      </x:c>
      <x:c r="F2701" s="33" t="str">
        <x:v>core</x:v>
      </x:c>
      <x:c r="G2701" s="50" t="n">
        <x:v>7</x:v>
      </x:c>
      <x:c r="H2701" s="50" t="n">
        <x:v>11</x:v>
      </x:c>
      <x:c r="I2701" s="44" t="str">
        <x:v>07.11</x:v>
      </x:c>
      <x:c r="J2701" s="33" t="str">
        <x:v>The Things We Thought We Left Behind</x:v>
      </x:c>
      <x:c r="K2701" s="33" t="str"/>
      <x:c r="L2701" s="33" t="str"/>
      <x:c r="M2701" s="44" t="str"/>
      <x:c r="N2701" s="50" t="n">
        <x:v>43</x:v>
      </x:c>
      <x:c r="O2701" s="53" t="str">
        <x:v>Crockett and Blake clash with Randall when a famous alcoholic football player needs a liver transplant. Dylan is reluctantly reunited with old friends when their son breaks his arm. Stevie and Charles work together when a patient falls ill after back-alley plastic surgery.</x:v>
      </x:c>
      <x:c r="P2701" s="53" t="str">
        <x:v>Core One Chicago franchise</x:v>
      </x:c>
      <x:c r="Q2701" s="17" t="str">
        <x:v>5777198</x:v>
      </x:c>
      <x:c r="R2701" s="17" t="str">
        <x:v>tt16710532</x:v>
      </x:c>
      <x:c r="S2701" s="17" t="str"/>
    </x:row>
    <x:row r="2702">
      <x:c r="A2702" s="43" t="n">
        <x:v>2698</x:v>
      </x:c>
      <x:c r="B2702" s="44" t="str">
        <x:v>Not Started</x:v>
      </x:c>
      <x:c r="C2702" s="45" t="n">
        <x:v>44574</x:v>
      </x:c>
      <x:c r="D2702" s="33" t="str">
        <x:v>Chicago P.D.</x:v>
      </x:c>
      <x:c r="E2702" s="33" t="str">
        <x:v>One Chicago</x:v>
      </x:c>
      <x:c r="F2702" s="33" t="str">
        <x:v>core</x:v>
      </x:c>
      <x:c r="G2702" s="50" t="n">
        <x:v>9</x:v>
      </x:c>
      <x:c r="H2702" s="50" t="n">
        <x:v>11</x:v>
      </x:c>
      <x:c r="I2702" s="44" t="str">
        <x:v>09.11</x:v>
      </x:c>
      <x:c r="J2702" s="33" t="str">
        <x:v>Lies</x:v>
      </x:c>
      <x:c r="K2702" s="33" t="str"/>
      <x:c r="L2702" s="33" t="str"/>
      <x:c r="M2702" s="44" t="str"/>
      <x:c r="N2702" s="50" t="n">
        <x:v>42</x:v>
      </x:c>
      <x:c r="O2702" s="53" t="str">
        <x:v>Voight employs his new informant to help solve a tricky drug trafficking case. Atwater, who once again struggles to reconcile his personal and professional life, reaches a decision.</x:v>
      </x:c>
      <x:c r="P2702" s="53" t="str">
        <x:v>Core One Chicago franchise; crossovers with SVU/FBI</x:v>
      </x:c>
      <x:c r="Q2702" s="17" t="str">
        <x:v>5777183</x:v>
      </x:c>
      <x:c r="R2702" s="17" t="str">
        <x:v>tt16710558</x:v>
      </x:c>
      <x:c r="S2702" s="17" t="str"/>
    </x:row>
    <x:row r="2703">
      <x:c r="A2703" s="43" t="n">
        <x:v>2699</x:v>
      </x:c>
      <x:c r="B2703" s="44" t="str">
        <x:v>Not Started</x:v>
      </x:c>
      <x:c r="C2703" s="45" t="n">
        <x:v>44574</x:v>
      </x:c>
      <x:c r="D2703" s="33" t="str">
        <x:v>Chicago Fire</x:v>
      </x:c>
      <x:c r="E2703" s="33" t="str">
        <x:v>One Chicago</x:v>
      </x:c>
      <x:c r="F2703" s="33" t="str">
        <x:v>core</x:v>
      </x:c>
      <x:c r="G2703" s="50" t="n">
        <x:v>10</x:v>
      </x:c>
      <x:c r="H2703" s="50" t="n">
        <x:v>11</x:v>
      </x:c>
      <x:c r="I2703" s="44" t="str">
        <x:v>10.11</x:v>
      </x:c>
      <x:c r="J2703" s="33" t="str">
        <x:v>Fog of War</x:v>
      </x:c>
      <x:c r="K2703" s="33" t="str"/>
      <x:c r="L2703" s="33" t="str"/>
      <x:c r="M2703" s="44" t="str"/>
      <x:c r="N2703" s="50" t="n">
        <x:v>42</x:v>
      </x:c>
      <x:c r="O2703" s="53" t="str">
        <x:v>On a call with Station 37, a firefighter is struck by a power line and decides to lash out after her injury. Brett is visited by Scott and Amelia. Violet gets a surprise envelope. The rest of 51 enters a contest.</x:v>
      </x:c>
      <x:c r="P2703" s="53" t="str">
        <x:v>Core One Chicago franchise</x:v>
      </x:c>
      <x:c r="Q2703" s="17" t="str">
        <x:v>5777189</x:v>
      </x:c>
      <x:c r="R2703" s="17" t="str">
        <x:v>tt16710556</x:v>
      </x:c>
      <x:c r="S2703" s="17" t="str"/>
    </x:row>
    <x:row r="2704">
      <x:c r="A2704" s="43" t="n">
        <x:v>2700</x:v>
      </x:c>
      <x:c r="B2704" s="44" t="str">
        <x:v>Not Started</x:v>
      </x:c>
      <x:c r="C2704" s="45" t="n">
        <x:v>44574</x:v>
      </x:c>
      <x:c r="D2704" s="33" t="str">
        <x:v>Law &amp; Order: Special Victims Unit</x:v>
      </x:c>
      <x:c r="E2704" s="33" t="str">
        <x:v>Law &amp; Order</x:v>
      </x:c>
      <x:c r="F2704" s="33" t="str">
        <x:v>core</x:v>
      </x:c>
      <x:c r="G2704" s="50" t="n">
        <x:v>23</x:v>
      </x:c>
      <x:c r="H2704" s="50" t="n">
        <x:v>11</x:v>
      </x:c>
      <x:c r="I2704" s="44" t="str">
        <x:v>23.11</x:v>
      </x:c>
      <x:c r="J2704" s="33" t="str">
        <x:v>Burning with Rage Forever</x:v>
      </x:c>
      <x:c r="K2704" s="33" t="str"/>
      <x:c r="L2704" s="33" t="str"/>
      <x:c r="M2704" s="44" t="str"/>
      <x:c r="N2704" s="50" t="n">
        <x:v>43</x:v>
      </x:c>
      <x:c r="O2704" s="53" t="str">
        <x:v>A boy disappears after meeting up with an online gamer; Benson suspects her son is being bullied.</x:v>
      </x:c>
      <x:c r="P2704" s="53" t="str">
        <x:v>Core Law &amp; Order franchise</x:v>
      </x:c>
      <x:c r="Q2704" s="17" t="str">
        <x:v>5752456</x:v>
      </x:c>
      <x:c r="R2704" s="17" t="str">
        <x:v>tt16605606</x:v>
      </x:c>
      <x:c r="S2704" s="17" t="str">
        <x:v>1523</x:v>
      </x:c>
    </x:row>
    <x:row r="2705">
      <x:c r="A2705" s="43" t="n">
        <x:v>2701</x:v>
      </x:c>
      <x:c r="B2705" s="44" t="str">
        <x:v>Not Started</x:v>
      </x:c>
      <x:c r="C2705" s="45" t="n">
        <x:v>44581</x:v>
      </x:c>
      <x:c r="D2705" s="33" t="str">
        <x:v>Law &amp; Order: Organized Crime</x:v>
      </x:c>
      <x:c r="E2705" s="33" t="str">
        <x:v>Law &amp; Order</x:v>
      </x:c>
      <x:c r="F2705" s="33" t="str">
        <x:v>core</x:v>
      </x:c>
      <x:c r="G2705" s="50" t="n">
        <x:v>2</x:v>
      </x:c>
      <x:c r="H2705" s="50" t="n">
        <x:v>12</x:v>
      </x:c>
      <x:c r="I2705" s="44" t="str">
        <x:v>02.12</x:v>
      </x:c>
      <x:c r="J2705" s="33" t="str">
        <x:v>As Iago Is to Othello</x:v>
      </x:c>
      <x:c r="K2705" s="33" t="str"/>
      <x:c r="L2705" s="33" t="str"/>
      <x:c r="M2705" s="44" t="str"/>
      <x:c r="N2705" s="50" t="n">
        <x:v>42</x:v>
      </x:c>
      <x:c r="O2705" s="53" t="str">
        <x:v>Stabler asks Bell to have his back when they’re called in to defend their actions. Jet and Malachi work together to pin down Wheatley. Cho and Maldonado go undercover to watch Angela.</x:v>
      </x:c>
      <x:c r="P2705" s="53" t="str">
        <x:v>Core Law &amp; Order franchise</x:v>
      </x:c>
      <x:c r="Q2705" s="17" t="str">
        <x:v>5800578</x:v>
      </x:c>
      <x:c r="R2705" s="17" t="str">
        <x:v>tt16867730</x:v>
      </x:c>
      <x:c r="S2705" s="17" t="str">
        <x:v>1526</x:v>
      </x:c>
    </x:row>
    <x:row r="2706">
      <x:c r="A2706" s="43" t="n">
        <x:v>2702</x:v>
      </x:c>
      <x:c r="B2706" s="44" t="str">
        <x:v>Not Started</x:v>
      </x:c>
      <x:c r="C2706" s="45" t="n">
        <x:v>44581</x:v>
      </x:c>
      <x:c r="D2706" s="33" t="str">
        <x:v>Chicago Med</x:v>
      </x:c>
      <x:c r="E2706" s="33" t="str">
        <x:v>One Chicago</x:v>
      </x:c>
      <x:c r="F2706" s="33" t="str">
        <x:v>core</x:v>
      </x:c>
      <x:c r="G2706" s="50" t="n">
        <x:v>7</x:v>
      </x:c>
      <x:c r="H2706" s="50" t="n">
        <x:v>12</x:v>
      </x:c>
      <x:c r="I2706" s="44" t="str">
        <x:v>07.12</x:v>
      </x:c>
      <x:c r="J2706" s="33" t="str">
        <x:v>What You Don't Know Can't Hurt You</x:v>
      </x:c>
      <x:c r="K2706" s="33" t="str"/>
      <x:c r="L2706" s="33" t="str"/>
      <x:c r="M2706" s="44" t="str"/>
      <x:c r="N2706" s="50" t="n">
        <x:v>43</x:v>
      </x:c>
      <x:c r="O2706" s="53" t="str">
        <x:v>Will and Stevie get stuck in the middle of a marital face-off. Dr. Blake's entire surgical team mysteriously collapses during a liver transplant. Charles encourages Ethan to reconcile with his father.</x:v>
      </x:c>
      <x:c r="P2706" s="53" t="str">
        <x:v>Core One Chicago franchise</x:v>
      </x:c>
      <x:c r="Q2706" s="17" t="str">
        <x:v>5777199</x:v>
      </x:c>
      <x:c r="R2706" s="17" t="str">
        <x:v>tt16897730</x:v>
      </x:c>
      <x:c r="S2706" s="17" t="str"/>
    </x:row>
    <x:row r="2707">
      <x:c r="A2707" s="43" t="n">
        <x:v>2703</x:v>
      </x:c>
      <x:c r="B2707" s="44" t="str">
        <x:v>Not Started</x:v>
      </x:c>
      <x:c r="C2707" s="45" t="n">
        <x:v>44581</x:v>
      </x:c>
      <x:c r="D2707" s="33" t="str">
        <x:v>Chicago P.D.</x:v>
      </x:c>
      <x:c r="E2707" s="33" t="str">
        <x:v>One Chicago</x:v>
      </x:c>
      <x:c r="F2707" s="33" t="str">
        <x:v>core</x:v>
      </x:c>
      <x:c r="G2707" s="50" t="n">
        <x:v>9</x:v>
      </x:c>
      <x:c r="H2707" s="50" t="n">
        <x:v>12</x:v>
      </x:c>
      <x:c r="I2707" s="44" t="str">
        <x:v>09.12</x:v>
      </x:c>
      <x:c r="J2707" s="33" t="str">
        <x:v>To Protect</x:v>
      </x:c>
      <x:c r="K2707" s="33" t="str"/>
      <x:c r="L2707" s="33" t="str"/>
      <x:c r="M2707" s="44" t="str"/>
      <x:c r="N2707" s="50" t="n">
        <x:v>43</x:v>
      </x:c>
      <x:c r="O2707" s="53" t="str">
        <x:v>The team works together to identify the head of the brutal Los Temidos gang. Voight dives deeper into his informant Anna Avalos' past when her undercover role is threatened.</x:v>
      </x:c>
      <x:c r="P2707" s="53" t="str">
        <x:v>Core One Chicago franchise; crossovers with SVU/FBI</x:v>
      </x:c>
      <x:c r="Q2707" s="17" t="str">
        <x:v>5777184</x:v>
      </x:c>
      <x:c r="R2707" s="17" t="str">
        <x:v>tt16762090</x:v>
      </x:c>
      <x:c r="S2707" s="17" t="str"/>
    </x:row>
    <x:row r="2708">
      <x:c r="A2708" s="43" t="n">
        <x:v>2704</x:v>
      </x:c>
      <x:c r="B2708" s="44" t="str">
        <x:v>Not Started</x:v>
      </x:c>
      <x:c r="C2708" s="45" t="n">
        <x:v>44581</x:v>
      </x:c>
      <x:c r="D2708" s="33" t="str">
        <x:v>Chicago Fire</x:v>
      </x:c>
      <x:c r="E2708" s="33" t="str">
        <x:v>One Chicago</x:v>
      </x:c>
      <x:c r="F2708" s="33" t="str">
        <x:v>core</x:v>
      </x:c>
      <x:c r="G2708" s="50" t="n">
        <x:v>10</x:v>
      </x:c>
      <x:c r="H2708" s="50" t="n">
        <x:v>12</x:v>
      </x:c>
      <x:c r="I2708" s="44" t="str">
        <x:v>10.12</x:v>
      </x:c>
      <x:c r="J2708" s="33" t="str">
        <x:v>Show of Force</x:v>
      </x:c>
      <x:c r="K2708" s="33" t="str"/>
      <x:c r="L2708" s="33" t="str"/>
      <x:c r="M2708" s="44" t="str"/>
      <x:c r="N2708" s="50" t="n">
        <x:v>42</x:v>
      </x:c>
      <x:c r="O2708" s="53" t="str">
        <x:v>Boden, Kidd and Severide work together to protect one of their own. At the Fire Academy, Herrmann meets an inspiring young man. Talk of the annual CFD Gala dominates the firehouse.</x:v>
      </x:c>
      <x:c r="P2708" s="53" t="str">
        <x:v>Core One Chicago franchise</x:v>
      </x:c>
      <x:c r="Q2708" s="17" t="str">
        <x:v>5777190</x:v>
      </x:c>
      <x:c r="R2708" s="17" t="str">
        <x:v>tt16897734</x:v>
      </x:c>
      <x:c r="S2708" s="17" t="str"/>
    </x:row>
    <x:row r="2709">
      <x:c r="A2709" s="43" t="n">
        <x:v>2705</x:v>
      </x:c>
      <x:c r="B2709" s="44" t="str">
        <x:v>Not Started</x:v>
      </x:c>
      <x:c r="C2709" s="45" t="n">
        <x:v>44581</x:v>
      </x:c>
      <x:c r="D2709" s="33" t="str">
        <x:v>Law &amp; Order: Special Victims Unit</x:v>
      </x:c>
      <x:c r="E2709" s="33" t="str">
        <x:v>Law &amp; Order</x:v>
      </x:c>
      <x:c r="F2709" s="33" t="str">
        <x:v>core</x:v>
      </x:c>
      <x:c r="G2709" s="50" t="n">
        <x:v>23</x:v>
      </x:c>
      <x:c r="H2709" s="50" t="n">
        <x:v>12</x:v>
      </x:c>
      <x:c r="I2709" s="44" t="str">
        <x:v>23.12</x:v>
      </x:c>
      <x:c r="J2709" s="33" t="str">
        <x:v>Tommy Baker's Hardest Fight</x:v>
      </x:c>
      <x:c r="K2709" s="33" t="str"/>
      <x:c r="L2709" s="33" t="str"/>
      <x:c r="M2709" s="44" t="str"/>
      <x:c r="N2709" s="50" t="n">
        <x:v>43</x:v>
      </x:c>
      <x:c r="O2709" s="53" t="str">
        <x:v>When a popular fighter doesn't show up for the biggest bout of the year, Rollins and Velasco are drawn into a complicated web of secrets. McGrath confides in Benson.</x:v>
      </x:c>
      <x:c r="P2709" s="53" t="str">
        <x:v>Core Law &amp; Order franchise</x:v>
      </x:c>
      <x:c r="Q2709" s="17" t="str">
        <x:v>5803290</x:v>
      </x:c>
      <x:c r="R2709" s="17" t="str">
        <x:v>tt16913116</x:v>
      </x:c>
      <x:c r="S2709" s="17" t="str">
        <x:v>1525</x:v>
      </x:c>
    </x:row>
    <x:row r="2710">
      <x:c r="A2710" s="43" t="n">
        <x:v>2706</x:v>
      </x:c>
      <x:c r="B2710" s="44" t="str">
        <x:v>Not Started</x:v>
      </x:c>
      <x:c r="C2710" s="45" t="n">
        <x:v>44594</x:v>
      </x:c>
      <x:c r="D2710" s="33" t="str">
        <x:v>FBI: International</x:v>
      </x:c>
      <x:c r="E2710" s="33" t="str">
        <x:v>FBI</x:v>
      </x:c>
      <x:c r="F2710" s="33" t="str">
        <x:v>core</x:v>
      </x:c>
      <x:c r="G2710" s="50" t="n">
        <x:v>1</x:v>
      </x:c>
      <x:c r="H2710" s="50" t="n">
        <x:v>11</x:v>
      </x:c>
      <x:c r="I2710" s="44" t="str">
        <x:v>01.11</x:v>
      </x:c>
      <x:c r="J2710" s="33" t="str">
        <x:v>Chew Toy</x:v>
      </x:c>
      <x:c r="K2710" s="33" t="str"/>
      <x:c r="L2710" s="33" t="str"/>
      <x:c r="M2710" s="44" t="str"/>
      <x:c r="N2710" s="50" t="n">
        <x:v>43</x:v>
      </x:c>
      <x:c r="O2710" s="53" t="str">
        <x:v>When an NYPD officer is detained in Transnistria for aggravated assault, the fly team investigates his claims of infiltrating a sex trafficking ring being concealed by those in power; Forrester receives an unusual message from an unknown sender.</x:v>
      </x:c>
      <x:c r="P2710" s="53" t="str">
        <x:v>Core FBI franchise</x:v>
      </x:c>
      <x:c r="Q2710" s="17" t="str">
        <x:v>5811132</x:v>
      </x:c>
      <x:c r="R2710" s="17" t="str">
        <x:v>tt16891036</x:v>
      </x:c>
      <x:c r="S2710" s="17" t="str"/>
    </x:row>
    <x:row r="2711">
      <x:c r="A2711" s="43" t="n">
        <x:v>2707</x:v>
      </x:c>
      <x:c r="B2711" s="44" t="str">
        <x:v>Not Started</x:v>
      </x:c>
      <x:c r="C2711" s="45" t="n">
        <x:v>44594</x:v>
      </x:c>
      <x:c r="D2711" s="33" t="str">
        <x:v>FBI: Most Wanted</x:v>
      </x:c>
      <x:c r="E2711" s="33" t="str">
        <x:v>FBI</x:v>
      </x:c>
      <x:c r="F2711" s="33" t="str">
        <x:v>core</x:v>
      </x:c>
      <x:c r="G2711" s="50" t="n">
        <x:v>3</x:v>
      </x:c>
      <x:c r="H2711" s="50" t="n">
        <x:v>12</x:v>
      </x:c>
      <x:c r="I2711" s="44" t="str">
        <x:v>03.12</x:v>
      </x:c>
      <x:c r="J2711" s="33" t="str">
        <x:v>El Píncho</x:v>
      </x:c>
      <x:c r="K2711" s="33" t="str"/>
      <x:c r="L2711" s="33" t="str"/>
      <x:c r="M2711" s="44" t="str"/>
      <x:c r="N2711" s="50" t="n">
        <x:v>42</x:v>
      </x:c>
      <x:c r="O2711" s="53" t="str">
        <x:v>The team searches for a notorious Colombian drug lord after he escapes from a U.S. prison. Also, Kristin begins to open up to her ex-husband about her past.</x:v>
      </x:c>
      <x:c r="P2711" s="53" t="str">
        <x:v>Core FBI franchise</x:v>
      </x:c>
      <x:c r="Q2711" s="17" t="str">
        <x:v>5804769</x:v>
      </x:c>
      <x:c r="R2711" s="17" t="str">
        <x:v>tt17022938</x:v>
      </x:c>
      <x:c r="S2711" s="17" t="str"/>
    </x:row>
    <x:row r="2712">
      <x:c r="A2712" s="43" t="n">
        <x:v>2708</x:v>
      </x:c>
      <x:c r="B2712" s="44" t="str">
        <x:v>Not Started</x:v>
      </x:c>
      <x:c r="C2712" s="45" t="n">
        <x:v>44594</x:v>
      </x:c>
      <x:c r="D2712" s="33" t="str">
        <x:v>FBI</x:v>
      </x:c>
      <x:c r="E2712" s="33" t="str">
        <x:v>FBI</x:v>
      </x:c>
      <x:c r="F2712" s="33" t="str">
        <x:v>core</x:v>
      </x:c>
      <x:c r="G2712" s="50" t="n">
        <x:v>4</x:v>
      </x:c>
      <x:c r="H2712" s="50" t="n">
        <x:v>12</x:v>
      </x:c>
      <x:c r="I2712" s="44" t="str">
        <x:v>04.12</x:v>
      </x:c>
      <x:c r="J2712" s="33" t="str">
        <x:v>Under Pressure</x:v>
      </x:c>
      <x:c r="K2712" s="33" t="str"/>
      <x:c r="L2712" s="33" t="str"/>
      <x:c r="M2712" s="44" t="str"/>
      <x:c r="N2712" s="50" t="n">
        <x:v>42</x:v>
      </x:c>
      <x:c r="O2712" s="53" t="str">
        <x:v>Maggie goes under cover working in a bar to investigate an anti-government group that regularly gathers there; a single father on the periphery of the group begins to fear he's in danger of becoming collateral damage.</x:v>
      </x:c>
      <x:c r="P2712" s="53" t="str">
        <x:v>Core FBI franchise</x:v>
      </x:c>
      <x:c r="Q2712" s="17" t="str">
        <x:v>5802201</x:v>
      </x:c>
      <x:c r="R2712" s="17" t="str">
        <x:v>tt16874428</x:v>
      </x:c>
      <x:c r="S2712" s="17" t="str"/>
    </x:row>
    <x:row r="2713">
      <x:c r="A2713" s="43" t="n">
        <x:v>2709</x:v>
      </x:c>
      <x:c r="B2713" s="44" t="str">
        <x:v>Not Started</x:v>
      </x:c>
      <x:c r="C2713" s="45" t="n">
        <x:v>44615</x:v>
      </x:c>
      <x:c r="D2713" s="33" t="str">
        <x:v>FBI: International</x:v>
      </x:c>
      <x:c r="E2713" s="33" t="str">
        <x:v>FBI</x:v>
      </x:c>
      <x:c r="F2713" s="33" t="str">
        <x:v>core</x:v>
      </x:c>
      <x:c r="G2713" s="50" t="n">
        <x:v>1</x:v>
      </x:c>
      <x:c r="H2713" s="50" t="n">
        <x:v>12</x:v>
      </x:c>
      <x:c r="I2713" s="44" t="str">
        <x:v>01.12</x:v>
      </x:c>
      <x:c r="J2713" s="33" t="str">
        <x:v>One Point One Million Followers</x:v>
      </x:c>
      <x:c r="K2713" s="33" t="str"/>
      <x:c r="L2713" s="33" t="str"/>
      <x:c r="M2713" s="44" t="str"/>
      <x:c r="N2713" s="50" t="n">
        <x:v>41</x:v>
      </x:c>
      <x:c r="O2713" s="53" t="str">
        <x:v>When a notorious American tech tycoon becomes involved in a murder in Frankfurt, Germany, the team must chase him down amid the local protesters he's incited with his conspiracy theories on social media.</x:v>
      </x:c>
      <x:c r="P2713" s="53" t="str">
        <x:v>Core FBI franchise</x:v>
      </x:c>
      <x:c r="Q2713" s="17" t="str">
        <x:v>5875454</x:v>
      </x:c>
      <x:c r="R2713" s="17" t="str">
        <x:v>tt17633338</x:v>
      </x:c>
      <x:c r="S2713" s="17" t="str"/>
    </x:row>
    <x:row r="2714">
      <x:c r="A2714" s="43" t="n">
        <x:v>2710</x:v>
      </x:c>
      <x:c r="B2714" s="44" t="str">
        <x:v>Not Started</x:v>
      </x:c>
      <x:c r="C2714" s="45" t="n">
        <x:v>44615</x:v>
      </x:c>
      <x:c r="D2714" s="33" t="str">
        <x:v>FBI: Most Wanted</x:v>
      </x:c>
      <x:c r="E2714" s="33" t="str">
        <x:v>FBI</x:v>
      </x:c>
      <x:c r="F2714" s="33" t="str">
        <x:v>core</x:v>
      </x:c>
      <x:c r="G2714" s="50" t="n">
        <x:v>3</x:v>
      </x:c>
      <x:c r="H2714" s="50" t="n">
        <x:v>13</x:v>
      </x:c>
      <x:c r="I2714" s="44" t="str">
        <x:v>03.13</x:v>
      </x:c>
      <x:c r="J2714" s="33" t="str">
        <x:v>Overlooked</x:v>
      </x:c>
      <x:c r="K2714" s="33" t="str"/>
      <x:c r="L2714" s="33" t="str"/>
      <x:c r="M2714" s="44" t="str"/>
      <x:c r="N2714" s="50" t="n">
        <x:v>43</x:v>
      </x:c>
      <x:c r="O2714" s="53" t="str">
        <x:v>The team searches for a businessman wanted for murder and an embezzlement scheme. Also, Jess takes advantage of his empty nest to properly court Sarah.</x:v>
      </x:c>
      <x:c r="P2714" s="53" t="str">
        <x:v>Core FBI franchise</x:v>
      </x:c>
      <x:c r="Q2714" s="17" t="str">
        <x:v>5878143</x:v>
      </x:c>
      <x:c r="R2714" s="17" t="str">
        <x:v>tt17633474</x:v>
      </x:c>
      <x:c r="S2714" s="17" t="str"/>
    </x:row>
    <x:row r="2715">
      <x:c r="A2715" s="43" t="n">
        <x:v>2711</x:v>
      </x:c>
      <x:c r="B2715" s="44" t="str">
        <x:v>Not Started</x:v>
      </x:c>
      <x:c r="C2715" s="45" t="n">
        <x:v>44615</x:v>
      </x:c>
      <x:c r="D2715" s="33" t="str">
        <x:v>FBI</x:v>
      </x:c>
      <x:c r="E2715" s="33" t="str">
        <x:v>FBI</x:v>
      </x:c>
      <x:c r="F2715" s="33" t="str">
        <x:v>core</x:v>
      </x:c>
      <x:c r="G2715" s="50" t="n">
        <x:v>4</x:v>
      </x:c>
      <x:c r="H2715" s="50" t="n">
        <x:v>13</x:v>
      </x:c>
      <x:c r="I2715" s="44" t="str">
        <x:v>04.13</x:v>
      </x:c>
      <x:c r="J2715" s="33" t="str">
        <x:v>Pride and Prejudice</x:v>
      </x:c>
      <x:c r="K2715" s="33" t="str"/>
      <x:c r="L2715" s="33" t="str"/>
      <x:c r="M2715" s="44" t="str"/>
      <x:c r="N2715" s="50" t="n">
        <x:v>42</x:v>
      </x:c>
      <x:c r="O2715" s="53" t="str">
        <x:v>When a Muslim college student and his younger brother are murdered, the team connects with the outraged imam of OA's former mosque, who insists the victims were wrongly targeted as terrorists.</x:v>
      </x:c>
      <x:c r="P2715" s="53" t="str">
        <x:v>Core FBI franchise</x:v>
      </x:c>
      <x:c r="Q2715" s="17" t="str">
        <x:v>5875453</x:v>
      </x:c>
      <x:c r="R2715" s="17" t="str">
        <x:v>tt16875750</x:v>
      </x:c>
      <x:c r="S2715" s="17" t="str"/>
    </x:row>
    <x:row r="2716">
      <x:c r="A2716" s="43" t="n">
        <x:v>2712</x:v>
      </x:c>
      <x:c r="B2716" s="44" t="str">
        <x:v>Not Started</x:v>
      </x:c>
      <x:c r="C2716" s="45" t="n">
        <x:v>44616</x:v>
      </x:c>
      <x:c r="D2716" s="33" t="str">
        <x:v>Law &amp; Order: Organized Crime</x:v>
      </x:c>
      <x:c r="E2716" s="33" t="str">
        <x:v>Law &amp; Order</x:v>
      </x:c>
      <x:c r="F2716" s="33" t="str">
        <x:v>core</x:v>
      </x:c>
      <x:c r="G2716" s="50" t="n">
        <x:v>2</x:v>
      </x:c>
      <x:c r="H2716" s="50" t="n">
        <x:v>13</x:v>
      </x:c>
      <x:c r="I2716" s="44" t="str">
        <x:v>02.13</x:v>
      </x:c>
      <x:c r="J2716" s="33" t="str">
        <x:v>As Hubris Is to Oedipus</x:v>
      </x:c>
      <x:c r="K2716" s="33" t="str"/>
      <x:c r="L2716" s="33" t="str"/>
      <x:c r="M2716" s="44" t="str"/>
      <x:c r="N2716" s="50" t="n">
        <x:v>41</x:v>
      </x:c>
      <x:c r="O2716" s="53" t="str">
        <x:v>The task force must race to save lives when Wheatley and McClane’s digital takeover shifts to a series of real-life bomb threats.</x:v>
      </x:c>
      <x:c r="P2716" s="53" t="str">
        <x:v>Core Law &amp; Order franchise</x:v>
      </x:c>
      <x:c r="Q2716" s="17" t="str">
        <x:v>5842481</x:v>
      </x:c>
      <x:c r="R2716" s="17" t="str">
        <x:v>tt17023446</x:v>
      </x:c>
      <x:c r="S2716" s="17" t="str">
        <x:v>1528</x:v>
      </x:c>
    </x:row>
    <x:row r="2717">
      <x:c r="A2717" s="43" t="n">
        <x:v>2713</x:v>
      </x:c>
      <x:c r="B2717" s="44" t="str">
        <x:v>Not Started</x:v>
      </x:c>
      <x:c r="C2717" s="45" t="n">
        <x:v>44616</x:v>
      </x:c>
      <x:c r="D2717" s="33" t="str">
        <x:v>Chicago Med</x:v>
      </x:c>
      <x:c r="E2717" s="33" t="str">
        <x:v>One Chicago</x:v>
      </x:c>
      <x:c r="F2717" s="33" t="str">
        <x:v>core</x:v>
      </x:c>
      <x:c r="G2717" s="50" t="n">
        <x:v>7</x:v>
      </x:c>
      <x:c r="H2717" s="50" t="n">
        <x:v>13</x:v>
      </x:c>
      <x:c r="I2717" s="44" t="str">
        <x:v>07.13</x:v>
      </x:c>
      <x:c r="J2717" s="33" t="str">
        <x:v>Reality Leaves a Lot to the Imagination</x:v>
      </x:c>
      <x:c r="K2717" s="33" t="str"/>
      <x:c r="L2717" s="33" t="str"/>
      <x:c r="M2717" s="44" t="str"/>
      <x:c r="N2717" s="50" t="n">
        <x:v>42</x:v>
      </x:c>
      <x:c r="O2717" s="53" t="str">
        <x:v>Scott and Archer diagnose a pregnant woman with a serious infection. Maggie receives shocking news. Halstead and Charles question an elderly patient’s Alzheimer’s diagnosis. In an effort to help a patient, Marcel takes a risk.</x:v>
      </x:c>
      <x:c r="P2717" s="53" t="str">
        <x:v>Core One Chicago franchise</x:v>
      </x:c>
      <x:c r="Q2717" s="17" t="str">
        <x:v>5855184</x:v>
      </x:c>
      <x:c r="R2717" s="17" t="str">
        <x:v>tt16912562</x:v>
      </x:c>
      <x:c r="S2717" s="17" t="str"/>
    </x:row>
    <x:row r="2718">
      <x:c r="A2718" s="43" t="n">
        <x:v>2714</x:v>
      </x:c>
      <x:c r="B2718" s="44" t="str">
        <x:v>Not Started</x:v>
      </x:c>
      <x:c r="C2718" s="45" t="n">
        <x:v>44616</x:v>
      </x:c>
      <x:c r="D2718" s="33" t="str">
        <x:v>Chicago P.D.</x:v>
      </x:c>
      <x:c r="E2718" s="33" t="str">
        <x:v>One Chicago</x:v>
      </x:c>
      <x:c r="F2718" s="33" t="str">
        <x:v>core</x:v>
      </x:c>
      <x:c r="G2718" s="50" t="n">
        <x:v>9</x:v>
      </x:c>
      <x:c r="H2718" s="50" t="n">
        <x:v>13</x:v>
      </x:c>
      <x:c r="I2718" s="44" t="str">
        <x:v>09.13</x:v>
      </x:c>
      <x:c r="J2718" s="33" t="str">
        <x:v>Still Water</x:v>
      </x:c>
      <x:c r="K2718" s="33" t="str"/>
      <x:c r="L2718" s="33" t="str"/>
      <x:c r="M2718" s="44" t="str"/>
      <x:c r="N2718" s="50" t="n">
        <x:v>43</x:v>
      </x:c>
      <x:c r="O2718" s="53" t="str">
        <x:v>While out for a jog, Upton witnesses a horrible car crash and risks her own life to save the passengers. After learning more about the victims, the team must track down the man responsible for the brutal crash.</x:v>
      </x:c>
      <x:c r="P2718" s="53" t="str">
        <x:v>Core One Chicago franchise; crossovers with SVU/FBI</x:v>
      </x:c>
      <x:c r="Q2718" s="17" t="str">
        <x:v>5855200</x:v>
      </x:c>
      <x:c r="R2718" s="17" t="str">
        <x:v>tt17157612</x:v>
      </x:c>
      <x:c r="S2718" s="17" t="str"/>
    </x:row>
    <x:row r="2719">
      <x:c r="A2719" s="43" t="n">
        <x:v>2715</x:v>
      </x:c>
      <x:c r="B2719" s="44" t="str">
        <x:v>Not Started</x:v>
      </x:c>
      <x:c r="C2719" s="45" t="n">
        <x:v>44616</x:v>
      </x:c>
      <x:c r="D2719" s="33" t="str">
        <x:v>Chicago Fire</x:v>
      </x:c>
      <x:c r="E2719" s="33" t="str">
        <x:v>One Chicago</x:v>
      </x:c>
      <x:c r="F2719" s="33" t="str">
        <x:v>core</x:v>
      </x:c>
      <x:c r="G2719" s="50" t="n">
        <x:v>10</x:v>
      </x:c>
      <x:c r="H2719" s="50" t="n">
        <x:v>13</x:v>
      </x:c>
      <x:c r="I2719" s="44" t="str">
        <x:v>10.13</x:v>
      </x:c>
      <x:c r="J2719" s="33" t="str">
        <x:v>Fire Cop</x:v>
      </x:c>
      <x:c r="K2719" s="33" t="str"/>
      <x:c r="L2719" s="33" t="str"/>
      <x:c r="M2719" s="44" t="str"/>
      <x:c r="N2719" s="50" t="n">
        <x:v>44</x:v>
      </x:c>
      <x:c r="O2719" s="53" t="str">
        <x:v>Severide and Seager team up to investigate a fire at the home of a troubled young woman. Pelham moves into 51's rumored cursed office. Kylie assists Kidd with Girls on Fire.</x:v>
      </x:c>
      <x:c r="P2719" s="53" t="str">
        <x:v>Core One Chicago franchise</x:v>
      </x:c>
      <x:c r="Q2719" s="17" t="str">
        <x:v>5855215</x:v>
      </x:c>
      <x:c r="R2719" s="17" t="str">
        <x:v>tt17162456</x:v>
      </x:c>
      <x:c r="S2719" s="17" t="str"/>
    </x:row>
    <x:row r="2720">
      <x:c r="A2720" s="43" t="n">
        <x:v>2716</x:v>
      </x:c>
      <x:c r="B2720" s="44" t="str">
        <x:v>Not Started</x:v>
      </x:c>
      <x:c r="C2720" s="45" t="n">
        <x:v>44616</x:v>
      </x:c>
      <x:c r="D2720" s="33" t="str">
        <x:v>Law &amp; Order</x:v>
      </x:c>
      <x:c r="E2720" s="33" t="str">
        <x:v>Law &amp; Order</x:v>
      </x:c>
      <x:c r="F2720" s="33" t="str">
        <x:v>core</x:v>
      </x:c>
      <x:c r="G2720" s="50" t="n">
        <x:v>21</x:v>
      </x:c>
      <x:c r="H2720" s="50" t="n">
        <x:v>1</x:v>
      </x:c>
      <x:c r="I2720" s="44" t="str">
        <x:v>21.01</x:v>
      </x:c>
      <x:c r="J2720" s="33" t="str">
        <x:v>The Right Thing</x:v>
      </x:c>
      <x:c r="K2720" s="33" t="str"/>
      <x:c r="L2720" s="33" t="str"/>
      <x:c r="M2720" s="44" t="str"/>
      <x:c r="N2720" s="50" t="n">
        <x:v>47</x:v>
      </x:c>
      <x:c r="O2720" s="53" t="str">
        <x:v>Newly acquainted partners Bernard and Cosgrove investigate the murder of a notorious entertainer. A dispute over throwing out a confession creates a rift in the DA's office.</x:v>
      </x:c>
      <x:c r="P2720" s="53" t="str">
        <x:v>Core Law &amp; Order franchise</x:v>
      </x:c>
      <x:c r="Q2720" s="17" t="str">
        <x:v>5691151</x:v>
      </x:c>
      <x:c r="R2720" s="17" t="str">
        <x:v>tt15514768</x:v>
      </x:c>
      <x:c r="S2720" s="17" t="str">
        <x:v>1529</x:v>
      </x:c>
    </x:row>
    <x:row r="2721">
      <x:c r="A2721" s="43" t="n">
        <x:v>2717</x:v>
      </x:c>
      <x:c r="B2721" s="44" t="str">
        <x:v>Not Started</x:v>
      </x:c>
      <x:c r="C2721" s="45" t="n">
        <x:v>44616</x:v>
      </x:c>
      <x:c r="D2721" s="33" t="str">
        <x:v>Law &amp; Order: Special Victims Unit</x:v>
      </x:c>
      <x:c r="E2721" s="33" t="str">
        <x:v>Law &amp; Order</x:v>
      </x:c>
      <x:c r="F2721" s="33" t="str">
        <x:v>core</x:v>
      </x:c>
      <x:c r="G2721" s="50" t="n">
        <x:v>23</x:v>
      </x:c>
      <x:c r="H2721" s="50" t="n">
        <x:v>13</x:v>
      </x:c>
      <x:c r="I2721" s="44" t="str">
        <x:v>23.13</x:v>
      </x:c>
      <x:c r="J2721" s="33" t="str">
        <x:v>If I Knew Then What I Know Now</x:v>
      </x:c>
      <x:c r="K2721" s="33" t="str"/>
      <x:c r="L2721" s="33" t="str"/>
      <x:c r="M2721" s="44" t="str"/>
      <x:c r="N2721" s="50" t="n">
        <x:v>43</x:v>
      </x:c>
      <x:c r="O2721" s="53" t="str">
        <x:v>After a woman disappears, the squad notice similarities to a 20 year old DV case. Rollins and Carisi's relationship faces a challenge.</x:v>
      </x:c>
      <x:c r="P2721" s="53" t="str">
        <x:v>Core Law &amp; Order franchise</x:v>
      </x:c>
      <x:c r="Q2721" s="17" t="str">
        <x:v>5842391</x:v>
      </x:c>
      <x:c r="R2721" s="17" t="str">
        <x:v>tt17291440</x:v>
      </x:c>
      <x:c r="S2721" s="17" t="str">
        <x:v>1527</x:v>
      </x:c>
    </x:row>
    <x:row r="2722">
      <x:c r="A2722" s="43" t="n">
        <x:v>2718</x:v>
      </x:c>
      <x:c r="B2722" s="44" t="str">
        <x:v>Not Started</x:v>
      </x:c>
      <x:c r="C2722" s="45" t="n">
        <x:v>44623</x:v>
      </x:c>
      <x:c r="D2722" s="33" t="str">
        <x:v>Law &amp; Order: Organized Crime</x:v>
      </x:c>
      <x:c r="E2722" s="33" t="str">
        <x:v>Law &amp; Order</x:v>
      </x:c>
      <x:c r="F2722" s="33" t="str">
        <x:v>core</x:v>
      </x:c>
      <x:c r="G2722" s="50" t="n">
        <x:v>2</x:v>
      </x:c>
      <x:c r="H2722" s="50" t="n">
        <x:v>14</x:v>
      </x:c>
      <x:c r="I2722" s="44" t="str">
        <x:v>02.14</x:v>
      </x:c>
      <x:c r="J2722" s="33" t="str">
        <x:v>...Wheatley Is to Stabler</x:v>
      </x:c>
      <x:c r="K2722" s="33" t="str"/>
      <x:c r="L2722" s="33" t="str"/>
      <x:c r="M2722" s="44" t="str"/>
      <x:c r="N2722" s="50" t="n">
        <x:v>41</x:v>
      </x:c>
      <x:c r="O2722" s="53" t="str">
        <x:v>As a rolling blackout cripples the city, Stabler and Bell work to stay a step ahead of Wheatley. Jet and Malachi receive unlikely help. Bernadette gets caught up in Stabler’s mess.</x:v>
      </x:c>
      <x:c r="P2722" s="53" t="str">
        <x:v>Core Law &amp; Order franchise</x:v>
      </x:c>
      <x:c r="Q2722" s="17" t="str">
        <x:v>5895063</x:v>
      </x:c>
      <x:c r="R2722" s="17" t="str">
        <x:v>tt17506136</x:v>
      </x:c>
      <x:c r="S2722" s="17" t="str">
        <x:v>1531</x:v>
      </x:c>
    </x:row>
    <x:row r="2723">
      <x:c r="A2723" s="43" t="n">
        <x:v>2719</x:v>
      </x:c>
      <x:c r="B2723" s="44" t="str">
        <x:v>Not Started</x:v>
      </x:c>
      <x:c r="C2723" s="45" t="n">
        <x:v>44623</x:v>
      </x:c>
      <x:c r="D2723" s="33" t="str">
        <x:v>Chicago Med</x:v>
      </x:c>
      <x:c r="E2723" s="33" t="str">
        <x:v>One Chicago</x:v>
      </x:c>
      <x:c r="F2723" s="33" t="str">
        <x:v>core</x:v>
      </x:c>
      <x:c r="G2723" s="50" t="n">
        <x:v>7</x:v>
      </x:c>
      <x:c r="H2723" s="50" t="n">
        <x:v>14</x:v>
      </x:c>
      <x:c r="I2723" s="44" t="str">
        <x:v>07.14</x:v>
      </x:c>
      <x:c r="J2723" s="33" t="str">
        <x:v>All the Things That Could Have Been</x:v>
      </x:c>
      <x:c r="K2723" s="33" t="str"/>
      <x:c r="L2723" s="33" t="str"/>
      <x:c r="M2723" s="44" t="str"/>
      <x:c r="N2723" s="50" t="n">
        <x:v>43</x:v>
      </x:c>
      <x:c r="O2723" s="53" t="str">
        <x:v>Goodwin assigns Med’s new compliance officer to a patient with a long-hauler COVID condition. Maggie helps Halstead treat a patient who's been in an iron lung for 60 years.</x:v>
      </x:c>
      <x:c r="P2723" s="53" t="str">
        <x:v>Core One Chicago franchise</x:v>
      </x:c>
      <x:c r="Q2723" s="17" t="str">
        <x:v>5915483</x:v>
      </x:c>
      <x:c r="R2723" s="17" t="str">
        <x:v>tt18073304</x:v>
      </x:c>
      <x:c r="S2723" s="17" t="str"/>
    </x:row>
    <x:row r="2724">
      <x:c r="A2724" s="43" t="n">
        <x:v>2720</x:v>
      </x:c>
      <x:c r="B2724" s="44" t="str">
        <x:v>Not Started</x:v>
      </x:c>
      <x:c r="C2724" s="45" t="n">
        <x:v>44623</x:v>
      </x:c>
      <x:c r="D2724" s="33" t="str">
        <x:v>Chicago P.D.</x:v>
      </x:c>
      <x:c r="E2724" s="33" t="str">
        <x:v>One Chicago</x:v>
      </x:c>
      <x:c r="F2724" s="33" t="str">
        <x:v>core</x:v>
      </x:c>
      <x:c r="G2724" s="50" t="n">
        <x:v>9</x:v>
      </x:c>
      <x:c r="H2724" s="50" t="n">
        <x:v>14</x:v>
      </x:c>
      <x:c r="I2724" s="44" t="str">
        <x:v>09.14</x:v>
      </x:c>
      <x:c r="J2724" s="33" t="str">
        <x:v>Blood Relation</x:v>
      </x:c>
      <x:c r="K2724" s="33" t="str"/>
      <x:c r="L2724" s="33" t="str"/>
      <x:c r="M2724" s="44" t="str"/>
      <x:c r="N2724" s="50" t="n">
        <x:v>43</x:v>
      </x:c>
      <x:c r="O2724" s="53" t="str">
        <x:v>The team searches for a brutal killer with a signature modus operandi. Burgess and Ruzek double down in their fight to retain custody of Makayla.</x:v>
      </x:c>
      <x:c r="P2724" s="53" t="str">
        <x:v>Core One Chicago franchise; crossovers with SVU/FBI</x:v>
      </x:c>
      <x:c r="Q2724" s="17" t="str">
        <x:v>5915482</x:v>
      </x:c>
      <x:c r="R2724" s="17" t="str">
        <x:v>tt18257244</x:v>
      </x:c>
      <x:c r="S2724" s="17" t="str"/>
    </x:row>
    <x:row r="2725">
      <x:c r="A2725" s="43" t="n">
        <x:v>2721</x:v>
      </x:c>
      <x:c r="B2725" s="44" t="str">
        <x:v>Not Started</x:v>
      </x:c>
      <x:c r="C2725" s="45" t="n">
        <x:v>44623</x:v>
      </x:c>
      <x:c r="D2725" s="33" t="str">
        <x:v>Chicago Fire</x:v>
      </x:c>
      <x:c r="E2725" s="33" t="str">
        <x:v>One Chicago</x:v>
      </x:c>
      <x:c r="F2725" s="33" t="str">
        <x:v>core</x:v>
      </x:c>
      <x:c r="G2725" s="50" t="n">
        <x:v>10</x:v>
      </x:c>
      <x:c r="H2725" s="50" t="n">
        <x:v>14</x:v>
      </x:c>
      <x:c r="I2725" s="44" t="str">
        <x:v>10.14</x:v>
      </x:c>
      <x:c r="J2725" s="33" t="str">
        <x:v>An Officer with Grit</x:v>
      </x:c>
      <x:c r="K2725" s="33" t="str"/>
      <x:c r="L2725" s="33" t="str"/>
      <x:c r="M2725" s="44" t="str"/>
      <x:c r="N2725" s="50" t="n">
        <x:v>41</x:v>
      </x:c>
      <x:c r="O2725" s="53" t="str">
        <x:v>Chief Hawkins goes above and beyond to help Brett and Violet with a problem. Kidd pursues an open lieutenant position. A blast from the past asks Mouch and Herrmann for a favor.</x:v>
      </x:c>
      <x:c r="P2725" s="53" t="str">
        <x:v>Core One Chicago franchise</x:v>
      </x:c>
      <x:c r="Q2725" s="17" t="str">
        <x:v>5915484</x:v>
      </x:c>
      <x:c r="R2725" s="17" t="str">
        <x:v>tt18259590</x:v>
      </x:c>
      <x:c r="S2725" s="17" t="str"/>
    </x:row>
    <x:row r="2726">
      <x:c r="A2726" s="43" t="n">
        <x:v>2722</x:v>
      </x:c>
      <x:c r="B2726" s="44" t="str">
        <x:v>Not Started</x:v>
      </x:c>
      <x:c r="C2726" s="45" t="n">
        <x:v>44623</x:v>
      </x:c>
      <x:c r="D2726" s="33" t="str">
        <x:v>Law &amp; Order</x:v>
      </x:c>
      <x:c r="E2726" s="33" t="str">
        <x:v>Law &amp; Order</x:v>
      </x:c>
      <x:c r="F2726" s="33" t="str">
        <x:v>core</x:v>
      </x:c>
      <x:c r="G2726" s="50" t="n">
        <x:v>21</x:v>
      </x:c>
      <x:c r="H2726" s="50" t="n">
        <x:v>2</x:v>
      </x:c>
      <x:c r="I2726" s="44" t="str">
        <x:v>21.02</x:v>
      </x:c>
      <x:c r="J2726" s="33" t="str">
        <x:v>Impossible Dream</x:v>
      </x:c>
      <x:c r="K2726" s="33" t="str"/>
      <x:c r="L2726" s="33" t="str"/>
      <x:c r="M2726" s="44" t="str"/>
      <x:c r="N2726" s="50" t="n">
        <x:v>41</x:v>
      </x:c>
      <x:c r="O2726" s="53" t="str">
        <x:v>The COO of a major tech company is found murdered in Central Park. Price and Maroun work to untangle a web of deceit to expose a cunning narcissist.</x:v>
      </x:c>
      <x:c r="P2726" s="53" t="str">
        <x:v>Core Law &amp; Order franchise</x:v>
      </x:c>
      <x:c r="Q2726" s="17" t="str">
        <x:v>5903171</x:v>
      </x:c>
      <x:c r="R2726" s="17" t="str">
        <x:v>tt18226138</x:v>
      </x:c>
      <x:c r="S2726" s="17" t="str">
        <x:v>1532</x:v>
      </x:c>
    </x:row>
    <x:row r="2727">
      <x:c r="A2727" s="43" t="n">
        <x:v>2723</x:v>
      </x:c>
      <x:c r="B2727" s="44" t="str">
        <x:v>Not Started</x:v>
      </x:c>
      <x:c r="C2727" s="45" t="n">
        <x:v>44623</x:v>
      </x:c>
      <x:c r="D2727" s="33" t="str">
        <x:v>Law &amp; Order: Special Victims Unit</x:v>
      </x:c>
      <x:c r="E2727" s="33" t="str">
        <x:v>Law &amp; Order</x:v>
      </x:c>
      <x:c r="F2727" s="33" t="str">
        <x:v>core</x:v>
      </x:c>
      <x:c r="G2727" s="50" t="n">
        <x:v>23</x:v>
      </x:c>
      <x:c r="H2727" s="50" t="n">
        <x:v>14</x:v>
      </x:c>
      <x:c r="I2727" s="44" t="str">
        <x:v>23.14</x:v>
      </x:c>
      <x:c r="J2727" s="33" t="str">
        <x:v>Video Killed the Radio Star</x:v>
      </x:c>
      <x:c r="K2727" s="33" t="str"/>
      <x:c r="L2727" s="33" t="str"/>
      <x:c r="M2727" s="44" t="str"/>
      <x:c r="N2727" s="50" t="n">
        <x:v>43</x:v>
      </x:c>
      <x:c r="O2727" s="53" t="str">
        <x:v>Benson investigates allegations against a popular radio personality. Rollins goes undercover when a shocking confession leads to another crime.</x:v>
      </x:c>
      <x:c r="P2727" s="53" t="str">
        <x:v>Core Law &amp; Order franchise</x:v>
      </x:c>
      <x:c r="Q2727" s="17" t="str">
        <x:v>5892048</x:v>
      </x:c>
      <x:c r="R2727" s="17" t="str">
        <x:v>tt18253044</x:v>
      </x:c>
      <x:c r="S2727" s="17" t="str">
        <x:v>1530</x:v>
      </x:c>
    </x:row>
    <x:row r="2728">
      <x:c r="A2728" s="43" t="n">
        <x:v>2724</x:v>
      </x:c>
      <x:c r="B2728" s="44" t="str">
        <x:v>Not Started</x:v>
      </x:c>
      <x:c r="C2728" s="45" t="n">
        <x:v>44629</x:v>
      </x:c>
      <x:c r="D2728" s="33" t="str">
        <x:v>FBI: International</x:v>
      </x:c>
      <x:c r="E2728" s="33" t="str">
        <x:v>FBI</x:v>
      </x:c>
      <x:c r="F2728" s="33" t="str">
        <x:v>core</x:v>
      </x:c>
      <x:c r="G2728" s="50" t="n">
        <x:v>1</x:v>
      </x:c>
      <x:c r="H2728" s="50" t="n">
        <x:v>13</x:v>
      </x:c>
      <x:c r="I2728" s="44" t="str">
        <x:v>01.13</x:v>
      </x:c>
      <x:c r="J2728" s="33" t="str">
        <x:v>Snakes</x:v>
      </x:c>
      <x:c r="K2728" s="33" t="str"/>
      <x:c r="L2728" s="33" t="str"/>
      <x:c r="M2728" s="44" t="str"/>
      <x:c r="N2728" s="50" t="n">
        <x:v>42</x:v>
      </x:c>
      <x:c r="O2728" s="53" t="str">
        <x:v>A couple flees to Albania while awaiting sentencing for bilking millions in COVID-19 relief funds from the U.S. government; Kellett works the case from Budapest as she and Forrester try to regain their professional boundaries.</x:v>
      </x:c>
      <x:c r="P2728" s="53" t="str">
        <x:v>Core FBI franchise</x:v>
      </x:c>
      <x:c r="Q2728" s="17" t="str">
        <x:v>5926837</x:v>
      </x:c>
      <x:c r="R2728" s="17" t="str">
        <x:v>tt18266418</x:v>
      </x:c>
      <x:c r="S2728" s="17" t="str"/>
    </x:row>
    <x:row r="2729">
      <x:c r="A2729" s="43" t="n">
        <x:v>2725</x:v>
      </x:c>
      <x:c r="B2729" s="44" t="str">
        <x:v>Not Started</x:v>
      </x:c>
      <x:c r="C2729" s="45" t="n">
        <x:v>44629</x:v>
      </x:c>
      <x:c r="D2729" s="33" t="str">
        <x:v>FBI: Most Wanted</x:v>
      </x:c>
      <x:c r="E2729" s="33" t="str">
        <x:v>FBI</x:v>
      </x:c>
      <x:c r="F2729" s="33" t="str">
        <x:v>core</x:v>
      </x:c>
      <x:c r="G2729" s="50" t="n">
        <x:v>3</x:v>
      </x:c>
      <x:c r="H2729" s="50" t="n">
        <x:v>14</x:v>
      </x:c>
      <x:c r="I2729" s="44" t="str">
        <x:v>03.14</x:v>
      </x:c>
      <x:c r="J2729" s="33" t="str">
        <x:v>Shattered</x:v>
      </x:c>
      <x:c r="K2729" s="33" t="str"/>
      <x:c r="L2729" s="33" t="str"/>
      <x:c r="M2729" s="44" t="str"/>
      <x:c r="N2729" s="50" t="n">
        <x:v>42</x:v>
      </x:c>
      <x:c r="O2729" s="53" t="str">
        <x:v>The team pursues an abusive man on the war path to find his ex-girlfriend, who is trying to escape him for good. Also, Jess and Sarah make plans to take their dream vacation together.</x:v>
      </x:c>
      <x:c r="P2729" s="53" t="str">
        <x:v>Core FBI franchise</x:v>
      </x:c>
      <x:c r="Q2729" s="17" t="str">
        <x:v>5927733</x:v>
      </x:c>
      <x:c r="R2729" s="17" t="str">
        <x:v>tt18259070</x:v>
      </x:c>
      <x:c r="S2729" s="17" t="str"/>
    </x:row>
    <x:row r="2730">
      <x:c r="A2730" s="43" t="n">
        <x:v>2726</x:v>
      </x:c>
      <x:c r="B2730" s="44" t="str">
        <x:v>Not Started</x:v>
      </x:c>
      <x:c r="C2730" s="45" t="n">
        <x:v>44629</x:v>
      </x:c>
      <x:c r="D2730" s="33" t="str">
        <x:v>FBI</x:v>
      </x:c>
      <x:c r="E2730" s="33" t="str">
        <x:v>FBI</x:v>
      </x:c>
      <x:c r="F2730" s="33" t="str">
        <x:v>core</x:v>
      </x:c>
      <x:c r="G2730" s="50" t="n">
        <x:v>4</x:v>
      </x:c>
      <x:c r="H2730" s="50" t="n">
        <x:v>14</x:v>
      </x:c>
      <x:c r="I2730" s="44" t="str">
        <x:v>04.14</x:v>
      </x:c>
      <x:c r="J2730" s="33" t="str">
        <x:v>Ambition</x:v>
      </x:c>
      <x:c r="K2730" s="33" t="str"/>
      <x:c r="L2730" s="33" t="str"/>
      <x:c r="M2730" s="44" t="str"/>
      <x:c r="N2730" s="50" t="n">
        <x:v>43</x:v>
      </x:c>
      <x:c r="O2730" s="53" t="str">
        <x:v>The team investigates an extremist gun group after an anti-gun lobbyist building is bombed; SAC Bashar dangles a possible promotion for OA.</x:v>
      </x:c>
      <x:c r="P2730" s="53" t="str">
        <x:v>Core FBI franchise</x:v>
      </x:c>
      <x:c r="Q2730" s="17" t="str">
        <x:v>5926838</x:v>
      </x:c>
      <x:c r="R2730" s="17" t="str">
        <x:v>tt18266408</x:v>
      </x:c>
      <x:c r="S2730" s="17" t="str"/>
    </x:row>
    <x:row r="2731">
      <x:c r="A2731" s="43" t="n">
        <x:v>2727</x:v>
      </x:c>
      <x:c r="B2731" s="44" t="str">
        <x:v>Not Started</x:v>
      </x:c>
      <x:c r="C2731" s="45" t="n">
        <x:v>44630</x:v>
      </x:c>
      <x:c r="D2731" s="33" t="str">
        <x:v>Law &amp; Order: Organized Crime</x:v>
      </x:c>
      <x:c r="E2731" s="33" t="str">
        <x:v>Law &amp; Order</x:v>
      </x:c>
      <x:c r="F2731" s="33" t="str">
        <x:v>core</x:v>
      </x:c>
      <x:c r="G2731" s="50" t="n">
        <x:v>2</x:v>
      </x:c>
      <x:c r="H2731" s="50" t="n">
        <x:v>15</x:v>
      </x:c>
      <x:c r="I2731" s="44" t="str">
        <x:v>02.15</x:v>
      </x:c>
      <x:c r="J2731" s="33" t="str">
        <x:v>Takeover</x:v>
      </x:c>
      <x:c r="K2731" s="33" t="str"/>
      <x:c r="L2731" s="33" t="str"/>
      <x:c r="M2731" s="44" t="str"/>
      <x:c r="N2731" s="50" t="n">
        <x:v>42</x:v>
      </x:c>
      <x:c r="O2731" s="53" t="str">
        <x:v>Bell’s task force investigates the connection between Congressman Kilbride and the Marcy organization. Stabler makes new friends with a group of close-knit cops. Nova receives a promotion just as her two worlds begin to collide.</x:v>
      </x:c>
      <x:c r="P2731" s="53" t="str">
        <x:v>Core Law &amp; Order franchise</x:v>
      </x:c>
      <x:c r="Q2731" s="17" t="str">
        <x:v>5903833</x:v>
      </x:c>
      <x:c r="R2731" s="17" t="str">
        <x:v>tt18253066</x:v>
      </x:c>
      <x:c r="S2731" s="17" t="str">
        <x:v>1534</x:v>
      </x:c>
    </x:row>
    <x:row r="2732">
      <x:c r="A2732" s="43" t="n">
        <x:v>2728</x:v>
      </x:c>
      <x:c r="B2732" s="44" t="str">
        <x:v>Not Started</x:v>
      </x:c>
      <x:c r="C2732" s="45" t="n">
        <x:v>44630</x:v>
      </x:c>
      <x:c r="D2732" s="33" t="str">
        <x:v>Chicago Med</x:v>
      </x:c>
      <x:c r="E2732" s="33" t="str">
        <x:v>One Chicago</x:v>
      </x:c>
      <x:c r="F2732" s="33" t="str">
        <x:v>core</x:v>
      </x:c>
      <x:c r="G2732" s="50" t="n">
        <x:v>7</x:v>
      </x:c>
      <x:c r="H2732" s="50" t="n">
        <x:v>15</x:v>
      </x:c>
      <x:c r="I2732" s="44" t="str">
        <x:v>07.15</x:v>
      </x:c>
      <x:c r="J2732" s="33" t="str">
        <x:v>Things Meant to Be Bent Not Broken</x:v>
      </x:c>
      <x:c r="K2732" s="33" t="str"/>
      <x:c r="L2732" s="33" t="str"/>
      <x:c r="M2732" s="44" t="str"/>
      <x:c r="N2732" s="50" t="n">
        <x:v>42</x:v>
      </x:c>
      <x:c r="O2732" s="53" t="str">
        <x:v>Scott suspects his patient may be a drug dealer. Halstead must decide how to spend his whistleblower settlement. Charles and Taylor help a patient who believes she's infested with parasites. Marcel and Blake are paired with an arrogant surgeon.</x:v>
      </x:c>
      <x:c r="P2732" s="53" t="str">
        <x:v>Core One Chicago franchise</x:v>
      </x:c>
      <x:c r="Q2732" s="17" t="str">
        <x:v>5926761</x:v>
      </x:c>
      <x:c r="R2732" s="17" t="str">
        <x:v>tt18260404</x:v>
      </x:c>
      <x:c r="S2732" s="17" t="str"/>
    </x:row>
    <x:row r="2733">
      <x:c r="A2733" s="43" t="n">
        <x:v>2729</x:v>
      </x:c>
      <x:c r="B2733" s="44" t="str">
        <x:v>Not Started</x:v>
      </x:c>
      <x:c r="C2733" s="45" t="n">
        <x:v>44630</x:v>
      </x:c>
      <x:c r="D2733" s="33" t="str">
        <x:v>Chicago P.D.</x:v>
      </x:c>
      <x:c r="E2733" s="33" t="str">
        <x:v>One Chicago</x:v>
      </x:c>
      <x:c r="F2733" s="33" t="str">
        <x:v>core</x:v>
      </x:c>
      <x:c r="G2733" s="50" t="n">
        <x:v>9</x:v>
      </x:c>
      <x:c r="H2733" s="50" t="n">
        <x:v>15</x:v>
      </x:c>
      <x:c r="I2733" s="44" t="str">
        <x:v>09.15</x:v>
      </x:c>
      <x:c r="J2733" s="33" t="str">
        <x:v>Gone</x:v>
      </x:c>
      <x:c r="K2733" s="33" t="str"/>
      <x:c r="L2733" s="33" t="str"/>
      <x:c r="M2733" s="44" t="str"/>
      <x:c r="N2733" s="50" t="n">
        <x:v>42</x:v>
      </x:c>
      <x:c r="O2733" s="53" t="str">
        <x:v>The unit scrambles to search for one of their own who is in grave danger.</x:v>
      </x:c>
      <x:c r="P2733" s="53" t="str">
        <x:v>Core One Chicago franchise; crossovers with SVU/FBI</x:v>
      </x:c>
      <x:c r="Q2733" s="17" t="str">
        <x:v>5932679</x:v>
      </x:c>
      <x:c r="R2733" s="17" t="str">
        <x:v>tt18311280</x:v>
      </x:c>
      <x:c r="S2733" s="17" t="str"/>
    </x:row>
    <x:row r="2734">
      <x:c r="A2734" s="43" t="n">
        <x:v>2730</x:v>
      </x:c>
      <x:c r="B2734" s="44" t="str">
        <x:v>Not Started</x:v>
      </x:c>
      <x:c r="C2734" s="45" t="n">
        <x:v>44630</x:v>
      </x:c>
      <x:c r="D2734" s="33" t="str">
        <x:v>Chicago Fire</x:v>
      </x:c>
      <x:c r="E2734" s="33" t="str">
        <x:v>One Chicago</x:v>
      </x:c>
      <x:c r="F2734" s="33" t="str">
        <x:v>core</x:v>
      </x:c>
      <x:c r="G2734" s="50" t="n">
        <x:v>10</x:v>
      </x:c>
      <x:c r="H2734" s="50" t="n">
        <x:v>15</x:v>
      </x:c>
      <x:c r="I2734" s="44" t="str">
        <x:v>10.15</x:v>
      </x:c>
      <x:c r="J2734" s="33" t="str">
        <x:v>The Missing Piece</x:v>
      </x:c>
      <x:c r="K2734" s="33" t="str"/>
      <x:c r="L2734" s="33" t="str"/>
      <x:c r="M2734" s="44" t="str"/>
      <x:c r="N2734" s="50" t="n">
        <x:v>42</x:v>
      </x:c>
      <x:c r="O2734" s="53" t="str">
        <x:v>Following an injury in the aftermath of an industrial fire, Severide and Seager work together to investigate an anonymous tip. Kidd searches for the right person to fill the opening on Truck 81.</x:v>
      </x:c>
      <x:c r="P2734" s="53" t="str">
        <x:v>Core One Chicago franchise</x:v>
      </x:c>
      <x:c r="Q2734" s="17" t="str">
        <x:v>5932680</x:v>
      </x:c>
      <x:c r="R2734" s="17" t="str">
        <x:v>tt18311218</x:v>
      </x:c>
      <x:c r="S2734" s="17" t="str"/>
    </x:row>
    <x:row r="2735">
      <x:c r="A2735" s="43" t="n">
        <x:v>2731</x:v>
      </x:c>
      <x:c r="B2735" s="44" t="str">
        <x:v>Not Started</x:v>
      </x:c>
      <x:c r="C2735" s="45" t="n">
        <x:v>44630</x:v>
      </x:c>
      <x:c r="D2735" s="33" t="str">
        <x:v>Law &amp; Order</x:v>
      </x:c>
      <x:c r="E2735" s="33" t="str">
        <x:v>Law &amp; Order</x:v>
      </x:c>
      <x:c r="F2735" s="33" t="str">
        <x:v>core</x:v>
      </x:c>
      <x:c r="G2735" s="50" t="n">
        <x:v>21</x:v>
      </x:c>
      <x:c r="H2735" s="50" t="n">
        <x:v>3</x:v>
      </x:c>
      <x:c r="I2735" s="44" t="str">
        <x:v>21.03</x:v>
      </x:c>
      <x:c r="J2735" s="33" t="str">
        <x:v>Filtered Life</x:v>
      </x:c>
      <x:c r="K2735" s="33" t="str"/>
      <x:c r="L2735" s="33" t="str"/>
      <x:c r="M2735" s="44" t="str"/>
      <x:c r="N2735" s="50" t="n">
        <x:v>41</x:v>
      </x:c>
      <x:c r="O2735" s="53" t="str">
        <x:v>Bernard and Cosgrove investigate the disappearance of a social media star whose case takes the internet by storm. Price and Maroun must weigh their decisions regarding the case against the wishes of the missing woman's family.</x:v>
      </x:c>
      <x:c r="P2735" s="53" t="str">
        <x:v>Core Law &amp; Order franchise</x:v>
      </x:c>
      <x:c r="Q2735" s="17" t="str">
        <x:v>5929167</x:v>
      </x:c>
      <x:c r="R2735" s="17" t="str">
        <x:v>tt18313104</x:v>
      </x:c>
      <x:c r="S2735" s="17" t="str">
        <x:v>1535</x:v>
      </x:c>
    </x:row>
    <x:row r="2736">
      <x:c r="A2736" s="43" t="n">
        <x:v>2732</x:v>
      </x:c>
      <x:c r="B2736" s="44" t="str">
        <x:v>Not Started</x:v>
      </x:c>
      <x:c r="C2736" s="45" t="n">
        <x:v>44630</x:v>
      </x:c>
      <x:c r="D2736" s="33" t="str">
        <x:v>Law &amp; Order: Special Victims Unit</x:v>
      </x:c>
      <x:c r="E2736" s="33" t="str">
        <x:v>Law &amp; Order</x:v>
      </x:c>
      <x:c r="F2736" s="33" t="str">
        <x:v>core</x:v>
      </x:c>
      <x:c r="G2736" s="50" t="n">
        <x:v>23</x:v>
      </x:c>
      <x:c r="H2736" s="50" t="n">
        <x:v>15</x:v>
      </x:c>
      <x:c r="I2736" s="44" t="str">
        <x:v>23.15</x:v>
      </x:c>
      <x:c r="J2736" s="33" t="str">
        <x:v>Promising Young Gentleman</x:v>
      </x:c>
      <x:c r="K2736" s="33" t="str"/>
      <x:c r="L2736" s="33" t="str"/>
      <x:c r="M2736" s="44" t="str"/>
      <x:c r="N2736" s="50" t="n">
        <x:v>43</x:v>
      </x:c>
      <x:c r="O2736" s="53" t="str">
        <x:v>Carisi's niece helps a friend report a sexual assault. Benson investigates a college's secret society that preys on female students.</x:v>
      </x:c>
      <x:c r="P2736" s="53" t="str">
        <x:v>Core Law &amp; Order franchise</x:v>
      </x:c>
      <x:c r="Q2736" s="17" t="str">
        <x:v>5913508</x:v>
      </x:c>
      <x:c r="R2736" s="17" t="str">
        <x:v>tt18327772</x:v>
      </x:c>
      <x:c r="S2736" s="17" t="str">
        <x:v>1533</x:v>
      </x:c>
    </x:row>
    <x:row r="2737">
      <x:c r="A2737" s="43" t="n">
        <x:v>2733</x:v>
      </x:c>
      <x:c r="B2737" s="44" t="str">
        <x:v>Not Started</x:v>
      </x:c>
      <x:c r="C2737" s="45" t="n">
        <x:v>44637</x:v>
      </x:c>
      <x:c r="D2737" s="33" t="str">
        <x:v>Law &amp; Order: Organized Crime</x:v>
      </x:c>
      <x:c r="E2737" s="33" t="str">
        <x:v>Law &amp; Order</x:v>
      </x:c>
      <x:c r="F2737" s="33" t="str">
        <x:v>core</x:v>
      </x:c>
      <x:c r="G2737" s="50" t="n">
        <x:v>2</x:v>
      </x:c>
      <x:c r="H2737" s="50" t="n">
        <x:v>16</x:v>
      </x:c>
      <x:c r="I2737" s="44" t="str">
        <x:v>02.16</x:v>
      </x:c>
      <x:c r="J2737" s="33" t="str">
        <x:v>Guns &amp; Roses</x:v>
      </x:c>
      <x:c r="K2737" s="33" t="str"/>
      <x:c r="L2737" s="33" t="str"/>
      <x:c r="M2737" s="44" t="str"/>
      <x:c r="N2737" s="50" t="n">
        <x:v>42</x:v>
      </x:c>
      <x:c r="O2737" s="53" t="str">
        <x:v>The task force investigates a connection between the Marcy Organization and the murder of a lawyer and her client. Stabler settles into a new assignment. Bell reminds Nova who she really works for.</x:v>
      </x:c>
      <x:c r="P2737" s="53" t="str">
        <x:v>Core Law &amp; Order franchise</x:v>
      </x:c>
      <x:c r="Q2737" s="17" t="str">
        <x:v>5932686</x:v>
      </x:c>
      <x:c r="R2737" s="17" t="str">
        <x:v>tt18364678</x:v>
      </x:c>
      <x:c r="S2737" s="17" t="str">
        <x:v>1537</x:v>
      </x:c>
    </x:row>
    <x:row r="2738">
      <x:c r="A2738" s="43" t="n">
        <x:v>2734</x:v>
      </x:c>
      <x:c r="B2738" s="44" t="str">
        <x:v>Not Started</x:v>
      </x:c>
      <x:c r="C2738" s="45" t="n">
        <x:v>44637</x:v>
      </x:c>
      <x:c r="D2738" s="33" t="str">
        <x:v>Chicago Med</x:v>
      </x:c>
      <x:c r="E2738" s="33" t="str">
        <x:v>One Chicago</x:v>
      </x:c>
      <x:c r="F2738" s="33" t="str">
        <x:v>core</x:v>
      </x:c>
      <x:c r="G2738" s="50" t="n">
        <x:v>7</x:v>
      </x:c>
      <x:c r="H2738" s="50" t="n">
        <x:v>16</x:v>
      </x:c>
      <x:c r="I2738" s="44" t="str">
        <x:v>07.16</x:v>
      </x:c>
      <x:c r="J2738" s="33" t="str">
        <x:v>May Your Choices Reflect Hope, Not Fear</x:v>
      </x:c>
      <x:c r="K2738" s="33" t="str"/>
      <x:c r="L2738" s="33" t="str"/>
      <x:c r="M2738" s="44" t="str"/>
      <x:c r="N2738" s="50" t="n">
        <x:v>42</x:v>
      </x:c>
      <x:c r="O2738" s="53" t="str">
        <x:v>Halstead helps a patient with long-haul COVID-19 symptoms. Taylor reflects on her dating life when she learns that a patient's daughter is having an arranged marriage.</x:v>
      </x:c>
      <x:c r="P2738" s="53" t="str">
        <x:v>Core One Chicago franchise</x:v>
      </x:c>
      <x:c r="Q2738" s="17" t="str">
        <x:v>5926762</x:v>
      </x:c>
      <x:c r="R2738" s="17" t="str">
        <x:v>tt18352378</x:v>
      </x:c>
      <x:c r="S2738" s="17" t="str"/>
    </x:row>
    <x:row r="2739">
      <x:c r="A2739" s="43" t="n">
        <x:v>2735</x:v>
      </x:c>
      <x:c r="B2739" s="44" t="str">
        <x:v>Not Started</x:v>
      </x:c>
      <x:c r="C2739" s="45" t="n">
        <x:v>44637</x:v>
      </x:c>
      <x:c r="D2739" s="33" t="str">
        <x:v>Chicago P.D.</x:v>
      </x:c>
      <x:c r="E2739" s="33" t="str">
        <x:v>One Chicago</x:v>
      </x:c>
      <x:c r="F2739" s="33" t="str">
        <x:v>core</x:v>
      </x:c>
      <x:c r="G2739" s="50" t="n">
        <x:v>9</x:v>
      </x:c>
      <x:c r="H2739" s="50" t="n">
        <x:v>16</x:v>
      </x:c>
      <x:c r="I2739" s="44" t="str">
        <x:v>09.16</x:v>
      </x:c>
      <x:c r="J2739" s="33" t="str">
        <x:v>Closer</x:v>
      </x:c>
      <x:c r="K2739" s="33" t="str"/>
      <x:c r="L2739" s="33" t="str"/>
      <x:c r="M2739" s="44" t="str"/>
      <x:c r="N2739" s="50" t="n">
        <x:v>43</x:v>
      </x:c>
      <x:c r="O2739" s="53" t="str">
        <x:v>When a young man is shot outside the Cárabo Bakery, the team works to connect the shooting to bakery owner Javier Escano, who has been under surveillance. Despite the increasing danger, Voight helps informant Anna Avalos get even closer to their target.</x:v>
      </x:c>
      <x:c r="P2739" s="53" t="str">
        <x:v>Core One Chicago franchise; crossovers with SVU/FBI</x:v>
      </x:c>
      <x:c r="Q2739" s="17" t="str">
        <x:v>5945907</x:v>
      </x:c>
      <x:c r="R2739" s="17" t="str">
        <x:v>tt18363012</x:v>
      </x:c>
      <x:c r="S2739" s="17" t="str"/>
    </x:row>
    <x:row r="2740">
      <x:c r="A2740" s="43" t="n">
        <x:v>2736</x:v>
      </x:c>
      <x:c r="B2740" s="44" t="str">
        <x:v>Not Started</x:v>
      </x:c>
      <x:c r="C2740" s="45" t="n">
        <x:v>44637</x:v>
      </x:c>
      <x:c r="D2740" s="33" t="str">
        <x:v>Chicago Fire</x:v>
      </x:c>
      <x:c r="E2740" s="33" t="str">
        <x:v>One Chicago</x:v>
      </x:c>
      <x:c r="F2740" s="33" t="str">
        <x:v>core</x:v>
      </x:c>
      <x:c r="G2740" s="50" t="n">
        <x:v>10</x:v>
      </x:c>
      <x:c r="H2740" s="50" t="n">
        <x:v>16</x:v>
      </x:c>
      <x:c r="I2740" s="44" t="str">
        <x:v>10.16</x:v>
      </x:c>
      <x:c r="J2740" s="33" t="str">
        <x:v>Hot and Fast</x:v>
      </x:c>
      <x:c r="K2740" s="33" t="str"/>
      <x:c r="L2740" s="33" t="str"/>
      <x:c r="M2740" s="44" t="str"/>
      <x:c r="N2740" s="50" t="n">
        <x:v>42</x:v>
      </x:c>
      <x:c r="O2740" s="53" t="str">
        <x:v>Cruz forms a bond with a young immigrant boy he meets while fighting an apartment fire. Squad makes plans to prank the newest member of their team.</x:v>
      </x:c>
      <x:c r="P2740" s="53" t="str">
        <x:v>Core One Chicago franchise</x:v>
      </x:c>
      <x:c r="Q2740" s="17" t="str">
        <x:v>5945908</x:v>
      </x:c>
      <x:c r="R2740" s="17" t="str">
        <x:v>tt18363010</x:v>
      </x:c>
      <x:c r="S2740" s="17" t="str"/>
    </x:row>
    <x:row r="2741">
      <x:c r="A2741" s="43" t="n">
        <x:v>2737</x:v>
      </x:c>
      <x:c r="B2741" s="44" t="str">
        <x:v>Not Started</x:v>
      </x:c>
      <x:c r="C2741" s="45" t="n">
        <x:v>44637</x:v>
      </x:c>
      <x:c r="D2741" s="33" t="str">
        <x:v>Law &amp; Order</x:v>
      </x:c>
      <x:c r="E2741" s="33" t="str">
        <x:v>Law &amp; Order</x:v>
      </x:c>
      <x:c r="F2741" s="33" t="str">
        <x:v>core</x:v>
      </x:c>
      <x:c r="G2741" s="50" t="n">
        <x:v>21</x:v>
      </x:c>
      <x:c r="H2741" s="50" t="n">
        <x:v>4</x:v>
      </x:c>
      <x:c r="I2741" s="44" t="str">
        <x:v>21.04</x:v>
      </x:c>
      <x:c r="J2741" s="33" t="str">
        <x:v>Fault Lines</x:v>
      </x:c>
      <x:c r="K2741" s="33" t="str"/>
      <x:c r="L2741" s="33" t="str"/>
      <x:c r="M2741" s="44" t="str"/>
      <x:c r="N2741" s="50" t="n">
        <x:v>42</x:v>
      </x:c>
      <x:c r="O2741" s="53" t="str">
        <x:v>After a family court judge is murdered, Bernard and Cosgrove dig into the many grievances against him; when the DA's office is faced with unforeseen challenges, Maroun takes matters into her own hands to save the case.</x:v>
      </x:c>
      <x:c r="P2741" s="53" t="str">
        <x:v>Core Law &amp; Order franchise</x:v>
      </x:c>
      <x:c r="Q2741" s="17" t="str">
        <x:v>5929168</x:v>
      </x:c>
      <x:c r="R2741" s="17" t="str">
        <x:v>tt18347296</x:v>
      </x:c>
      <x:c r="S2741" s="17" t="str">
        <x:v>1538</x:v>
      </x:c>
    </x:row>
    <x:row r="2742">
      <x:c r="A2742" s="43" t="n">
        <x:v>2738</x:v>
      </x:c>
      <x:c r="B2742" s="44" t="str">
        <x:v>Not Started</x:v>
      </x:c>
      <x:c r="C2742" s="45" t="n">
        <x:v>44637</x:v>
      </x:c>
      <x:c r="D2742" s="33" t="str">
        <x:v>Law &amp; Order: Special Victims Unit</x:v>
      </x:c>
      <x:c r="E2742" s="33" t="str">
        <x:v>Law &amp; Order</x:v>
      </x:c>
      <x:c r="F2742" s="33" t="str">
        <x:v>core</x:v>
      </x:c>
      <x:c r="G2742" s="50" t="n">
        <x:v>23</x:v>
      </x:c>
      <x:c r="H2742" s="50" t="n">
        <x:v>16</x:v>
      </x:c>
      <x:c r="I2742" s="44" t="str">
        <x:v>23.16</x:v>
      </x:c>
      <x:c r="J2742" s="33" t="str">
        <x:v>Sorry If It Got Weird for You</x:v>
      </x:c>
      <x:c r="K2742" s="33" t="str"/>
      <x:c r="L2742" s="33" t="str"/>
      <x:c r="M2742" s="44" t="str"/>
      <x:c r="N2742" s="50" t="n">
        <x:v>43</x:v>
      </x:c>
      <x:c r="O2742" s="53" t="str">
        <x:v>The creator of a dating app is accused of using it to rape women. Velasco's experience as an SVU detective is put on trial.</x:v>
      </x:c>
      <x:c r="P2742" s="53" t="str">
        <x:v>Core Law &amp; Order franchise</x:v>
      </x:c>
      <x:c r="Q2742" s="17" t="str">
        <x:v>5913509</x:v>
      </x:c>
      <x:c r="R2742" s="17" t="str">
        <x:v>tt18413098</x:v>
      </x:c>
      <x:c r="S2742" s="17" t="str">
        <x:v>1536</x:v>
      </x:c>
    </x:row>
    <x:row r="2743">
      <x:c r="A2743" s="43" t="n">
        <x:v>2739</x:v>
      </x:c>
      <x:c r="B2743" s="44" t="str">
        <x:v>Not Started</x:v>
      </x:c>
      <x:c r="C2743" s="45" t="n">
        <x:v>44643</x:v>
      </x:c>
      <x:c r="D2743" s="33" t="str">
        <x:v>FBI: International</x:v>
      </x:c>
      <x:c r="E2743" s="33" t="str">
        <x:v>FBI</x:v>
      </x:c>
      <x:c r="F2743" s="33" t="str">
        <x:v>core</x:v>
      </x:c>
      <x:c r="G2743" s="50" t="n">
        <x:v>1</x:v>
      </x:c>
      <x:c r="H2743" s="50" t="n">
        <x:v>14</x:v>
      </x:c>
      <x:c r="I2743" s="44" t="str">
        <x:v>01.14</x:v>
      </x:c>
      <x:c r="J2743" s="33" t="str">
        <x:v>The Kill List</x:v>
      </x:c>
      <x:c r="K2743" s="33" t="str"/>
      <x:c r="L2743" s="33" t="str"/>
      <x:c r="M2743" s="44" t="str"/>
      <x:c r="N2743" s="50" t="n">
        <x:v>43</x:v>
      </x:c>
      <x:c r="O2743" s="53" t="str">
        <x:v>The team must figure out how to keep the U.S. attorney general safe amid a possible security breach while she's in Hungary for an important meeting.</x:v>
      </x:c>
      <x:c r="P2743" s="53" t="str">
        <x:v>Core FBI franchise</x:v>
      </x:c>
      <x:c r="Q2743" s="17" t="str">
        <x:v>5956178</x:v>
      </x:c>
      <x:c r="R2743" s="17" t="str">
        <x:v>tt18502022</x:v>
      </x:c>
      <x:c r="S2743" s="17" t="str"/>
    </x:row>
    <x:row r="2744">
      <x:c r="A2744" s="43" t="n">
        <x:v>2740</x:v>
      </x:c>
      <x:c r="B2744" s="44" t="str">
        <x:v>Not Started</x:v>
      </x:c>
      <x:c r="C2744" s="45" t="n">
        <x:v>44643</x:v>
      </x:c>
      <x:c r="D2744" s="33" t="str">
        <x:v>FBI: Most Wanted</x:v>
      </x:c>
      <x:c r="E2744" s="33" t="str">
        <x:v>FBI</x:v>
      </x:c>
      <x:c r="F2744" s="33" t="str">
        <x:v>core</x:v>
      </x:c>
      <x:c r="G2744" s="50" t="n">
        <x:v>3</x:v>
      </x:c>
      <x:c r="H2744" s="50" t="n">
        <x:v>15</x:v>
      </x:c>
      <x:c r="I2744" s="44" t="str">
        <x:v>03.15</x:v>
      </x:c>
      <x:c r="J2744" s="33" t="str">
        <x:v>Incel</x:v>
      </x:c>
      <x:c r="K2744" s="33" t="str"/>
      <x:c r="L2744" s="33" t="str"/>
      <x:c r="M2744" s="44" t="str"/>
      <x:c r="N2744" s="50" t="n">
        <x:v>42</x:v>
      </x:c>
      <x:c r="O2744" s="53" t="str">
        <x:v>The team must track down a murderous member of the incel community targeting those he believes never give him a chance. Also, Barnes, Hana, Ortiz and Kristin deal with their grief in the wake of Jess’ death.</x:v>
      </x:c>
      <x:c r="P2744" s="53" t="str">
        <x:v>Core FBI franchise</x:v>
      </x:c>
      <x:c r="Q2744" s="17" t="str">
        <x:v>5963516</x:v>
      </x:c>
      <x:c r="R2744" s="17" t="str">
        <x:v>tt18411376</x:v>
      </x:c>
      <x:c r="S2744" s="17" t="str"/>
    </x:row>
    <x:row r="2745">
      <x:c r="A2745" s="43" t="n">
        <x:v>2741</x:v>
      </x:c>
      <x:c r="B2745" s="44" t="str">
        <x:v>Not Started</x:v>
      </x:c>
      <x:c r="C2745" s="45" t="n">
        <x:v>44643</x:v>
      </x:c>
      <x:c r="D2745" s="33" t="str">
        <x:v>FBI</x:v>
      </x:c>
      <x:c r="E2745" s="33" t="str">
        <x:v>FBI</x:v>
      </x:c>
      <x:c r="F2745" s="33" t="str">
        <x:v>core</x:v>
      </x:c>
      <x:c r="G2745" s="50" t="n">
        <x:v>4</x:v>
      </x:c>
      <x:c r="H2745" s="50" t="n">
        <x:v>15</x:v>
      </x:c>
      <x:c r="I2745" s="44" t="str">
        <x:v>04.15</x:v>
      </x:c>
      <x:c r="J2745" s="33" t="str">
        <x:v>Scar Tissue</x:v>
      </x:c>
      <x:c r="K2745" s="33" t="str"/>
      <x:c r="L2745" s="33" t="str"/>
      <x:c r="M2745" s="44" t="str"/>
      <x:c r="N2745" s="50" t="n">
        <x:v>43</x:v>
      </x:c>
      <x:c r="O2745" s="53" t="str">
        <x:v>The team realizes they have a cross-country serial killer on their hands; the case has ties to Isobel's father, Robert, and his hotel, leading to revelations about their fractured relationship.</x:v>
      </x:c>
      <x:c r="P2745" s="53" t="str">
        <x:v>Core FBI franchise</x:v>
      </x:c>
      <x:c r="Q2745" s="17" t="str">
        <x:v>5932687</x:v>
      </x:c>
      <x:c r="R2745" s="17" t="str">
        <x:v>tt18375246</x:v>
      </x:c>
      <x:c r="S2745" s="17" t="str"/>
    </x:row>
    <x:row r="2746">
      <x:c r="A2746" s="43" t="n">
        <x:v>2742</x:v>
      </x:c>
      <x:c r="B2746" s="44" t="str">
        <x:v>Not Started</x:v>
      </x:c>
      <x:c r="C2746" s="45" t="n">
        <x:v>44650</x:v>
      </x:c>
      <x:c r="D2746" s="33" t="str">
        <x:v>FBI: International</x:v>
      </x:c>
      <x:c r="E2746" s="33" t="str">
        <x:v>FBI</x:v>
      </x:c>
      <x:c r="F2746" s="33" t="str">
        <x:v>core</x:v>
      </x:c>
      <x:c r="G2746" s="50" t="n">
        <x:v>1</x:v>
      </x:c>
      <x:c r="H2746" s="50" t="n">
        <x:v>15</x:v>
      </x:c>
      <x:c r="I2746" s="44" t="str">
        <x:v>01.15</x:v>
      </x:c>
      <x:c r="J2746" s="33" t="str">
        <x:v>Shouldn’t Have Left Her</x:v>
      </x:c>
      <x:c r="K2746" s="33" t="str"/>
      <x:c r="L2746" s="33" t="str"/>
      <x:c r="M2746" s="44" t="str"/>
      <x:c r="N2746" s="50" t="n">
        <x:v>43</x:v>
      </x:c>
      <x:c r="O2746" s="53" t="str">
        <x:v>When Raines' sister goes missing in Kosovo, he goes rogue to find her, putting his job and his life on the line; Kellett and Forrester face further scrutiny from inside the bureau.</x:v>
      </x:c>
      <x:c r="P2746" s="53" t="str">
        <x:v>Core FBI franchise</x:v>
      </x:c>
      <x:c r="Q2746" s="17" t="str">
        <x:v>5956183</x:v>
      </x:c>
      <x:c r="R2746" s="17" t="str">
        <x:v>tt18502028</x:v>
      </x:c>
      <x:c r="S2746" s="17" t="str"/>
    </x:row>
    <x:row r="2747">
      <x:c r="A2747" s="43" t="n">
        <x:v>2743</x:v>
      </x:c>
      <x:c r="B2747" s="44" t="str">
        <x:v>Not Started</x:v>
      </x:c>
      <x:c r="C2747" s="45" t="n">
        <x:v>44650</x:v>
      </x:c>
      <x:c r="D2747" s="33" t="str">
        <x:v>FBI: Most Wanted</x:v>
      </x:c>
      <x:c r="E2747" s="33" t="str">
        <x:v>FBI</x:v>
      </x:c>
      <x:c r="F2747" s="33" t="str">
        <x:v>core</x:v>
      </x:c>
      <x:c r="G2747" s="50" t="n">
        <x:v>3</x:v>
      </x:c>
      <x:c r="H2747" s="50" t="n">
        <x:v>16</x:v>
      </x:c>
      <x:c r="I2747" s="44" t="str">
        <x:v>03.16</x:v>
      </x:c>
      <x:c r="J2747" s="33" t="str">
        <x:v>Decriminalized</x:v>
      </x:c>
      <x:c r="K2747" s="33" t="str"/>
      <x:c r="L2747" s="33" t="str"/>
      <x:c r="M2747" s="44" t="str"/>
      <x:c r="N2747" s="50" t="n">
        <x:v>42</x:v>
      </x:c>
      <x:c r="O2747" s="53" t="str">
        <x:v>The team gets called to Vermont after a married couple who grow illegal marijuana massacres their employees. Also, Barnes begins to regret not taking any time off to bond with her new baby.</x:v>
      </x:c>
      <x:c r="P2747" s="53" t="str">
        <x:v>Core FBI franchise</x:v>
      </x:c>
      <x:c r="Q2747" s="17" t="str">
        <x:v>5975272</x:v>
      </x:c>
      <x:c r="R2747" s="17" t="str">
        <x:v>tt18502032</x:v>
      </x:c>
      <x:c r="S2747" s="17" t="str"/>
    </x:row>
    <x:row r="2748">
      <x:c r="A2748" s="43" t="n">
        <x:v>2744</x:v>
      </x:c>
      <x:c r="B2748" s="44" t="str">
        <x:v>Not Started</x:v>
      </x:c>
      <x:c r="C2748" s="45" t="n">
        <x:v>44650</x:v>
      </x:c>
      <x:c r="D2748" s="33" t="str">
        <x:v>FBI</x:v>
      </x:c>
      <x:c r="E2748" s="33" t="str">
        <x:v>FBI</x:v>
      </x:c>
      <x:c r="F2748" s="33" t="str">
        <x:v>core</x:v>
      </x:c>
      <x:c r="G2748" s="50" t="n">
        <x:v>4</x:v>
      </x:c>
      <x:c r="H2748" s="50" t="n">
        <x:v>16</x:v>
      </x:c>
      <x:c r="I2748" s="44" t="str">
        <x:v>04.16</x:v>
      </x:c>
      <x:c r="J2748" s="33" t="str">
        <x:v>Protective Details</x:v>
      </x:c>
      <x:c r="K2748" s="33" t="str"/>
      <x:c r="L2748" s="33" t="str"/>
      <x:c r="M2748" s="44" t="str"/>
      <x:c r="N2748" s="50" t="n">
        <x:v>43</x:v>
      </x:c>
      <x:c r="O2748" s="53" t="str">
        <x:v>After an immigration agent is fatally shot at a hockey game, the team attempts to find the shooter, who they believe may also be targeting Congressman Curtis Grange, who was at the same game.</x:v>
      </x:c>
      <x:c r="P2748" s="53" t="str">
        <x:v>Core FBI franchise</x:v>
      </x:c>
      <x:c r="Q2748" s="17" t="str">
        <x:v>5932688</x:v>
      </x:c>
      <x:c r="R2748" s="17" t="str">
        <x:v>tt18502020</x:v>
      </x:c>
      <x:c r="S2748" s="17" t="str"/>
    </x:row>
    <x:row r="2749">
      <x:c r="A2749" s="43" t="n">
        <x:v>2745</x:v>
      </x:c>
      <x:c r="B2749" s="44" t="str">
        <x:v>Not Started</x:v>
      </x:c>
      <x:c r="C2749" s="45" t="n">
        <x:v>44658</x:v>
      </x:c>
      <x:c r="D2749" s="33" t="str">
        <x:v>Law &amp; Order: Organized Crime</x:v>
      </x:c>
      <x:c r="E2749" s="33" t="str">
        <x:v>Law &amp; Order</x:v>
      </x:c>
      <x:c r="F2749" s="33" t="str">
        <x:v>core</x:v>
      </x:c>
      <x:c r="G2749" s="50" t="n">
        <x:v>2</x:v>
      </x:c>
      <x:c r="H2749" s="50" t="n">
        <x:v>17</x:v>
      </x:c>
      <x:c r="I2749" s="44" t="str">
        <x:v>02.17</x:v>
      </x:c>
      <x:c r="J2749" s="33" t="str">
        <x:v>Can't Knock the Hustle</x:v>
      </x:c>
      <x:c r="K2749" s="33" t="str"/>
      <x:c r="L2749" s="33" t="str"/>
      <x:c r="M2749" s="44" t="str"/>
      <x:c r="N2749" s="50" t="n">
        <x:v>42</x:v>
      </x:c>
      <x:c r="O2749" s="53" t="str">
        <x:v>A new ADA on the case urges the task force to flip a member of the brotherhood to get the evidence they need. Stabler must come to terms with the legacy his father left him. Bell and Nova's worlds start to overlap in more ways than one.</x:v>
      </x:c>
      <x:c r="P2749" s="53" t="str">
        <x:v>Core Law &amp; Order franchise</x:v>
      </x:c>
      <x:c r="Q2749" s="17" t="str">
        <x:v>5932816</x:v>
      </x:c>
      <x:c r="R2749" s="17" t="str">
        <x:v>tt18673700</x:v>
      </x:c>
      <x:c r="S2749" s="17" t="str">
        <x:v>1540</x:v>
      </x:c>
    </x:row>
    <x:row r="2750">
      <x:c r="A2750" s="43" t="n">
        <x:v>2746</x:v>
      </x:c>
      <x:c r="B2750" s="44" t="str">
        <x:v>Not Started</x:v>
      </x:c>
      <x:c r="C2750" s="45" t="n">
        <x:v>44658</x:v>
      </x:c>
      <x:c r="D2750" s="33" t="str">
        <x:v>Chicago Med</x:v>
      </x:c>
      <x:c r="E2750" s="33" t="str">
        <x:v>One Chicago</x:v>
      </x:c>
      <x:c r="F2750" s="33" t="str">
        <x:v>core</x:v>
      </x:c>
      <x:c r="G2750" s="50" t="n">
        <x:v>7</x:v>
      </x:c>
      <x:c r="H2750" s="50" t="n">
        <x:v>17</x:v>
      </x:c>
      <x:c r="I2750" s="44" t="str">
        <x:v>07.17</x:v>
      </x:c>
      <x:c r="J2750" s="33" t="str">
        <x:v>If You Love Someone, Set Them Free</x:v>
      </x:c>
      <x:c r="K2750" s="33" t="str"/>
      <x:c r="L2750" s="33" t="str"/>
      <x:c r="M2750" s="44" t="str"/>
      <x:c r="N2750" s="50" t="n">
        <x:v>42</x:v>
      </x:c>
      <x:c r="O2750" s="53" t="str">
        <x:v>Rival gangs bring their war to Med. Halstead and Charles work with a brain cancer patient who's refusing treatment. Tensions run high in the OR when a patient's transplanted uterus fails.</x:v>
      </x:c>
      <x:c r="P2750" s="53" t="str">
        <x:v>Core One Chicago franchise</x:v>
      </x:c>
      <x:c r="Q2750" s="17" t="str">
        <x:v>5973492</x:v>
      </x:c>
      <x:c r="R2750" s="17" t="str">
        <x:v>tt18884228</x:v>
      </x:c>
      <x:c r="S2750" s="17" t="str"/>
    </x:row>
    <x:row r="2751">
      <x:c r="A2751" s="43" t="n">
        <x:v>2747</x:v>
      </x:c>
      <x:c r="B2751" s="44" t="str">
        <x:v>Not Started</x:v>
      </x:c>
      <x:c r="C2751" s="45" t="n">
        <x:v>44658</x:v>
      </x:c>
      <x:c r="D2751" s="33" t="str">
        <x:v>Chicago P.D.</x:v>
      </x:c>
      <x:c r="E2751" s="33" t="str">
        <x:v>One Chicago</x:v>
      </x:c>
      <x:c r="F2751" s="33" t="str">
        <x:v>core</x:v>
      </x:c>
      <x:c r="G2751" s="50" t="n">
        <x:v>9</x:v>
      </x:c>
      <x:c r="H2751" s="50" t="n">
        <x:v>17</x:v>
      </x:c>
      <x:c r="I2751" s="44" t="str">
        <x:v>09.17</x:v>
      </x:c>
      <x:c r="J2751" s="33" t="str">
        <x:v>Adrift</x:v>
      </x:c>
      <x:c r="K2751" s="33" t="str"/>
      <x:c r="L2751" s="33" t="str"/>
      <x:c r="M2751" s="44" t="str"/>
      <x:c r="N2751" s="50" t="n">
        <x:v>42</x:v>
      </x:c>
      <x:c r="O2751" s="53" t="str">
        <x:v>Ruzek's search for the daughter of an old family friend leads the team into a serious drug investigation. Burgess and Ruzek struggle to move on from the emotional aftermath of Makayla's abduction.</x:v>
      </x:c>
      <x:c r="P2751" s="53" t="str">
        <x:v>Core One Chicago franchise; crossovers with SVU/FBI</x:v>
      </x:c>
      <x:c r="Q2751" s="17" t="str">
        <x:v>5973913</x:v>
      </x:c>
      <x:c r="R2751" s="17" t="str">
        <x:v>tt18830650</x:v>
      </x:c>
      <x:c r="S2751" s="17" t="str"/>
    </x:row>
    <x:row r="2752">
      <x:c r="A2752" s="43" t="n">
        <x:v>2748</x:v>
      </x:c>
      <x:c r="B2752" s="44" t="str">
        <x:v>Not Started</x:v>
      </x:c>
      <x:c r="C2752" s="45" t="n">
        <x:v>44658</x:v>
      </x:c>
      <x:c r="D2752" s="33" t="str">
        <x:v>Chicago Fire</x:v>
      </x:c>
      <x:c r="E2752" s="33" t="str">
        <x:v>One Chicago</x:v>
      </x:c>
      <x:c r="F2752" s="33" t="str">
        <x:v>core</x:v>
      </x:c>
      <x:c r="G2752" s="50" t="n">
        <x:v>10</x:v>
      </x:c>
      <x:c r="H2752" s="50" t="n">
        <x:v>17</x:v>
      </x:c>
      <x:c r="I2752" s="44" t="str">
        <x:v>10.17</x:v>
      </x:c>
      <x:c r="J2752" s="33" t="str">
        <x:v>Keep You Safe</x:v>
      </x:c>
      <x:c r="K2752" s="33" t="str"/>
      <x:c r="L2752" s="33" t="str"/>
      <x:c r="M2752" s="44" t="str"/>
      <x:c r="N2752" s="50" t="n">
        <x:v>42</x:v>
      </x:c>
      <x:c r="O2752" s="53" t="str">
        <x:v>Severide and Kidd work with CPD regarding a suspicious car wreck. Hawkins and Violet's relationship is in jeopardy. Chloe and Cruz adjust to a new family dynamic.</x:v>
      </x:c>
      <x:c r="P2752" s="53" t="str">
        <x:v>Core One Chicago franchise</x:v>
      </x:c>
      <x:c r="Q2752" s="17" t="str">
        <x:v>5974371</x:v>
      </x:c>
      <x:c r="R2752" s="17" t="str">
        <x:v>tt18884288</x:v>
      </x:c>
      <x:c r="S2752" s="17" t="str"/>
    </x:row>
    <x:row r="2753">
      <x:c r="A2753" s="43" t="n">
        <x:v>2749</x:v>
      </x:c>
      <x:c r="B2753" s="44" t="str">
        <x:v>Not Started</x:v>
      </x:c>
      <x:c r="C2753" s="45" t="n">
        <x:v>44658</x:v>
      </x:c>
      <x:c r="D2753" s="33" t="str">
        <x:v>Law &amp; Order</x:v>
      </x:c>
      <x:c r="E2753" s="33" t="str">
        <x:v>Law &amp; Order</x:v>
      </x:c>
      <x:c r="F2753" s="33" t="str">
        <x:v>core</x:v>
      </x:c>
      <x:c r="G2753" s="50" t="n">
        <x:v>21</x:v>
      </x:c>
      <x:c r="H2753" s="50" t="n">
        <x:v>5</x:v>
      </x:c>
      <x:c r="I2753" s="44" t="str">
        <x:v>21.05</x:v>
      </x:c>
      <x:c r="J2753" s="33" t="str">
        <x:v>Free Speech</x:v>
      </x:c>
      <x:c r="K2753" s="33" t="str"/>
      <x:c r="L2753" s="33" t="str"/>
      <x:c r="M2753" s="44" t="str"/>
      <x:c r="N2753" s="50" t="n">
        <x:v>42</x:v>
      </x:c>
      <x:c r="O2753" s="53" t="str">
        <x:v>Bernard and Cosgrove investigate the murder of a congressional candidate. ADAs Price and Maroun contend with an extremist plot hellbent on thwarting the candidate's agenda by any means necessary.</x:v>
      </x:c>
      <x:c r="P2753" s="53" t="str">
        <x:v>Core Law &amp; Order franchise</x:v>
      </x:c>
      <x:c r="Q2753" s="17" t="str">
        <x:v>5946156</x:v>
      </x:c>
      <x:c r="R2753" s="17" t="str">
        <x:v>tt18637828</x:v>
      </x:c>
      <x:c r="S2753" s="17" t="str">
        <x:v>1541</x:v>
      </x:c>
    </x:row>
    <x:row r="2754">
      <x:c r="A2754" s="43" t="n">
        <x:v>2750</x:v>
      </x:c>
      <x:c r="B2754" s="44" t="str">
        <x:v>Not Started</x:v>
      </x:c>
      <x:c r="C2754" s="45" t="n">
        <x:v>44658</x:v>
      </x:c>
      <x:c r="D2754" s="33" t="str">
        <x:v>Law &amp; Order: Special Victims Unit</x:v>
      </x:c>
      <x:c r="E2754" s="33" t="str">
        <x:v>Law &amp; Order</x:v>
      </x:c>
      <x:c r="F2754" s="33" t="str">
        <x:v>core</x:v>
      </x:c>
      <x:c r="G2754" s="50" t="n">
        <x:v>23</x:v>
      </x:c>
      <x:c r="H2754" s="50" t="n">
        <x:v>17</x:v>
      </x:c>
      <x:c r="I2754" s="44" t="str">
        <x:v>23.17</x:v>
      </x:c>
      <x:c r="J2754" s="33" t="str">
        <x:v>Once Upon a Time in El Barrio</x:v>
      </x:c>
      <x:c r="K2754" s="33" t="str"/>
      <x:c r="L2754" s="33" t="str"/>
      <x:c r="M2754" s="44" t="str"/>
      <x:c r="N2754" s="50" t="n">
        <x:v>43</x:v>
      </x:c>
      <x:c r="O2754" s="53" t="str">
        <x:v>Velasco asks Benson for help finding three girls who were trafficked from his hometown to New York City.</x:v>
      </x:c>
      <x:c r="P2754" s="53" t="str">
        <x:v>Core Law &amp; Order franchise</x:v>
      </x:c>
      <x:c r="Q2754" s="17" t="str">
        <x:v>5926845</x:v>
      </x:c>
      <x:c r="R2754" s="17" t="str">
        <x:v>tt18924538</x:v>
      </x:c>
      <x:c r="S2754" s="17" t="str">
        <x:v>1539</x:v>
      </x:c>
    </x:row>
    <x:row r="2755">
      <x:c r="A2755" s="43" t="n">
        <x:v>2751</x:v>
      </x:c>
      <x:c r="B2755" s="44" t="str">
        <x:v>Not Started</x:v>
      </x:c>
      <x:c r="C2755" s="45" t="n">
        <x:v>44664</x:v>
      </x:c>
      <x:c r="D2755" s="33" t="str">
        <x:v>FBI: International</x:v>
      </x:c>
      <x:c r="E2755" s="33" t="str">
        <x:v>FBI</x:v>
      </x:c>
      <x:c r="F2755" s="33" t="str">
        <x:v>core</x:v>
      </x:c>
      <x:c r="G2755" s="50" t="n">
        <x:v>1</x:v>
      </x:c>
      <x:c r="H2755" s="50" t="n">
        <x:v>16</x:v>
      </x:c>
      <x:c r="I2755" s="44" t="str">
        <x:v>01.16</x:v>
      </x:c>
      <x:c r="J2755" s="33" t="str">
        <x:v>Left of Boom</x:v>
      </x:c>
      <x:c r="K2755" s="33" t="str"/>
      <x:c r="L2755" s="33" t="str"/>
      <x:c r="M2755" s="44" t="str"/>
      <x:c r="N2755" s="50" t="n">
        <x:v>43</x:v>
      </x:c>
      <x:c r="O2755" s="53" t="str">
        <x:v>The Fly Team lands in hot water when Vo is found at the scene where a Hungarian gambling regulator was murdered.</x:v>
      </x:c>
      <x:c r="P2755" s="53" t="str">
        <x:v>Core FBI franchise</x:v>
      </x:c>
      <x:c r="Q2755" s="17" t="str">
        <x:v>5987940</x:v>
      </x:c>
      <x:c r="R2755" s="17" t="str">
        <x:v>tt19064696</x:v>
      </x:c>
      <x:c r="S2755" s="17" t="str"/>
    </x:row>
    <x:row r="2756">
      <x:c r="A2756" s="43" t="n">
        <x:v>2752</x:v>
      </x:c>
      <x:c r="B2756" s="44" t="str">
        <x:v>Not Started</x:v>
      </x:c>
      <x:c r="C2756" s="45" t="n">
        <x:v>44664</x:v>
      </x:c>
      <x:c r="D2756" s="33" t="str">
        <x:v>FBI: Most Wanted</x:v>
      </x:c>
      <x:c r="E2756" s="33" t="str">
        <x:v>FBI</x:v>
      </x:c>
      <x:c r="F2756" s="33" t="str">
        <x:v>core</x:v>
      </x:c>
      <x:c r="G2756" s="50" t="n">
        <x:v>3</x:v>
      </x:c>
      <x:c r="H2756" s="50" t="n">
        <x:v>17</x:v>
      </x:c>
      <x:c r="I2756" s="44" t="str">
        <x:v>03.17</x:v>
      </x:c>
      <x:c r="J2756" s="33" t="str">
        <x:v>Covenant</x:v>
      </x:c>
      <x:c r="K2756" s="33" t="str"/>
      <x:c r="L2756" s="33" t="str"/>
      <x:c r="M2756" s="44" t="str"/>
      <x:c r="N2756" s="50" t="n">
        <x:v>42</x:v>
      </x:c>
      <x:c r="O2756" s="53" t="str">
        <x:v>The team's new leader, charming but formidable Special Agent Remy Scott, takes charge as they investigate a series of homicides tied to a forbidden love between a young teen and her older boyfriend.</x:v>
      </x:c>
      <x:c r="P2756" s="53" t="str">
        <x:v>Core FBI franchise</x:v>
      </x:c>
      <x:c r="Q2756" s="17" t="str">
        <x:v>5982720</x:v>
      </x:c>
      <x:c r="R2756" s="17" t="str">
        <x:v>tt17373398</x:v>
      </x:c>
      <x:c r="S2756" s="17" t="str"/>
    </x:row>
    <x:row r="2757">
      <x:c r="A2757" s="43" t="n">
        <x:v>2753</x:v>
      </x:c>
      <x:c r="B2757" s="44" t="str">
        <x:v>Not Started</x:v>
      </x:c>
      <x:c r="C2757" s="45" t="n">
        <x:v>44664</x:v>
      </x:c>
      <x:c r="D2757" s="33" t="str">
        <x:v>FBI</x:v>
      </x:c>
      <x:c r="E2757" s="33" t="str">
        <x:v>FBI</x:v>
      </x:c>
      <x:c r="F2757" s="33" t="str">
        <x:v>core</x:v>
      </x:c>
      <x:c r="G2757" s="50" t="n">
        <x:v>4</x:v>
      </x:c>
      <x:c r="H2757" s="50" t="n">
        <x:v>17</x:v>
      </x:c>
      <x:c r="I2757" s="44" t="str">
        <x:v>04.17</x:v>
      </x:c>
      <x:c r="J2757" s="33" t="str">
        <x:v>One Night Stand</x:v>
      </x:c>
      <x:c r="K2757" s="33" t="str"/>
      <x:c r="L2757" s="33" t="str"/>
      <x:c r="M2757" s="44" t="str"/>
      <x:c r="N2757" s="50" t="n">
        <x:v>40</x:v>
      </x:c>
      <x:c r="O2757" s="53" t="str">
        <x:v>When a young couple is found murdered in a New York City park after returning from vacation, the team searches for a suspect linked to the drug trade. Also, Scola turns over a new leaf when it comes to his relationships.</x:v>
      </x:c>
      <x:c r="P2757" s="53" t="str">
        <x:v>Core FBI franchise</x:v>
      </x:c>
      <x:c r="Q2757" s="17" t="str">
        <x:v>5987941</x:v>
      </x:c>
      <x:c r="R2757" s="17" t="str">
        <x:v>tt18555786</x:v>
      </x:c>
      <x:c r="S2757" s="17" t="str"/>
    </x:row>
    <x:row r="2758">
      <x:c r="A2758" s="43" t="n">
        <x:v>2754</x:v>
      </x:c>
      <x:c r="B2758" s="44" t="str">
        <x:v>Not Started</x:v>
      </x:c>
      <x:c r="C2758" s="45" t="n">
        <x:v>44665</x:v>
      </x:c>
      <x:c r="D2758" s="33" t="str">
        <x:v>Law &amp; Order: Organized Crime</x:v>
      </x:c>
      <x:c r="E2758" s="33" t="str">
        <x:v>Law &amp; Order</x:v>
      </x:c>
      <x:c r="F2758" s="33" t="str">
        <x:v>core</x:v>
      </x:c>
      <x:c r="G2758" s="50" t="n">
        <x:v>2</x:v>
      </x:c>
      <x:c r="H2758" s="50" t="n">
        <x:v>18</x:v>
      </x:c>
      <x:c r="I2758" s="44" t="str">
        <x:v>02.18</x:v>
      </x:c>
      <x:c r="J2758" s="33" t="str">
        <x:v>Change the Game</x:v>
      </x:c>
      <x:c r="K2758" s="33" t="str"/>
      <x:c r="L2758" s="33" t="str"/>
      <x:c r="M2758" s="44" t="str"/>
      <x:c r="N2758" s="50" t="n">
        <x:v>42</x:v>
      </x:c>
      <x:c r="O2758" s="53" t="str">
        <x:v>As the task force makes a critical arrest in the case against the Brotherhood, the Marcy organization ups the ante with a dangerous shipment of illegal weapons. Stabler looks for ways to gain Webb's favor while staying loyal to Donnelly.</x:v>
      </x:c>
      <x:c r="P2758" s="53" t="str">
        <x:v>Core Law &amp; Order franchise</x:v>
      </x:c>
      <x:c r="Q2758" s="17" t="str">
        <x:v>5971586</x:v>
      </x:c>
      <x:c r="R2758" s="17" t="str">
        <x:v>tt19071850</x:v>
      </x:c>
      <x:c r="S2758" s="17" t="str">
        <x:v>1543</x:v>
      </x:c>
    </x:row>
    <x:row r="2759">
      <x:c r="A2759" s="43" t="n">
        <x:v>2755</x:v>
      </x:c>
      <x:c r="B2759" s="44" t="str">
        <x:v>Not Started</x:v>
      </x:c>
      <x:c r="C2759" s="45" t="n">
        <x:v>44665</x:v>
      </x:c>
      <x:c r="D2759" s="33" t="str">
        <x:v>Chicago Med</x:v>
      </x:c>
      <x:c r="E2759" s="33" t="str">
        <x:v>One Chicago</x:v>
      </x:c>
      <x:c r="F2759" s="33" t="str">
        <x:v>core</x:v>
      </x:c>
      <x:c r="G2759" s="50" t="n">
        <x:v>7</x:v>
      </x:c>
      <x:c r="H2759" s="50" t="n">
        <x:v>18</x:v>
      </x:c>
      <x:c r="I2759" s="44" t="str">
        <x:v>07.18</x:v>
      </x:c>
      <x:c r="J2759" s="33" t="str">
        <x:v>Judge Not, for You Will Be Judged</x:v>
      </x:c>
      <x:c r="K2759" s="33" t="str"/>
      <x:c r="L2759" s="33" t="str"/>
      <x:c r="M2759" s="44" t="str"/>
      <x:c r="N2759" s="50" t="n">
        <x:v>42</x:v>
      </x:c>
      <x:c r="O2759" s="53" t="str">
        <x:v>Archer and Asher clash over a patient with close ties to Goodwin. After a patient is shot during a home invasion, Scott and Marcel help with the investigation. Maggie and Halstead work to protect a patient who is in the country illegally.</x:v>
      </x:c>
      <x:c r="P2759" s="53" t="str">
        <x:v>Core One Chicago franchise</x:v>
      </x:c>
      <x:c r="Q2759" s="17" t="str">
        <x:v>6007440</x:v>
      </x:c>
      <x:c r="R2759" s="17" t="str">
        <x:v>tt19064744</x:v>
      </x:c>
      <x:c r="S2759" s="17" t="str"/>
    </x:row>
    <x:row r="2760">
      <x:c r="A2760" s="43" t="n">
        <x:v>2756</x:v>
      </x:c>
      <x:c r="B2760" s="44" t="str">
        <x:v>Not Started</x:v>
      </x:c>
      <x:c r="C2760" s="45" t="n">
        <x:v>44665</x:v>
      </x:c>
      <x:c r="D2760" s="33" t="str">
        <x:v>Chicago P.D.</x:v>
      </x:c>
      <x:c r="E2760" s="33" t="str">
        <x:v>One Chicago</x:v>
      </x:c>
      <x:c r="F2760" s="33" t="str">
        <x:v>core</x:v>
      </x:c>
      <x:c r="G2760" s="50" t="n">
        <x:v>9</x:v>
      </x:c>
      <x:c r="H2760" s="50" t="n">
        <x:v>18</x:v>
      </x:c>
      <x:c r="I2760" s="44" t="str">
        <x:v>09.18</x:v>
      </x:c>
      <x:c r="J2760" s="33" t="str">
        <x:v>New Guard</x:v>
      </x:c>
      <x:c r="K2760" s="33" t="str"/>
      <x:c r="L2760" s="33" t="str"/>
      <x:c r="M2760" s="44" t="str"/>
      <x:c r="N2760" s="50" t="n">
        <x:v>42</x:v>
      </x:c>
      <x:c r="O2760" s="53" t="str">
        <x:v>Halstead takes a new recruit under his wing during an investigation. The dynamics are challenging, however, and questions arise over the recruit's complicated past.</x:v>
      </x:c>
      <x:c r="P2760" s="53" t="str">
        <x:v>Core One Chicago franchise; crossovers with SVU/FBI</x:v>
      </x:c>
      <x:c r="Q2760" s="17" t="str">
        <x:v>6007441</x:v>
      </x:c>
      <x:c r="R2760" s="17" t="str">
        <x:v>tt19064790</x:v>
      </x:c>
      <x:c r="S2760" s="17" t="str"/>
    </x:row>
    <x:row r="2761">
      <x:c r="A2761" s="43" t="n">
        <x:v>2757</x:v>
      </x:c>
      <x:c r="B2761" s="44" t="str">
        <x:v>Not Started</x:v>
      </x:c>
      <x:c r="C2761" s="45" t="n">
        <x:v>44665</x:v>
      </x:c>
      <x:c r="D2761" s="33" t="str">
        <x:v>Chicago Fire</x:v>
      </x:c>
      <x:c r="E2761" s="33" t="str">
        <x:v>One Chicago</x:v>
      </x:c>
      <x:c r="F2761" s="33" t="str">
        <x:v>core</x:v>
      </x:c>
      <x:c r="G2761" s="50" t="n">
        <x:v>10</x:v>
      </x:c>
      <x:c r="H2761" s="50" t="n">
        <x:v>18</x:v>
      </x:c>
      <x:c r="I2761" s="44" t="str">
        <x:v>10.18</x:v>
      </x:c>
      <x:c r="J2761" s="33" t="str">
        <x:v>What's Inside You</x:v>
      </x:c>
      <x:c r="K2761" s="33" t="str"/>
      <x:c r="L2761" s="33" t="str"/>
      <x:c r="M2761" s="44" t="str"/>
      <x:c r="N2761" s="50" t="n">
        <x:v>41</x:v>
      </x:c>
      <x:c r="O2761" s="53" t="str">
        <x:v>Firehouse 51 must band together when one of their own is taken hostage.</x:v>
      </x:c>
      <x:c r="P2761" s="53" t="str">
        <x:v>Core One Chicago franchise</x:v>
      </x:c>
      <x:c r="Q2761" s="17" t="str">
        <x:v>6006613</x:v>
      </x:c>
      <x:c r="R2761" s="17" t="str">
        <x:v>tt19064772</x:v>
      </x:c>
      <x:c r="S2761" s="17" t="str"/>
    </x:row>
    <x:row r="2762">
      <x:c r="A2762" s="43" t="n">
        <x:v>2758</x:v>
      </x:c>
      <x:c r="B2762" s="44" t="str">
        <x:v>Not Started</x:v>
      </x:c>
      <x:c r="C2762" s="45" t="n">
        <x:v>44665</x:v>
      </x:c>
      <x:c r="D2762" s="33" t="str">
        <x:v>Law &amp; Order</x:v>
      </x:c>
      <x:c r="E2762" s="33" t="str">
        <x:v>Law &amp; Order</x:v>
      </x:c>
      <x:c r="F2762" s="33" t="str">
        <x:v>core</x:v>
      </x:c>
      <x:c r="G2762" s="50" t="n">
        <x:v>21</x:v>
      </x:c>
      <x:c r="H2762" s="50" t="n">
        <x:v>6</x:v>
      </x:c>
      <x:c r="I2762" s="44" t="str">
        <x:v>21.06</x:v>
      </x:c>
      <x:c r="J2762" s="33" t="str">
        <x:v>Wicked Game</x:v>
      </x:c>
      <x:c r="K2762" s="33" t="str"/>
      <x:c r="L2762" s="33" t="str"/>
      <x:c r="M2762" s="44" t="str"/>
      <x:c r="N2762" s="50" t="n">
        <x:v>42</x:v>
      </x:c>
      <x:c r="O2762" s="53" t="str">
        <x:v>When a young man is found dead of an apparent overdose, Dixon fiercely pursues a homicide investigation as an old unsolved case comes back to haunt her. Price and Maroun risk putting a witness in harm's way to expose their suspect.</x:v>
      </x:c>
      <x:c r="P2762" s="53" t="str">
        <x:v>Core Law &amp; Order franchise</x:v>
      </x:c>
      <x:c r="Q2762" s="17" t="str">
        <x:v>6004623</x:v>
      </x:c>
      <x:c r="R2762" s="17" t="str">
        <x:v>tt19071820</x:v>
      </x:c>
      <x:c r="S2762" s="17" t="str">
        <x:v>1544</x:v>
      </x:c>
    </x:row>
    <x:row r="2763">
      <x:c r="A2763" s="43" t="n">
        <x:v>2759</x:v>
      </x:c>
      <x:c r="B2763" s="44" t="str">
        <x:v>Not Started</x:v>
      </x:c>
      <x:c r="C2763" s="45" t="n">
        <x:v>44665</x:v>
      </x:c>
      <x:c r="D2763" s="33" t="str">
        <x:v>Law &amp; Order: Special Victims Unit</x:v>
      </x:c>
      <x:c r="E2763" s="33" t="str">
        <x:v>Law &amp; Order</x:v>
      </x:c>
      <x:c r="F2763" s="33" t="str">
        <x:v>core</x:v>
      </x:c>
      <x:c r="G2763" s="50" t="n">
        <x:v>23</x:v>
      </x:c>
      <x:c r="H2763" s="50" t="n">
        <x:v>18</x:v>
      </x:c>
      <x:c r="I2763" s="44" t="str">
        <x:v>23.18</x:v>
      </x:c>
      <x:c r="J2763" s="33" t="str">
        <x:v>Eighteen Wheels a Predator</x:v>
      </x:c>
      <x:c r="K2763" s="33" t="str"/>
      <x:c r="L2763" s="33" t="str"/>
      <x:c r="M2763" s="44" t="str"/>
      <x:c r="N2763" s="50" t="n">
        <x:v>42</x:v>
      </x:c>
      <x:c r="O2763" s="53" t="str">
        <x:v>Rollins and Fin investigate an assault in Kentucky that has striking similarities to a victim found in Central Park. Benson receives intel that turns the case upside down.</x:v>
      </x:c>
      <x:c r="P2763" s="53" t="str">
        <x:v>Core Law &amp; Order franchise</x:v>
      </x:c>
      <x:c r="Q2763" s="17" t="str">
        <x:v>5965472</x:v>
      </x:c>
      <x:c r="R2763" s="17" t="str">
        <x:v>tt19071838</x:v>
      </x:c>
      <x:c r="S2763" s="17" t="str">
        <x:v>1542</x:v>
      </x:c>
    </x:row>
    <x:row r="2764">
      <x:c r="A2764" s="43" t="n">
        <x:v>2760</x:v>
      </x:c>
      <x:c r="B2764" s="44" t="str">
        <x:v>Not Started</x:v>
      </x:c>
      <x:c r="C2764" s="45" t="n">
        <x:v>44671</x:v>
      </x:c>
      <x:c r="D2764" s="33" t="str">
        <x:v>FBI: International</x:v>
      </x:c>
      <x:c r="E2764" s="33" t="str">
        <x:v>FBI</x:v>
      </x:c>
      <x:c r="F2764" s="33" t="str">
        <x:v>core</x:v>
      </x:c>
      <x:c r="G2764" s="50" t="n">
        <x:v>1</x:v>
      </x:c>
      <x:c r="H2764" s="50" t="n">
        <x:v>17</x:v>
      </x:c>
      <x:c r="I2764" s="44" t="str">
        <x:v>01.17</x:v>
      </x:c>
      <x:c r="J2764" s="33" t="str">
        <x:v>Uprooting</x:v>
      </x:c>
      <x:c r="K2764" s="33" t="str"/>
      <x:c r="L2764" s="33" t="str"/>
      <x:c r="M2764" s="44" t="str"/>
      <x:c r="N2764" s="50" t="n">
        <x:v>43</x:v>
      </x:c>
      <x:c r="O2764" s="53" t="str">
        <x:v>When an American vintner is shot and killed on his wine estate in France, the team must determine if the region's local protest group with a history of violence against foreigners is to blame.</x:v>
      </x:c>
      <x:c r="P2764" s="53" t="str">
        <x:v>Core FBI franchise</x:v>
      </x:c>
      <x:c r="Q2764" s="17" t="str">
        <x:v>6024006</x:v>
      </x:c>
      <x:c r="R2764" s="17" t="str">
        <x:v>tt19071792</x:v>
      </x:c>
      <x:c r="S2764" s="17" t="str"/>
    </x:row>
    <x:row r="2765">
      <x:c r="A2765" s="43" t="n">
        <x:v>2761</x:v>
      </x:c>
      <x:c r="B2765" s="44" t="str">
        <x:v>Not Started</x:v>
      </x:c>
      <x:c r="C2765" s="45" t="n">
        <x:v>44671</x:v>
      </x:c>
      <x:c r="D2765" s="33" t="str">
        <x:v>FBI: Most Wanted</x:v>
      </x:c>
      <x:c r="E2765" s="33" t="str">
        <x:v>FBI</x:v>
      </x:c>
      <x:c r="F2765" s="33" t="str">
        <x:v>core</x:v>
      </x:c>
      <x:c r="G2765" s="50" t="n">
        <x:v>3</x:v>
      </x:c>
      <x:c r="H2765" s="50" t="n">
        <x:v>18</x:v>
      </x:c>
      <x:c r="I2765" s="44" t="str">
        <x:v>03.18</x:v>
      </x:c>
      <x:c r="J2765" s="33" t="str">
        <x:v>Reaper</x:v>
      </x:c>
      <x:c r="K2765" s="33" t="str"/>
      <x:c r="L2765" s="33" t="str"/>
      <x:c r="M2765" s="44" t="str"/>
      <x:c r="N2765" s="50" t="n">
        <x:v>41</x:v>
      </x:c>
      <x:c r="O2765" s="53" t="str">
        <x:v>Remy and the team investigate the homicides of two Army veterans in a murder spree connected to their time in Afghanistan.</x:v>
      </x:c>
      <x:c r="P2765" s="53" t="str">
        <x:v>Core FBI franchise</x:v>
      </x:c>
      <x:c r="Q2765" s="17" t="str">
        <x:v>5994501</x:v>
      </x:c>
      <x:c r="R2765" s="17" t="str">
        <x:v>tt19071798</x:v>
      </x:c>
      <x:c r="S2765" s="17" t="str"/>
    </x:row>
    <x:row r="2766">
      <x:c r="A2766" s="43" t="n">
        <x:v>2762</x:v>
      </x:c>
      <x:c r="B2766" s="44" t="str">
        <x:v>Not Started</x:v>
      </x:c>
      <x:c r="C2766" s="45" t="n">
        <x:v>44671</x:v>
      </x:c>
      <x:c r="D2766" s="33" t="str">
        <x:v>FBI</x:v>
      </x:c>
      <x:c r="E2766" s="33" t="str">
        <x:v>FBI</x:v>
      </x:c>
      <x:c r="F2766" s="33" t="str">
        <x:v>core</x:v>
      </x:c>
      <x:c r="G2766" s="50" t="n">
        <x:v>4</x:v>
      </x:c>
      <x:c r="H2766" s="50" t="n">
        <x:v>18</x:v>
      </x:c>
      <x:c r="I2766" s="44" t="str">
        <x:v>04.18</x:v>
      </x:c>
      <x:c r="J2766" s="33" t="str">
        <x:v>Fear Nothing</x:v>
      </x:c>
      <x:c r="K2766" s="33" t="str"/>
      <x:c r="L2766" s="33" t="str"/>
      <x:c r="M2766" s="44" t="str"/>
      <x:c r="N2766" s="50" t="n">
        <x:v>41</x:v>
      </x:c>
      <x:c r="O2766" s="53" t="str">
        <x:v>OA is forced to confront one of his biggest fears when the team discovers that deadly sarin gas may have been sold to terrorists.</x:v>
      </x:c>
      <x:c r="P2766" s="53" t="str">
        <x:v>Core FBI franchise</x:v>
      </x:c>
      <x:c r="Q2766" s="17" t="str">
        <x:v>5994262</x:v>
      </x:c>
      <x:c r="R2766" s="17" t="str">
        <x:v>tt19071786</x:v>
      </x:c>
      <x:c r="S2766" s="17" t="str"/>
    </x:row>
    <x:row r="2767">
      <x:c r="A2767" s="43" t="n">
        <x:v>2763</x:v>
      </x:c>
      <x:c r="B2767" s="44" t="str">
        <x:v>Not Started</x:v>
      </x:c>
      <x:c r="C2767" s="45" t="n">
        <x:v>44672</x:v>
      </x:c>
      <x:c r="D2767" s="33" t="str">
        <x:v>Chicago Med</x:v>
      </x:c>
      <x:c r="E2767" s="33" t="str">
        <x:v>One Chicago</x:v>
      </x:c>
      <x:c r="F2767" s="33" t="str">
        <x:v>core</x:v>
      </x:c>
      <x:c r="G2767" s="50" t="n">
        <x:v>7</x:v>
      </x:c>
      <x:c r="H2767" s="50" t="n">
        <x:v>19</x:v>
      </x:c>
      <x:c r="I2767" s="44" t="str">
        <x:v>07.19</x:v>
      </x:c>
      <x:c r="J2767" s="33" t="str">
        <x:v>Like a Phoenix Rising from the Ashes</x:v>
      </x:c>
      <x:c r="K2767" s="33" t="str"/>
      <x:c r="L2767" s="33" t="str"/>
      <x:c r="M2767" s="44" t="str"/>
      <x:c r="N2767" s="50" t="n">
        <x:v>42</x:v>
      </x:c>
      <x:c r="O2767" s="53" t="str">
        <x:v>Halstead and Asher work to save a surrogate's baby. Charles cares for a patient on a hunger strike. Choi and Archer help a patient with ties to Choi's late father. Scott and Maggie are stumped by a drunk patient who claims to be sober.</x:v>
      </x:c>
      <x:c r="P2767" s="53" t="str">
        <x:v>Core One Chicago franchise</x:v>
      </x:c>
      <x:c r="Q2767" s="17" t="str">
        <x:v>6025844</x:v>
      </x:c>
      <x:c r="R2767" s="17" t="str">
        <x:v>tt19064750</x:v>
      </x:c>
      <x:c r="S2767" s="17" t="str"/>
    </x:row>
    <x:row r="2768">
      <x:c r="A2768" s="43" t="n">
        <x:v>2764</x:v>
      </x:c>
      <x:c r="B2768" s="44" t="str">
        <x:v>Not Started</x:v>
      </x:c>
      <x:c r="C2768" s="45" t="n">
        <x:v>44672</x:v>
      </x:c>
      <x:c r="D2768" s="33" t="str">
        <x:v>Chicago P.D.</x:v>
      </x:c>
      <x:c r="E2768" s="33" t="str">
        <x:v>One Chicago</x:v>
      </x:c>
      <x:c r="F2768" s="33" t="str">
        <x:v>core</x:v>
      </x:c>
      <x:c r="G2768" s="50" t="n">
        <x:v>9</x:v>
      </x:c>
      <x:c r="H2768" s="50" t="n">
        <x:v>19</x:v>
      </x:c>
      <x:c r="I2768" s="44" t="str">
        <x:v>09.19</x:v>
      </x:c>
      <x:c r="J2768" s="33" t="str">
        <x:v>Fool's Gold</x:v>
      </x:c>
      <x:c r="K2768" s="33" t="str"/>
      <x:c r="L2768" s="33" t="str"/>
      <x:c r="M2768" s="44" t="str"/>
      <x:c r="N2768" s="50" t="n">
        <x:v>42</x:v>
      </x:c>
      <x:c r="O2768" s="53" t="str">
        <x:v>After the murder of a wealthy Chicago man, Atwater and the team dig in to uncover the truth, suspecting there is more to the story than meets the eye.</x:v>
      </x:c>
      <x:c r="P2768" s="53" t="str">
        <x:v>Core One Chicago franchise; crossovers with SVU/FBI</x:v>
      </x:c>
      <x:c r="Q2768" s="17" t="str">
        <x:v>6025425</x:v>
      </x:c>
      <x:c r="R2768" s="17" t="str">
        <x:v>tt19064794</x:v>
      </x:c>
      <x:c r="S2768" s="17" t="str"/>
    </x:row>
    <x:row r="2769">
      <x:c r="A2769" s="43" t="n">
        <x:v>2765</x:v>
      </x:c>
      <x:c r="B2769" s="44" t="str">
        <x:v>Not Started</x:v>
      </x:c>
      <x:c r="C2769" s="45" t="n">
        <x:v>44672</x:v>
      </x:c>
      <x:c r="D2769" s="33" t="str">
        <x:v>Chicago Fire</x:v>
      </x:c>
      <x:c r="E2769" s="33" t="str">
        <x:v>One Chicago</x:v>
      </x:c>
      <x:c r="F2769" s="33" t="str">
        <x:v>core</x:v>
      </x:c>
      <x:c r="G2769" s="50" t="n">
        <x:v>10</x:v>
      </x:c>
      <x:c r="H2769" s="50" t="n">
        <x:v>19</x:v>
      </x:c>
      <x:c r="I2769" s="44" t="str">
        <x:v>10.19</x:v>
      </x:c>
      <x:c r="J2769" s="33" t="str">
        <x:v>Finish What You Started</x:v>
      </x:c>
      <x:c r="K2769" s="33" t="str"/>
      <x:c r="L2769" s="33" t="str"/>
      <x:c r="M2769" s="44" t="str"/>
      <x:c r="N2769" s="50" t="n">
        <x:v>42</x:v>
      </x:c>
      <x:c r="O2769" s="53" t="str">
        <x:v>Firehouse 51 tackles a fire caused by a dropped jet engine, and one of their own is accused of a theft related to the incident. Kidd and Boden disapprove of Kylie's potential new love interest.</x:v>
      </x:c>
      <x:c r="P2769" s="53" t="str">
        <x:v>Core One Chicago franchise</x:v>
      </x:c>
      <x:c r="Q2769" s="17" t="str">
        <x:v>6025843</x:v>
      </x:c>
      <x:c r="R2769" s="17" t="str">
        <x:v>tt19064778</x:v>
      </x:c>
      <x:c r="S2769" s="17" t="str"/>
    </x:row>
    <x:row r="2770">
      <x:c r="A2770" s="43" t="n">
        <x:v>2766</x:v>
      </x:c>
      <x:c r="B2770" s="44" t="str">
        <x:v>Not Started</x:v>
      </x:c>
      <x:c r="C2770" s="45" t="n">
        <x:v>44678</x:v>
      </x:c>
      <x:c r="D2770" s="33" t="str">
        <x:v>FBI: International</x:v>
      </x:c>
      <x:c r="E2770" s="33" t="str">
        <x:v>FBI</x:v>
      </x:c>
      <x:c r="F2770" s="33" t="str">
        <x:v>core</x:v>
      </x:c>
      <x:c r="G2770" s="50" t="n">
        <x:v>1</x:v>
      </x:c>
      <x:c r="H2770" s="50" t="n">
        <x:v>18</x:v>
      </x:c>
      <x:c r="I2770" s="44" t="str">
        <x:v>01.18</x:v>
      </x:c>
      <x:c r="J2770" s="33" t="str">
        <x:v>On These Waters</x:v>
      </x:c>
      <x:c r="K2770" s="33" t="str"/>
      <x:c r="L2770" s="33" t="str"/>
      <x:c r="M2770" s="44" t="str"/>
      <x:c r="N2770" s="50" t="n">
        <x:v>43</x:v>
      </x:c>
      <x:c r="O2770" s="53" t="str">
        <x:v>Following a frenzied attack by gunmen aboard an American-owned river cruise ship on the Danube, the Fly Team heads to Vienna to investigate why the boat was targeted. Also, Forrester realizes his feelings of mistrust caused by his past are affecting his personal relationships.</x:v>
      </x:c>
      <x:c r="P2770" s="53" t="str">
        <x:v>Core FBI franchise</x:v>
      </x:c>
      <x:c r="Q2770" s="17" t="str">
        <x:v>6024007</x:v>
      </x:c>
      <x:c r="R2770" s="17" t="str">
        <x:v>tt19356806</x:v>
      </x:c>
      <x:c r="S2770" s="17" t="str"/>
    </x:row>
    <x:row r="2771">
      <x:c r="A2771" s="43" t="n">
        <x:v>2767</x:v>
      </x:c>
      <x:c r="B2771" s="44" t="str">
        <x:v>Not Started</x:v>
      </x:c>
      <x:c r="C2771" s="45" t="n">
        <x:v>44678</x:v>
      </x:c>
      <x:c r="D2771" s="33" t="str">
        <x:v>FBI: Most Wanted</x:v>
      </x:c>
      <x:c r="E2771" s="33" t="str">
        <x:v>FBI</x:v>
      </x:c>
      <x:c r="F2771" s="33" t="str">
        <x:v>core</x:v>
      </x:c>
      <x:c r="G2771" s="50" t="n">
        <x:v>3</x:v>
      </x:c>
      <x:c r="H2771" s="50" t="n">
        <x:v>19</x:v>
      </x:c>
      <x:c r="I2771" s="44" t="str">
        <x:v>03.19</x:v>
      </x:c>
      <x:c r="J2771" s="33" t="str">
        <x:v>Whack Job</x:v>
      </x:c>
      <x:c r="K2771" s="33" t="str"/>
      <x:c r="L2771" s="33" t="str"/>
      <x:c r="M2771" s="44" t="str"/>
      <x:c r="N2771" s="50" t="n">
        <x:v>43</x:v>
      </x:c>
      <x:c r="O2771" s="53" t="str">
        <x:v>The team goes after the killer of a man in witness protection but finds there’s more to the case than meets the eye. Also, Remy is challenged by what he discovers when he reconnects with his mother, Betsy, in person.</x:v>
      </x:c>
      <x:c r="P2771" s="53" t="str">
        <x:v>Core FBI franchise</x:v>
      </x:c>
      <x:c r="Q2771" s="17" t="str">
        <x:v>6041582</x:v>
      </x:c>
      <x:c r="R2771" s="17" t="str">
        <x:v>tt19226438</x:v>
      </x:c>
      <x:c r="S2771" s="17" t="str"/>
    </x:row>
    <x:row r="2772">
      <x:c r="A2772" s="43" t="n">
        <x:v>2768</x:v>
      </x:c>
      <x:c r="B2772" s="44" t="str">
        <x:v>Not Started</x:v>
      </x:c>
      <x:c r="C2772" s="45" t="n">
        <x:v>44678</x:v>
      </x:c>
      <x:c r="D2772" s="33" t="str">
        <x:v>FBI</x:v>
      </x:c>
      <x:c r="E2772" s="33" t="str">
        <x:v>FBI</x:v>
      </x:c>
      <x:c r="F2772" s="33" t="str">
        <x:v>core</x:v>
      </x:c>
      <x:c r="G2772" s="50" t="n">
        <x:v>4</x:v>
      </x:c>
      <x:c r="H2772" s="50" t="n">
        <x:v>19</x:v>
      </x:c>
      <x:c r="I2772" s="44" t="str">
        <x:v>04.19</x:v>
      </x:c>
      <x:c r="J2772" s="33" t="str">
        <x:v>Face Off</x:v>
      </x:c>
      <x:c r="K2772" s="33" t="str"/>
      <x:c r="L2772" s="33" t="str"/>
      <x:c r="M2772" s="44" t="str"/>
      <x:c r="N2772" s="50" t="n">
        <x:v>42</x:v>
      </x:c>
      <x:c r="O2772" s="53" t="str">
        <x:v>When a morning show host is murdered inside her home, the team tracks the killer, who they realize is targeting powerful women. Also, things become awkward for Scola when Special Agent Nina Chase becomes part of the team during Maggie's recovery.</x:v>
      </x:c>
      <x:c r="P2772" s="53" t="str">
        <x:v>Core FBI franchise</x:v>
      </x:c>
      <x:c r="Q2772" s="17" t="str">
        <x:v>6024025</x:v>
      </x:c>
      <x:c r="R2772" s="17" t="str">
        <x:v>tt19226406</x:v>
      </x:c>
      <x:c r="S2772" s="17" t="str"/>
    </x:row>
    <x:row r="2773">
      <x:c r="A2773" s="43" t="n">
        <x:v>2769</x:v>
      </x:c>
      <x:c r="B2773" s="44" t="str">
        <x:v>Not Started</x:v>
      </x:c>
      <x:c r="C2773" s="45" t="n">
        <x:v>44679</x:v>
      </x:c>
      <x:c r="D2773" s="33" t="str">
        <x:v>Law &amp; Order: Organized Crime</x:v>
      </x:c>
      <x:c r="E2773" s="33" t="str">
        <x:v>Law &amp; Order</x:v>
      </x:c>
      <x:c r="F2773" s="33" t="str">
        <x:v>core</x:v>
      </x:c>
      <x:c r="G2773" s="50" t="n">
        <x:v>2</x:v>
      </x:c>
      <x:c r="H2773" s="50" t="n">
        <x:v>19</x:v>
      </x:c>
      <x:c r="I2773" s="44" t="str">
        <x:v>02.19</x:v>
      </x:c>
      <x:c r="J2773" s="33" t="str">
        <x:v>Dead Presidents</x:v>
      </x:c>
      <x:c r="K2773" s="33" t="str"/>
      <x:c r="L2773" s="33" t="str"/>
      <x:c r="M2773" s="44" t="str"/>
      <x:c r="N2773" s="50" t="n">
        <x:v>42</x:v>
      </x:c>
      <x:c r="O2773" s="53" t="str">
        <x:v>When millions are stolen from one of Webb's employees, he enlists Stabler and Donnelly to retrieve the cash and punish the thief. The task force takes an opportunity to nail down both Webb and the Brotherhood but runs into a dangerous obstacle.</x:v>
      </x:c>
      <x:c r="P2773" s="53" t="str">
        <x:v>Core Law &amp; Order franchise</x:v>
      </x:c>
      <x:c r="Q2773" s="17" t="str">
        <x:v>5971587</x:v>
      </x:c>
      <x:c r="R2773" s="17" t="str">
        <x:v>tt19071854</x:v>
      </x:c>
      <x:c r="S2773" s="17" t="str">
        <x:v>1546</x:v>
      </x:c>
    </x:row>
    <x:row r="2774">
      <x:c r="A2774" s="43" t="n">
        <x:v>2770</x:v>
      </x:c>
      <x:c r="B2774" s="44" t="str">
        <x:v>Not Started</x:v>
      </x:c>
      <x:c r="C2774" s="45" t="n">
        <x:v>44679</x:v>
      </x:c>
      <x:c r="D2774" s="33" t="str">
        <x:v>Law &amp; Order</x:v>
      </x:c>
      <x:c r="E2774" s="33" t="str">
        <x:v>Law &amp; Order</x:v>
      </x:c>
      <x:c r="F2774" s="33" t="str">
        <x:v>core</x:v>
      </x:c>
      <x:c r="G2774" s="50" t="n">
        <x:v>21</x:v>
      </x:c>
      <x:c r="H2774" s="50" t="n">
        <x:v>7</x:v>
      </x:c>
      <x:c r="I2774" s="44" t="str">
        <x:v>21.07</x:v>
      </x:c>
      <x:c r="J2774" s="33" t="str">
        <x:v>Legacy</x:v>
      </x:c>
      <x:c r="K2774" s="33" t="str"/>
      <x:c r="L2774" s="33" t="str"/>
      <x:c r="M2774" s="44" t="str"/>
      <x:c r="N2774" s="50" t="n">
        <x:v>42</x:v>
      </x:c>
      <x:c r="O2774" s="53" t="str">
        <x:v>Bernard and Cosgrove are confronted with several suspects in the shooting of a headmaster at an elite private school. A teenager's life hangs in the balance as Price and Maroun debate who's more culpable - the shooter or the enabler.</x:v>
      </x:c>
      <x:c r="P2774" s="53" t="str">
        <x:v>Core Law &amp; Order franchise</x:v>
      </x:c>
      <x:c r="Q2774" s="17" t="str">
        <x:v>6004624</x:v>
      </x:c>
      <x:c r="R2774" s="17" t="str">
        <x:v>tt19071824</x:v>
      </x:c>
      <x:c r="S2774" s="17" t="str">
        <x:v>1547</x:v>
      </x:c>
    </x:row>
    <x:row r="2775">
      <x:c r="A2775" s="43" t="n">
        <x:v>2771</x:v>
      </x:c>
      <x:c r="B2775" s="44" t="str">
        <x:v>Not Started</x:v>
      </x:c>
      <x:c r="C2775" s="45" t="n">
        <x:v>44679</x:v>
      </x:c>
      <x:c r="D2775" s="33" t="str">
        <x:v>Law &amp; Order: Special Victims Unit</x:v>
      </x:c>
      <x:c r="E2775" s="33" t="str">
        <x:v>Law &amp; Order</x:v>
      </x:c>
      <x:c r="F2775" s="33" t="str">
        <x:v>core</x:v>
      </x:c>
      <x:c r="G2775" s="50" t="n">
        <x:v>23</x:v>
      </x:c>
      <x:c r="H2775" s="50" t="n">
        <x:v>19</x:v>
      </x:c>
      <x:c r="I2775" s="44" t="str">
        <x:v>23.19</x:v>
      </x:c>
      <x:c r="J2775" s="33" t="str">
        <x:v>Tangled Strands of Justice</x:v>
      </x:c>
      <x:c r="K2775" s="33" t="str"/>
      <x:c r="L2775" s="33" t="str"/>
      <x:c r="M2775" s="44" t="str"/>
      <x:c r="N2775" s="50" t="n">
        <x:v>43</x:v>
      </x:c>
      <x:c r="O2775" s="53" t="str">
        <x:v>Garland asks Benson to reopen a missing persons case he worked as a rookie officer. A victim in one of Carisi's recent cases is arrested.</x:v>
      </x:c>
      <x:c r="P2775" s="53" t="str">
        <x:v>Core Law &amp; Order franchise</x:v>
      </x:c>
      <x:c r="Q2775" s="17" t="str">
        <x:v>5986556</x:v>
      </x:c>
      <x:c r="R2775" s="17" t="str">
        <x:v>tt19071842</x:v>
      </x:c>
      <x:c r="S2775" s="17" t="str">
        <x:v>1545</x:v>
      </x:c>
    </x:row>
    <x:row r="2776">
      <x:c r="A2776" s="43" t="n">
        <x:v>2772</x:v>
      </x:c>
      <x:c r="B2776" s="44" t="str">
        <x:v>Not Started</x:v>
      </x:c>
      <x:c r="C2776" s="45" t="n">
        <x:v>44686</x:v>
      </x:c>
      <x:c r="D2776" s="33" t="str">
        <x:v>Law &amp; Order: Organized Crime</x:v>
      </x:c>
      <x:c r="E2776" s="33" t="str">
        <x:v>Law &amp; Order</x:v>
      </x:c>
      <x:c r="F2776" s="33" t="str">
        <x:v>core</x:v>
      </x:c>
      <x:c r="G2776" s="50" t="n">
        <x:v>2</x:v>
      </x:c>
      <x:c r="H2776" s="50" t="n">
        <x:v>20</x:v>
      </x:c>
      <x:c r="I2776" s="44" t="str">
        <x:v>02.20</x:v>
      </x:c>
      <x:c r="J2776" s="33" t="str">
        <x:v>Lost One (II)</x:v>
      </x:c>
      <x:c r="K2776" s="33" t="str">
        <x:v>Multi-episode arc</x:v>
      </x:c>
      <x:c r="L2776" s="33" t="str">
        <x:v>Lost One</x:v>
      </x:c>
      <x:c r="M2776" s="44" t="str"/>
      <x:c r="N2776" s="50" t="n">
        <x:v>42</x:v>
      </x:c>
      <x:c r="O2776" s="53" t="str">
        <x:v>When a 9-year-old girl is kidnapped in connection with the Brotherhood, Stabler and the task force must work together with Benson and the SVU to track down the culprits before it’s too late.
The crossover begins on Law &amp; Order: Special Victims Unit S23E20 Did You Believe in Miracles? (I).</x:v>
      </x:c>
      <x:c r="P2776" s="53" t="str">
        <x:v>Core Law &amp; Order franchise</x:v>
      </x:c>
      <x:c r="Q2776" s="17" t="str">
        <x:v>6004621</x:v>
      </x:c>
      <x:c r="R2776" s="17" t="str">
        <x:v>tt19712490</x:v>
      </x:c>
      <x:c r="S2776" s="17" t="str">
        <x:v>Canonical episode title notation; editorial inference.</x:v>
      </x:c>
    </x:row>
    <x:row r="2777">
      <x:c r="A2777" s="43" t="n">
        <x:v>2773</x:v>
      </x:c>
      <x:c r="B2777" s="44" t="str">
        <x:v>Not Started</x:v>
      </x:c>
      <x:c r="C2777" s="45" t="n">
        <x:v>44686</x:v>
      </x:c>
      <x:c r="D2777" s="33" t="str">
        <x:v>Law &amp; Order</x:v>
      </x:c>
      <x:c r="E2777" s="33" t="str">
        <x:v>Law &amp; Order</x:v>
      </x:c>
      <x:c r="F2777" s="33" t="str">
        <x:v>core</x:v>
      </x:c>
      <x:c r="G2777" s="50" t="n">
        <x:v>21</x:v>
      </x:c>
      <x:c r="H2777" s="50" t="n">
        <x:v>8</x:v>
      </x:c>
      <x:c r="I2777" s="44" t="str">
        <x:v>21.08</x:v>
      </x:c>
      <x:c r="J2777" s="33" t="str">
        <x:v>Severance</x:v>
      </x:c>
      <x:c r="K2777" s="33" t="str"/>
      <x:c r="L2777" s="33" t="str"/>
      <x:c r="M2777" s="44" t="str"/>
      <x:c r="N2777" s="50" t="n">
        <x:v>42</x:v>
      </x:c>
      <x:c r="O2777" s="53" t="str">
        <x:v>When the CFO of a Fortune 500 company is found strangled in her home, Bernard and Cosgrove work to connect multiple dead ends to find her killer. The prosecution is faced with an uphill battle as McCoy and Price butt heads over a choice that could cost them the case.</x:v>
      </x:c>
      <x:c r="P2777" s="53" t="str">
        <x:v>Core Law &amp; Order franchise</x:v>
      </x:c>
      <x:c r="Q2777" s="17" t="str">
        <x:v>6004625</x:v>
      </x:c>
      <x:c r="R2777" s="17" t="str">
        <x:v>tt19712404</x:v>
      </x:c>
      <x:c r="S2777" s="17" t="str">
        <x:v>1550</x:v>
      </x:c>
    </x:row>
    <x:row r="2778">
      <x:c r="A2778" s="43" t="n">
        <x:v>2774</x:v>
      </x:c>
      <x:c r="B2778" s="44" t="str">
        <x:v>Not Started</x:v>
      </x:c>
      <x:c r="C2778" s="45" t="n">
        <x:v>44686</x:v>
      </x:c>
      <x:c r="D2778" s="33" t="str">
        <x:v>Law &amp; Order: Special Victims Unit</x:v>
      </x:c>
      <x:c r="E2778" s="33" t="str">
        <x:v>Law &amp; Order</x:v>
      </x:c>
      <x:c r="F2778" s="33" t="str">
        <x:v>core</x:v>
      </x:c>
      <x:c r="G2778" s="50" t="n">
        <x:v>23</x:v>
      </x:c>
      <x:c r="H2778" s="50" t="n">
        <x:v>20</x:v>
      </x:c>
      <x:c r="I2778" s="44" t="str">
        <x:v>23.20</x:v>
      </x:c>
      <x:c r="J2778" s="33" t="str">
        <x:v>Did You Believe in Miracles? (I)</x:v>
      </x:c>
      <x:c r="K2778" s="33" t="str">
        <x:v>Multi-episode arc</x:v>
      </x:c>
      <x:c r="L2778" s="33" t="str">
        <x:v>Did You Believe in Miracles?</x:v>
      </x:c>
      <x:c r="M2778" s="44" t="str"/>
      <x:c r="N2778" s="50" t="n">
        <x:v>43</x:v>
      </x:c>
      <x:c r="O2778" s="53" t="str">
        <x:v>When a student’s school reports a girl missing, the squad must track down a trusted family friend for answers. Benson gets a Mother’s Day surprise.
The crossover continues on Law &amp; Order: Organized Crime S02E20 Lost One (II).</x:v>
      </x:c>
      <x:c r="P2778" s="53" t="str">
        <x:v>Core Law &amp; Order franchise</x:v>
      </x:c>
      <x:c r="Q2778" s="17" t="str">
        <x:v>6004590</x:v>
      </x:c>
      <x:c r="R2778" s="17" t="str">
        <x:v>tt19712440</x:v>
      </x:c>
      <x:c r="S2778" s="17" t="str">
        <x:v>Canonical episode title notation; editorial inference.</x:v>
      </x:c>
    </x:row>
    <x:row r="2779">
      <x:c r="A2779" s="43" t="n">
        <x:v>2775</x:v>
      </x:c>
      <x:c r="B2779" s="44" t="str">
        <x:v>Not Started</x:v>
      </x:c>
      <x:c r="C2779" s="45" t="n">
        <x:v>44692</x:v>
      </x:c>
      <x:c r="D2779" s="33" t="str">
        <x:v>FBI: International</x:v>
      </x:c>
      <x:c r="E2779" s="33" t="str">
        <x:v>FBI</x:v>
      </x:c>
      <x:c r="F2779" s="33" t="str">
        <x:v>core</x:v>
      </x:c>
      <x:c r="G2779" s="50" t="n">
        <x:v>1</x:v>
      </x:c>
      <x:c r="H2779" s="50" t="n">
        <x:v>19</x:v>
      </x:c>
      <x:c r="I2779" s="44" t="str">
        <x:v>01.19</x:v>
      </x:c>
      <x:c r="J2779" s="33" t="str">
        <x:v>Get That Revolution Started</x:v>
      </x:c>
      <x:c r="K2779" s="33" t="str"/>
      <x:c r="L2779" s="33" t="str"/>
      <x:c r="M2779" s="44" t="str"/>
      <x:c r="N2779" s="50" t="n">
        <x:v>43</x:v>
      </x:c>
      <x:c r="O2779" s="53" t="str">
        <x:v>The Fly Team works to hunt down the sniper responsible for killing an American during an attack targeting a biomedical lab in Belgium. Also, Jaeger clashes with her boss at Europol over her allegiance to the Fly Team.</x:v>
      </x:c>
      <x:c r="P2779" s="53" t="str">
        <x:v>Core FBI franchise</x:v>
      </x:c>
      <x:c r="Q2779" s="17" t="str">
        <x:v>6055552</x:v>
      </x:c>
      <x:c r="R2779" s="17" t="str">
        <x:v>tt19356812</x:v>
      </x:c>
      <x:c r="S2779" s="17" t="str"/>
    </x:row>
    <x:row r="2780">
      <x:c r="A2780" s="43" t="n">
        <x:v>2776</x:v>
      </x:c>
      <x:c r="B2780" s="44" t="str">
        <x:v>Not Started</x:v>
      </x:c>
      <x:c r="C2780" s="45" t="n">
        <x:v>44692</x:v>
      </x:c>
      <x:c r="D2780" s="33" t="str">
        <x:v>FBI: Most Wanted</x:v>
      </x:c>
      <x:c r="E2780" s="33" t="str">
        <x:v>FBI</x:v>
      </x:c>
      <x:c r="F2780" s="33" t="str">
        <x:v>core</x:v>
      </x:c>
      <x:c r="G2780" s="50" t="n">
        <x:v>3</x:v>
      </x:c>
      <x:c r="H2780" s="50" t="n">
        <x:v>20</x:v>
      </x:c>
      <x:c r="I2780" s="44" t="str">
        <x:v>03.20</x:v>
      </x:c>
      <x:c r="J2780" s="33" t="str">
        <x:v>Greatest Hits</x:v>
      </x:c>
      <x:c r="K2780" s="33" t="str"/>
      <x:c r="L2780" s="33" t="str"/>
      <x:c r="M2780" s="44" t="str"/>
      <x:c r="N2780" s="50" t="n">
        <x:v>43</x:v>
      </x:c>
      <x:c r="O2780" s="53" t="str">
        <x:v>The team searches for a murderer recreating the chilling killings of a notorious ‘80s mobster.</x:v>
      </x:c>
      <x:c r="P2780" s="53" t="str">
        <x:v>Core FBI franchise</x:v>
      </x:c>
      <x:c r="Q2780" s="17" t="str">
        <x:v>6078541</x:v>
      </x:c>
      <x:c r="R2780" s="17" t="str">
        <x:v>tt19226440</x:v>
      </x:c>
      <x:c r="S2780" s="17" t="str"/>
    </x:row>
    <x:row r="2781">
      <x:c r="A2781" s="43" t="n">
        <x:v>2777</x:v>
      </x:c>
      <x:c r="B2781" s="44" t="str">
        <x:v>Not Started</x:v>
      </x:c>
      <x:c r="C2781" s="45" t="n">
        <x:v>44692</x:v>
      </x:c>
      <x:c r="D2781" s="33" t="str">
        <x:v>FBI</x:v>
      </x:c>
      <x:c r="E2781" s="33" t="str">
        <x:v>FBI</x:v>
      </x:c>
      <x:c r="F2781" s="33" t="str">
        <x:v>core</x:v>
      </x:c>
      <x:c r="G2781" s="50" t="n">
        <x:v>4</x:v>
      </x:c>
      <x:c r="H2781" s="50" t="n">
        <x:v>20</x:v>
      </x:c>
      <x:c r="I2781" s="44" t="str">
        <x:v>04.20</x:v>
      </x:c>
      <x:c r="J2781" s="33" t="str">
        <x:v>Ghost from the Past</x:v>
      </x:c>
      <x:c r="K2781" s="33" t="str"/>
      <x:c r="L2781" s="33" t="str"/>
      <x:c r="M2781" s="44" t="str"/>
      <x:c r="N2781" s="50" t="n">
        <x:v>43</x:v>
      </x:c>
      <x:c r="O2781" s="53" t="str">
        <x:v>The murder of a TSA agent leads the team to hunt down a killer who is using drug mules to exploit airport security checkpoints. Also, OA struggles to cope with the aftermath of the sarin gas exposure and the 10th anniversary of his army friend's death in Afghanistan.</x:v>
      </x:c>
      <x:c r="P2781" s="53" t="str">
        <x:v>Core FBI franchise</x:v>
      </x:c>
      <x:c r="Q2781" s="17" t="str">
        <x:v>6055553</x:v>
      </x:c>
      <x:c r="R2781" s="17" t="str">
        <x:v>tt19226416</x:v>
      </x:c>
      <x:c r="S2781" s="17" t="str"/>
    </x:row>
    <x:row r="2782">
      <x:c r="A2782" s="43" t="n">
        <x:v>2778</x:v>
      </x:c>
      <x:c r="B2782" s="44" t="str">
        <x:v>Not Started</x:v>
      </x:c>
      <x:c r="C2782" s="45" t="n">
        <x:v>44693</x:v>
      </x:c>
      <x:c r="D2782" s="33" t="str">
        <x:v>Law &amp; Order: Organized Crime</x:v>
      </x:c>
      <x:c r="E2782" s="33" t="str">
        <x:v>Law &amp; Order</x:v>
      </x:c>
      <x:c r="F2782" s="33" t="str">
        <x:v>core</x:v>
      </x:c>
      <x:c r="G2782" s="50" t="n">
        <x:v>2</x:v>
      </x:c>
      <x:c r="H2782" s="50" t="n">
        <x:v>21</x:v>
      </x:c>
      <x:c r="I2782" s="44" t="str">
        <x:v>02.21</x:v>
      </x:c>
      <x:c r="J2782" s="33" t="str">
        <x:v>Streets Is Watching</x:v>
      </x:c>
      <x:c r="K2782" s="33" t="str"/>
      <x:c r="L2782" s="33" t="str"/>
      <x:c r="M2782" s="44" t="str"/>
      <x:c r="N2782" s="50" t="n">
        <x:v>42</x:v>
      </x:c>
      <x:c r="O2782" s="53" t="str">
        <x:v>When the task force discovers a threat to Stabler’s life, the pressure is on to gather all the evidence to put Webb away for good. Donnelly gives the Brotherhood surprising news. Nova is forced to take a drastic step to keep her brother safe.</x:v>
      </x:c>
      <x:c r="P2782" s="53" t="str">
        <x:v>Core Law &amp; Order franchise</x:v>
      </x:c>
      <x:c r="Q2782" s="17" t="str">
        <x:v>6004622</x:v>
      </x:c>
      <x:c r="R2782" s="17" t="str">
        <x:v>tt19712494</x:v>
      </x:c>
      <x:c r="S2782" s="17" t="str">
        <x:v>1551</x:v>
      </x:c>
    </x:row>
    <x:row r="2783">
      <x:c r="A2783" s="43" t="n">
        <x:v>2779</x:v>
      </x:c>
      <x:c r="B2783" s="44" t="str">
        <x:v>Not Started</x:v>
      </x:c>
      <x:c r="C2783" s="45" t="n">
        <x:v>44693</x:v>
      </x:c>
      <x:c r="D2783" s="33" t="str">
        <x:v>Chicago Med</x:v>
      </x:c>
      <x:c r="E2783" s="33" t="str">
        <x:v>One Chicago</x:v>
      </x:c>
      <x:c r="F2783" s="33" t="str">
        <x:v>core</x:v>
      </x:c>
      <x:c r="G2783" s="50" t="n">
        <x:v>7</x:v>
      </x:c>
      <x:c r="H2783" s="50" t="n">
        <x:v>20</x:v>
      </x:c>
      <x:c r="I2783" s="44" t="str">
        <x:v>07.20</x:v>
      </x:c>
      <x:c r="J2783" s="33" t="str">
        <x:v>End of the Day, Anything Can Happen</x:v>
      </x:c>
      <x:c r="K2783" s="33" t="str"/>
      <x:c r="L2783" s="33" t="str"/>
      <x:c r="M2783" s="44" t="str"/>
      <x:c r="N2783" s="50" t="n">
        <x:v>42</x:v>
      </x:c>
      <x:c r="O2783" s="53" t="str">
        <x:v>Scott helps the daughter of a mob boss. A grandmother comes to Med desperate to save her grandson. Choi struggles with some shocking news about his father.</x:v>
      </x:c>
      <x:c r="P2783" s="53" t="str">
        <x:v>Core One Chicago franchise</x:v>
      </x:c>
      <x:c r="Q2783" s="17" t="str">
        <x:v>6063290</x:v>
      </x:c>
      <x:c r="R2783" s="17" t="str">
        <x:v>tt19782076</x:v>
      </x:c>
      <x:c r="S2783" s="17" t="str"/>
    </x:row>
    <x:row r="2784">
      <x:c r="A2784" s="43" t="n">
        <x:v>2780</x:v>
      </x:c>
      <x:c r="B2784" s="44" t="str">
        <x:v>Not Started</x:v>
      </x:c>
      <x:c r="C2784" s="45" t="n">
        <x:v>44693</x:v>
      </x:c>
      <x:c r="D2784" s="33" t="str">
        <x:v>Chicago P.D.</x:v>
      </x:c>
      <x:c r="E2784" s="33" t="str">
        <x:v>One Chicago</x:v>
      </x:c>
      <x:c r="F2784" s="33" t="str">
        <x:v>core</x:v>
      </x:c>
      <x:c r="G2784" s="50" t="n">
        <x:v>9</x:v>
      </x:c>
      <x:c r="H2784" s="50" t="n">
        <x:v>20</x:v>
      </x:c>
      <x:c r="I2784" s="44" t="str">
        <x:v>09.20</x:v>
      </x:c>
      <x:c r="J2784" s="33" t="str">
        <x:v>Memory</x:v>
      </x:c>
      <x:c r="K2784" s="33" t="str"/>
      <x:c r="L2784" s="33" t="str"/>
      <x:c r="M2784" s="44" t="str"/>
      <x:c r="N2784" s="50" t="n">
        <x:v>42</x:v>
      </x:c>
      <x:c r="O2784" s="53" t="str">
        <x:v>Voight and the team delve into a cold case in search of clues to solve a shocking new crime. With its focus on buried memories, the case sparks concern for Burgess and Ruzek about Makayla's mental healing.</x:v>
      </x:c>
      <x:c r="P2784" s="53" t="str">
        <x:v>Core One Chicago franchise; crossovers with SVU/FBI</x:v>
      </x:c>
      <x:c r="Q2784" s="17" t="str">
        <x:v>6063291</x:v>
      </x:c>
      <x:c r="R2784" s="17" t="str">
        <x:v>tt19784064</x:v>
      </x:c>
      <x:c r="S2784" s="17" t="str"/>
    </x:row>
    <x:row r="2785">
      <x:c r="A2785" s="43" t="n">
        <x:v>2781</x:v>
      </x:c>
      <x:c r="B2785" s="44" t="str">
        <x:v>Not Started</x:v>
      </x:c>
      <x:c r="C2785" s="45" t="n">
        <x:v>44693</x:v>
      </x:c>
      <x:c r="D2785" s="33" t="str">
        <x:v>Chicago Fire</x:v>
      </x:c>
      <x:c r="E2785" s="33" t="str">
        <x:v>One Chicago</x:v>
      </x:c>
      <x:c r="F2785" s="33" t="str">
        <x:v>core</x:v>
      </x:c>
      <x:c r="G2785" s="50" t="n">
        <x:v>10</x:v>
      </x:c>
      <x:c r="H2785" s="50" t="n">
        <x:v>20</x:v>
      </x:c>
      <x:c r="I2785" s="44" t="str">
        <x:v>10.20</x:v>
      </x:c>
      <x:c r="J2785" s="33" t="str">
        <x:v>Halfway to the Moon</x:v>
      </x:c>
      <x:c r="K2785" s="33" t="str"/>
      <x:c r="L2785" s="33" t="str"/>
      <x:c r="M2785" s="44" t="str"/>
      <x:c r="N2785" s="50" t="n">
        <x:v>42</x:v>
      </x:c>
      <x:c r="O2785" s="53" t="str">
        <x:v>A family friend asks Herrmann for some advice on opening a bar. Tensions run high between Emma and Violet. Kidd struggles to keep her team together.</x:v>
      </x:c>
      <x:c r="P2785" s="53" t="str">
        <x:v>Core One Chicago franchise</x:v>
      </x:c>
      <x:c r="Q2785" s="17" t="str">
        <x:v>6063293</x:v>
      </x:c>
      <x:c r="R2785" s="17" t="str">
        <x:v>tt19783686</x:v>
      </x:c>
      <x:c r="S2785" s="17" t="str"/>
    </x:row>
    <x:row r="2786">
      <x:c r="A2786" s="43" t="n">
        <x:v>2782</x:v>
      </x:c>
      <x:c r="B2786" s="44" t="str">
        <x:v>Not Started</x:v>
      </x:c>
      <x:c r="C2786" s="45" t="n">
        <x:v>44693</x:v>
      </x:c>
      <x:c r="D2786" s="33" t="str">
        <x:v>Law &amp; Order</x:v>
      </x:c>
      <x:c r="E2786" s="33" t="str">
        <x:v>Law &amp; Order</x:v>
      </x:c>
      <x:c r="F2786" s="33" t="str">
        <x:v>core</x:v>
      </x:c>
      <x:c r="G2786" s="50" t="n">
        <x:v>21</x:v>
      </x:c>
      <x:c r="H2786" s="50" t="n">
        <x:v>9</x:v>
      </x:c>
      <x:c r="I2786" s="44" t="str">
        <x:v>21.09</x:v>
      </x:c>
      <x:c r="J2786" s="33" t="str">
        <x:v>The Great Pretender</x:v>
      </x:c>
      <x:c r="K2786" s="33" t="str"/>
      <x:c r="L2786" s="33" t="str"/>
      <x:c r="M2786" s="44" t="str"/>
      <x:c r="N2786" s="50" t="n">
        <x:v>41</x:v>
      </x:c>
      <x:c r="O2786" s="53" t="str">
        <x:v>Bernard and Cosgrove must sift through fact and fiction to find the killer of a young Manhattan socialite. The murder trial takes a turn that becomes personal for Price and puts Maroun in a compromising situation.</x:v>
      </x:c>
      <x:c r="P2786" s="53" t="str">
        <x:v>Core Law &amp; Order franchise</x:v>
      </x:c>
      <x:c r="Q2786" s="17" t="str">
        <x:v>6004626</x:v>
      </x:c>
      <x:c r="R2786" s="17" t="str">
        <x:v>tt19712408</x:v>
      </x:c>
      <x:c r="S2786" s="17" t="str">
        <x:v>1553</x:v>
      </x:c>
    </x:row>
    <x:row r="2787">
      <x:c r="A2787" s="43" t="n">
        <x:v>2783</x:v>
      </x:c>
      <x:c r="B2787" s="44" t="str">
        <x:v>Not Started</x:v>
      </x:c>
      <x:c r="C2787" s="45" t="n">
        <x:v>44693</x:v>
      </x:c>
      <x:c r="D2787" s="33" t="str">
        <x:v>Law &amp; Order: Special Victims Unit</x:v>
      </x:c>
      <x:c r="E2787" s="33" t="str">
        <x:v>Law &amp; Order</x:v>
      </x:c>
      <x:c r="F2787" s="33" t="str">
        <x:v>core</x:v>
      </x:c>
      <x:c r="G2787" s="50" t="n">
        <x:v>23</x:v>
      </x:c>
      <x:c r="H2787" s="50" t="n">
        <x:v>21</x:v>
      </x:c>
      <x:c r="I2787" s="44" t="str">
        <x:v>23.21</x:v>
      </x:c>
      <x:c r="J2787" s="33" t="str">
        <x:v>Confess Your Sins to Be Free</x:v>
      </x:c>
      <x:c r="K2787" s="33" t="str"/>
      <x:c r="L2787" s="33" t="str"/>
      <x:c r="M2787" s="44" t="str"/>
      <x:c r="N2787" s="50" t="n">
        <x:v>43</x:v>
      </x:c>
      <x:c r="O2787" s="53" t="str">
        <x:v>When the only evidence in a crime is a church confession, Carisi must find another way to prove his suspect guilty. Benson agrees to meet with Burton, who seeks to make amends for past transgressions.</x:v>
      </x:c>
      <x:c r="P2787" s="53" t="str">
        <x:v>Core Law &amp; Order franchise</x:v>
      </x:c>
      <x:c r="Q2787" s="17" t="str">
        <x:v>6057311</x:v>
      </x:c>
      <x:c r="R2787" s="17" t="str">
        <x:v>tt19712444</x:v>
      </x:c>
      <x:c r="S2787" s="17" t="str">
        <x:v>1552</x:v>
      </x:c>
    </x:row>
    <x:row r="2788">
      <x:c r="A2788" s="43" t="n">
        <x:v>2784</x:v>
      </x:c>
      <x:c r="B2788" s="44" t="str">
        <x:v>Not Started</x:v>
      </x:c>
      <x:c r="C2788" s="45" t="n">
        <x:v>44699</x:v>
      </x:c>
      <x:c r="D2788" s="33" t="str">
        <x:v>FBI: International</x:v>
      </x:c>
      <x:c r="E2788" s="33" t="str">
        <x:v>FBI</x:v>
      </x:c>
      <x:c r="F2788" s="33" t="str">
        <x:v>core</x:v>
      </x:c>
      <x:c r="G2788" s="50" t="n">
        <x:v>1</x:v>
      </x:c>
      <x:c r="H2788" s="50" t="n">
        <x:v>20</x:v>
      </x:c>
      <x:c r="I2788" s="44" t="str">
        <x:v>01.20</x:v>
      </x:c>
      <x:c r="J2788" s="33" t="str">
        <x:v>Black Penguin</x:v>
      </x:c>
      <x:c r="K2788" s="33" t="str"/>
      <x:c r="L2788" s="33" t="str"/>
      <x:c r="M2788" s="44" t="str"/>
      <x:c r="N2788" s="50" t="n">
        <x:v>43</x:v>
      </x:c>
      <x:c r="O2788" s="53" t="str">
        <x:v>The Fly Team and Jaeger head to Berlin when the 19-year-old son of an American billionaire is found unresponsive in his apartment. As the team works to determine if foul play was involved, they realize there’s a shadowy group on the case as well.</x:v>
      </x:c>
      <x:c r="P2788" s="53" t="str">
        <x:v>Core FBI franchise</x:v>
      </x:c>
      <x:c r="Q2788" s="17" t="str">
        <x:v>6066553</x:v>
      </x:c>
      <x:c r="R2788" s="17" t="str">
        <x:v>tt19356820</x:v>
      </x:c>
      <x:c r="S2788" s="17" t="str"/>
    </x:row>
    <x:row r="2789">
      <x:c r="A2789" s="43" t="n">
        <x:v>2785</x:v>
      </x:c>
      <x:c r="B2789" s="44" t="str">
        <x:v>Not Started</x:v>
      </x:c>
      <x:c r="C2789" s="45" t="n">
        <x:v>44699</x:v>
      </x:c>
      <x:c r="D2789" s="33" t="str">
        <x:v>FBI: Most Wanted</x:v>
      </x:c>
      <x:c r="E2789" s="33" t="str">
        <x:v>FBI</x:v>
      </x:c>
      <x:c r="F2789" s="33" t="str">
        <x:v>core</x:v>
      </x:c>
      <x:c r="G2789" s="50" t="n">
        <x:v>3</x:v>
      </x:c>
      <x:c r="H2789" s="50" t="n">
        <x:v>21</x:v>
      </x:c>
      <x:c r="I2789" s="44" t="str">
        <x:v>03.21</x:v>
      </x:c>
      <x:c r="J2789" s="33" t="str">
        <x:v>Inheritance</x:v>
      </x:c>
      <x:c r="K2789" s="33" t="str"/>
      <x:c r="L2789" s="33" t="str"/>
      <x:c r="M2789" s="44" t="str"/>
      <x:c r="N2789" s="50" t="n">
        <x:v>43</x:v>
      </x:c>
      <x:c r="O2789" s="53" t="str">
        <x:v>When a wealthy East Hamptons couple are killed by a female con artist posing as a personal trainer, the team works to find out her true identity and track her down. Also, Ortiz is put in a tough place when Hana's brother asks a favor.</x:v>
      </x:c>
      <x:c r="P2789" s="53" t="str">
        <x:v>Core FBI franchise</x:v>
      </x:c>
      <x:c r="Q2789" s="17" t="str">
        <x:v>6100417</x:v>
      </x:c>
      <x:c r="R2789" s="17" t="str">
        <x:v>tt19246340</x:v>
      </x:c>
      <x:c r="S2789" s="17" t="str"/>
    </x:row>
    <x:row r="2790">
      <x:c r="A2790" s="43" t="n">
        <x:v>2786</x:v>
      </x:c>
      <x:c r="B2790" s="44" t="str">
        <x:v>Not Started</x:v>
      </x:c>
      <x:c r="C2790" s="45" t="n">
        <x:v>44699</x:v>
      </x:c>
      <x:c r="D2790" s="33" t="str">
        <x:v>FBI</x:v>
      </x:c>
      <x:c r="E2790" s="33" t="str">
        <x:v>FBI</x:v>
      </x:c>
      <x:c r="F2790" s="33" t="str">
        <x:v>core</x:v>
      </x:c>
      <x:c r="G2790" s="50" t="n">
        <x:v>4</x:v>
      </x:c>
      <x:c r="H2790" s="50" t="n">
        <x:v>21</x:v>
      </x:c>
      <x:c r="I2790" s="44" t="str">
        <x:v>04.21</x:v>
      </x:c>
      <x:c r="J2790" s="33" t="str">
        <x:v>Kayla</x:v>
      </x:c>
      <x:c r="K2790" s="33" t="str"/>
      <x:c r="L2790" s="33" t="str"/>
      <x:c r="M2790" s="44" t="str"/>
      <x:c r="N2790" s="50" t="n">
        <x:v>41</x:v>
      </x:c>
      <x:c r="O2790" s="53" t="str">
        <x:v>When a retired DEA agent is shot outside a bakery, the team works to determine if the victim's past cases or current bouncer job are connected to the murder. Also, Nina and Tiffany clash over the use of an informant while they are paired during the investigation.</x:v>
      </x:c>
      <x:c r="P2790" s="53" t="str">
        <x:v>Core FBI franchise</x:v>
      </x:c>
      <x:c r="Q2790" s="17" t="str">
        <x:v>6066554</x:v>
      </x:c>
      <x:c r="R2790" s="17" t="str">
        <x:v>tt19226426</x:v>
      </x:c>
      <x:c r="S2790" s="17" t="str"/>
    </x:row>
    <x:row r="2791">
      <x:c r="A2791" s="43" t="n">
        <x:v>2787</x:v>
      </x:c>
      <x:c r="B2791" s="44" t="str">
        <x:v>Not Started</x:v>
      </x:c>
      <x:c r="C2791" s="45" t="n">
        <x:v>44700</x:v>
      </x:c>
      <x:c r="D2791" s="33" t="str">
        <x:v>Law &amp; Order: Organized Crime</x:v>
      </x:c>
      <x:c r="E2791" s="33" t="str">
        <x:v>Law &amp; Order</x:v>
      </x:c>
      <x:c r="F2791" s="33" t="str">
        <x:v>core</x:v>
      </x:c>
      <x:c r="G2791" s="50" t="n">
        <x:v>2</x:v>
      </x:c>
      <x:c r="H2791" s="50" t="n">
        <x:v>22</x:v>
      </x:c>
      <x:c r="I2791" s="44" t="str">
        <x:v>02.22</x:v>
      </x:c>
      <x:c r="J2791" s="33" t="str">
        <x:v>Friend or Foe</x:v>
      </x:c>
      <x:c r="K2791" s="33" t="str"/>
      <x:c r="L2791" s="33" t="str"/>
      <x:c r="M2791" s="44" t="str"/>
      <x:c r="N2791" s="50" t="n">
        <x:v>42</x:v>
      </x:c>
      <x:c r="O2791" s="53" t="str">
        <x:v>As Stabler confronts the truth about his father, he unknowingly affects his situation with the Brotherhood. The task force works to track down Webb, who's gone off the grid. Donnelly will stop at nothing to ensure he isn't caught.</x:v>
      </x:c>
      <x:c r="P2791" s="53" t="str">
        <x:v>Core Law &amp; Order franchise</x:v>
      </x:c>
      <x:c r="Q2791" s="17" t="str">
        <x:v>6062825</x:v>
      </x:c>
      <x:c r="R2791" s="17" t="str">
        <x:v>tt19712498</x:v>
      </x:c>
      <x:c r="S2791" s="17" t="str">
        <x:v>1556</x:v>
      </x:c>
    </x:row>
    <x:row r="2792">
      <x:c r="A2792" s="43" t="n">
        <x:v>2788</x:v>
      </x:c>
      <x:c r="B2792" s="44" t="str">
        <x:v>Not Started</x:v>
      </x:c>
      <x:c r="C2792" s="45" t="n">
        <x:v>44700</x:v>
      </x:c>
      <x:c r="D2792" s="33" t="str">
        <x:v>Chicago Med</x:v>
      </x:c>
      <x:c r="E2792" s="33" t="str">
        <x:v>One Chicago</x:v>
      </x:c>
      <x:c r="F2792" s="33" t="str">
        <x:v>core</x:v>
      </x:c>
      <x:c r="G2792" s="50" t="n">
        <x:v>7</x:v>
      </x:c>
      <x:c r="H2792" s="50" t="n">
        <x:v>21</x:v>
      </x:c>
      <x:c r="I2792" s="44" t="str">
        <x:v>07.21</x:v>
      </x:c>
      <x:c r="J2792" s="33" t="str">
        <x:v>Lying Doesn't Protect You From the Truth</x:v>
      </x:c>
      <x:c r="K2792" s="33" t="str"/>
      <x:c r="L2792" s="33" t="str"/>
      <x:c r="M2792" s="44" t="str"/>
      <x:c r="N2792" s="50" t="n">
        <x:v>42</x:v>
      </x:c>
      <x:c r="O2792" s="53" t="str">
        <x:v>Dylan and Ethan treat a patient shot during a drug raid. Charles and Vanessa work together to properly diagnose a motivational speaker. Will and Hannah must turn to Crockett for help with a patient who's pregnant.</x:v>
      </x:c>
      <x:c r="P2792" s="53" t="str">
        <x:v>Core One Chicago franchise</x:v>
      </x:c>
      <x:c r="Q2792" s="17" t="str">
        <x:v>6067025</x:v>
      </x:c>
      <x:c r="R2792" s="17" t="str">
        <x:v>tt19784020</x:v>
      </x:c>
      <x:c r="S2792" s="17" t="str"/>
    </x:row>
    <x:row r="2793">
      <x:c r="A2793" s="43" t="n">
        <x:v>2789</x:v>
      </x:c>
      <x:c r="B2793" s="44" t="str">
        <x:v>Not Started</x:v>
      </x:c>
      <x:c r="C2793" s="45" t="n">
        <x:v>44700</x:v>
      </x:c>
      <x:c r="D2793" s="33" t="str">
        <x:v>Chicago P.D.</x:v>
      </x:c>
      <x:c r="E2793" s="33" t="str">
        <x:v>One Chicago</x:v>
      </x:c>
      <x:c r="F2793" s="33" t="str">
        <x:v>core</x:v>
      </x:c>
      <x:c r="G2793" s="50" t="n">
        <x:v>9</x:v>
      </x:c>
      <x:c r="H2793" s="50" t="n">
        <x:v>21</x:v>
      </x:c>
      <x:c r="I2793" s="44" t="str">
        <x:v>09.21</x:v>
      </x:c>
      <x:c r="J2793" s="33" t="str">
        <x:v>House of Cards (1)</x:v>
      </x:c>
      <x:c r="K2793" s="33" t="str"/>
      <x:c r="L2793" s="33" t="str"/>
      <x:c r="M2793" s="44" t="str"/>
      <x:c r="N2793" s="50" t="n">
        <x:v>42</x:v>
      </x:c>
      <x:c r="O2793" s="53" t="str">
        <x:v>As the team closes in on drug kingpin Javier Escano, Voight is forced to lie to his undercover informant Anna to keep her on track. Their deteriorating trust threatens an increasingly tenuous operation.</x:v>
      </x:c>
      <x:c r="P2793" s="53" t="str">
        <x:v>Core One Chicago franchise; crossovers with SVU/FBI</x:v>
      </x:c>
      <x:c r="Q2793" s="17" t="str">
        <x:v>6066669</x:v>
      </x:c>
      <x:c r="R2793" s="17" t="str">
        <x:v>tt19784080</x:v>
      </x:c>
      <x:c r="S2793" s="17" t="str"/>
    </x:row>
    <x:row r="2794">
      <x:c r="A2794" s="43" t="n">
        <x:v>2790</x:v>
      </x:c>
      <x:c r="B2794" s="44" t="str">
        <x:v>Not Started</x:v>
      </x:c>
      <x:c r="C2794" s="45" t="n">
        <x:v>44700</x:v>
      </x:c>
      <x:c r="D2794" s="33" t="str">
        <x:v>Chicago Fire</x:v>
      </x:c>
      <x:c r="E2794" s="33" t="str">
        <x:v>One Chicago</x:v>
      </x:c>
      <x:c r="F2794" s="33" t="str">
        <x:v>core</x:v>
      </x:c>
      <x:c r="G2794" s="50" t="n">
        <x:v>10</x:v>
      </x:c>
      <x:c r="H2794" s="50" t="n">
        <x:v>21</x:v>
      </x:c>
      <x:c r="I2794" s="44" t="str">
        <x:v>10.21</x:v>
      </x:c>
      <x:c r="J2794" s="33" t="str">
        <x:v>Last Chance</x:v>
      </x:c>
      <x:c r="K2794" s="33" t="str"/>
      <x:c r="L2794" s="33" t="str"/>
      <x:c r="M2794" s="44" t="str"/>
      <x:c r="N2794" s="50" t="n">
        <x:v>42</x:v>
      </x:c>
      <x:c r="O2794" s="53" t="str">
        <x:v>Mouch and Ritter work together to solve a murder mystery. Severide and Cruz tackle a food truck fire. Gallo goes to see Hawkins about Violet.</x:v>
      </x:c>
      <x:c r="P2794" s="53" t="str">
        <x:v>Core One Chicago franchise</x:v>
      </x:c>
      <x:c r="Q2794" s="17" t="str">
        <x:v>6067158</x:v>
      </x:c>
      <x:c r="R2794" s="17" t="str">
        <x:v>tt19784048</x:v>
      </x:c>
      <x:c r="S2794" s="17" t="str"/>
    </x:row>
    <x:row r="2795">
      <x:c r="A2795" s="43" t="n">
        <x:v>2791</x:v>
      </x:c>
      <x:c r="B2795" s="44" t="str">
        <x:v>Not Started</x:v>
      </x:c>
      <x:c r="C2795" s="45" t="n">
        <x:v>44700</x:v>
      </x:c>
      <x:c r="D2795" s="33" t="str">
        <x:v>Law &amp; Order</x:v>
      </x:c>
      <x:c r="E2795" s="33" t="str">
        <x:v>Law &amp; Order</x:v>
      </x:c>
      <x:c r="F2795" s="33" t="str">
        <x:v>core</x:v>
      </x:c>
      <x:c r="G2795" s="50" t="n">
        <x:v>21</x:v>
      </x:c>
      <x:c r="H2795" s="50" t="n">
        <x:v>10</x:v>
      </x:c>
      <x:c r="I2795" s="44" t="str">
        <x:v>21.10</x:v>
      </x:c>
      <x:c r="J2795" s="33" t="str">
        <x:v>Black and Blue</x:v>
      </x:c>
      <x:c r="K2795" s="33" t="str"/>
      <x:c r="L2795" s="33" t="str"/>
      <x:c r="M2795" s="44" t="str"/>
      <x:c r="N2795" s="50" t="n">
        <x:v>42</x:v>
      </x:c>
      <x:c r="O2795" s="53" t="str">
        <x:v>The murder of an off-duty NYPD detective threatens to tear the city apart; Cosgrove mourns the loss of a friend and asks Capt. Benson for help solving the case; McCoy and Price disagree on how to prosecute the culprit.</x:v>
      </x:c>
      <x:c r="P2795" s="53" t="str">
        <x:v>Core Law &amp; Order franchise</x:v>
      </x:c>
      <x:c r="Q2795" s="17" t="str">
        <x:v>6062139</x:v>
      </x:c>
      <x:c r="R2795" s="17" t="str">
        <x:v>tt19712412</x:v>
      </x:c>
      <x:c r="S2795" s="17" t="str">
        <x:v>1555</x:v>
      </x:c>
    </x:row>
    <x:row r="2796">
      <x:c r="A2796" s="43" t="n">
        <x:v>2792</x:v>
      </x:c>
      <x:c r="B2796" s="44" t="str">
        <x:v>Not Started</x:v>
      </x:c>
      <x:c r="C2796" s="45" t="n">
        <x:v>44700</x:v>
      </x:c>
      <x:c r="D2796" s="33" t="str">
        <x:v>Law &amp; Order: Special Victims Unit</x:v>
      </x:c>
      <x:c r="E2796" s="33" t="str">
        <x:v>Law &amp; Order</x:v>
      </x:c>
      <x:c r="F2796" s="33" t="str">
        <x:v>core</x:v>
      </x:c>
      <x:c r="G2796" s="50" t="n">
        <x:v>23</x:v>
      </x:c>
      <x:c r="H2796" s="50" t="n">
        <x:v>22</x:v>
      </x:c>
      <x:c r="I2796" s="44" t="str">
        <x:v>23.22</x:v>
      </x:c>
      <x:c r="J2796" s="33" t="str">
        <x:v>A Final Call at Forlini's Bar</x:v>
      </x:c>
      <x:c r="K2796" s="33" t="str"/>
      <x:c r="L2796" s="33" t="str"/>
      <x:c r="M2796" s="44" t="str"/>
      <x:c r="N2796" s="50" t="n">
        <x:v>43</x:v>
      </x:c>
      <x:c r="O2796" s="53" t="str">
        <x:v>The SVU provides help and protection for a longtime domestic violence victim, but when she winds up at the defendant's table in court, Rollins surprises Carisi with a formidable opponent at trial.</x:v>
      </x:c>
      <x:c r="P2796" s="53" t="str">
        <x:v>Core Law &amp; Order franchise</x:v>
      </x:c>
      <x:c r="Q2796" s="17" t="str">
        <x:v>6068381</x:v>
      </x:c>
      <x:c r="R2796" s="17" t="str">
        <x:v>tt19712446</x:v>
      </x:c>
      <x:c r="S2796" s="17" t="str">
        <x:v>1554</x:v>
      </x:c>
    </x:row>
    <x:row r="2797">
      <x:c r="A2797" s="43" t="n">
        <x:v>2793</x:v>
      </x:c>
      <x:c r="B2797" s="44" t="str">
        <x:v>Not Started</x:v>
      </x:c>
      <x:c r="C2797" s="45" t="n">
        <x:v>44706</x:v>
      </x:c>
      <x:c r="D2797" s="33" t="str">
        <x:v>FBI: International</x:v>
      </x:c>
      <x:c r="E2797" s="33" t="str">
        <x:v>FBI</x:v>
      </x:c>
      <x:c r="F2797" s="33" t="str">
        <x:v>core</x:v>
      </x:c>
      <x:c r="G2797" s="50" t="n">
        <x:v>1</x:v>
      </x:c>
      <x:c r="H2797" s="50" t="n">
        <x:v>21</x:v>
      </x:c>
      <x:c r="I2797" s="44" t="str">
        <x:v>01.21</x:v>
      </x:c>
      <x:c r="J2797" s="33" t="str">
        <x:v>Crestfallen</x:v>
      </x:c>
      <x:c r="K2797" s="33" t="str"/>
      <x:c r="L2797" s="33" t="str"/>
      <x:c r="M2797" s="44" t="str"/>
      <x:c r="N2797" s="50" t="n">
        <x:v>43</x:v>
      </x:c>
      <x:c r="O2797" s="53" t="str">
        <x:v>When a private jet carrying American citizens is shot down outside of a small town in Poland, the Fly Team looks into the man who missed the flight. Also, Forrester is conflicted when he receives information from his mother.</x:v>
      </x:c>
      <x:c r="P2797" s="53" t="str">
        <x:v>Core FBI franchise</x:v>
      </x:c>
      <x:c r="Q2797" s="17" t="str">
        <x:v>6081418</x:v>
      </x:c>
      <x:c r="R2797" s="17" t="str">
        <x:v>tt19356840</x:v>
      </x:c>
      <x:c r="S2797" s="17" t="str"/>
    </x:row>
    <x:row r="2798">
      <x:c r="A2798" s="43" t="n">
        <x:v>2794</x:v>
      </x:c>
      <x:c r="B2798" s="44" t="str">
        <x:v>Not Started</x:v>
      </x:c>
      <x:c r="C2798" s="45" t="n">
        <x:v>44706</x:v>
      </x:c>
      <x:c r="D2798" s="33" t="str">
        <x:v>FBI: Most Wanted</x:v>
      </x:c>
      <x:c r="E2798" s="33" t="str">
        <x:v>FBI</x:v>
      </x:c>
      <x:c r="F2798" s="33" t="str">
        <x:v>core</x:v>
      </x:c>
      <x:c r="G2798" s="50" t="n">
        <x:v>3</x:v>
      </x:c>
      <x:c r="H2798" s="50" t="n">
        <x:v>22</x:v>
      </x:c>
      <x:c r="I2798" s="44" t="str">
        <x:v>03.22</x:v>
      </x:c>
      <x:c r="J2798" s="33" t="str">
        <x:v>A Man Without a Country</x:v>
      </x:c>
      <x:c r="K2798" s="33" t="str"/>
      <x:c r="L2798" s="33" t="str"/>
      <x:c r="M2798" s="44" t="str"/>
      <x:c r="N2798" s="50" t="n">
        <x:v>40</x:v>
      </x:c>
      <x:c r="O2798" s="53" t="str">
        <x:v>The team chases an oligarch who goes on a terror spree in New York City in a desperate attempt to escape his impossible situation.</x:v>
      </x:c>
      <x:c r="P2798" s="53" t="str">
        <x:v>Core FBI franchise</x:v>
      </x:c>
      <x:c r="Q2798" s="17" t="str">
        <x:v>6100418</x:v>
      </x:c>
      <x:c r="R2798" s="17" t="str">
        <x:v>tt19226444</x:v>
      </x:c>
      <x:c r="S2798" s="17" t="str"/>
    </x:row>
    <x:row r="2799">
      <x:c r="A2799" s="43" t="n">
        <x:v>2795</x:v>
      </x:c>
      <x:c r="B2799" s="44" t="str">
        <x:v>Not Started</x:v>
      </x:c>
      <x:c r="C2799" s="45" t="n">
        <x:v>44706</x:v>
      </x:c>
      <x:c r="D2799" s="33" t="str">
        <x:v>FBI</x:v>
      </x:c>
      <x:c r="E2799" s="33" t="str">
        <x:v>FBI</x:v>
      </x:c>
      <x:c r="F2799" s="33" t="str">
        <x:v>core</x:v>
      </x:c>
      <x:c r="G2799" s="50" t="n">
        <x:v>0</x:v>
      </x:c>
      <x:c r="H2799" s="50" t="n">
        <x:v>1</x:v>
      </x:c>
      <x:c r="I2799" s="44" t="str">
        <x:v>S00.01</x:v>
      </x:c>
      <x:c r="J2799" s="33" t="str">
        <x:v>Prodigal Son</x:v>
      </x:c>
      <x:c r="K2799" s="33" t="str"/>
      <x:c r="L2799" s="33" t="str"/>
      <x:c r="M2799" s="44" t="str"/>
      <x:c r="N2799" s="50" t="n">
        <x:v>40</x:v>
      </x:c>
      <x:c r="O2799" s="53" t="str">
        <x:v>CBS decided to pull the FBI Season 4 finale – Episode 22 in light of the mass school shooting that occurred in Uvalde, Texas. The episode appeared online but was later removed.  ----  As the team investigates a deadly robbery that garnered a cache of automatic weapons for the killers, they discover one of the perps is a classmate of Jubal’s son, who is reluctant to cooperate with the case.</x:v>
      </x:c>
      <x:c r="P2799" s="53" t="str">
        <x:v>Core FBI franchise</x:v>
      </x:c>
      <x:c r="Q2799" s="17" t="str">
        <x:v>6709720</x:v>
      </x:c>
      <x:c r="R2799" s="17" t="str"/>
      <x:c r="S2799" s="17" t="str"/>
    </x:row>
    <x:row r="2800">
      <x:c r="A2800" s="43" t="n">
        <x:v>2796</x:v>
      </x:c>
      <x:c r="B2800" s="44" t="str">
        <x:v>Not Started</x:v>
      </x:c>
      <x:c r="C2800" s="45" t="n">
        <x:v>44707</x:v>
      </x:c>
      <x:c r="D2800" s="33" t="str">
        <x:v>Chicago Med</x:v>
      </x:c>
      <x:c r="E2800" s="33" t="str">
        <x:v>One Chicago</x:v>
      </x:c>
      <x:c r="F2800" s="33" t="str">
        <x:v>core</x:v>
      </x:c>
      <x:c r="G2800" s="50" t="n">
        <x:v>7</x:v>
      </x:c>
      <x:c r="H2800" s="50" t="n">
        <x:v>22</x:v>
      </x:c>
      <x:c r="I2800" s="44" t="str">
        <x:v>07.22</x:v>
      </x:c>
      <x:c r="J2800" s="33" t="str">
        <x:v>And Now We Come to the End</x:v>
      </x:c>
      <x:c r="K2800" s="33" t="str"/>
      <x:c r="L2800" s="33" t="str"/>
      <x:c r="M2800" s="44" t="str"/>
      <x:c r="N2800" s="50" t="n">
        <x:v>42</x:v>
      </x:c>
      <x:c r="O2800" s="53" t="str">
        <x:v>Halstead and Asher clash over a patient in need of a kidney transplant. Marcel faces a tough decision when Blake is in surgery. Choi and Archer treat the son of Med's general counsel. Med's family grows.</x:v>
      </x:c>
      <x:c r="P2800" s="53" t="str">
        <x:v>Core One Chicago franchise</x:v>
      </x:c>
      <x:c r="Q2800" s="17" t="str">
        <x:v>6067026</x:v>
      </x:c>
      <x:c r="R2800" s="17" t="str">
        <x:v>tt19784024</x:v>
      </x:c>
      <x:c r="S2800" s="17" t="str"/>
    </x:row>
    <x:row r="2801">
      <x:c r="A2801" s="43" t="n">
        <x:v>2797</x:v>
      </x:c>
      <x:c r="B2801" s="44" t="str">
        <x:v>Not Started</x:v>
      </x:c>
      <x:c r="C2801" s="45" t="n">
        <x:v>44707</x:v>
      </x:c>
      <x:c r="D2801" s="33" t="str">
        <x:v>Chicago P.D.</x:v>
      </x:c>
      <x:c r="E2801" s="33" t="str">
        <x:v>One Chicago</x:v>
      </x:c>
      <x:c r="F2801" s="33" t="str">
        <x:v>core</x:v>
      </x:c>
      <x:c r="G2801" s="50" t="n">
        <x:v>9</x:v>
      </x:c>
      <x:c r="H2801" s="50" t="n">
        <x:v>22</x:v>
      </x:c>
      <x:c r="I2801" s="44" t="str">
        <x:v>09.22</x:v>
      </x:c>
      <x:c r="J2801" s="33" t="str">
        <x:v>You and Me (2)</x:v>
      </x:c>
      <x:c r="K2801" s="33" t="str"/>
      <x:c r="L2801" s="33" t="str"/>
      <x:c r="M2801" s="44" t="str"/>
      <x:c r="N2801" s="50" t="n">
        <x:v>43</x:v>
      </x:c>
      <x:c r="O2801" s="53" t="str">
        <x:v>After an explosion rocks the case, the team scrambles to finally take down Escano as everyone nears their breaking point.</x:v>
      </x:c>
      <x:c r="P2801" s="53" t="str">
        <x:v>Core One Chicago franchise; crossovers with SVU/FBI</x:v>
      </x:c>
      <x:c r="Q2801" s="17" t="str">
        <x:v>6066670</x:v>
      </x:c>
      <x:c r="R2801" s="17" t="str">
        <x:v>tt19784084</x:v>
      </x:c>
      <x:c r="S2801" s="17" t="str"/>
    </x:row>
    <x:row r="2802">
      <x:c r="A2802" s="43" t="n">
        <x:v>2798</x:v>
      </x:c>
      <x:c r="B2802" s="44" t="str">
        <x:v>Not Started</x:v>
      </x:c>
      <x:c r="C2802" s="45" t="n">
        <x:v>44707</x:v>
      </x:c>
      <x:c r="D2802" s="33" t="str">
        <x:v>Chicago Fire</x:v>
      </x:c>
      <x:c r="E2802" s="33" t="str">
        <x:v>One Chicago</x:v>
      </x:c>
      <x:c r="F2802" s="33" t="str">
        <x:v>core</x:v>
      </x:c>
      <x:c r="G2802" s="50" t="n">
        <x:v>10</x:v>
      </x:c>
      <x:c r="H2802" s="50" t="n">
        <x:v>22</x:v>
      </x:c>
      <x:c r="I2802" s="44" t="str">
        <x:v>10.22</x:v>
      </x:c>
      <x:c r="J2802" s="33" t="str">
        <x:v>The Magnificent City of Chicago</x:v>
      </x:c>
      <x:c r="K2802" s="33" t="str"/>
      <x:c r="L2802" s="33" t="str"/>
      <x:c r="M2802" s="44" t="str"/>
      <x:c r="N2802" s="50" t="n">
        <x:v>42</x:v>
      </x:c>
      <x:c r="O2802" s="53" t="str">
        <x:v>The big wedding day arrives and Firehouse 51 welcomes Casey back to celebrate the joyous occasion. Emma's plans to replace Violet come to a shocking end.</x:v>
      </x:c>
      <x:c r="P2802" s="53" t="str">
        <x:v>Core One Chicago franchise</x:v>
      </x:c>
      <x:c r="Q2802" s="17" t="str">
        <x:v>6069287</x:v>
      </x:c>
      <x:c r="R2802" s="17" t="str">
        <x:v>tt19784054</x:v>
      </x:c>
      <x:c r="S2802" s="17" t="str"/>
    </x:row>
    <x:row r="2803">
      <x:c r="A2803" s="43" t="n">
        <x:v>2799</x:v>
      </x:c>
      <x:c r="B2803" s="44" t="str">
        <x:v>Not Started</x:v>
      </x:c>
      <x:c r="C2803" s="45" t="n">
        <x:v>44808</x:v>
      </x:c>
      <x:c r="D2803" s="33" t="str">
        <x:v>Cold Justice</x:v>
      </x:c>
      <x:c r="E2803" s="33" t="str">
        <x:v>Crossover Adjacent</x:v>
      </x:c>
      <x:c r="F2803" s="33" t="str">
        <x:v>complete</x:v>
      </x:c>
      <x:c r="G2803" s="50" t="n">
        <x:v>6</x:v>
      </x:c>
      <x:c r="H2803" s="50" t="n">
        <x:v>13</x:v>
      </x:c>
      <x:c r="I2803" s="44" t="str">
        <x:v>06.13</x:v>
      </x:c>
      <x:c r="J2803" s="33" t="str">
        <x:v>A Mother's Last Words</x:v>
      </x:c>
      <x:c r="K2803" s="33" t="str"/>
      <x:c r="L2803" s="33" t="str"/>
      <x:c r="M2803" s="44" t="str"/>
      <x:c r="N2803" s="50" t="n">
        <x:v>90</x:v>
      </x:c>
      <x:c r="O2803" s="53" t="str">
        <x:v>Kelly and Abbey investigate the brutal slaying of a pregnant woman who was able to call 911 but died before naming her killer. Eyewitnesses at a nearby bar could help crack the case-if they'll talk.</x:v>
      </x:c>
      <x:c r="P2803" s="53" t="str">
        <x:v>Wolf Entertainment unscripted true-crime series</x:v>
      </x:c>
      <x:c r="Q2803" s="17" t="str">
        <x:v>6679645</x:v>
      </x:c>
      <x:c r="R2803" s="17" t="str"/>
      <x:c r="S2803" s="17" t="str"/>
    </x:row>
    <x:row r="2804">
      <x:c r="A2804" s="43" t="n">
        <x:v>2800</x:v>
      </x:c>
      <x:c r="B2804" s="44" t="str">
        <x:v>Not Started</x:v>
      </x:c>
      <x:c r="C2804" s="45" t="n">
        <x:v>44815</x:v>
      </x:c>
      <x:c r="D2804" s="33" t="str">
        <x:v>Cold Justice</x:v>
      </x:c>
      <x:c r="E2804" s="33" t="str">
        <x:v>Crossover Adjacent</x:v>
      </x:c>
      <x:c r="F2804" s="33" t="str">
        <x:v>complete</x:v>
      </x:c>
      <x:c r="G2804" s="50" t="n">
        <x:v>6</x:v>
      </x:c>
      <x:c r="H2804" s="50" t="n">
        <x:v>14</x:v>
      </x:c>
      <x:c r="I2804" s="44" t="str">
        <x:v>06.14</x:v>
      </x:c>
      <x:c r="J2804" s="33" t="str">
        <x:v>Shot in the Dark</x:v>
      </x:c>
      <x:c r="K2804" s="33" t="str"/>
      <x:c r="L2804" s="33" t="str"/>
      <x:c r="M2804" s="44" t="str"/>
      <x:c r="N2804" s="50" t="n">
        <x:v>42</x:v>
      </x:c>
      <x:c r="O2804" s="53" t="str">
        <x:v>Kelly and Steve look into the 2007 murder of a single father who was gunned down by a sharpshooter with a high-powered rifle. State-of-the-art digital forensics may help poke a hole in the suspect's alibi.</x:v>
      </x:c>
      <x:c r="P2804" s="53" t="str">
        <x:v>Wolf Entertainment unscripted true-crime series</x:v>
      </x:c>
      <x:c r="Q2804" s="17" t="str">
        <x:v>6679646</x:v>
      </x:c>
      <x:c r="R2804" s="17" t="str"/>
      <x:c r="S2804" s="17" t="str"/>
    </x:row>
    <x:row r="2805">
      <x:c r="A2805" s="43" t="n">
        <x:v>2801</x:v>
      </x:c>
      <x:c r="B2805" s="44" t="str">
        <x:v>Not Started</x:v>
      </x:c>
      <x:c r="C2805" s="45" t="n">
        <x:v>44822</x:v>
      </x:c>
      <x:c r="D2805" s="33" t="str">
        <x:v>Cold Justice</x:v>
      </x:c>
      <x:c r="E2805" s="33" t="str">
        <x:v>Crossover Adjacent</x:v>
      </x:c>
      <x:c r="F2805" s="33" t="str">
        <x:v>complete</x:v>
      </x:c>
      <x:c r="G2805" s="50" t="n">
        <x:v>6</x:v>
      </x:c>
      <x:c r="H2805" s="50" t="n">
        <x:v>15</x:v>
      </x:c>
      <x:c r="I2805" s="44" t="str">
        <x:v>06.15</x:v>
      </x:c>
      <x:c r="J2805" s="33" t="str">
        <x:v>Dangerous Rendezvous</x:v>
      </x:c>
      <x:c r="K2805" s="33" t="str"/>
      <x:c r="L2805" s="33" t="str"/>
      <x:c r="M2805" s="44" t="str"/>
      <x:c r="N2805" s="50" t="n">
        <x:v>42</x:v>
      </x:c>
      <x:c r="O2805" s="53" t="str">
        <x:v>On June 13, 2018 in Dunlap, TN, 42-year-old single mom Tiffany Holbert went for her nightly walk and vanished. The last time she was seen alive was by an ATM security camera, which could hold the key to solving her disappearance.</x:v>
      </x:c>
      <x:c r="P2805" s="53" t="str">
        <x:v>Wolf Entertainment unscripted true-crime series</x:v>
      </x:c>
      <x:c r="Q2805" s="17" t="str">
        <x:v>6679647</x:v>
      </x:c>
      <x:c r="R2805" s="17" t="str"/>
      <x:c r="S2805" s="17" t="str"/>
    </x:row>
    <x:row r="2806">
      <x:c r="A2806" s="43" t="n">
        <x:v>2802</x:v>
      </x:c>
      <x:c r="B2806" s="44" t="str">
        <x:v>Not Started</x:v>
      </x:c>
      <x:c r="C2806" s="45" t="n">
        <x:v>44825</x:v>
      </x:c>
      <x:c r="D2806" s="33" t="str">
        <x:v>FBI: International</x:v>
      </x:c>
      <x:c r="E2806" s="33" t="str">
        <x:v>FBI</x:v>
      </x:c>
      <x:c r="F2806" s="33" t="str">
        <x:v>core</x:v>
      </x:c>
      <x:c r="G2806" s="50" t="n">
        <x:v>2</x:v>
      </x:c>
      <x:c r="H2806" s="50" t="n">
        <x:v>1</x:v>
      </x:c>
      <x:c r="I2806" s="44" t="str">
        <x:v>02.01</x:v>
      </x:c>
      <x:c r="J2806" s="33" t="str">
        <x:v>Unburdened</x:v>
      </x:c>
      <x:c r="K2806" s="33" t="str"/>
      <x:c r="L2806" s="33" t="str"/>
      <x:c r="M2806" s="44" t="str"/>
      <x:c r="N2806" s="50" t="n">
        <x:v>40</x:v>
      </x:c>
      <x:c r="O2806" s="53" t="str">
        <x:v>The Fly Team and new Europol liaison Megan “Smitty” Garretson investigate when an American police detective on the Federal task force is murdered in Paris while looking into a U.S. company suspected of selling illegal weapons in France and the Middle East.</x:v>
      </x:c>
      <x:c r="P2806" s="53" t="str">
        <x:v>Core FBI franchise</x:v>
      </x:c>
      <x:c r="Q2806" s="17" t="str">
        <x:v>6485656</x:v>
      </x:c>
      <x:c r="R2806" s="17" t="str">
        <x:v>tt20195174</x:v>
      </x:c>
      <x:c r="S2806" s="17" t="str"/>
    </x:row>
    <x:row r="2807">
      <x:c r="A2807" s="43" t="n">
        <x:v>2803</x:v>
      </x:c>
      <x:c r="B2807" s="44" t="str">
        <x:v>Not Started</x:v>
      </x:c>
      <x:c r="C2807" s="45" t="n">
        <x:v>44825</x:v>
      </x:c>
      <x:c r="D2807" s="33" t="str">
        <x:v>FBI: Most Wanted</x:v>
      </x:c>
      <x:c r="E2807" s="33" t="str">
        <x:v>FBI</x:v>
      </x:c>
      <x:c r="F2807" s="33" t="str">
        <x:v>core</x:v>
      </x:c>
      <x:c r="G2807" s="50" t="n">
        <x:v>4</x:v>
      </x:c>
      <x:c r="H2807" s="50" t="n">
        <x:v>1</x:v>
      </x:c>
      <x:c r="I2807" s="44" t="str">
        <x:v>04.01</x:v>
      </x:c>
      <x:c r="J2807" s="33" t="str">
        <x:v>Iron Pipeline</x:v>
      </x:c>
      <x:c r="K2807" s="33" t="str"/>
      <x:c r="L2807" s="33" t="str"/>
      <x:c r="M2807" s="44" t="str"/>
      <x:c r="N2807" s="50" t="n">
        <x:v>42</x:v>
      </x:c>
      <x:c r="O2807" s="53" t="str">
        <x:v>When a family of four from New York is found dead in a Georgia motel room, the Fugitive Task Force investigates a connection between the victims and the sale of illegal firearms. Also, Barnes struggles with Remy's leadership style upon her return from maternity leave, and Remy and his sister plan for their mother's care.</x:v>
      </x:c>
      <x:c r="P2807" s="53" t="str">
        <x:v>Core FBI franchise</x:v>
      </x:c>
      <x:c r="Q2807" s="17" t="str">
        <x:v>6485659</x:v>
      </x:c>
      <x:c r="R2807" s="17" t="str">
        <x:v>tt20195166</x:v>
      </x:c>
      <x:c r="S2807" s="17" t="str"/>
    </x:row>
    <x:row r="2808">
      <x:c r="A2808" s="43" t="n">
        <x:v>2804</x:v>
      </x:c>
      <x:c r="B2808" s="44" t="str">
        <x:v>Not Started</x:v>
      </x:c>
      <x:c r="C2808" s="45" t="n">
        <x:v>44825</x:v>
      </x:c>
      <x:c r="D2808" s="33" t="str">
        <x:v>FBI</x:v>
      </x:c>
      <x:c r="E2808" s="33" t="str">
        <x:v>FBI</x:v>
      </x:c>
      <x:c r="F2808" s="33" t="str">
        <x:v>core</x:v>
      </x:c>
      <x:c r="G2808" s="50" t="n">
        <x:v>5</x:v>
      </x:c>
      <x:c r="H2808" s="50" t="n">
        <x:v>1</x:v>
      </x:c>
      <x:c r="I2808" s="44" t="str">
        <x:v>05.01</x:v>
      </x:c>
      <x:c r="J2808" s="33" t="str">
        <x:v>Hero's Journey</x:v>
      </x:c>
      <x:c r="K2808" s="33" t="str"/>
      <x:c r="L2808" s="33" t="str"/>
      <x:c r="M2808" s="44" t="str"/>
      <x:c r="N2808" s="50" t="n">
        <x:v>41</x:v>
      </x:c>
      <x:c r="O2808" s="53" t="str">
        <x:v>The team pivots when their sting operation to secure a massive bomb from an illegal broker leads them to discover that the device is already in the wrong hands. Also, Jubal’s promise to be present at his son’s birthday party is put to the test as the case continues to heat up.</x:v>
      </x:c>
      <x:c r="P2808" s="53" t="str">
        <x:v>Core FBI franchise</x:v>
      </x:c>
      <x:c r="Q2808" s="17" t="str">
        <x:v>6485655</x:v>
      </x:c>
      <x:c r="R2808" s="17" t="str">
        <x:v>tt20195158</x:v>
      </x:c>
      <x:c r="S2808" s="17" t="str"/>
    </x:row>
    <x:row r="2809">
      <x:c r="A2809" s="43" t="n">
        <x:v>2805</x:v>
      </x:c>
      <x:c r="B2809" s="44" t="str">
        <x:v>Not Started</x:v>
      </x:c>
      <x:c r="C2809" s="45" t="n">
        <x:v>44826</x:v>
      </x:c>
      <x:c r="D2809" s="33" t="str">
        <x:v>Law &amp; Order: Organized Crime</x:v>
      </x:c>
      <x:c r="E2809" s="33" t="str">
        <x:v>Law &amp; Order</x:v>
      </x:c>
      <x:c r="F2809" s="33" t="str">
        <x:v>core</x:v>
      </x:c>
      <x:c r="G2809" s="50" t="n">
        <x:v>3</x:v>
      </x:c>
      <x:c r="H2809" s="50" t="n">
        <x:v>1</x:v>
      </x:c>
      <x:c r="I2809" s="44" t="str">
        <x:v>03.01</x:v>
      </x:c>
      <x:c r="J2809" s="33" t="str">
        <x:v>Gimme Shelter (I)</x:v>
      </x:c>
      <x:c r="K2809" s="33" t="str">
        <x:v>Crossover</x:v>
      </x:c>
      <x:c r="L2809" s="33" t="str">
        <x:v>Gimme Shelter</x:v>
      </x:c>
      <x:c r="M2809" s="44" t="str">
        <x:v>1/3</x:v>
      </x:c>
      <x:c r="N2809" s="50" t="n">
        <x:v>41</x:v>
      </x:c>
      <x:c r="O2809" s="53" t="str">
        <x:v>A young girl is shot and Cosgrove teams with Det. Jalen Shaw to track down her killer. Benson and Stabler assist and realize it's more than a typical homicide. McCoy and Price seek justice against an international crime ring, but complications threaten the case.
The crossover continues on Law &amp; Order: Special Victims Unit S24E01 Gimme Shelter (II) and Law &amp; Order S22E01 Gimme Shelter (III).</x:v>
      </x:c>
      <x:c r="P2809" s="53" t="str">
        <x:v>Core Law &amp; Order franchise</x:v>
      </x:c>
      <x:c r="Q2809" s="17" t="str">
        <x:v>6507684</x:v>
      </x:c>
      <x:c r="R2809" s="17" t="str">
        <x:v>tt20203184</x:v>
      </x:c>
      <x:c r="S2809" s="17" t="str">
        <x:v>https://lawandorder.fandom.com/wiki/Gimme_Shelter</x:v>
      </x:c>
    </x:row>
    <x:row r="2810">
      <x:c r="A2810" s="43" t="n">
        <x:v>2806</x:v>
      </x:c>
      <x:c r="B2810" s="44" t="str">
        <x:v>Not Started</x:v>
      </x:c>
      <x:c r="C2810" s="45" t="n">
        <x:v>44826</x:v>
      </x:c>
      <x:c r="D2810" s="33" t="str">
        <x:v>Chicago Med</x:v>
      </x:c>
      <x:c r="E2810" s="33" t="str">
        <x:v>One Chicago</x:v>
      </x:c>
      <x:c r="F2810" s="33" t="str">
        <x:v>core</x:v>
      </x:c>
      <x:c r="G2810" s="50" t="n">
        <x:v>8</x:v>
      </x:c>
      <x:c r="H2810" s="50" t="n">
        <x:v>1</x:v>
      </x:c>
      <x:c r="I2810" s="44" t="str">
        <x:v>08.01</x:v>
      </x:c>
      <x:c r="J2810" s="33" t="str">
        <x:v>How Do You Begin to Count the Losses</x:v>
      </x:c>
      <x:c r="K2810" s="33" t="str"/>
      <x:c r="L2810" s="33" t="str"/>
      <x:c r="M2810" s="44" t="str"/>
      <x:c r="N2810" s="50" t="n">
        <x:v>42</x:v>
      </x:c>
      <x:c r="O2810" s="53" t="str">
        <x:v>In the aftermath of Halstead's apartment fire, Marcel, Choi and Archer work together to try to save the survivors. Charles and Med's new fellow, Cuevas, help a paranoid patient.</x:v>
      </x:c>
      <x:c r="P2810" s="53" t="str">
        <x:v>Core One Chicago franchise</x:v>
      </x:c>
      <x:c r="Q2810" s="17" t="str">
        <x:v>6508415</x:v>
      </x:c>
      <x:c r="R2810" s="17" t="str">
        <x:v>tt11873134</x:v>
      </x:c>
      <x:c r="S2810" s="17" t="str"/>
    </x:row>
    <x:row r="2811">
      <x:c r="A2811" s="43" t="n">
        <x:v>2807</x:v>
      </x:c>
      <x:c r="B2811" s="44" t="str">
        <x:v>Not Started</x:v>
      </x:c>
      <x:c r="C2811" s="45" t="n">
        <x:v>44826</x:v>
      </x:c>
      <x:c r="D2811" s="33" t="str">
        <x:v>Chicago P.D.</x:v>
      </x:c>
      <x:c r="E2811" s="33" t="str">
        <x:v>One Chicago</x:v>
      </x:c>
      <x:c r="F2811" s="33" t="str">
        <x:v>core</x:v>
      </x:c>
      <x:c r="G2811" s="50" t="n">
        <x:v>10</x:v>
      </x:c>
      <x:c r="H2811" s="50" t="n">
        <x:v>1</x:v>
      </x:c>
      <x:c r="I2811" s="44" t="str">
        <x:v>10.01</x:v>
      </x:c>
      <x:c r="J2811" s="33" t="str">
        <x:v>Let It Bleed</x:v>
      </x:c>
      <x:c r="K2811" s="33" t="str"/>
      <x:c r="L2811" s="33" t="str"/>
      <x:c r="M2811" s="44" t="str"/>
      <x:c r="N2811" s="50" t="n">
        <x:v>43</x:v>
      </x:c>
      <x:c r="O2811" s="53" t="str">
        <x:v>Still reeling from the death of informant Anna, Voight faces a new threat as he tries to keep the neighborhood clean. New wrinkles develop in the Upton, Halstead and Voight dynamic. The team gets a new chief.</x:v>
      </x:c>
      <x:c r="P2811" s="53" t="str">
        <x:v>Core One Chicago franchise; crossovers with SVU/FBI</x:v>
      </x:c>
      <x:c r="Q2811" s="17" t="str">
        <x:v>6508417</x:v>
      </x:c>
      <x:c r="R2811" s="17" t="str">
        <x:v>tt11873120</x:v>
      </x:c>
      <x:c r="S2811" s="17" t="str"/>
    </x:row>
    <x:row r="2812">
      <x:c r="A2812" s="43" t="n">
        <x:v>2808</x:v>
      </x:c>
      <x:c r="B2812" s="44" t="str">
        <x:v>Not Started</x:v>
      </x:c>
      <x:c r="C2812" s="45" t="n">
        <x:v>44826</x:v>
      </x:c>
      <x:c r="D2812" s="33" t="str">
        <x:v>Chicago Fire</x:v>
      </x:c>
      <x:c r="E2812" s="33" t="str">
        <x:v>One Chicago</x:v>
      </x:c>
      <x:c r="F2812" s="33" t="str">
        <x:v>core</x:v>
      </x:c>
      <x:c r="G2812" s="50" t="n">
        <x:v>11</x:v>
      </x:c>
      <x:c r="H2812" s="50" t="n">
        <x:v>1</x:v>
      </x:c>
      <x:c r="I2812" s="44" t="str">
        <x:v>11.01</x:v>
      </x:c>
      <x:c r="J2812" s="33" t="str">
        <x:v>Hold on Tight</x:v>
      </x:c>
      <x:c r="K2812" s="33" t="str"/>
      <x:c r="L2812" s="33" t="str"/>
      <x:c r="M2812" s="44" t="str"/>
      <x:c r="N2812" s="50" t="n">
        <x:v>43</x:v>
      </x:c>
      <x:c r="O2812" s="53" t="str">
        <x:v>Kidd and Severide's honeymoon is interrupted by a dangerous person from their past. Kidd's former academy classmate joins Firehouse 51. Brett and Violet reflect on their relationships.</x:v>
      </x:c>
      <x:c r="P2812" s="53" t="str">
        <x:v>Core One Chicago franchise</x:v>
      </x:c>
      <x:c r="Q2812" s="17" t="str">
        <x:v>6508421</x:v>
      </x:c>
      <x:c r="R2812" s="17" t="str">
        <x:v>tt11873110</x:v>
      </x:c>
      <x:c r="S2812" s="17" t="str"/>
    </x:row>
    <x:row r="2813">
      <x:c r="A2813" s="43" t="n">
        <x:v>2809</x:v>
      </x:c>
      <x:c r="B2813" s="44" t="str">
        <x:v>Not Started</x:v>
      </x:c>
      <x:c r="C2813" s="45" t="n">
        <x:v>44826</x:v>
      </x:c>
      <x:c r="D2813" s="33" t="str">
        <x:v>Law &amp; Order</x:v>
      </x:c>
      <x:c r="E2813" s="33" t="str">
        <x:v>Law &amp; Order</x:v>
      </x:c>
      <x:c r="F2813" s="33" t="str">
        <x:v>core</x:v>
      </x:c>
      <x:c r="G2813" s="50" t="n">
        <x:v>22</x:v>
      </x:c>
      <x:c r="H2813" s="50" t="n">
        <x:v>1</x:v>
      </x:c>
      <x:c r="I2813" s="44" t="str">
        <x:v>22.01</x:v>
      </x:c>
      <x:c r="J2813" s="33" t="str">
        <x:v>Gimme Shelter (III)</x:v>
      </x:c>
      <x:c r="K2813" s="33" t="str">
        <x:v>Crossover</x:v>
      </x:c>
      <x:c r="L2813" s="33" t="str">
        <x:v>Gimme Shelter</x:v>
      </x:c>
      <x:c r="M2813" s="44" t="str">
        <x:v>3/3</x:v>
      </x:c>
      <x:c r="N2813" s="50" t="n">
        <x:v>45</x:v>
      </x:c>
      <x:c r="O2813" s="53" t="str">
        <x:v>A girl is shot and Cosgrove teams with Det. Jalen Shaw to track down her killer. Benson and Stabler assist and realize it's more than a typical homicide. McCoy and Price seek justice against an international crime ring.
The crossover begins on Law &amp; Order: Organized Crime S03E01 Gimme Shelter (I) and Law &amp; Order: Special Victims Unit S24E01 Gimme Shelter (II).</x:v>
      </x:c>
      <x:c r="P2813" s="53" t="str">
        <x:v>Core Law &amp; Order franchise</x:v>
      </x:c>
      <x:c r="Q2813" s="17" t="str">
        <x:v>6508577</x:v>
      </x:c>
      <x:c r="R2813" s="17" t="str">
        <x:v>tt20203182</x:v>
      </x:c>
      <x:c r="S2813" s="17" t="str">
        <x:v>https://lawandorder.fandom.com/wiki/Gimme_Shelter</x:v>
      </x:c>
    </x:row>
    <x:row r="2814">
      <x:c r="A2814" s="43" t="n">
        <x:v>2810</x:v>
      </x:c>
      <x:c r="B2814" s="44" t="str">
        <x:v>Not Started</x:v>
      </x:c>
      <x:c r="C2814" s="45" t="n">
        <x:v>44826</x:v>
      </x:c>
      <x:c r="D2814" s="33" t="str">
        <x:v>Law &amp; Order: Special Victims Unit</x:v>
      </x:c>
      <x:c r="E2814" s="33" t="str">
        <x:v>Law &amp; Order</x:v>
      </x:c>
      <x:c r="F2814" s="33" t="str">
        <x:v>core</x:v>
      </x:c>
      <x:c r="G2814" s="50" t="n">
        <x:v>24</x:v>
      </x:c>
      <x:c r="H2814" s="50" t="n">
        <x:v>1</x:v>
      </x:c>
      <x:c r="I2814" s="44" t="str">
        <x:v>24.01</x:v>
      </x:c>
      <x:c r="J2814" s="33" t="str">
        <x:v>Gimme Shelter (II)</x:v>
      </x:c>
      <x:c r="K2814" s="33" t="str">
        <x:v>Crossover</x:v>
      </x:c>
      <x:c r="L2814" s="33" t="str">
        <x:v>Gimme Shelter</x:v>
      </x:c>
      <x:c r="M2814" s="44" t="str">
        <x:v>2/3</x:v>
      </x:c>
      <x:c r="N2814" s="50" t="n">
        <x:v>42</x:v>
      </x:c>
      <x:c r="O2814" s="53" t="str">
        <x:v>A girl is shot and Cosgrove teams with Det. Jalen Shaw to track down her killer. Benson and Stabler assist and realize it's more than a typical homicide. McCoy and Price seek justice against an international crime ring.
The crossover begins on Law &amp; Order: Organized Crime S03E01 Gimme Shelter (I). It continues on Law &amp; Order S22E01 Gimme Shelter (III).</x:v>
      </x:c>
      <x:c r="P2814" s="53" t="str">
        <x:v>Core Law &amp; Order franchise</x:v>
      </x:c>
      <x:c r="Q2814" s="17" t="str">
        <x:v>6507685</x:v>
      </x:c>
      <x:c r="R2814" s="17" t="str">
        <x:v>tt11873148</x:v>
      </x:c>
      <x:c r="S2814" s="17" t="str">
        <x:v>https://lawandorder.fandom.com/wiki/Gimme_Shelter</x:v>
      </x:c>
    </x:row>
    <x:row r="2815">
      <x:c r="A2815" s="43" t="n">
        <x:v>2811</x:v>
      </x:c>
      <x:c r="B2815" s="44" t="str">
        <x:v>Not Started</x:v>
      </x:c>
      <x:c r="C2815" s="45" t="n">
        <x:v>44829</x:v>
      </x:c>
      <x:c r="D2815" s="33" t="str">
        <x:v>Cold Justice</x:v>
      </x:c>
      <x:c r="E2815" s="33" t="str">
        <x:v>Crossover Adjacent</x:v>
      </x:c>
      <x:c r="F2815" s="33" t="str">
        <x:v>complete</x:v>
      </x:c>
      <x:c r="G2815" s="50" t="n">
        <x:v>6</x:v>
      </x:c>
      <x:c r="H2815" s="50" t="n">
        <x:v>16</x:v>
      </x:c>
      <x:c r="I2815" s="44" t="str">
        <x:v>06.16</x:v>
      </x:c>
      <x:c r="J2815" s="33" t="str">
        <x:v>For Love or Money?</x:v>
      </x:c>
      <x:c r="K2815" s="33" t="str"/>
      <x:c r="L2815" s="33" t="str"/>
      <x:c r="M2815" s="44" t="str"/>
      <x:c r="N2815" s="50" t="n">
        <x:v>42</x:v>
      </x:c>
      <x:c r="O2815" s="53" t="str">
        <x:v>Kelly and Terri investigate the 2015 homicide of a beloved father, veteran and Little League coach. A re-examination of the crime scene reveals a terrifying clue into who may have killed him.</x:v>
      </x:c>
      <x:c r="P2815" s="53" t="str">
        <x:v>Wolf Entertainment unscripted true-crime series</x:v>
      </x:c>
      <x:c r="Q2815" s="17" t="str">
        <x:v>6679648</x:v>
      </x:c>
      <x:c r="R2815" s="17" t="str"/>
      <x:c r="S2815" s="17" t="str"/>
    </x:row>
    <x:row r="2816">
      <x:c r="A2816" s="43" t="n">
        <x:v>2812</x:v>
      </x:c>
      <x:c r="B2816" s="44" t="str">
        <x:v>Not Started</x:v>
      </x:c>
      <x:c r="C2816" s="45" t="n">
        <x:v>44832</x:v>
      </x:c>
      <x:c r="D2816" s="33" t="str">
        <x:v>FBI: International</x:v>
      </x:c>
      <x:c r="E2816" s="33" t="str">
        <x:v>FBI</x:v>
      </x:c>
      <x:c r="F2816" s="33" t="str">
        <x:v>core</x:v>
      </x:c>
      <x:c r="G2816" s="50" t="n">
        <x:v>2</x:v>
      </x:c>
      <x:c r="H2816" s="50" t="n">
        <x:v>2</x:v>
      </x:c>
      <x:c r="I2816" s="44" t="str">
        <x:v>02.02</x:v>
      </x:c>
      <x:c r="J2816" s="33" t="str">
        <x:v>Don't Say Her Name Again</x:v>
      </x:c>
      <x:c r="K2816" s="33" t="str"/>
      <x:c r="L2816" s="33" t="str"/>
      <x:c r="M2816" s="44" t="str"/>
      <x:c r="N2816" s="50" t="n">
        <x:v>39</x:v>
      </x:c>
      <x:c r="O2816" s="53" t="str">
        <x:v>When a local predator begins extorting underage American girls online, the team attempts to bring the offender to justice with on-site help from one of the victims; Kellett decides she should find a roommate.</x:v>
      </x:c>
      <x:c r="P2816" s="53" t="str">
        <x:v>Core FBI franchise</x:v>
      </x:c>
      <x:c r="Q2816" s="17" t="str">
        <x:v>6692925</x:v>
      </x:c>
      <x:c r="R2816" s="17" t="str">
        <x:v>tt22077472</x:v>
      </x:c>
      <x:c r="S2816" s="17" t="str"/>
    </x:row>
    <x:row r="2817">
      <x:c r="A2817" s="43" t="n">
        <x:v>2813</x:v>
      </x:c>
      <x:c r="B2817" s="44" t="str">
        <x:v>Not Started</x:v>
      </x:c>
      <x:c r="C2817" s="45" t="n">
        <x:v>44832</x:v>
      </x:c>
      <x:c r="D2817" s="33" t="str">
        <x:v>FBI: Most Wanted</x:v>
      </x:c>
      <x:c r="E2817" s="33" t="str">
        <x:v>FBI</x:v>
      </x:c>
      <x:c r="F2817" s="33" t="str">
        <x:v>core</x:v>
      </x:c>
      <x:c r="G2817" s="50" t="n">
        <x:v>4</x:v>
      </x:c>
      <x:c r="H2817" s="50" t="n">
        <x:v>2</x:v>
      </x:c>
      <x:c r="I2817" s="44" t="str">
        <x:v>04.02</x:v>
      </x:c>
      <x:c r="J2817" s="33" t="str">
        <x:v>Taxman</x:v>
      </x:c>
      <x:c r="K2817" s="33" t="str"/>
      <x:c r="L2817" s="33" t="str"/>
      <x:c r="M2817" s="44" t="str"/>
      <x:c r="N2817" s="50" t="n">
        <x:v>43</x:v>
      </x:c>
      <x:c r="O2817" s="53" t="str">
        <x:v>Rookie agent Ray Cannon joins the Fugitive Task Force as they hunt down a mysterious killer targeting IRS offices.</x:v>
      </x:c>
      <x:c r="P2817" s="53" t="str">
        <x:v>Core FBI franchise</x:v>
      </x:c>
      <x:c r="Q2817" s="17" t="str">
        <x:v>6692943</x:v>
      </x:c>
      <x:c r="R2817" s="17" t="str">
        <x:v>tt22072858</x:v>
      </x:c>
      <x:c r="S2817" s="17" t="str"/>
    </x:row>
    <x:row r="2818">
      <x:c r="A2818" s="43" t="n">
        <x:v>2814</x:v>
      </x:c>
      <x:c r="B2818" s="44" t="str">
        <x:v>Not Started</x:v>
      </x:c>
      <x:c r="C2818" s="45" t="n">
        <x:v>44832</x:v>
      </x:c>
      <x:c r="D2818" s="33" t="str">
        <x:v>FBI</x:v>
      </x:c>
      <x:c r="E2818" s="33" t="str">
        <x:v>FBI</x:v>
      </x:c>
      <x:c r="F2818" s="33" t="str">
        <x:v>core</x:v>
      </x:c>
      <x:c r="G2818" s="50" t="n">
        <x:v>5</x:v>
      </x:c>
      <x:c r="H2818" s="50" t="n">
        <x:v>2</x:v>
      </x:c>
      <x:c r="I2818" s="44" t="str">
        <x:v>05.02</x:v>
      </x:c>
      <x:c r="J2818" s="33" t="str">
        <x:v>Love Is Blind</x:v>
      </x:c>
      <x:c r="K2818" s="33" t="str"/>
      <x:c r="L2818" s="33" t="str"/>
      <x:c r="M2818" s="44" t="str"/>
      <x:c r="N2818" s="50" t="n">
        <x:v>41</x:v>
      </x:c>
      <x:c r="O2818" s="53" t="str">
        <x:v>When an officer is shot dead at a pawn shop along with the store’s owner, the team tries to figure out why a young, recent Ivy League dropout is tied to the crime.</x:v>
      </x:c>
      <x:c r="P2818" s="53" t="str">
        <x:v>Core FBI franchise</x:v>
      </x:c>
      <x:c r="Q2818" s="17" t="str">
        <x:v>6692939</x:v>
      </x:c>
      <x:c r="R2818" s="17" t="str">
        <x:v>tt22029218</x:v>
      </x:c>
      <x:c r="S2818" s="17" t="str"/>
    </x:row>
    <x:row r="2819">
      <x:c r="A2819" s="43" t="n">
        <x:v>2815</x:v>
      </x:c>
      <x:c r="B2819" s="44" t="str">
        <x:v>Not Started</x:v>
      </x:c>
      <x:c r="C2819" s="45" t="n">
        <x:v>44833</x:v>
      </x:c>
      <x:c r="D2819" s="33" t="str">
        <x:v>Law &amp; Order: Organized Crime</x:v>
      </x:c>
      <x:c r="E2819" s="33" t="str">
        <x:v>Law &amp; Order</x:v>
      </x:c>
      <x:c r="F2819" s="33" t="str">
        <x:v>core</x:v>
      </x:c>
      <x:c r="G2819" s="50" t="n">
        <x:v>3</x:v>
      </x:c>
      <x:c r="H2819" s="50" t="n">
        <x:v>2</x:v>
      </x:c>
      <x:c r="I2819" s="44" t="str">
        <x:v>03.02</x:v>
      </x:c>
      <x:c r="J2819" s="33" t="str">
        <x:v>Everybody Knows the Dice Are Loaded</x:v>
      </x:c>
      <x:c r="K2819" s="33" t="str"/>
      <x:c r="L2819" s="33" t="str"/>
      <x:c r="M2819" s="44" t="str"/>
      <x:c r="N2819" s="50" t="n">
        <x:v>42</x:v>
      </x:c>
      <x:c r="O2819" s="53" t="str">
        <x:v>As ground breaks on the city's first casino, Stabler investigates the death of an old friend whose refusal to sell his home on the site has stalled construction. Jet breaks in two new detectives. Bell splits her focus between work and her looming divorce.</x:v>
      </x:c>
      <x:c r="P2819" s="53" t="str">
        <x:v>Core Law &amp; Order franchise</x:v>
      </x:c>
      <x:c r="Q2819" s="17" t="str">
        <x:v>6681351</x:v>
      </x:c>
      <x:c r="R2819" s="17" t="str">
        <x:v>tt22050350</x:v>
      </x:c>
      <x:c r="S2819" s="17" t="str">
        <x:v>1562</x:v>
      </x:c>
    </x:row>
    <x:row r="2820">
      <x:c r="A2820" s="43" t="n">
        <x:v>2816</x:v>
      </x:c>
      <x:c r="B2820" s="44" t="str">
        <x:v>Not Started</x:v>
      </x:c>
      <x:c r="C2820" s="45" t="n">
        <x:v>44833</x:v>
      </x:c>
      <x:c r="D2820" s="33" t="str">
        <x:v>Chicago Med</x:v>
      </x:c>
      <x:c r="E2820" s="33" t="str">
        <x:v>One Chicago</x:v>
      </x:c>
      <x:c r="F2820" s="33" t="str">
        <x:v>core</x:v>
      </x:c>
      <x:c r="G2820" s="50" t="n">
        <x:v>8</x:v>
      </x:c>
      <x:c r="H2820" s="50" t="n">
        <x:v>2</x:v>
      </x:c>
      <x:c r="I2820" s="44" t="str">
        <x:v>08.02</x:v>
      </x:c>
      <x:c r="J2820" s="33" t="str">
        <x:v>(Caught Between) the Wrecking Ball and the Butterfly</x:v>
      </x:c>
      <x:c r="K2820" s="33" t="str"/>
      <x:c r="L2820" s="33" t="str"/>
      <x:c r="M2820" s="44" t="str"/>
      <x:c r="N2820" s="50" t="n">
        <x:v>42</x:v>
      </x:c>
      <x:c r="O2820" s="53" t="str">
        <x:v>Supply chain disruptions dramatically impact Med, causing Marcel to clash with other doctors. Maggie reveals something to Ben. Choi and Archer help a patient with ALS.</x:v>
      </x:c>
      <x:c r="P2820" s="53" t="str">
        <x:v>Core One Chicago franchise</x:v>
      </x:c>
      <x:c r="Q2820" s="17" t="str">
        <x:v>6611002</x:v>
      </x:c>
      <x:c r="R2820" s="17" t="str">
        <x:v>tt21800812</x:v>
      </x:c>
      <x:c r="S2820" s="17" t="str"/>
    </x:row>
    <x:row r="2821">
      <x:c r="A2821" s="43" t="n">
        <x:v>2817</x:v>
      </x:c>
      <x:c r="B2821" s="44" t="str">
        <x:v>Not Started</x:v>
      </x:c>
      <x:c r="C2821" s="45" t="n">
        <x:v>44833</x:v>
      </x:c>
      <x:c r="D2821" s="33" t="str">
        <x:v>Chicago P.D.</x:v>
      </x:c>
      <x:c r="E2821" s="33" t="str">
        <x:v>One Chicago</x:v>
      </x:c>
      <x:c r="F2821" s="33" t="str">
        <x:v>core</x:v>
      </x:c>
      <x:c r="G2821" s="50" t="n">
        <x:v>10</x:v>
      </x:c>
      <x:c r="H2821" s="50" t="n">
        <x:v>2</x:v>
      </x:c>
      <x:c r="I2821" s="44" t="str">
        <x:v>10.02</x:v>
      </x:c>
      <x:c r="J2821" s="33" t="str">
        <x:v>The Real You</x:v>
      </x:c>
      <x:c r="K2821" s="33" t="str"/>
      <x:c r="L2821" s="33" t="str"/>
      <x:c r="M2821" s="44" t="str"/>
      <x:c r="N2821" s="50" t="n">
        <x:v>43</x:v>
      </x:c>
      <x:c r="O2821" s="53" t="str">
        <x:v>When a convicted murderer hijacks a prison van, the team scrambles to find him and the abducted prison guard before it's too late. Burgess questions Ruzek's motives in a case, creating tension between the two.</x:v>
      </x:c>
      <x:c r="P2821" s="53" t="str">
        <x:v>Core One Chicago franchise; crossovers with SVU/FBI</x:v>
      </x:c>
      <x:c r="Q2821" s="17" t="str">
        <x:v>6609747</x:v>
      </x:c>
      <x:c r="R2821" s="17" t="str">
        <x:v>tt21935244</x:v>
      </x:c>
      <x:c r="S2821" s="17" t="str"/>
    </x:row>
    <x:row r="2822">
      <x:c r="A2822" s="43" t="n">
        <x:v>2818</x:v>
      </x:c>
      <x:c r="B2822" s="44" t="str">
        <x:v>Not Started</x:v>
      </x:c>
      <x:c r="C2822" s="45" t="n">
        <x:v>44833</x:v>
      </x:c>
      <x:c r="D2822" s="33" t="str">
        <x:v>Chicago Fire</x:v>
      </x:c>
      <x:c r="E2822" s="33" t="str">
        <x:v>One Chicago</x:v>
      </x:c>
      <x:c r="F2822" s="33" t="str">
        <x:v>core</x:v>
      </x:c>
      <x:c r="G2822" s="50" t="n">
        <x:v>11</x:v>
      </x:c>
      <x:c r="H2822" s="50" t="n">
        <x:v>2</x:v>
      </x:c>
      <x:c r="I2822" s="44" t="str">
        <x:v>11.02</x:v>
      </x:c>
      <x:c r="J2822" s="33" t="str">
        <x:v>Every Scar Tells a Story</x:v>
      </x:c>
      <x:c r="K2822" s="33" t="str"/>
      <x:c r="L2822" s="33" t="str"/>
      <x:c r="M2822" s="44" t="str"/>
      <x:c r="N2822" s="50" t="n">
        <x:v>42</x:v>
      </x:c>
      <x:c r="O2822" s="53" t="str">
        <x:v>Javi spends a couple of shifts at Firehouse 51. Kidd and Carver work together to help Carver's former boss. As Hawkins and Violet's relationship blossoms, Gallo turns his attention elsewhere.</x:v>
      </x:c>
      <x:c r="P2822" s="53" t="str">
        <x:v>Core One Chicago franchise</x:v>
      </x:c>
      <x:c r="Q2822" s="17" t="str">
        <x:v>6609746</x:v>
      </x:c>
      <x:c r="R2822" s="17" t="str">
        <x:v>tt21935240</x:v>
      </x:c>
      <x:c r="S2822" s="17" t="str"/>
    </x:row>
    <x:row r="2823">
      <x:c r="A2823" s="43" t="n">
        <x:v>2819</x:v>
      </x:c>
      <x:c r="B2823" s="44" t="str">
        <x:v>Not Started</x:v>
      </x:c>
      <x:c r="C2823" s="45" t="n">
        <x:v>44833</x:v>
      </x:c>
      <x:c r="D2823" s="33" t="str">
        <x:v>Law &amp; Order</x:v>
      </x:c>
      <x:c r="E2823" s="33" t="str">
        <x:v>Law &amp; Order</x:v>
      </x:c>
      <x:c r="F2823" s="33" t="str">
        <x:v>core</x:v>
      </x:c>
      <x:c r="G2823" s="50" t="n">
        <x:v>22</x:v>
      </x:c>
      <x:c r="H2823" s="50" t="n">
        <x:v>2</x:v>
      </x:c>
      <x:c r="I2823" s="44" t="str">
        <x:v>22.02</x:v>
      </x:c>
      <x:c r="J2823" s="33" t="str">
        <x:v>Battle Lines</x:v>
      </x:c>
      <x:c r="K2823" s="33" t="str"/>
      <x:c r="L2823" s="33" t="str"/>
      <x:c r="M2823" s="44" t="str"/>
      <x:c r="N2823" s="50" t="n">
        <x:v>41</x:v>
      </x:c>
      <x:c r="O2823" s="53" t="str">
        <x:v>Things aren't what they seem when a politician's daughter is found dead after an apparent mugging.</x:v>
      </x:c>
      <x:c r="P2823" s="53" t="str">
        <x:v>Core Law &amp; Order franchise</x:v>
      </x:c>
      <x:c r="Q2823" s="17" t="str">
        <x:v>6692970</x:v>
      </x:c>
      <x:c r="R2823" s="17" t="str">
        <x:v>tt22085738</x:v>
      </x:c>
      <x:c r="S2823" s="17" t="str">
        <x:v>1560</x:v>
      </x:c>
    </x:row>
    <x:row r="2824">
      <x:c r="A2824" s="43" t="n">
        <x:v>2820</x:v>
      </x:c>
      <x:c r="B2824" s="44" t="str">
        <x:v>Not Started</x:v>
      </x:c>
      <x:c r="C2824" s="45" t="n">
        <x:v>44833</x:v>
      </x:c>
      <x:c r="D2824" s="33" t="str">
        <x:v>Law &amp; Order: Special Victims Unit</x:v>
      </x:c>
      <x:c r="E2824" s="33" t="str">
        <x:v>Law &amp; Order</x:v>
      </x:c>
      <x:c r="F2824" s="33" t="str">
        <x:v>core</x:v>
      </x:c>
      <x:c r="G2824" s="50" t="n">
        <x:v>24</x:v>
      </x:c>
      <x:c r="H2824" s="50" t="n">
        <x:v>2</x:v>
      </x:c>
      <x:c r="I2824" s="44" t="str">
        <x:v>24.02</x:v>
      </x:c>
      <x:c r="J2824" s="33" t="str">
        <x:v>The One You Feed</x:v>
      </x:c>
      <x:c r="K2824" s="33" t="str"/>
      <x:c r="L2824" s="33" t="str"/>
      <x:c r="M2824" s="44" t="str"/>
      <x:c r="N2824" s="50" t="n">
        <x:v>41</x:v>
      </x:c>
      <x:c r="O2824" s="53" t="str">
        <x:v>A group of teens terrorizing tourists has the SVU squad working overtime; McGrath teams them up with the Bronx gang unit to track down a crucial lead.</x:v>
      </x:c>
      <x:c r="P2824" s="53" t="str">
        <x:v>Core Law &amp; Order franchise</x:v>
      </x:c>
      <x:c r="Q2824" s="17" t="str">
        <x:v>6555272</x:v>
      </x:c>
      <x:c r="R2824" s="17" t="str">
        <x:v>tt22085758</x:v>
      </x:c>
      <x:c r="S2824" s="17" t="str">
        <x:v>1561</x:v>
      </x:c>
    </x:row>
    <x:row r="2825">
      <x:c r="A2825" s="43" t="n">
        <x:v>2821</x:v>
      </x:c>
      <x:c r="B2825" s="44" t="str">
        <x:v>Not Started</x:v>
      </x:c>
      <x:c r="C2825" s="45" t="n">
        <x:v>44836</x:v>
      </x:c>
      <x:c r="D2825" s="33" t="str">
        <x:v>Cold Justice</x:v>
      </x:c>
      <x:c r="E2825" s="33" t="str">
        <x:v>Crossover Adjacent</x:v>
      </x:c>
      <x:c r="F2825" s="33" t="str">
        <x:v>complete</x:v>
      </x:c>
      <x:c r="G2825" s="50" t="n">
        <x:v>6</x:v>
      </x:c>
      <x:c r="H2825" s="50" t="n">
        <x:v>17</x:v>
      </x:c>
      <x:c r="I2825" s="44" t="str">
        <x:v>06.17</x:v>
      </x:c>
      <x:c r="J2825" s="33" t="str">
        <x:v>The Key to the Crime, Part 1</x:v>
      </x:c>
      <x:c r="K2825" s="33" t="str"/>
      <x:c r="L2825" s="33" t="str"/>
      <x:c r="M2825" s="44" t="str"/>
      <x:c r="N2825" s="50" t="n">
        <x:v>42</x:v>
      </x:c>
      <x:c r="O2825" s="53" t="str">
        <x:v>For their 100th case, the Cold Justice team examines the 2007 murder of popular college student Anita Knutson stabbed to death in her bed, in Minot, ND. They'll need the help of their forensic pathologist, digital forensics expert and DNA lab to solve the case.</x:v>
      </x:c>
      <x:c r="P2825" s="53" t="str">
        <x:v>Wolf Entertainment unscripted true-crime series</x:v>
      </x:c>
      <x:c r="Q2825" s="17" t="str">
        <x:v>6679649</x:v>
      </x:c>
      <x:c r="R2825" s="17" t="str"/>
      <x:c r="S2825" s="17" t="str"/>
    </x:row>
    <x:row r="2826">
      <x:c r="A2826" s="43" t="n">
        <x:v>2822</x:v>
      </x:c>
      <x:c r="B2826" s="44" t="str">
        <x:v>Not Started</x:v>
      </x:c>
      <x:c r="C2826" s="45" t="n">
        <x:v>44839</x:v>
      </x:c>
      <x:c r="D2826" s="33" t="str">
        <x:v>FBI: International</x:v>
      </x:c>
      <x:c r="E2826" s="33" t="str">
        <x:v>FBI</x:v>
      </x:c>
      <x:c r="F2826" s="33" t="str">
        <x:v>core</x:v>
      </x:c>
      <x:c r="G2826" s="50" t="n">
        <x:v>2</x:v>
      </x:c>
      <x:c r="H2826" s="50" t="n">
        <x:v>3</x:v>
      </x:c>
      <x:c r="I2826" s="44" t="str">
        <x:v>02.03</x:v>
      </x:c>
      <x:c r="J2826" s="33" t="str">
        <x:v>Money Is Meaningless</x:v>
      </x:c>
      <x:c r="K2826" s="33" t="str"/>
      <x:c r="L2826" s="33" t="str"/>
      <x:c r="M2826" s="44" t="str"/>
      <x:c r="N2826" s="50" t="n">
        <x:v>43</x:v>
      </x:c>
      <x:c r="O2826" s="53" t="str">
        <x:v>The team travels to Mallorca when an American is found brutally murdered on the estate of her powerful father-in-law.</x:v>
      </x:c>
      <x:c r="P2826" s="53" t="str">
        <x:v>Core FBI franchise</x:v>
      </x:c>
      <x:c r="Q2826" s="17" t="str">
        <x:v>6692926</x:v>
      </x:c>
      <x:c r="R2826" s="17" t="str">
        <x:v>tt22188790</x:v>
      </x:c>
      <x:c r="S2826" s="17" t="str"/>
    </x:row>
    <x:row r="2827">
      <x:c r="A2827" s="43" t="n">
        <x:v>2823</x:v>
      </x:c>
      <x:c r="B2827" s="44" t="str">
        <x:v>Not Started</x:v>
      </x:c>
      <x:c r="C2827" s="45" t="n">
        <x:v>44839</x:v>
      </x:c>
      <x:c r="D2827" s="33" t="str">
        <x:v>FBI: Most Wanted</x:v>
      </x:c>
      <x:c r="E2827" s="33" t="str">
        <x:v>FBI</x:v>
      </x:c>
      <x:c r="F2827" s="33" t="str">
        <x:v>core</x:v>
      </x:c>
      <x:c r="G2827" s="50" t="n">
        <x:v>4</x:v>
      </x:c>
      <x:c r="H2827" s="50" t="n">
        <x:v>3</x:v>
      </x:c>
      <x:c r="I2827" s="44" t="str">
        <x:v>04.03</x:v>
      </x:c>
      <x:c r="J2827" s="33" t="str">
        <x:v>Succession</x:v>
      </x:c>
      <x:c r="K2827" s="33" t="str"/>
      <x:c r="L2827" s="33" t="str"/>
      <x:c r="M2827" s="44" t="str"/>
      <x:c r="N2827" s="50" t="n">
        <x:v>40</x:v>
      </x:c>
      <x:c r="O2827" s="53" t="str">
        <x:v>After a heist in the Diamond District leaves three dead, the team's search for the fugitives reveals a dangerous connection to Kristin’s undercover past in Miami.</x:v>
      </x:c>
      <x:c r="P2827" s="53" t="str">
        <x:v>Core FBI franchise</x:v>
      </x:c>
      <x:c r="Q2827" s="17" t="str">
        <x:v>6692944</x:v>
      </x:c>
      <x:c r="R2827" s="17" t="str">
        <x:v>tt22096206</x:v>
      </x:c>
      <x:c r="S2827" s="17" t="str"/>
    </x:row>
    <x:row r="2828">
      <x:c r="A2828" s="43" t="n">
        <x:v>2824</x:v>
      </x:c>
      <x:c r="B2828" s="44" t="str">
        <x:v>Not Started</x:v>
      </x:c>
      <x:c r="C2828" s="45" t="n">
        <x:v>44839</x:v>
      </x:c>
      <x:c r="D2828" s="33" t="str">
        <x:v>FBI</x:v>
      </x:c>
      <x:c r="E2828" s="33" t="str">
        <x:v>FBI</x:v>
      </x:c>
      <x:c r="F2828" s="33" t="str">
        <x:v>core</x:v>
      </x:c>
      <x:c r="G2828" s="50" t="n">
        <x:v>5</x:v>
      </x:c>
      <x:c r="H2828" s="50" t="n">
        <x:v>3</x:v>
      </x:c>
      <x:c r="I2828" s="44" t="str">
        <x:v>05.03</x:v>
      </x:c>
      <x:c r="J2828" s="33" t="str">
        <x:v>Prodigal Son</x:v>
      </x:c>
      <x:c r="K2828" s="33" t="str"/>
      <x:c r="L2828" s="33" t="str"/>
      <x:c r="M2828" s="44" t="str"/>
      <x:c r="N2828" s="50" t="n">
        <x:v>42</x:v>
      </x:c>
      <x:c r="O2828" s="53" t="str">
        <x:v>As the team investigates a deadly robbery that garnered a cache of automatic weapons for the killers, they discover one of the perps is a classmate of Jubal’s son, who is reluctant to cooperate with the case.</x:v>
      </x:c>
      <x:c r="P2828" s="53" t="str">
        <x:v>Core FBI franchise</x:v>
      </x:c>
      <x:c r="Q2828" s="17" t="str">
        <x:v>6692940</x:v>
      </x:c>
      <x:c r="R2828" s="17" t="str">
        <x:v>tt19226428</x:v>
      </x:c>
      <x:c r="S2828" s="17" t="str"/>
    </x:row>
    <x:row r="2829">
      <x:c r="A2829" s="43" t="n">
        <x:v>2825</x:v>
      </x:c>
      <x:c r="B2829" s="44" t="str">
        <x:v>Not Started</x:v>
      </x:c>
      <x:c r="C2829" s="45" t="n">
        <x:v>44840</x:v>
      </x:c>
      <x:c r="D2829" s="33" t="str">
        <x:v>Law &amp; Order: Organized Crime</x:v>
      </x:c>
      <x:c r="E2829" s="33" t="str">
        <x:v>Law &amp; Order</x:v>
      </x:c>
      <x:c r="F2829" s="33" t="str">
        <x:v>core</x:v>
      </x:c>
      <x:c r="G2829" s="50" t="n">
        <x:v>3</x:v>
      </x:c>
      <x:c r="H2829" s="50" t="n">
        <x:v>3</x:v>
      </x:c>
      <x:c r="I2829" s="44" t="str">
        <x:v>03.03</x:v>
      </x:c>
      <x:c r="J2829" s="33" t="str">
        <x:v>Catch Me If You Can</x:v>
      </x:c>
      <x:c r="K2829" s="33" t="str"/>
      <x:c r="L2829" s="33" t="str"/>
      <x:c r="M2829" s="44" t="str"/>
      <x:c r="N2829" s="50" t="n">
        <x:v>42</x:v>
      </x:c>
      <x:c r="O2829" s="53" t="str">
        <x:v>Stabler, Bell and the task force scramble to track down a murderer before he takes desperate action. Jamie blames himself when a mistake leads to further tragedy. Jet makes a crucial discovery that could save a child's life.</x:v>
      </x:c>
      <x:c r="P2829" s="53" t="str">
        <x:v>Core Law &amp; Order franchise</x:v>
      </x:c>
      <x:c r="Q2829" s="17" t="str">
        <x:v>6728263</x:v>
      </x:c>
      <x:c r="R2829" s="17" t="str">
        <x:v>tt22258096</x:v>
      </x:c>
      <x:c r="S2829" s="17" t="str">
        <x:v>1565</x:v>
      </x:c>
    </x:row>
    <x:row r="2830">
      <x:c r="A2830" s="43" t="n">
        <x:v>2826</x:v>
      </x:c>
      <x:c r="B2830" s="44" t="str">
        <x:v>Not Started</x:v>
      </x:c>
      <x:c r="C2830" s="45" t="n">
        <x:v>44840</x:v>
      </x:c>
      <x:c r="D2830" s="33" t="str">
        <x:v>Chicago Med</x:v>
      </x:c>
      <x:c r="E2830" s="33" t="str">
        <x:v>One Chicago</x:v>
      </x:c>
      <x:c r="F2830" s="33" t="str">
        <x:v>core</x:v>
      </x:c>
      <x:c r="G2830" s="50" t="n">
        <x:v>8</x:v>
      </x:c>
      <x:c r="H2830" s="50" t="n">
        <x:v>3</x:v>
      </x:c>
      <x:c r="I2830" s="44" t="str">
        <x:v>08.03</x:v>
      </x:c>
      <x:c r="J2830" s="33" t="str">
        <x:v>Winning the Battle, But Still Losing the War</x:v>
      </x:c>
      <x:c r="K2830" s="33" t="str"/>
      <x:c r="L2830" s="33" t="str"/>
      <x:c r="M2830" s="44" t="str"/>
      <x:c r="N2830" s="50" t="n">
        <x:v>42</x:v>
      </x:c>
      <x:c r="O2830" s="53" t="str">
        <x:v>Charles and Cuevas clash over the treatment of a paranoid patient. Choi treats a pregnant patient from Asher's past. Marcel and Taylor help a man who needs a risky neurosurgery.</x:v>
      </x:c>
      <x:c r="P2830" s="53" t="str">
        <x:v>Core One Chicago franchise</x:v>
      </x:c>
      <x:c r="Q2830" s="17" t="str">
        <x:v>6728617</x:v>
      </x:c>
      <x:c r="R2830" s="17" t="str">
        <x:v>tt22027710</x:v>
      </x:c>
      <x:c r="S2830" s="17" t="str"/>
    </x:row>
    <x:row r="2831">
      <x:c r="A2831" s="43" t="n">
        <x:v>2827</x:v>
      </x:c>
      <x:c r="B2831" s="44" t="str">
        <x:v>Not Started</x:v>
      </x:c>
      <x:c r="C2831" s="45" t="n">
        <x:v>44840</x:v>
      </x:c>
      <x:c r="D2831" s="33" t="str">
        <x:v>Chicago P.D.</x:v>
      </x:c>
      <x:c r="E2831" s="33" t="str">
        <x:v>One Chicago</x:v>
      </x:c>
      <x:c r="F2831" s="33" t="str">
        <x:v>core</x:v>
      </x:c>
      <x:c r="G2831" s="50" t="n">
        <x:v>10</x:v>
      </x:c>
      <x:c r="H2831" s="50" t="n">
        <x:v>3</x:v>
      </x:c>
      <x:c r="I2831" s="44" t="str">
        <x:v>10.03</x:v>
      </x:c>
      <x:c r="J2831" s="33" t="str">
        <x:v>A Good Man</x:v>
      </x:c>
      <x:c r="K2831" s="33" t="str"/>
      <x:c r="L2831" s="33" t="str"/>
      <x:c r="M2831" s="44" t="str"/>
      <x:c r="N2831" s="50" t="n">
        <x:v>42</x:v>
      </x:c>
      <x:c r="O2831" s="53" t="str">
        <x:v>The team investigates a string of brutal pharmacy robberies, and Halstead connects with one of the victims about their Army careers. Upton suspects there is more to the story and confides in Voight.</x:v>
      </x:c>
      <x:c r="P2831" s="53" t="str">
        <x:v>Core One Chicago franchise; crossovers with SVU/FBI</x:v>
      </x:c>
      <x:c r="Q2831" s="17" t="str">
        <x:v>6728304</x:v>
      </x:c>
      <x:c r="R2831" s="17" t="str">
        <x:v>tt22175814</x:v>
      </x:c>
      <x:c r="S2831" s="17" t="str"/>
    </x:row>
    <x:row r="2832">
      <x:c r="A2832" s="43" t="n">
        <x:v>2828</x:v>
      </x:c>
      <x:c r="B2832" s="44" t="str">
        <x:v>Not Started</x:v>
      </x:c>
      <x:c r="C2832" s="45" t="n">
        <x:v>44840</x:v>
      </x:c>
      <x:c r="D2832" s="33" t="str">
        <x:v>Chicago Fire</x:v>
      </x:c>
      <x:c r="E2832" s="33" t="str">
        <x:v>One Chicago</x:v>
      </x:c>
      <x:c r="F2832" s="33" t="str">
        <x:v>core</x:v>
      </x:c>
      <x:c r="G2832" s="50" t="n">
        <x:v>11</x:v>
      </x:c>
      <x:c r="H2832" s="50" t="n">
        <x:v>3</x:v>
      </x:c>
      <x:c r="I2832" s="44" t="str">
        <x:v>11.03</x:v>
      </x:c>
      <x:c r="J2832" s="33" t="str">
        <x:v>Completely Shattered</x:v>
      </x:c>
      <x:c r="K2832" s="33" t="str"/>
      <x:c r="L2832" s="33" t="str"/>
      <x:c r="M2832" s="44" t="str"/>
      <x:c r="N2832" s="50" t="n">
        <x:v>42</x:v>
      </x:c>
      <x:c r="O2832" s="53" t="str">
        <x:v>Kidd recruits Carver, Capp and Tony to help prepare her new lieutenant's quarters. Severide and Det. Pryma pair up to work a police investigation. Firehouse 51 fights a movie theater fire.</x:v>
      </x:c>
      <x:c r="P2832" s="53" t="str">
        <x:v>Core One Chicago franchise</x:v>
      </x:c>
      <x:c r="Q2832" s="17" t="str">
        <x:v>6728616</x:v>
      </x:c>
      <x:c r="R2832" s="17" t="str">
        <x:v>tt22055284</x:v>
      </x:c>
      <x:c r="S2832" s="17" t="str"/>
    </x:row>
    <x:row r="2833">
      <x:c r="A2833" s="43" t="n">
        <x:v>2829</x:v>
      </x:c>
      <x:c r="B2833" s="44" t="str">
        <x:v>Not Started</x:v>
      </x:c>
      <x:c r="C2833" s="45" t="n">
        <x:v>44840</x:v>
      </x:c>
      <x:c r="D2833" s="33" t="str">
        <x:v>Law &amp; Order</x:v>
      </x:c>
      <x:c r="E2833" s="33" t="str">
        <x:v>Law &amp; Order</x:v>
      </x:c>
      <x:c r="F2833" s="33" t="str">
        <x:v>core</x:v>
      </x:c>
      <x:c r="G2833" s="50" t="n">
        <x:v>22</x:v>
      </x:c>
      <x:c r="H2833" s="50" t="n">
        <x:v>3</x:v>
      </x:c>
      <x:c r="I2833" s="44" t="str">
        <x:v>22.03</x:v>
      </x:c>
      <x:c r="J2833" s="33" t="str">
        <x:v>Camouflage</x:v>
      </x:c>
      <x:c r="K2833" s="33" t="str"/>
      <x:c r="L2833" s="33" t="str"/>
      <x:c r="M2833" s="44" t="str"/>
      <x:c r="N2833" s="50" t="n">
        <x:v>42</x:v>
      </x:c>
      <x:c r="O2833" s="53" t="str">
        <x:v>A deadly shooting has Cosgrove and Shaw racing to find the culprit before another attack is orchestrated. Price struggles to put his ethical principles aside when the US Attorney's office pushes for the death penalty in the case.</x:v>
      </x:c>
      <x:c r="P2833" s="53" t="str">
        <x:v>Core Law &amp; Order franchise</x:v>
      </x:c>
      <x:c r="Q2833" s="17" t="str">
        <x:v>6692971</x:v>
      </x:c>
      <x:c r="R2833" s="17" t="str">
        <x:v>tt22242118</x:v>
      </x:c>
      <x:c r="S2833" s="17" t="str">
        <x:v>1563</x:v>
      </x:c>
    </x:row>
    <x:row r="2834">
      <x:c r="A2834" s="43" t="n">
        <x:v>2830</x:v>
      </x:c>
      <x:c r="B2834" s="44" t="str">
        <x:v>Not Started</x:v>
      </x:c>
      <x:c r="C2834" s="45" t="n">
        <x:v>44840</x:v>
      </x:c>
      <x:c r="D2834" s="33" t="str">
        <x:v>Law &amp; Order: Special Victims Unit</x:v>
      </x:c>
      <x:c r="E2834" s="33" t="str">
        <x:v>Law &amp; Order</x:v>
      </x:c>
      <x:c r="F2834" s="33" t="str">
        <x:v>core</x:v>
      </x:c>
      <x:c r="G2834" s="50" t="n">
        <x:v>24</x:v>
      </x:c>
      <x:c r="H2834" s="50" t="n">
        <x:v>3</x:v>
      </x:c>
      <x:c r="I2834" s="44" t="str">
        <x:v>24.03</x:v>
      </x:c>
      <x:c r="J2834" s="33" t="str">
        <x:v>Mirror Effect</x:v>
      </x:c>
      <x:c r="K2834" s="33" t="str"/>
      <x:c r="L2834" s="33" t="str"/>
      <x:c r="M2834" s="44" t="str"/>
      <x:c r="N2834" s="50" t="n">
        <x:v>41</x:v>
      </x:c>
      <x:c r="O2834" s="53" t="str">
        <x:v>Benson tries to help a pop star in a volatile relationship; Rollins struggles with taking the stress of work home with her; Fin teaches a rookie a lesson in respecting fellow officers.</x:v>
      </x:c>
      <x:c r="P2834" s="53" t="str">
        <x:v>Core Law &amp; Order franchise</x:v>
      </x:c>
      <x:c r="Q2834" s="17" t="str">
        <x:v>6585245</x:v>
      </x:c>
      <x:c r="R2834" s="17" t="str">
        <x:v>tt22258084</x:v>
      </x:c>
      <x:c r="S2834" s="17" t="str">
        <x:v>1564</x:v>
      </x:c>
    </x:row>
    <x:row r="2835">
      <x:c r="A2835" s="43" t="n">
        <x:v>2831</x:v>
      </x:c>
      <x:c r="B2835" s="44" t="str">
        <x:v>Not Started</x:v>
      </x:c>
      <x:c r="C2835" s="45" t="n">
        <x:v>44843</x:v>
      </x:c>
      <x:c r="D2835" s="33" t="str">
        <x:v>Cold Justice</x:v>
      </x:c>
      <x:c r="E2835" s="33" t="str">
        <x:v>Crossover Adjacent</x:v>
      </x:c>
      <x:c r="F2835" s="33" t="str">
        <x:v>complete</x:v>
      </x:c>
      <x:c r="G2835" s="50" t="n">
        <x:v>6</x:v>
      </x:c>
      <x:c r="H2835" s="50" t="n">
        <x:v>18</x:v>
      </x:c>
      <x:c r="I2835" s="44" t="str">
        <x:v>06.18</x:v>
      </x:c>
      <x:c r="J2835" s="33" t="str">
        <x:v>The Key to the Crime, Part 2</x:v>
      </x:c>
      <x:c r="K2835" s="33" t="str"/>
      <x:c r="L2835" s="33" t="str"/>
      <x:c r="M2835" s="44" t="str"/>
      <x:c r="N2835" s="50" t="n">
        <x:v>42</x:v>
      </x:c>
      <x:c r="O2835" s="53" t="str">
        <x:v>In part two of their 100th case, the Cold Justice team continues their investigation into the murder of popular 18-year-old college student Anita Knutson. Will they be able to finally give answers and justice to her grieving family?</x:v>
      </x:c>
      <x:c r="P2835" s="53" t="str">
        <x:v>Wolf Entertainment unscripted true-crime series</x:v>
      </x:c>
      <x:c r="Q2835" s="17" t="str">
        <x:v>6679650</x:v>
      </x:c>
      <x:c r="R2835" s="17" t="str"/>
      <x:c r="S2835" s="17" t="str"/>
    </x:row>
    <x:row r="2836">
      <x:c r="A2836" s="43" t="n">
        <x:v>2832</x:v>
      </x:c>
      <x:c r="B2836" s="44" t="str">
        <x:v>Not Started</x:v>
      </x:c>
      <x:c r="C2836" s="45" t="n">
        <x:v>44846</x:v>
      </x:c>
      <x:c r="D2836" s="33" t="str">
        <x:v>FBI: International</x:v>
      </x:c>
      <x:c r="E2836" s="33" t="str">
        <x:v>FBI</x:v>
      </x:c>
      <x:c r="F2836" s="33" t="str">
        <x:v>core</x:v>
      </x:c>
      <x:c r="G2836" s="50" t="n">
        <x:v>2</x:v>
      </x:c>
      <x:c r="H2836" s="50" t="n">
        <x:v>4</x:v>
      </x:c>
      <x:c r="I2836" s="44" t="str">
        <x:v>02.04</x:v>
      </x:c>
      <x:c r="J2836" s="33" t="str">
        <x:v>Copper Pots and Daggers</x:v>
      </x:c>
      <x:c r="K2836" s="33" t="str"/>
      <x:c r="L2836" s="33" t="str"/>
      <x:c r="M2836" s="44" t="str"/>
      <x:c r="N2836" s="50" t="n">
        <x:v>42</x:v>
      </x:c>
      <x:c r="O2836" s="53" t="str">
        <x:v>When a former U.S. Marine is detained in Istanbul on a charge of smuggling antiquities, the Fly Team races against the clock to organize her release before the Turkish police learn the truth behind her visit</x:v>
      </x:c>
      <x:c r="P2836" s="53" t="str">
        <x:v>Core FBI franchise</x:v>
      </x:c>
      <x:c r="Q2836" s="17" t="str">
        <x:v>6770442</x:v>
      </x:c>
      <x:c r="R2836" s="17" t="str">
        <x:v>tt22267396</x:v>
      </x:c>
      <x:c r="S2836" s="17" t="str"/>
    </x:row>
    <x:row r="2837">
      <x:c r="A2837" s="43" t="n">
        <x:v>2833</x:v>
      </x:c>
      <x:c r="B2837" s="44" t="str">
        <x:v>Not Started</x:v>
      </x:c>
      <x:c r="C2837" s="45" t="n">
        <x:v>44846</x:v>
      </x:c>
      <x:c r="D2837" s="33" t="str">
        <x:v>FBI: Most Wanted</x:v>
      </x:c>
      <x:c r="E2837" s="33" t="str">
        <x:v>FBI</x:v>
      </x:c>
      <x:c r="F2837" s="33" t="str">
        <x:v>core</x:v>
      </x:c>
      <x:c r="G2837" s="50" t="n">
        <x:v>4</x:v>
      </x:c>
      <x:c r="H2837" s="50" t="n">
        <x:v>4</x:v>
      </x:c>
      <x:c r="I2837" s="44" t="str">
        <x:v>04.04</x:v>
      </x:c>
      <x:c r="J2837" s="33" t="str">
        <x:v>Gold Diggers</x:v>
      </x:c>
      <x:c r="K2837" s="33" t="str"/>
      <x:c r="L2837" s="33" t="str"/>
      <x:c r="M2837" s="44" t="str"/>
      <x:c r="N2837" s="50" t="n">
        <x:v>40</x:v>
      </x:c>
      <x:c r="O2837" s="53" t="str">
        <x:v>The murder of a geology professor leads the team to uncover an ancient legend regarding a secret treasure dating to the civil war, and they encounter a deadly fugitive determined to kill to find the gold. Meanwhile, an old friend from Remy's past shakes up his relationship with April.</x:v>
      </x:c>
      <x:c r="P2837" s="53" t="str">
        <x:v>Core FBI franchise</x:v>
      </x:c>
      <x:c r="Q2837" s="17" t="str">
        <x:v>6692945</x:v>
      </x:c>
      <x:c r="R2837" s="17" t="str">
        <x:v>tt22299322</x:v>
      </x:c>
      <x:c r="S2837" s="17" t="str"/>
    </x:row>
    <x:row r="2838">
      <x:c r="A2838" s="43" t="n">
        <x:v>2834</x:v>
      </x:c>
      <x:c r="B2838" s="44" t="str">
        <x:v>Not Started</x:v>
      </x:c>
      <x:c r="C2838" s="45" t="n">
        <x:v>44846</x:v>
      </x:c>
      <x:c r="D2838" s="33" t="str">
        <x:v>FBI</x:v>
      </x:c>
      <x:c r="E2838" s="33" t="str">
        <x:v>FBI</x:v>
      </x:c>
      <x:c r="F2838" s="33" t="str">
        <x:v>core</x:v>
      </x:c>
      <x:c r="G2838" s="50" t="n">
        <x:v>5</x:v>
      </x:c>
      <x:c r="H2838" s="50" t="n">
        <x:v>4</x:v>
      </x:c>
      <x:c r="I2838" s="44" t="str">
        <x:v>05.04</x:v>
      </x:c>
      <x:c r="J2838" s="33" t="str">
        <x:v>Victim</x:v>
      </x:c>
      <x:c r="K2838" s="33" t="str"/>
      <x:c r="L2838" s="33" t="str"/>
      <x:c r="M2838" s="44" t="str"/>
      <x:c r="N2838" s="50" t="n">
        <x:v>41</x:v>
      </x:c>
      <x:c r="O2838" s="53" t="str">
        <x:v>The team investigates a series of brutal assaults; OA hides information about his own mugging.</x:v>
      </x:c>
      <x:c r="P2838" s="53" t="str">
        <x:v>Core FBI franchise</x:v>
      </x:c>
      <x:c r="Q2838" s="17" t="str">
        <x:v>6692941</x:v>
      </x:c>
      <x:c r="R2838" s="17" t="str">
        <x:v>tt22037246</x:v>
      </x:c>
      <x:c r="S2838" s="17" t="str"/>
    </x:row>
    <x:row r="2839">
      <x:c r="A2839" s="43" t="n">
        <x:v>2835</x:v>
      </x:c>
      <x:c r="B2839" s="44" t="str">
        <x:v>Not Started</x:v>
      </x:c>
      <x:c r="C2839" s="45" t="n">
        <x:v>44847</x:v>
      </x:c>
      <x:c r="D2839" s="33" t="str">
        <x:v>Law &amp; Order: Organized Crime</x:v>
      </x:c>
      <x:c r="E2839" s="33" t="str">
        <x:v>Law &amp; Order</x:v>
      </x:c>
      <x:c r="F2839" s="33" t="str">
        <x:v>core</x:v>
      </x:c>
      <x:c r="G2839" s="50" t="n">
        <x:v>3</x:v>
      </x:c>
      <x:c r="H2839" s="50" t="n">
        <x:v>4</x:v>
      </x:c>
      <x:c r="I2839" s="44" t="str">
        <x:v>03.04</x:v>
      </x:c>
      <x:c r="J2839" s="33" t="str">
        <x:v>Spirit in the Sky</x:v>
      </x:c>
      <x:c r="K2839" s="33" t="str"/>
      <x:c r="L2839" s="33" t="str"/>
      <x:c r="M2839" s="44" t="str"/>
      <x:c r="N2839" s="50" t="n">
        <x:v>43</x:v>
      </x:c>
      <x:c r="O2839" s="53" t="str">
        <x:v>With a suspect in custody for Henry Cole's murder, Reyes goes undercover at Rikers to gather more information from him. Pearl and Teddy make a difficult decision to ensure construction on the casino stays on schedule.</x:v>
      </x:c>
      <x:c r="P2839" s="53" t="str">
        <x:v>Core Law &amp; Order franchise</x:v>
      </x:c>
      <x:c r="Q2839" s="17" t="str">
        <x:v>6744775</x:v>
      </x:c>
      <x:c r="R2839" s="17" t="str">
        <x:v>tt22443332</x:v>
      </x:c>
      <x:c r="S2839" s="17" t="str">
        <x:v>1568</x:v>
      </x:c>
    </x:row>
    <x:row r="2840">
      <x:c r="A2840" s="43" t="n">
        <x:v>2836</x:v>
      </x:c>
      <x:c r="B2840" s="44" t="str">
        <x:v>Not Started</x:v>
      </x:c>
      <x:c r="C2840" s="45" t="n">
        <x:v>44847</x:v>
      </x:c>
      <x:c r="D2840" s="33" t="str">
        <x:v>Chicago Med</x:v>
      </x:c>
      <x:c r="E2840" s="33" t="str">
        <x:v>One Chicago</x:v>
      </x:c>
      <x:c r="F2840" s="33" t="str">
        <x:v>core</x:v>
      </x:c>
      <x:c r="G2840" s="50" t="n">
        <x:v>8</x:v>
      </x:c>
      <x:c r="H2840" s="50" t="n">
        <x:v>4</x:v>
      </x:c>
      <x:c r="I2840" s="44" t="str">
        <x:v>08.04</x:v>
      </x:c>
      <x:c r="J2840" s="33" t="str">
        <x:v>The Apple Doesn't Fall Far from the Teacher</x:v>
      </x:c>
      <x:c r="K2840" s="33" t="str"/>
      <x:c r="L2840" s="33" t="str"/>
      <x:c r="M2840" s="44" t="str"/>
      <x:c r="N2840" s="50" t="n">
        <x:v>42</x:v>
      </x:c>
      <x:c r="O2840" s="53" t="str">
        <x:v>When a subway train goes off the tracks, Marcel volunteers to help the victims. Taylor and Halstead must decide if they’re willing to risk their jobs to save a patient. Asher and Archer clash over a pregnant patient.</x:v>
      </x:c>
      <x:c r="P2840" s="53" t="str">
        <x:v>Core One Chicago franchise</x:v>
      </x:c>
      <x:c r="Q2840" s="17" t="str">
        <x:v>6765166</x:v>
      </x:c>
      <x:c r="R2840" s="17" t="str">
        <x:v>tt22336240</x:v>
      </x:c>
      <x:c r="S2840" s="17" t="str"/>
    </x:row>
    <x:row r="2841">
      <x:c r="A2841" s="43" t="n">
        <x:v>2837</x:v>
      </x:c>
      <x:c r="B2841" s="44" t="str">
        <x:v>Not Started</x:v>
      </x:c>
      <x:c r="C2841" s="45" t="n">
        <x:v>44847</x:v>
      </x:c>
      <x:c r="D2841" s="33" t="str">
        <x:v>Chicago P.D.</x:v>
      </x:c>
      <x:c r="E2841" s="33" t="str">
        <x:v>One Chicago</x:v>
      </x:c>
      <x:c r="F2841" s="33" t="str">
        <x:v>core</x:v>
      </x:c>
      <x:c r="G2841" s="50" t="n">
        <x:v>10</x:v>
      </x:c>
      <x:c r="H2841" s="50" t="n">
        <x:v>4</x:v>
      </x:c>
      <x:c r="I2841" s="44" t="str">
        <x:v>10.04</x:v>
      </x:c>
      <x:c r="J2841" s="33" t="str">
        <x:v>Dónde Vives</x:v>
      </x:c>
      <x:c r="K2841" s="33" t="str"/>
      <x:c r="L2841" s="33" t="str"/>
      <x:c r="M2841" s="44" t="str"/>
      <x:c r="N2841" s="50" t="n">
        <x:v>43</x:v>
      </x:c>
      <x:c r="O2841" s="53" t="str">
        <x:v>A shocking murder pulls rookie officer Dante Torres into his own neighborhood. As Voight and Atwater help him navigate the case and manage tricky personal dynamics with wary neighbors, Torres realizes his life may be forever changed.</x:v>
      </x:c>
      <x:c r="P2841" s="53" t="str">
        <x:v>Core One Chicago franchise; crossovers with SVU/FBI</x:v>
      </x:c>
      <x:c r="Q2841" s="17" t="str">
        <x:v>6765094</x:v>
      </x:c>
      <x:c r="R2841" s="17" t="str">
        <x:v>tt22410638</x:v>
      </x:c>
      <x:c r="S2841" s="17" t="str"/>
    </x:row>
    <x:row r="2842">
      <x:c r="A2842" s="43" t="n">
        <x:v>2838</x:v>
      </x:c>
      <x:c r="B2842" s="44" t="str">
        <x:v>Not Started</x:v>
      </x:c>
      <x:c r="C2842" s="45" t="n">
        <x:v>44847</x:v>
      </x:c>
      <x:c r="D2842" s="33" t="str">
        <x:v>Chicago Fire</x:v>
      </x:c>
      <x:c r="E2842" s="33" t="str">
        <x:v>One Chicago</x:v>
      </x:c>
      <x:c r="F2842" s="33" t="str">
        <x:v>core</x:v>
      </x:c>
      <x:c r="G2842" s="50" t="n">
        <x:v>11</x:v>
      </x:c>
      <x:c r="H2842" s="50" t="n">
        <x:v>4</x:v>
      </x:c>
      <x:c r="I2842" s="44" t="str">
        <x:v>11.04</x:v>
      </x:c>
      <x:c r="J2842" s="33" t="str">
        <x:v>The Center of the Universe</x:v>
      </x:c>
      <x:c r="K2842" s="33" t="str"/>
      <x:c r="L2842" s="33" t="str"/>
      <x:c r="M2842" s="44" t="str"/>
      <x:c r="N2842" s="50" t="n">
        <x:v>42</x:v>
      </x:c>
      <x:c r="O2842" s="53" t="str">
        <x:v>Kidd gets a glimpse into Carver's chaotic personal life. Mouch and Herrmann receive an unexpected gift.</x:v>
      </x:c>
      <x:c r="P2842" s="53" t="str">
        <x:v>Core One Chicago franchise</x:v>
      </x:c>
      <x:c r="Q2842" s="17" t="str">
        <x:v>6765252</x:v>
      </x:c>
      <x:c r="R2842" s="17" t="str">
        <x:v>tt22336282</x:v>
      </x:c>
      <x:c r="S2842" s="17" t="str"/>
    </x:row>
    <x:row r="2843">
      <x:c r="A2843" s="43" t="n">
        <x:v>2839</x:v>
      </x:c>
      <x:c r="B2843" s="44" t="str">
        <x:v>Not Started</x:v>
      </x:c>
      <x:c r="C2843" s="45" t="n">
        <x:v>44847</x:v>
      </x:c>
      <x:c r="D2843" s="33" t="str">
        <x:v>Law &amp; Order</x:v>
      </x:c>
      <x:c r="E2843" s="33" t="str">
        <x:v>Law &amp; Order</x:v>
      </x:c>
      <x:c r="F2843" s="33" t="str">
        <x:v>core</x:v>
      </x:c>
      <x:c r="G2843" s="50" t="n">
        <x:v>22</x:v>
      </x:c>
      <x:c r="H2843" s="50" t="n">
        <x:v>4</x:v>
      </x:c>
      <x:c r="I2843" s="44" t="str">
        <x:v>22.04</x:v>
      </x:c>
      <x:c r="J2843" s="33" t="str">
        <x:v>Benefit of the Doubt</x:v>
      </x:c>
      <x:c r="K2843" s="33" t="str"/>
      <x:c r="L2843" s="33" t="str"/>
      <x:c r="M2843" s="44" t="str"/>
      <x:c r="N2843" s="50" t="n">
        <x:v>42</x:v>
      </x:c>
      <x:c r="O2843" s="53" t="str">
        <x:v>When the young author of a tell-all book is found dead, Cosgrove asks a former mentor for help with the case. Price has an uphill battle in court when a search and seizure is deemed illegal.</x:v>
      </x:c>
      <x:c r="P2843" s="53" t="str">
        <x:v>Core Law &amp; Order franchise</x:v>
      </x:c>
      <x:c r="Q2843" s="17" t="str">
        <x:v>6692972</x:v>
      </x:c>
      <x:c r="R2843" s="17" t="str">
        <x:v>tt22224092</x:v>
      </x:c>
      <x:c r="S2843" s="17" t="str">
        <x:v>1566</x:v>
      </x:c>
    </x:row>
    <x:row r="2844">
      <x:c r="A2844" s="43" t="n">
        <x:v>2840</x:v>
      </x:c>
      <x:c r="B2844" s="44" t="str">
        <x:v>Not Started</x:v>
      </x:c>
      <x:c r="C2844" s="45" t="n">
        <x:v>44847</x:v>
      </x:c>
      <x:c r="D2844" s="33" t="str">
        <x:v>Law &amp; Order: Special Victims Unit</x:v>
      </x:c>
      <x:c r="E2844" s="33" t="str">
        <x:v>Law &amp; Order</x:v>
      </x:c>
      <x:c r="F2844" s="33" t="str">
        <x:v>core</x:v>
      </x:c>
      <x:c r="G2844" s="50" t="n">
        <x:v>24</x:v>
      </x:c>
      <x:c r="H2844" s="50" t="n">
        <x:v>4</x:v>
      </x:c>
      <x:c r="I2844" s="44" t="str">
        <x:v>24.04</x:v>
      </x:c>
      <x:c r="J2844" s="33" t="str">
        <x:v>The Steps We Cannot Take</x:v>
      </x:c>
      <x:c r="K2844" s="33" t="str"/>
      <x:c r="L2844" s="33" t="str"/>
      <x:c r="M2844" s="44" t="str"/>
      <x:c r="N2844" s="50" t="n">
        <x:v>41</x:v>
      </x:c>
      <x:c r="O2844" s="53" t="str">
        <x:v>A home invasion and kidnapping lead the SVU to a shocking discovery; Muncy tries to fit in with the squad.</x:v>
      </x:c>
      <x:c r="P2844" s="53" t="str">
        <x:v>Core Law &amp; Order franchise</x:v>
      </x:c>
      <x:c r="Q2844" s="17" t="str">
        <x:v>6640549</x:v>
      </x:c>
      <x:c r="R2844" s="17" t="str">
        <x:v>tt22443282</x:v>
      </x:c>
      <x:c r="S2844" s="17" t="str">
        <x:v>1567</x:v>
      </x:c>
    </x:row>
    <x:row r="2845">
      <x:c r="A2845" s="43" t="n">
        <x:v>2841</x:v>
      </x:c>
      <x:c r="B2845" s="44" t="str">
        <x:v>Not Started</x:v>
      </x:c>
      <x:c r="C2845" s="45" t="n">
        <x:v>44853</x:v>
      </x:c>
      <x:c r="D2845" s="33" t="str">
        <x:v>FBI: International</x:v>
      </x:c>
      <x:c r="E2845" s="33" t="str">
        <x:v>FBI</x:v>
      </x:c>
      <x:c r="F2845" s="33" t="str">
        <x:v>core</x:v>
      </x:c>
      <x:c r="G2845" s="50" t="n">
        <x:v>2</x:v>
      </x:c>
      <x:c r="H2845" s="50" t="n">
        <x:v>5</x:v>
      </x:c>
      <x:c r="I2845" s="44" t="str">
        <x:v>02.05</x:v>
      </x:c>
      <x:c r="J2845" s="33" t="str">
        <x:v>Yesterday's Miracle</x:v>
      </x:c>
      <x:c r="K2845" s="33" t="str"/>
      <x:c r="L2845" s="33" t="str"/>
      <x:c r="M2845" s="44" t="str"/>
      <x:c r="N2845" s="50" t="n">
        <x:v>43</x:v>
      </x:c>
      <x:c r="O2845" s="53" t="str">
        <x:v>The Fly Team searches Bucharest for a Romanian surrogate who goes missing shortly before carrying the biological child of an American couple to term. Also, Forrester’s concern about the safety of his neighbors in Budapest intensifies.</x:v>
      </x:c>
      <x:c r="P2845" s="53" t="str">
        <x:v>Core FBI franchise</x:v>
      </x:c>
      <x:c r="Q2845" s="17" t="str">
        <x:v>6772384</x:v>
      </x:c>
      <x:c r="R2845" s="17" t="str">
        <x:v>tt22299312</x:v>
      </x:c>
      <x:c r="S2845" s="17" t="str"/>
    </x:row>
    <x:row r="2846">
      <x:c r="A2846" s="43" t="n">
        <x:v>2842</x:v>
      </x:c>
      <x:c r="B2846" s="44" t="str">
        <x:v>Not Started</x:v>
      </x:c>
      <x:c r="C2846" s="45" t="n">
        <x:v>44853</x:v>
      </x:c>
      <x:c r="D2846" s="33" t="str">
        <x:v>FBI: Most Wanted</x:v>
      </x:c>
      <x:c r="E2846" s="33" t="str">
        <x:v>FBI</x:v>
      </x:c>
      <x:c r="F2846" s="33" t="str">
        <x:v>core</x:v>
      </x:c>
      <x:c r="G2846" s="50" t="n">
        <x:v>4</x:v>
      </x:c>
      <x:c r="H2846" s="50" t="n">
        <x:v>5</x:v>
      </x:c>
      <x:c r="I2846" s="44" t="str">
        <x:v>04.05</x:v>
      </x:c>
      <x:c r="J2846" s="33" t="str">
        <x:v>Chains</x:v>
      </x:c>
      <x:c r="K2846" s="33" t="str"/>
      <x:c r="L2846" s="33" t="str"/>
      <x:c r="M2846" s="44" t="str"/>
      <x:c r="N2846" s="50" t="n">
        <x:v>43</x:v>
      </x:c>
      <x:c r="O2846" s="53" t="str">
        <x:v>After Hana is kidnapped while trying to help a young girl in peril at a rest stop that's on the way to her sister's house in Connecticut, Remy and the team pull out all the stops to find her.</x:v>
      </x:c>
      <x:c r="P2846" s="53" t="str">
        <x:v>Core FBI franchise</x:v>
      </x:c>
      <x:c r="Q2846" s="17" t="str">
        <x:v>6692946</x:v>
      </x:c>
      <x:c r="R2846" s="17" t="str">
        <x:v>tt22299326</x:v>
      </x:c>
      <x:c r="S2846" s="17" t="str"/>
    </x:row>
    <x:row r="2847">
      <x:c r="A2847" s="43" t="n">
        <x:v>2843</x:v>
      </x:c>
      <x:c r="B2847" s="44" t="str">
        <x:v>Not Started</x:v>
      </x:c>
      <x:c r="C2847" s="45" t="n">
        <x:v>44853</x:v>
      </x:c>
      <x:c r="D2847" s="33" t="str">
        <x:v>FBI</x:v>
      </x:c>
      <x:c r="E2847" s="33" t="str">
        <x:v>FBI</x:v>
      </x:c>
      <x:c r="F2847" s="33" t="str">
        <x:v>core</x:v>
      </x:c>
      <x:c r="G2847" s="50" t="n">
        <x:v>5</x:v>
      </x:c>
      <x:c r="H2847" s="50" t="n">
        <x:v>5</x:v>
      </x:c>
      <x:c r="I2847" s="44" t="str">
        <x:v>05.05</x:v>
      </x:c>
      <x:c r="J2847" s="33" t="str">
        <x:v>Flopped Cop</x:v>
      </x:c>
      <x:c r="K2847" s="33" t="str"/>
      <x:c r="L2847" s="33" t="str"/>
      <x:c r="M2847" s="44" t="str"/>
      <x:c r="N2847" s="50" t="n">
        <x:v>41</x:v>
      </x:c>
      <x:c r="O2847" s="53" t="str">
        <x:v>When a wealthy accountant is gunned down for secretly testifying against a notorious drug lord, the team’s investigation leads Tiffany to ask for help from a friend who was formerly with the NYPD and is related to the dangerous crime boss.</x:v>
      </x:c>
      <x:c r="P2847" s="53" t="str">
        <x:v>Core FBI franchise</x:v>
      </x:c>
      <x:c r="Q2847" s="17" t="str">
        <x:v>6692942</x:v>
      </x:c>
      <x:c r="R2847" s="17" t="str">
        <x:v>tt22029224</x:v>
      </x:c>
      <x:c r="S2847" s="17" t="str"/>
    </x:row>
    <x:row r="2848">
      <x:c r="A2848" s="43" t="n">
        <x:v>2844</x:v>
      </x:c>
      <x:c r="B2848" s="44" t="str">
        <x:v>Not Started</x:v>
      </x:c>
      <x:c r="C2848" s="45" t="n">
        <x:v>44854</x:v>
      </x:c>
      <x:c r="D2848" s="33" t="str">
        <x:v>Chicago Med</x:v>
      </x:c>
      <x:c r="E2848" s="33" t="str">
        <x:v>One Chicago</x:v>
      </x:c>
      <x:c r="F2848" s="33" t="str">
        <x:v>core</x:v>
      </x:c>
      <x:c r="G2848" s="50" t="n">
        <x:v>8</x:v>
      </x:c>
      <x:c r="H2848" s="50" t="n">
        <x:v>5</x:v>
      </x:c>
      <x:c r="I2848" s="44" t="str">
        <x:v>08.05</x:v>
      </x:c>
      <x:c r="J2848" s="33" t="str">
        <x:v>Yep, This Is the World We Live In</x:v>
      </x:c>
      <x:c r="K2848" s="33" t="str"/>
      <x:c r="L2848" s="33" t="str"/>
      <x:c r="M2848" s="44" t="str"/>
      <x:c r="N2848" s="50" t="n">
        <x:v>42</x:v>
      </x:c>
      <x:c r="O2848" s="53" t="str">
        <x:v>The effects of the supply chain shortages continue to impact the ED when Taylor's drug dealer reappears. One of the victims of the recent train crash needs a transplant.</x:v>
      </x:c>
      <x:c r="P2848" s="53" t="str">
        <x:v>Core One Chicago franchise</x:v>
      </x:c>
      <x:c r="Q2848" s="17" t="str">
        <x:v>6766548</x:v>
      </x:c>
      <x:c r="R2848" s="17" t="str">
        <x:v>tt22486680</x:v>
      </x:c>
      <x:c r="S2848" s="17" t="str"/>
    </x:row>
    <x:row r="2849">
      <x:c r="A2849" s="43" t="n">
        <x:v>2845</x:v>
      </x:c>
      <x:c r="B2849" s="44" t="str">
        <x:v>Not Started</x:v>
      </x:c>
      <x:c r="C2849" s="45" t="n">
        <x:v>44854</x:v>
      </x:c>
      <x:c r="D2849" s="33" t="str">
        <x:v>Chicago P.D.</x:v>
      </x:c>
      <x:c r="E2849" s="33" t="str">
        <x:v>One Chicago</x:v>
      </x:c>
      <x:c r="F2849" s="33" t="str">
        <x:v>core</x:v>
      </x:c>
      <x:c r="G2849" s="50" t="n">
        <x:v>10</x:v>
      </x:c>
      <x:c r="H2849" s="50" t="n">
        <x:v>5</x:v>
      </x:c>
      <x:c r="I2849" s="44" t="str">
        <x:v>10.05</x:v>
      </x:c>
      <x:c r="J2849" s="33" t="str">
        <x:v>Pink Cloud</x:v>
      </x:c>
      <x:c r="K2849" s="33" t="str"/>
      <x:c r="L2849" s="33" t="str"/>
      <x:c r="M2849" s="44" t="str"/>
      <x:c r="N2849" s="50" t="n">
        <x:v>42</x:v>
      </x:c>
      <x:c r="O2849" s="53" t="str">
        <x:v>Upton's dogged pursuit of a missing teenage girl leads the team into a dark web of human trafficking. Chief O'Neal becomes involved with the unit's investigation when it becomes evident his son, Sean, has a connection to the missing girl.</x:v>
      </x:c>
      <x:c r="P2849" s="53" t="str">
        <x:v>Core One Chicago franchise; crossovers with SVU/FBI</x:v>
      </x:c>
      <x:c r="Q2849" s="17" t="str">
        <x:v>6766563</x:v>
      </x:c>
      <x:c r="R2849" s="17" t="str">
        <x:v>tt22482820</x:v>
      </x:c>
      <x:c r="S2849" s="17" t="str"/>
    </x:row>
    <x:row r="2850">
      <x:c r="A2850" s="43" t="n">
        <x:v>2846</x:v>
      </x:c>
      <x:c r="B2850" s="44" t="str">
        <x:v>Not Started</x:v>
      </x:c>
      <x:c r="C2850" s="45" t="n">
        <x:v>44854</x:v>
      </x:c>
      <x:c r="D2850" s="33" t="str">
        <x:v>Chicago Fire</x:v>
      </x:c>
      <x:c r="E2850" s="33" t="str">
        <x:v>One Chicago</x:v>
      </x:c>
      <x:c r="F2850" s="33" t="str">
        <x:v>core</x:v>
      </x:c>
      <x:c r="G2850" s="50" t="n">
        <x:v>11</x:v>
      </x:c>
      <x:c r="H2850" s="50" t="n">
        <x:v>5</x:v>
      </x:c>
      <x:c r="I2850" s="44" t="str">
        <x:v>11.05</x:v>
      </x:c>
      <x:c r="J2850" s="33" t="str">
        <x:v>Haunted House</x:v>
      </x:c>
      <x:c r="K2850" s="33" t="str"/>
      <x:c r="L2850" s="33" t="str"/>
      <x:c r="M2850" s="44" t="str"/>
      <x:c r="N2850" s="50" t="n">
        <x:v>43</x:v>
      </x:c>
      <x:c r="O2850" s="53" t="str">
        <x:v>Firehouse 51 hosts a Halloween open house. Kidd and Severide help a young girl after she gets kicked out of her home.</x:v>
      </x:c>
      <x:c r="P2850" s="53" t="str">
        <x:v>Core One Chicago franchise</x:v>
      </x:c>
      <x:c r="Q2850" s="17" t="str">
        <x:v>6766562</x:v>
      </x:c>
      <x:c r="R2850" s="17" t="str">
        <x:v>tt22486684</x:v>
      </x:c>
      <x:c r="S2850" s="17" t="str"/>
    </x:row>
    <x:row r="2851">
      <x:c r="A2851" s="43" t="n">
        <x:v>2847</x:v>
      </x:c>
      <x:c r="B2851" s="44" t="str">
        <x:v>Not Started</x:v>
      </x:c>
      <x:c r="C2851" s="45" t="n">
        <x:v>44861</x:v>
      </x:c>
      <x:c r="D2851" s="33" t="str">
        <x:v>Law &amp; Order: Organized Crime</x:v>
      </x:c>
      <x:c r="E2851" s="33" t="str">
        <x:v>Law &amp; Order</x:v>
      </x:c>
      <x:c r="F2851" s="33" t="str">
        <x:v>core</x:v>
      </x:c>
      <x:c r="G2851" s="50" t="n">
        <x:v>3</x:v>
      </x:c>
      <x:c r="H2851" s="50" t="n">
        <x:v>5</x:v>
      </x:c>
      <x:c r="I2851" s="44" t="str">
        <x:v>03.05</x:v>
      </x:c>
      <x:c r="J2851" s="33" t="str">
        <x:v>Behind Blue Eyes</x:v>
      </x:c>
      <x:c r="K2851" s="33" t="str"/>
      <x:c r="L2851" s="33" t="str"/>
      <x:c r="M2851" s="44" t="str"/>
      <x:c r="N2851" s="50" t="n">
        <x:v>43</x:v>
      </x:c>
      <x:c r="O2851" s="53" t="str">
        <x:v>While Stabler is called to testify against the Brotherhood in court, the task force set their sights on a dangerous criminal gang posing as police. Reyes finds a surprising connection to the suspects they’re after. Bell receives some unwelcome news.</x:v>
      </x:c>
      <x:c r="P2851" s="53" t="str">
        <x:v>Core Law &amp; Order franchise</x:v>
      </x:c>
      <x:c r="Q2851" s="17" t="str">
        <x:v>6785051</x:v>
      </x:c>
      <x:c r="R2851" s="17" t="str">
        <x:v>tt22529554</x:v>
      </x:c>
      <x:c r="S2851" s="17" t="str">
        <x:v>1571</x:v>
      </x:c>
    </x:row>
    <x:row r="2852">
      <x:c r="A2852" s="43" t="n">
        <x:v>2848</x:v>
      </x:c>
      <x:c r="B2852" s="44" t="str">
        <x:v>Not Started</x:v>
      </x:c>
      <x:c r="C2852" s="45" t="n">
        <x:v>44861</x:v>
      </x:c>
      <x:c r="D2852" s="33" t="str">
        <x:v>Law &amp; Order</x:v>
      </x:c>
      <x:c r="E2852" s="33" t="str">
        <x:v>Law &amp; Order</x:v>
      </x:c>
      <x:c r="F2852" s="33" t="str">
        <x:v>core</x:v>
      </x:c>
      <x:c r="G2852" s="50" t="n">
        <x:v>22</x:v>
      </x:c>
      <x:c r="H2852" s="50" t="n">
        <x:v>5</x:v>
      </x:c>
      <x:c r="I2852" s="44" t="str">
        <x:v>22.05</x:v>
      </x:c>
      <x:c r="J2852" s="33" t="str">
        <x:v>12 Seconds</x:v>
      </x:c>
      <x:c r="K2852" s="33" t="str"/>
      <x:c r="L2852" s="33" t="str"/>
      <x:c r="M2852" s="44" t="str"/>
      <x:c r="N2852" s="50" t="n">
        <x:v>41</x:v>
      </x:c>
      <x:c r="O2852" s="53" t="str">
        <x:v>Cosgrove and Shaw piece together the clues of what happened to a murdered law student, uncovering a web of blackmail and lies; Price fights to have a piece of shocking testimony thrown out.</x:v>
      </x:c>
      <x:c r="P2852" s="53" t="str">
        <x:v>Core Law &amp; Order franchise</x:v>
      </x:c>
      <x:c r="Q2852" s="17" t="str">
        <x:v>6692973</x:v>
      </x:c>
      <x:c r="R2852" s="17" t="str">
        <x:v>tt22529452</x:v>
      </x:c>
      <x:c r="S2852" s="17" t="str">
        <x:v>1569</x:v>
      </x:c>
    </x:row>
    <x:row r="2853">
      <x:c r="A2853" s="43" t="n">
        <x:v>2849</x:v>
      </x:c>
      <x:c r="B2853" s="44" t="str">
        <x:v>Not Started</x:v>
      </x:c>
      <x:c r="C2853" s="45" t="n">
        <x:v>44861</x:v>
      </x:c>
      <x:c r="D2853" s="33" t="str">
        <x:v>Law &amp; Order: Special Victims Unit</x:v>
      </x:c>
      <x:c r="E2853" s="33" t="str">
        <x:v>Law &amp; Order</x:v>
      </x:c>
      <x:c r="F2853" s="33" t="str">
        <x:v>core</x:v>
      </x:c>
      <x:c r="G2853" s="50" t="n">
        <x:v>24</x:v>
      </x:c>
      <x:c r="H2853" s="50" t="n">
        <x:v>5</x:v>
      </x:c>
      <x:c r="I2853" s="44" t="str">
        <x:v>24.05</x:v>
      </x:c>
      <x:c r="J2853" s="33" t="str">
        <x:v>Breakwater</x:v>
      </x:c>
      <x:c r="K2853" s="33" t="str"/>
      <x:c r="L2853" s="33" t="str"/>
      <x:c r="M2853" s="44" t="str"/>
      <x:c r="N2853" s="50" t="n">
        <x:v>41</x:v>
      </x:c>
      <x:c r="O2853" s="53" t="str">
        <x:v>A young man asks the SVU for help when he suspects his boss is preying on his sister; Velasco tries to convince a reluctant witness to testify in court.</x:v>
      </x:c>
      <x:c r="P2853" s="53" t="str">
        <x:v>Core Law &amp; Order franchise</x:v>
      </x:c>
      <x:c r="Q2853" s="17" t="str">
        <x:v>6652083</x:v>
      </x:c>
      <x:c r="R2853" s="17" t="str">
        <x:v>tt22529512</x:v>
      </x:c>
      <x:c r="S2853" s="17" t="str">
        <x:v>1570</x:v>
      </x:c>
    </x:row>
    <x:row r="2854">
      <x:c r="A2854" s="43" t="n">
        <x:v>2850</x:v>
      </x:c>
      <x:c r="B2854" s="44" t="str">
        <x:v>Not Started</x:v>
      </x:c>
      <x:c r="C2854" s="45" t="n">
        <x:v>44868</x:v>
      </x:c>
      <x:c r="D2854" s="33" t="str">
        <x:v>Law &amp; Order: Organized Crime</x:v>
      </x:c>
      <x:c r="E2854" s="33" t="str">
        <x:v>Law &amp; Order</x:v>
      </x:c>
      <x:c r="F2854" s="33" t="str">
        <x:v>core</x:v>
      </x:c>
      <x:c r="G2854" s="50" t="n">
        <x:v>3</x:v>
      </x:c>
      <x:c r="H2854" s="50" t="n">
        <x:v>6</x:v>
      </x:c>
      <x:c r="I2854" s="44" t="str">
        <x:v>03.06</x:v>
      </x:c>
      <x:c r="J2854" s="33" t="str">
        <x:v>Blaze of Glory</x:v>
      </x:c>
      <x:c r="K2854" s="33" t="str"/>
      <x:c r="L2854" s="33" t="str"/>
      <x:c r="M2854" s="44" t="str"/>
      <x:c r="N2854" s="50" t="n">
        <x:v>43</x:v>
      </x:c>
      <x:c r="O2854" s="53" t="str">
        <x:v>After the task force is caught in a shootout, Stabler is on a mission to find out how the perps are connected to the NYPD. Reyes is determined to put the aggressors of his past behind bars.</x:v>
      </x:c>
      <x:c r="P2854" s="53" t="str">
        <x:v>Core Law &amp; Order franchise</x:v>
      </x:c>
      <x:c r="Q2854" s="17" t="str">
        <x:v>6804690</x:v>
      </x:c>
      <x:c r="R2854" s="17" t="str">
        <x:v>tt22815410</x:v>
      </x:c>
      <x:c r="S2854" s="17" t="str">
        <x:v>1574</x:v>
      </x:c>
    </x:row>
    <x:row r="2855">
      <x:c r="A2855" s="43" t="n">
        <x:v>2851</x:v>
      </x:c>
      <x:c r="B2855" s="44" t="str">
        <x:v>Not Started</x:v>
      </x:c>
      <x:c r="C2855" s="45" t="n">
        <x:v>44868</x:v>
      </x:c>
      <x:c r="D2855" s="33" t="str">
        <x:v>Chicago Med</x:v>
      </x:c>
      <x:c r="E2855" s="33" t="str">
        <x:v>One Chicago</x:v>
      </x:c>
      <x:c r="F2855" s="33" t="str">
        <x:v>core</x:v>
      </x:c>
      <x:c r="G2855" s="50" t="n">
        <x:v>8</x:v>
      </x:c>
      <x:c r="H2855" s="50" t="n">
        <x:v>6</x:v>
      </x:c>
      <x:c r="I2855" s="44" t="str">
        <x:v>08.06</x:v>
      </x:c>
      <x:c r="J2855" s="33" t="str">
        <x:v>Mama Said There Would Be Days Like This</x:v>
      </x:c>
      <x:c r="K2855" s="33" t="str"/>
      <x:c r="L2855" s="33" t="str"/>
      <x:c r="M2855" s="44" t="str"/>
      <x:c r="N2855" s="50" t="n">
        <x:v>43</x:v>
      </x:c>
      <x:c r="O2855" s="53" t="str">
        <x:v>Marcel adjusts to his newfound fame when he helps Halstead treat a local restaurant owner. Choi, Charles and Goodwin aid a new mother worried about hurting her baby. Maggie and Taylor clash with a patient eager to get back to work.</x:v>
      </x:c>
      <x:c r="P2855" s="53" t="str">
        <x:v>Core One Chicago franchise</x:v>
      </x:c>
      <x:c r="Q2855" s="17" t="str">
        <x:v>6802233</x:v>
      </x:c>
      <x:c r="R2855" s="17" t="str">
        <x:v>tt22751278</x:v>
      </x:c>
      <x:c r="S2855" s="17" t="str"/>
    </x:row>
    <x:row r="2856">
      <x:c r="A2856" s="43" t="n">
        <x:v>2852</x:v>
      </x:c>
      <x:c r="B2856" s="44" t="str">
        <x:v>Not Started</x:v>
      </x:c>
      <x:c r="C2856" s="45" t="n">
        <x:v>44868</x:v>
      </x:c>
      <x:c r="D2856" s="33" t="str">
        <x:v>Chicago P.D.</x:v>
      </x:c>
      <x:c r="E2856" s="33" t="str">
        <x:v>One Chicago</x:v>
      </x:c>
      <x:c r="F2856" s="33" t="str">
        <x:v>core</x:v>
      </x:c>
      <x:c r="G2856" s="50" t="n">
        <x:v>10</x:v>
      </x:c>
      <x:c r="H2856" s="50" t="n">
        <x:v>6</x:v>
      </x:c>
      <x:c r="I2856" s="44" t="str">
        <x:v>10.06</x:v>
      </x:c>
      <x:c r="J2856" s="33" t="str">
        <x:v>Sympathetic Reflex</x:v>
      </x:c>
      <x:c r="K2856" s="33" t="str"/>
      <x:c r="L2856" s="33" t="str"/>
      <x:c r="M2856" s="44" t="str"/>
      <x:c r="N2856" s="50" t="n">
        <x:v>43</x:v>
      </x:c>
      <x:c r="O2856" s="53" t="str">
        <x:v>Atwater’s reactions during a tense arrest are called into question. The team must dig in to uncover key evidence that could aid in the ongoing investigation and clear Atwater’s name.</x:v>
      </x:c>
      <x:c r="P2856" s="53" t="str">
        <x:v>Core One Chicago franchise; crossovers with SVU/FBI</x:v>
      </x:c>
      <x:c r="Q2856" s="17" t="str">
        <x:v>6799774</x:v>
      </x:c>
      <x:c r="R2856" s="17" t="str">
        <x:v>tt22752756</x:v>
      </x:c>
      <x:c r="S2856" s="17" t="str"/>
    </x:row>
    <x:row r="2857">
      <x:c r="A2857" s="43" t="n">
        <x:v>2853</x:v>
      </x:c>
      <x:c r="B2857" s="44" t="str">
        <x:v>Not Started</x:v>
      </x:c>
      <x:c r="C2857" s="45" t="n">
        <x:v>44868</x:v>
      </x:c>
      <x:c r="D2857" s="33" t="str">
        <x:v>Chicago Fire</x:v>
      </x:c>
      <x:c r="E2857" s="33" t="str">
        <x:v>One Chicago</x:v>
      </x:c>
      <x:c r="F2857" s="33" t="str">
        <x:v>core</x:v>
      </x:c>
      <x:c r="G2857" s="50" t="n">
        <x:v>11</x:v>
      </x:c>
      <x:c r="H2857" s="50" t="n">
        <x:v>6</x:v>
      </x:c>
      <x:c r="I2857" s="44" t="str">
        <x:v>11.06</x:v>
      </x:c>
      <x:c r="J2857" s="33" t="str">
        <x:v>All-Out Mystery</x:v>
      </x:c>
      <x:c r="K2857" s="33" t="str"/>
      <x:c r="L2857" s="33" t="str"/>
      <x:c r="M2857" s="44" t="str"/>
      <x:c r="N2857" s="50" t="n">
        <x:v>42</x:v>
      </x:c>
      <x:c r="O2857" s="53" t="str">
        <x:v>Severide and Kidd investigate an explosion at a jewelry store. Cruz and Chloe take steps to make Javi a permanent part of their family. Gallo, Ritter and Mouch try to bond with Carver.</x:v>
      </x:c>
      <x:c r="P2857" s="53" t="str">
        <x:v>Core One Chicago franchise</x:v>
      </x:c>
      <x:c r="Q2857" s="17" t="str">
        <x:v>6800003</x:v>
      </x:c>
      <x:c r="R2857" s="17" t="str">
        <x:v>tt22815374</x:v>
      </x:c>
      <x:c r="S2857" s="17" t="str"/>
    </x:row>
    <x:row r="2858">
      <x:c r="A2858" s="43" t="n">
        <x:v>2854</x:v>
      </x:c>
      <x:c r="B2858" s="44" t="str">
        <x:v>Not Started</x:v>
      </x:c>
      <x:c r="C2858" s="45" t="n">
        <x:v>44868</x:v>
      </x:c>
      <x:c r="D2858" s="33" t="str">
        <x:v>Law &amp; Order</x:v>
      </x:c>
      <x:c r="E2858" s="33" t="str">
        <x:v>Law &amp; Order</x:v>
      </x:c>
      <x:c r="F2858" s="33" t="str">
        <x:v>core</x:v>
      </x:c>
      <x:c r="G2858" s="50" t="n">
        <x:v>22</x:v>
      </x:c>
      <x:c r="H2858" s="50" t="n">
        <x:v>6</x:v>
      </x:c>
      <x:c r="I2858" s="44" t="str">
        <x:v>22.06</x:v>
      </x:c>
      <x:c r="J2858" s="33" t="str">
        <x:v>Vicious Cycle</x:v>
      </x:c>
      <x:c r="K2858" s="33" t="str"/>
      <x:c r="L2858" s="33" t="str"/>
      <x:c r="M2858" s="44" t="str"/>
      <x:c r="N2858" s="50" t="n">
        <x:v>41</x:v>
      </x:c>
      <x:c r="O2858" s="53" t="str">
        <x:v>When a fashion designer is killed on the night of his boutique opening, Cosgrove and Shaw must track down a suspect with very little evidence and no witnesses. Maroun is shocked to find her own name on the defense's witness list.</x:v>
      </x:c>
      <x:c r="P2858" s="53" t="str">
        <x:v>Core Law &amp; Order franchise</x:v>
      </x:c>
      <x:c r="Q2858" s="17" t="str">
        <x:v>6787689</x:v>
      </x:c>
      <x:c r="R2858" s="17" t="str">
        <x:v>tt22173506</x:v>
      </x:c>
      <x:c r="S2858" s="17" t="str">
        <x:v>1572</x:v>
      </x:c>
    </x:row>
    <x:row r="2859">
      <x:c r="A2859" s="43" t="n">
        <x:v>2855</x:v>
      </x:c>
      <x:c r="B2859" s="44" t="str">
        <x:v>Not Started</x:v>
      </x:c>
      <x:c r="C2859" s="45" t="n">
        <x:v>44868</x:v>
      </x:c>
      <x:c r="D2859" s="33" t="str">
        <x:v>Law &amp; Order: Special Victims Unit</x:v>
      </x:c>
      <x:c r="E2859" s="33" t="str">
        <x:v>Law &amp; Order</x:v>
      </x:c>
      <x:c r="F2859" s="33" t="str">
        <x:v>core</x:v>
      </x:c>
      <x:c r="G2859" s="50" t="n">
        <x:v>24</x:v>
      </x:c>
      <x:c r="H2859" s="50" t="n">
        <x:v>6</x:v>
      </x:c>
      <x:c r="I2859" s="44" t="str">
        <x:v>24.06</x:v>
      </x:c>
      <x:c r="J2859" s="33" t="str">
        <x:v>Controlled Burn</x:v>
      </x:c>
      <x:c r="K2859" s="33" t="str"/>
      <x:c r="L2859" s="33" t="str"/>
      <x:c r="M2859" s="44" t="str"/>
      <x:c r="N2859" s="50" t="n">
        <x:v>41</x:v>
      </x:c>
      <x:c r="O2859" s="53" t="str">
        <x:v>Rollins investigates an assault by a masked man at an underground party. Benson uncovers a suspect who may be valuable as a witness.</x:v>
      </x:c>
      <x:c r="P2859" s="53" t="str">
        <x:v>Core Law &amp; Order franchise</x:v>
      </x:c>
      <x:c r="Q2859" s="17" t="str">
        <x:v>6684730</x:v>
      </x:c>
      <x:c r="R2859" s="17" t="str">
        <x:v>tt22815396</x:v>
      </x:c>
      <x:c r="S2859" s="17" t="str">
        <x:v>1573</x:v>
      </x:c>
    </x:row>
    <x:row r="2860">
      <x:c r="A2860" s="43" t="n">
        <x:v>2856</x:v>
      </x:c>
      <x:c r="B2860" s="44" t="str">
        <x:v>Not Started</x:v>
      </x:c>
      <x:c r="C2860" s="45" t="n">
        <x:v>44872</x:v>
      </x:c>
      <x:c r="D2860" s="33" t="str">
        <x:v>FBI</x:v>
      </x:c>
      <x:c r="E2860" s="33" t="str">
        <x:v>FBI</x:v>
      </x:c>
      <x:c r="F2860" s="33" t="str">
        <x:v>core</x:v>
      </x:c>
      <x:c r="G2860" s="50" t="n">
        <x:v>5</x:v>
      </x:c>
      <x:c r="H2860" s="50" t="n">
        <x:v>6</x:v>
      </x:c>
      <x:c r="I2860" s="44" t="str">
        <x:v>05.06</x:v>
      </x:c>
      <x:c r="J2860" s="33" t="str">
        <x:v>Double Blind</x:v>
      </x:c>
      <x:c r="K2860" s="33" t="str"/>
      <x:c r="L2860" s="33" t="str"/>
      <x:c r="M2860" s="44" t="str"/>
      <x:c r="N2860" s="50" t="n">
        <x:v>42</x:v>
      </x:c>
      <x:c r="O2860" s="53" t="str">
        <x:v>As the team works to rescue a 5-year-old kidnapping victim, Scola suspects the boy’s mother isn’t being forthcoming about why her son was targeted. Also, Nina struggles to open up to Scola about matters in their relationship.</x:v>
      </x:c>
      <x:c r="P2860" s="53" t="str">
        <x:v>Core FBI franchise</x:v>
      </x:c>
      <x:c r="Q2860" s="17" t="str">
        <x:v>6693660</x:v>
      </x:c>
      <x:c r="R2860" s="17" t="str">
        <x:v>tt22505886</x:v>
      </x:c>
      <x:c r="S2860" s="17" t="str"/>
    </x:row>
    <x:row r="2861">
      <x:c r="A2861" s="43" t="n">
        <x:v>2857</x:v>
      </x:c>
      <x:c r="B2861" s="44" t="str">
        <x:v>Not Started</x:v>
      </x:c>
      <x:c r="C2861" s="45" t="n">
        <x:v>44875</x:v>
      </x:c>
      <x:c r="D2861" s="33" t="str">
        <x:v>Law &amp; Order: Organized Crime</x:v>
      </x:c>
      <x:c r="E2861" s="33" t="str">
        <x:v>Law &amp; Order</x:v>
      </x:c>
      <x:c r="F2861" s="33" t="str">
        <x:v>core</x:v>
      </x:c>
      <x:c r="G2861" s="50" t="n">
        <x:v>3</x:v>
      </x:c>
      <x:c r="H2861" s="50" t="n">
        <x:v>7</x:v>
      </x:c>
      <x:c r="I2861" s="44" t="str">
        <x:v>03.07</x:v>
      </x:c>
      <x:c r="J2861" s="33" t="str">
        <x:v>All That Glitters</x:v>
      </x:c>
      <x:c r="K2861" s="33" t="str"/>
      <x:c r="L2861" s="33" t="str"/>
      <x:c r="M2861" s="44" t="str"/>
      <x:c r="N2861" s="50" t="n">
        <x:v>43</x:v>
      </x:c>
      <x:c r="O2861" s="53" t="str">
        <x:v>The task force goes undercover to bust a jewelry operation they come to realize isn't just smuggling gold. An unexpected guest from Stabler's past arrives to help take the operation down and confront some unresolved feelings.</x:v>
      </x:c>
      <x:c r="P2861" s="53" t="str">
        <x:v>Core Law &amp; Order franchise</x:v>
      </x:c>
      <x:c r="Q2861" s="17" t="str">
        <x:v>6816515</x:v>
      </x:c>
      <x:c r="R2861" s="17" t="str">
        <x:v>tt23030254</x:v>
      </x:c>
      <x:c r="S2861" s="17" t="str">
        <x:v>1577</x:v>
      </x:c>
    </x:row>
    <x:row r="2862">
      <x:c r="A2862" s="43" t="n">
        <x:v>2858</x:v>
      </x:c>
      <x:c r="B2862" s="44" t="str">
        <x:v>Not Started</x:v>
      </x:c>
      <x:c r="C2862" s="45" t="n">
        <x:v>44875</x:v>
      </x:c>
      <x:c r="D2862" s="33" t="str">
        <x:v>Chicago Med</x:v>
      </x:c>
      <x:c r="E2862" s="33" t="str">
        <x:v>One Chicago</x:v>
      </x:c>
      <x:c r="F2862" s="33" t="str">
        <x:v>core</x:v>
      </x:c>
      <x:c r="G2862" s="50" t="n">
        <x:v>8</x:v>
      </x:c>
      <x:c r="H2862" s="50" t="n">
        <x:v>7</x:v>
      </x:c>
      <x:c r="I2862" s="44" t="str">
        <x:v>08.07</x:v>
      </x:c>
      <x:c r="J2862" s="33" t="str">
        <x:v>The Clothes Make the Man... Or Do They?</x:v>
      </x:c>
      <x:c r="K2862" s="33" t="str"/>
      <x:c r="L2862" s="33" t="str"/>
      <x:c r="M2862" s="44" t="str"/>
      <x:c r="N2862" s="50" t="n">
        <x:v>42</x:v>
      </x:c>
      <x:c r="O2862" s="53" t="str">
        <x:v>Med runs out of scrubs, forcing the staff to improvise. The life of Archer’s son is in danger. Marcel and Charles help a kidney transplant patient experiencing psychosis. Asher and Halstead grow closer.</x:v>
      </x:c>
      <x:c r="P2862" s="53" t="str">
        <x:v>Core One Chicago franchise</x:v>
      </x:c>
      <x:c r="Q2862" s="17" t="str">
        <x:v>6816915</x:v>
      </x:c>
      <x:c r="R2862" s="17" t="str">
        <x:v>tt23018038</x:v>
      </x:c>
      <x:c r="S2862" s="17" t="str"/>
    </x:row>
    <x:row r="2863">
      <x:c r="A2863" s="43" t="n">
        <x:v>2859</x:v>
      </x:c>
      <x:c r="B2863" s="44" t="str">
        <x:v>Not Started</x:v>
      </x:c>
      <x:c r="C2863" s="45" t="n">
        <x:v>44875</x:v>
      </x:c>
      <x:c r="D2863" s="33" t="str">
        <x:v>Chicago P.D.</x:v>
      </x:c>
      <x:c r="E2863" s="33" t="str">
        <x:v>One Chicago</x:v>
      </x:c>
      <x:c r="F2863" s="33" t="str">
        <x:v>core</x:v>
      </x:c>
      <x:c r="G2863" s="50" t="n">
        <x:v>10</x:v>
      </x:c>
      <x:c r="H2863" s="50" t="n">
        <x:v>7</x:v>
      </x:c>
      <x:c r="I2863" s="44" t="str">
        <x:v>10.07</x:v>
      </x:c>
      <x:c r="J2863" s="33" t="str">
        <x:v>Into the Deep</x:v>
      </x:c>
      <x:c r="K2863" s="33" t="str"/>
      <x:c r="L2863" s="33" t="str"/>
      <x:c r="M2863" s="44" t="str"/>
      <x:c r="N2863" s="50" t="n">
        <x:v>43</x:v>
      </x:c>
      <x:c r="O2863" s="53" t="str">
        <x:v>When actionable evidence finally surfaces against Sean O'Neal, Upton and the team work relentlessly to build a case in secret. They discover Sean is more elusive and dangerous than anticipated.</x:v>
      </x:c>
      <x:c r="P2863" s="53" t="str">
        <x:v>Core One Chicago franchise; crossovers with SVU/FBI</x:v>
      </x:c>
      <x:c r="Q2863" s="17" t="str">
        <x:v>6817282</x:v>
      </x:c>
      <x:c r="R2863" s="17" t="str">
        <x:v>tt23018050</x:v>
      </x:c>
      <x:c r="S2863" s="17" t="str"/>
    </x:row>
    <x:row r="2864">
      <x:c r="A2864" s="43" t="n">
        <x:v>2860</x:v>
      </x:c>
      <x:c r="B2864" s="44" t="str">
        <x:v>Not Started</x:v>
      </x:c>
      <x:c r="C2864" s="45" t="n">
        <x:v>44875</x:v>
      </x:c>
      <x:c r="D2864" s="33" t="str">
        <x:v>Chicago Fire</x:v>
      </x:c>
      <x:c r="E2864" s="33" t="str">
        <x:v>One Chicago</x:v>
      </x:c>
      <x:c r="F2864" s="33" t="str">
        <x:v>core</x:v>
      </x:c>
      <x:c r="G2864" s="50" t="n">
        <x:v>11</x:v>
      </x:c>
      <x:c r="H2864" s="50" t="n">
        <x:v>7</x:v>
      </x:c>
      <x:c r="I2864" s="44" t="str">
        <x:v>11.07</x:v>
      </x:c>
      <x:c r="J2864" s="33" t="str">
        <x:v>Angry Is Easier</x:v>
      </x:c>
      <x:c r="K2864" s="33" t="str"/>
      <x:c r="L2864" s="33" t="str"/>
      <x:c r="M2864" s="44" t="str"/>
      <x:c r="N2864" s="50" t="n">
        <x:v>43</x:v>
      </x:c>
      <x:c r="O2864" s="53" t="str">
        <x:v>Herrmann is tasked with fulfilling a man's dying wish. Kidd reflects on her Girls on Fire program after one of her students graduates from the Fire Academy. A heckler harasses Firehouse 51.</x:v>
      </x:c>
      <x:c r="P2864" s="53" t="str">
        <x:v>Core One Chicago franchise</x:v>
      </x:c>
      <x:c r="Q2864" s="17" t="str">
        <x:v>6817596</x:v>
      </x:c>
      <x:c r="R2864" s="17" t="str">
        <x:v>tt23018042</x:v>
      </x:c>
      <x:c r="S2864" s="17" t="str"/>
    </x:row>
    <x:row r="2865">
      <x:c r="A2865" s="43" t="n">
        <x:v>2861</x:v>
      </x:c>
      <x:c r="B2865" s="44" t="str">
        <x:v>Not Started</x:v>
      </x:c>
      <x:c r="C2865" s="45" t="n">
        <x:v>44875</x:v>
      </x:c>
      <x:c r="D2865" s="33" t="str">
        <x:v>Law &amp; Order</x:v>
      </x:c>
      <x:c r="E2865" s="33" t="str">
        <x:v>Law &amp; Order</x:v>
      </x:c>
      <x:c r="F2865" s="33" t="str">
        <x:v>core</x:v>
      </x:c>
      <x:c r="G2865" s="50" t="n">
        <x:v>22</x:v>
      </x:c>
      <x:c r="H2865" s="50" t="n">
        <x:v>7</x:v>
      </x:c>
      <x:c r="I2865" s="44" t="str">
        <x:v>22.07</x:v>
      </x:c>
      <x:c r="J2865" s="33" t="str">
        <x:v>Only the Lonely</x:v>
      </x:c>
      <x:c r="K2865" s="33" t="str"/>
      <x:c r="L2865" s="33" t="str"/>
      <x:c r="M2865" s="44" t="str"/>
      <x:c r="N2865" s="50" t="n">
        <x:v>42</x:v>
      </x:c>
      <x:c r="O2865" s="53" t="str">
        <x:v>A crisis consultant who's made many enemies on behalf of her clients is murdered. Price and Maroun must set aside the potential damage to a witness's reputation in order to strengthen their case.</x:v>
      </x:c>
      <x:c r="P2865" s="53" t="str">
        <x:v>Core Law &amp; Order franchise</x:v>
      </x:c>
      <x:c r="Q2865" s="17" t="str">
        <x:v>6816371</x:v>
      </x:c>
      <x:c r="R2865" s="17" t="str">
        <x:v>tt23113000</x:v>
      </x:c>
      <x:c r="S2865" s="17" t="str">
        <x:v>1575</x:v>
      </x:c>
    </x:row>
    <x:row r="2866">
      <x:c r="A2866" s="43" t="n">
        <x:v>2862</x:v>
      </x:c>
      <x:c r="B2866" s="44" t="str">
        <x:v>Not Started</x:v>
      </x:c>
      <x:c r="C2866" s="45" t="n">
        <x:v>44875</x:v>
      </x:c>
      <x:c r="D2866" s="33" t="str">
        <x:v>Law &amp; Order: Special Victims Unit</x:v>
      </x:c>
      <x:c r="E2866" s="33" t="str">
        <x:v>Law &amp; Order</x:v>
      </x:c>
      <x:c r="F2866" s="33" t="str">
        <x:v>core</x:v>
      </x:c>
      <x:c r="G2866" s="50" t="n">
        <x:v>24</x:v>
      </x:c>
      <x:c r="H2866" s="50" t="n">
        <x:v>7</x:v>
      </x:c>
      <x:c r="I2866" s="44" t="str">
        <x:v>24.07</x:v>
      </x:c>
      <x:c r="J2866" s="33" t="str">
        <x:v>Dead Ball</x:v>
      </x:c>
      <x:c r="K2866" s="33" t="str"/>
      <x:c r="L2866" s="33" t="str"/>
      <x:c r="M2866" s="44" t="str"/>
      <x:c r="N2866" s="50" t="n">
        <x:v>41</x:v>
      </x:c>
      <x:c r="O2866" s="53" t="str">
        <x:v>When the case against a popular sports star falls through, Benson digs into the suspect's past to uncover additional victims. Velasco is disappointed when he meets one of his heroes.</x:v>
      </x:c>
      <x:c r="P2866" s="53" t="str">
        <x:v>Core Law &amp; Order franchise</x:v>
      </x:c>
      <x:c r="Q2866" s="17" t="str">
        <x:v>6729498</x:v>
      </x:c>
      <x:c r="R2866" s="17" t="str">
        <x:v>tt23113006</x:v>
      </x:c>
      <x:c r="S2866" s="17" t="str">
        <x:v>1576</x:v>
      </x:c>
    </x:row>
    <x:row r="2867">
      <x:c r="A2867" s="43" t="n">
        <x:v>2863</x:v>
      </x:c>
      <x:c r="B2867" s="44" t="str">
        <x:v>Not Started</x:v>
      </x:c>
      <x:c r="C2867" s="45" t="n">
        <x:v>44881</x:v>
      </x:c>
      <x:c r="D2867" s="33" t="str">
        <x:v>FBI: International</x:v>
      </x:c>
      <x:c r="E2867" s="33" t="str">
        <x:v>FBI</x:v>
      </x:c>
      <x:c r="F2867" s="33" t="str">
        <x:v>core</x:v>
      </x:c>
      <x:c r="G2867" s="50" t="n">
        <x:v>2</x:v>
      </x:c>
      <x:c r="H2867" s="50" t="n">
        <x:v>6</x:v>
      </x:c>
      <x:c r="I2867" s="44" t="str">
        <x:v>02.06</x:v>
      </x:c>
      <x:c r="J2867" s="33" t="str">
        <x:v>Call It Anarchy</x:v>
      </x:c>
      <x:c r="K2867" s="33" t="str"/>
      <x:c r="L2867" s="33" t="str"/>
      <x:c r="M2867" s="44" t="str"/>
      <x:c r="N2867" s="50" t="n">
        <x:v>40</x:v>
      </x:c>
      <x:c r="O2867" s="53" t="str">
        <x:v>Vo’s friend from the U.S. Navy calls in a favor to help find her missing nephew in Crete. Meanwhile, Forrester hangs back in Budapest to take care of personal business.</x:v>
      </x:c>
      <x:c r="P2867" s="53" t="str">
        <x:v>Core FBI franchise</x:v>
      </x:c>
      <x:c r="Q2867" s="17" t="str">
        <x:v>6806550</x:v>
      </x:c>
      <x:c r="R2867" s="17" t="str">
        <x:v>tt23018072</x:v>
      </x:c>
      <x:c r="S2867" s="17" t="str"/>
    </x:row>
    <x:row r="2868">
      <x:c r="A2868" s="43" t="n">
        <x:v>2864</x:v>
      </x:c>
      <x:c r="B2868" s="44" t="str">
        <x:v>Not Started</x:v>
      </x:c>
      <x:c r="C2868" s="45" t="n">
        <x:v>44881</x:v>
      </x:c>
      <x:c r="D2868" s="33" t="str">
        <x:v>FBI: Most Wanted</x:v>
      </x:c>
      <x:c r="E2868" s="33" t="str">
        <x:v>FBI</x:v>
      </x:c>
      <x:c r="F2868" s="33" t="str">
        <x:v>core</x:v>
      </x:c>
      <x:c r="G2868" s="50" t="n">
        <x:v>4</x:v>
      </x:c>
      <x:c r="H2868" s="50" t="n">
        <x:v>6</x:v>
      </x:c>
      <x:c r="I2868" s="44" t="str">
        <x:v>04.06</x:v>
      </x:c>
      <x:c r="J2868" s="33" t="str">
        <x:v>Patent Pending</x:v>
      </x:c>
      <x:c r="K2868" s="33" t="str"/>
      <x:c r="L2868" s="33" t="str"/>
      <x:c r="M2868" s="44" t="str"/>
      <x:c r="N2868" s="50" t="n">
        <x:v>43</x:v>
      </x:c>
      <x:c r="O2868" s="53" t="str">
        <x:v>After a tech entrepreneur is abducted from a rave in Brooklyn and found bludgeoned to death at his estate in Connecticut, Remy and the team must dive into the world of psychedelics to find his killer.</x:v>
      </x:c>
      <x:c r="P2868" s="53" t="str">
        <x:v>Core FBI franchise</x:v>
      </x:c>
      <x:c r="Q2868" s="17" t="str">
        <x:v>6692947</x:v>
      </x:c>
      <x:c r="R2868" s="17" t="str">
        <x:v>tt22779204</x:v>
      </x:c>
      <x:c r="S2868" s="17" t="str"/>
    </x:row>
    <x:row r="2869">
      <x:c r="A2869" s="43" t="n">
        <x:v>2865</x:v>
      </x:c>
      <x:c r="B2869" s="44" t="str">
        <x:v>Not Started</x:v>
      </x:c>
      <x:c r="C2869" s="45" t="n">
        <x:v>44881</x:v>
      </x:c>
      <x:c r="D2869" s="33" t="str">
        <x:v>FBI</x:v>
      </x:c>
      <x:c r="E2869" s="33" t="str">
        <x:v>FBI</x:v>
      </x:c>
      <x:c r="F2869" s="33" t="str">
        <x:v>core</x:v>
      </x:c>
      <x:c r="G2869" s="50" t="n">
        <x:v>5</x:v>
      </x:c>
      <x:c r="H2869" s="50" t="n">
        <x:v>7</x:v>
      </x:c>
      <x:c r="I2869" s="44" t="str">
        <x:v>05.07</x:v>
      </x:c>
      <x:c r="J2869" s="33" t="str">
        <x:v>Ready or Not</x:v>
      </x:c>
      <x:c r="K2869" s="33" t="str"/>
      <x:c r="L2869" s="33" t="str"/>
      <x:c r="M2869" s="44" t="str"/>
      <x:c r="N2869" s="50" t="n">
        <x:v>42</x:v>
      </x:c>
      <x:c r="O2869" s="53" t="str">
        <x:v>Maggie returns from medical leave in time to help the team investigate two homicides: a law student on track to attend the FBI Academy and a young man with possible gang ties. Also, an inadvertent revelation from Maggie causes OA to worry that she is rushing back into the job too quickly.</x:v>
      </x:c>
      <x:c r="P2869" s="53" t="str">
        <x:v>Core FBI franchise</x:v>
      </x:c>
      <x:c r="Q2869" s="17" t="str">
        <x:v>6803869</x:v>
      </x:c>
      <x:c r="R2869" s="17" t="str">
        <x:v>tt23018068</x:v>
      </x:c>
      <x:c r="S2869" s="17" t="str"/>
    </x:row>
    <x:row r="2870">
      <x:c r="A2870" s="43" t="n">
        <x:v>2866</x:v>
      </x:c>
      <x:c r="B2870" s="44" t="str">
        <x:v>Not Started</x:v>
      </x:c>
      <x:c r="C2870" s="45" t="n">
        <x:v>44882</x:v>
      </x:c>
      <x:c r="D2870" s="33" t="str">
        <x:v>Law &amp; Order: Organized Crime</x:v>
      </x:c>
      <x:c r="E2870" s="33" t="str">
        <x:v>Law &amp; Order</x:v>
      </x:c>
      <x:c r="F2870" s="33" t="str">
        <x:v>core</x:v>
      </x:c>
      <x:c r="G2870" s="50" t="n">
        <x:v>3</x:v>
      </x:c>
      <x:c r="H2870" s="50" t="n">
        <x:v>8</x:v>
      </x:c>
      <x:c r="I2870" s="44" t="str">
        <x:v>03.08</x:v>
      </x:c>
      <x:c r="J2870" s="33" t="str">
        <x:v>Whipping Post</x:v>
      </x:c>
      <x:c r="K2870" s="33" t="str"/>
      <x:c r="L2870" s="33" t="str"/>
      <x:c r="M2870" s="44" t="str"/>
      <x:c r="N2870" s="50" t="n">
        <x:v>42</x:v>
      </x:c>
      <x:c r="O2870" s="53" t="str">
        <x:v>When Pearl falls mysteriously ill, the task force is dragged back into the corruption of New York's first casino development. Bell tries to keep rumors from swirling when an important decision must be made.</x:v>
      </x:c>
      <x:c r="P2870" s="53" t="str">
        <x:v>Core Law &amp; Order franchise</x:v>
      </x:c>
      <x:c r="Q2870" s="17" t="str">
        <x:v>6844450</x:v>
      </x:c>
      <x:c r="R2870" s="17" t="str">
        <x:v>tt23181802</x:v>
      </x:c>
      <x:c r="S2870" s="17" t="str">
        <x:v>1580</x:v>
      </x:c>
    </x:row>
    <x:row r="2871">
      <x:c r="A2871" s="43" t="n">
        <x:v>2867</x:v>
      </x:c>
      <x:c r="B2871" s="44" t="str">
        <x:v>Not Started</x:v>
      </x:c>
      <x:c r="C2871" s="45" t="n">
        <x:v>44882</x:v>
      </x:c>
      <x:c r="D2871" s="33" t="str">
        <x:v>Chicago Med</x:v>
      </x:c>
      <x:c r="E2871" s="33" t="str">
        <x:v>One Chicago</x:v>
      </x:c>
      <x:c r="F2871" s="33" t="str">
        <x:v>core</x:v>
      </x:c>
      <x:c r="G2871" s="50" t="n">
        <x:v>8</x:v>
      </x:c>
      <x:c r="H2871" s="50" t="n">
        <x:v>8</x:v>
      </x:c>
      <x:c r="I2871" s="44" t="str">
        <x:v>08.08</x:v>
      </x:c>
      <x:c r="J2871" s="33" t="str">
        <x:v>Everyone's Fighting a Battle You Know Nothing About</x:v>
      </x:c>
      <x:c r="K2871" s="33" t="str"/>
      <x:c r="L2871" s="33" t="str"/>
      <x:c r="M2871" s="44" t="str"/>
      <x:c r="N2871" s="50" t="n">
        <x:v>42</x:v>
      </x:c>
      <x:c r="O2871" s="53" t="str">
        <x:v>Halstead and Marcel facilitate a trans-organ exchange. Asher and Cuevas help a sexual assault survivor. Choi and Archer treat a patient whose case could expose a fraudulent doctor.</x:v>
      </x:c>
      <x:c r="P2871" s="53" t="str">
        <x:v>Core One Chicago franchise</x:v>
      </x:c>
      <x:c r="Q2871" s="17" t="str">
        <x:v>6849341</x:v>
      </x:c>
      <x:c r="R2871" s="17" t="str">
        <x:v>tt23181814</x:v>
      </x:c>
      <x:c r="S2871" s="17" t="str"/>
    </x:row>
    <x:row r="2872">
      <x:c r="A2872" s="43" t="n">
        <x:v>2868</x:v>
      </x:c>
      <x:c r="B2872" s="44" t="str">
        <x:v>Not Started</x:v>
      </x:c>
      <x:c r="C2872" s="45" t="n">
        <x:v>44882</x:v>
      </x:c>
      <x:c r="D2872" s="33" t="str">
        <x:v>Chicago P.D.</x:v>
      </x:c>
      <x:c r="E2872" s="33" t="str">
        <x:v>One Chicago</x:v>
      </x:c>
      <x:c r="F2872" s="33" t="str">
        <x:v>core</x:v>
      </x:c>
      <x:c r="G2872" s="50" t="n">
        <x:v>10</x:v>
      </x:c>
      <x:c r="H2872" s="50" t="n">
        <x:v>8</x:v>
      </x:c>
      <x:c r="I2872" s="44" t="str">
        <x:v>10.08</x:v>
      </x:c>
      <x:c r="J2872" s="33" t="str">
        <x:v>Under the Skin</x:v>
      </x:c>
      <x:c r="K2872" s="33" t="str"/>
      <x:c r="L2872" s="33" t="str"/>
      <x:c r="M2872" s="44" t="str"/>
      <x:c r="N2872" s="50" t="n">
        <x:v>43</x:v>
      </x:c>
      <x:c r="O2872" s="53" t="str">
        <x:v>To distract Intelligence from the investigation into his son, Chief O'Neal forces the team to handle a "dead fish" case. However, when that dead fish turns into a complicated heater case, Burgess is thrown back into difficult memories from her past.</x:v>
      </x:c>
      <x:c r="P2872" s="53" t="str">
        <x:v>Core One Chicago franchise; crossovers with SVU/FBI</x:v>
      </x:c>
      <x:c r="Q2872" s="17" t="str">
        <x:v>6849343</x:v>
      </x:c>
      <x:c r="R2872" s="17" t="str">
        <x:v>tt23160262</x:v>
      </x:c>
      <x:c r="S2872" s="17" t="str"/>
    </x:row>
    <x:row r="2873">
      <x:c r="A2873" s="43" t="n">
        <x:v>2869</x:v>
      </x:c>
      <x:c r="B2873" s="44" t="str">
        <x:v>Not Started</x:v>
      </x:c>
      <x:c r="C2873" s="45" t="n">
        <x:v>44882</x:v>
      </x:c>
      <x:c r="D2873" s="33" t="str">
        <x:v>Chicago Fire</x:v>
      </x:c>
      <x:c r="E2873" s="33" t="str">
        <x:v>One Chicago</x:v>
      </x:c>
      <x:c r="F2873" s="33" t="str">
        <x:v>core</x:v>
      </x:c>
      <x:c r="G2873" s="50" t="n">
        <x:v>11</x:v>
      </x:c>
      <x:c r="H2873" s="50" t="n">
        <x:v>8</x:v>
      </x:c>
      <x:c r="I2873" s="44" t="str">
        <x:v>11.08</x:v>
      </x:c>
      <x:c r="J2873" s="33" t="str">
        <x:v>A Beautiful Life</x:v>
      </x:c>
      <x:c r="K2873" s="33" t="str"/>
      <x:c r="L2873" s="33" t="str"/>
      <x:c r="M2873" s="44" t="str"/>
      <x:c r="N2873" s="50" t="n">
        <x:v>43</x:v>
      </x:c>
      <x:c r="O2873" s="53" t="str">
        <x:v>Det. Pryma asks for Severide's help on a case involving explosives. Gallo and Carver clash after Gallo improvises on a call. Violet encourages Brett to start dating again.</x:v>
      </x:c>
      <x:c r="P2873" s="53" t="str">
        <x:v>Core One Chicago franchise</x:v>
      </x:c>
      <x:c r="Q2873" s="17" t="str">
        <x:v>6849274</x:v>
      </x:c>
      <x:c r="R2873" s="17" t="str">
        <x:v>tt23181816</x:v>
      </x:c>
      <x:c r="S2873" s="17" t="str"/>
    </x:row>
    <x:row r="2874">
      <x:c r="A2874" s="43" t="n">
        <x:v>2870</x:v>
      </x:c>
      <x:c r="B2874" s="44" t="str">
        <x:v>Not Started</x:v>
      </x:c>
      <x:c r="C2874" s="45" t="n">
        <x:v>44882</x:v>
      </x:c>
      <x:c r="D2874" s="33" t="str">
        <x:v>Law &amp; Order</x:v>
      </x:c>
      <x:c r="E2874" s="33" t="str">
        <x:v>Law &amp; Order</x:v>
      </x:c>
      <x:c r="F2874" s="33" t="str">
        <x:v>core</x:v>
      </x:c>
      <x:c r="G2874" s="50" t="n">
        <x:v>22</x:v>
      </x:c>
      <x:c r="H2874" s="50" t="n">
        <x:v>8</x:v>
      </x:c>
      <x:c r="I2874" s="44" t="str">
        <x:v>22.08</x:v>
      </x:c>
      <x:c r="J2874" s="33" t="str">
        <x:v>Chain of Command</x:v>
      </x:c>
      <x:c r="K2874" s="33" t="str"/>
      <x:c r="L2874" s="33" t="str"/>
      <x:c r="M2874" s="44" t="str"/>
      <x:c r="N2874" s="50" t="n">
        <x:v>42</x:v>
      </x:c>
      <x:c r="O2874" s="53" t="str">
        <x:v>When a decorated military veteran is found murdered in his own home, Cosgrove and Shaw work with his daughter to uncover an important clue. Price and Maroun must untangle the stories of other service members connected to the victim to make their case.</x:v>
      </x:c>
      <x:c r="P2874" s="53" t="str">
        <x:v>Core Law &amp; Order franchise</x:v>
      </x:c>
      <x:c r="Q2874" s="17" t="str">
        <x:v>6852942</x:v>
      </x:c>
      <x:c r="R2874" s="17" t="str">
        <x:v>tt23181790</x:v>
      </x:c>
      <x:c r="S2874" s="17" t="str">
        <x:v>1578</x:v>
      </x:c>
    </x:row>
    <x:row r="2875">
      <x:c r="A2875" s="43" t="n">
        <x:v>2871</x:v>
      </x:c>
      <x:c r="B2875" s="44" t="str">
        <x:v>Not Started</x:v>
      </x:c>
      <x:c r="C2875" s="45" t="n">
        <x:v>44882</x:v>
      </x:c>
      <x:c r="D2875" s="33" t="str">
        <x:v>Law &amp; Order: Special Victims Unit</x:v>
      </x:c>
      <x:c r="E2875" s="33" t="str">
        <x:v>Law &amp; Order</x:v>
      </x:c>
      <x:c r="F2875" s="33" t="str">
        <x:v>core</x:v>
      </x:c>
      <x:c r="G2875" s="50" t="n">
        <x:v>24</x:v>
      </x:c>
      <x:c r="H2875" s="50" t="n">
        <x:v>8</x:v>
      </x:c>
      <x:c r="I2875" s="44" t="str">
        <x:v>24.08</x:v>
      </x:c>
      <x:c r="J2875" s="33" t="str">
        <x:v>A Better Person</x:v>
      </x:c>
      <x:c r="K2875" s="33" t="str"/>
      <x:c r="L2875" s="33" t="str"/>
      <x:c r="M2875" s="44" t="str"/>
      <x:c r="N2875" s="50" t="n">
        <x:v>41</x:v>
      </x:c>
      <x:c r="O2875" s="53" t="str">
        <x:v>The SVU hunts for a violent suspect who killed a detective's child. Rollins ponders a potential opportunity.</x:v>
      </x:c>
      <x:c r="P2875" s="53" t="str">
        <x:v>Core Law &amp; Order franchise</x:v>
      </x:c>
      <x:c r="Q2875" s="17" t="str">
        <x:v>6745194</x:v>
      </x:c>
      <x:c r="R2875" s="17" t="str">
        <x:v>tt23181796</x:v>
      </x:c>
      <x:c r="S2875" s="17" t="str">
        <x:v>1579</x:v>
      </x:c>
    </x:row>
    <x:row r="2876">
      <x:c r="A2876" s="43" t="n">
        <x:v>2872</x:v>
      </x:c>
      <x:c r="B2876" s="44" t="str">
        <x:v>Not Started</x:v>
      </x:c>
      <x:c r="C2876" s="45" t="n">
        <x:v>44888</x:v>
      </x:c>
      <x:c r="D2876" s="33" t="str">
        <x:v>FBI: International</x:v>
      </x:c>
      <x:c r="E2876" s="33" t="str">
        <x:v>FBI</x:v>
      </x:c>
      <x:c r="F2876" s="33" t="str">
        <x:v>core</x:v>
      </x:c>
      <x:c r="G2876" s="50" t="n">
        <x:v>2</x:v>
      </x:c>
      <x:c r="H2876" s="50" t="n">
        <x:v>7</x:v>
      </x:c>
      <x:c r="I2876" s="44" t="str">
        <x:v>02.07</x:v>
      </x:c>
      <x:c r="J2876" s="33" t="str">
        <x:v>A Proven Liar</x:v>
      </x:c>
      <x:c r="K2876" s="33" t="str"/>
      <x:c r="L2876" s="33" t="str"/>
      <x:c r="M2876" s="44" t="str"/>
      <x:c r="N2876" s="50" t="n">
        <x:v>42</x:v>
      </x:c>
      <x:c r="O2876" s="53" t="str">
        <x:v>When an American businessman’s bodyguard and girlfriend are kidnapped a few feet away from him in Barcelona, the Fly Team questions if the man is as innocent as he claims. Also, Raines grows closer to Maya, the owner of the team’s favorite local bar.</x:v>
      </x:c>
      <x:c r="P2876" s="53" t="str">
        <x:v>Core FBI franchise</x:v>
      </x:c>
      <x:c r="Q2876" s="17" t="str">
        <x:v>6861109</x:v>
      </x:c>
      <x:c r="R2876" s="17" t="str">
        <x:v>tt23111910</x:v>
      </x:c>
      <x:c r="S2876" s="17" t="str"/>
    </x:row>
    <x:row r="2877">
      <x:c r="A2877" s="43" t="n">
        <x:v>2873</x:v>
      </x:c>
      <x:c r="B2877" s="44" t="str">
        <x:v>Not Started</x:v>
      </x:c>
      <x:c r="C2877" s="45" t="n">
        <x:v>44888</x:v>
      </x:c>
      <x:c r="D2877" s="33" t="str">
        <x:v>FBI: Most Wanted</x:v>
      </x:c>
      <x:c r="E2877" s="33" t="str">
        <x:v>FBI</x:v>
      </x:c>
      <x:c r="F2877" s="33" t="str">
        <x:v>core</x:v>
      </x:c>
      <x:c r="G2877" s="50" t="n">
        <x:v>4</x:v>
      </x:c>
      <x:c r="H2877" s="50" t="n">
        <x:v>7</x:v>
      </x:c>
      <x:c r="I2877" s="44" t="str">
        <x:v>04.07</x:v>
      </x:c>
      <x:c r="J2877" s="33" t="str">
        <x:v>Karma</x:v>
      </x:c>
      <x:c r="K2877" s="33" t="str"/>
      <x:c r="L2877" s="33" t="str"/>
      <x:c r="M2877" s="44" t="str"/>
      <x:c r="N2877" s="50" t="n">
        <x:v>43</x:v>
      </x:c>
      <x:c r="O2877" s="53" t="str">
        <x:v>The team's Thanksgiving plans are put on hold when they are brought in to investigate whether a shooting at a Buddhist temple was a hate crime or something more personal. Also, Remy and April make a tough decision.</x:v>
      </x:c>
      <x:c r="P2877" s="53" t="str">
        <x:v>Core FBI franchise</x:v>
      </x:c>
      <x:c r="Q2877" s="17" t="str">
        <x:v>6861215</x:v>
      </x:c>
      <x:c r="R2877" s="17" t="str">
        <x:v>tt23112034</x:v>
      </x:c>
      <x:c r="S2877" s="17" t="str"/>
    </x:row>
    <x:row r="2878">
      <x:c r="A2878" s="43" t="n">
        <x:v>2874</x:v>
      </x:c>
      <x:c r="B2878" s="44" t="str">
        <x:v>Not Started</x:v>
      </x:c>
      <x:c r="C2878" s="45" t="n">
        <x:v>44888</x:v>
      </x:c>
      <x:c r="D2878" s="33" t="str">
        <x:v>FBI</x:v>
      </x:c>
      <x:c r="E2878" s="33" t="str">
        <x:v>FBI</x:v>
      </x:c>
      <x:c r="F2878" s="33" t="str">
        <x:v>core</x:v>
      </x:c>
      <x:c r="G2878" s="50" t="n">
        <x:v>5</x:v>
      </x:c>
      <x:c r="H2878" s="50" t="n">
        <x:v>8</x:v>
      </x:c>
      <x:c r="I2878" s="44" t="str">
        <x:v>05.08</x:v>
      </x:c>
      <x:c r="J2878" s="33" t="str">
        <x:v>Into the Fire</x:v>
      </x:c>
      <x:c r="K2878" s="33" t="str"/>
      <x:c r="L2878" s="33" t="str"/>
      <x:c r="M2878" s="44" t="str"/>
      <x:c r="N2878" s="50" t="n">
        <x:v>43</x:v>
      </x:c>
      <x:c r="O2878" s="53" t="str">
        <x:v>When a deadly truck heist arms the killers with enough ammonium nitrate to construct a massive bomb, the team discovers a link to a terrorist group Maggie is working to infiltrate.</x:v>
      </x:c>
      <x:c r="P2878" s="53" t="str">
        <x:v>Core FBI franchise</x:v>
      </x:c>
      <x:c r="Q2878" s="17" t="str">
        <x:v>6861216</x:v>
      </x:c>
      <x:c r="R2878" s="17" t="str">
        <x:v>tt23111776</x:v>
      </x:c>
      <x:c r="S2878" s="17" t="str"/>
    </x:row>
    <x:row r="2879">
      <x:c r="A2879" s="43" t="n">
        <x:v>2875</x:v>
      </x:c>
      <x:c r="B2879" s="44" t="str">
        <x:v>Not Started</x:v>
      </x:c>
      <x:c r="C2879" s="45" t="n">
        <x:v>44903</x:v>
      </x:c>
      <x:c r="D2879" s="33" t="str">
        <x:v>Law &amp; Order: Organized Crime</x:v>
      </x:c>
      <x:c r="E2879" s="33" t="str">
        <x:v>Law &amp; Order</x:v>
      </x:c>
      <x:c r="F2879" s="33" t="str">
        <x:v>core</x:v>
      </x:c>
      <x:c r="G2879" s="50" t="n">
        <x:v>3</x:v>
      </x:c>
      <x:c r="H2879" s="50" t="n">
        <x:v>9</x:v>
      </x:c>
      <x:c r="I2879" s="44" t="str">
        <x:v>03.09</x:v>
      </x:c>
      <x:c r="J2879" s="33" t="str">
        <x:v>Last Christmas</x:v>
      </x:c>
      <x:c r="K2879" s="33" t="str"/>
      <x:c r="L2879" s="33" t="str"/>
      <x:c r="M2879" s="44" t="str"/>
      <x:c r="N2879" s="50" t="n">
        <x:v>42</x:v>
      </x:c>
      <x:c r="O2879" s="53" t="str">
        <x:v>The fate of the task force is at stake when a meeting with Robert Silas goes sideways. With danger closing in, Bell and Stabler take creative measures to keep their team alive.</x:v>
      </x:c>
      <x:c r="P2879" s="53" t="str">
        <x:v>Core Law &amp; Order franchise</x:v>
      </x:c>
      <x:c r="Q2879" s="17" t="str">
        <x:v>6874102</x:v>
      </x:c>
      <x:c r="R2879" s="17" t="str">
        <x:v>tt23469180</x:v>
      </x:c>
      <x:c r="S2879" s="17" t="str">
        <x:v>1583</x:v>
      </x:c>
    </x:row>
    <x:row r="2880">
      <x:c r="A2880" s="43" t="n">
        <x:v>2876</x:v>
      </x:c>
      <x:c r="B2880" s="44" t="str">
        <x:v>Not Started</x:v>
      </x:c>
      <x:c r="C2880" s="45" t="n">
        <x:v>44903</x:v>
      </x:c>
      <x:c r="D2880" s="33" t="str">
        <x:v>Chicago Med</x:v>
      </x:c>
      <x:c r="E2880" s="33" t="str">
        <x:v>One Chicago</x:v>
      </x:c>
      <x:c r="F2880" s="33" t="str">
        <x:v>core</x:v>
      </x:c>
      <x:c r="G2880" s="50" t="n">
        <x:v>8</x:v>
      </x:c>
      <x:c r="H2880" s="50" t="n">
        <x:v>9</x:v>
      </x:c>
      <x:c r="I2880" s="44" t="str">
        <x:v>08.09</x:v>
      </x:c>
      <x:c r="J2880" s="33" t="str">
        <x:v>This Could Be the Start of Something New</x:v>
      </x:c>
      <x:c r="K2880" s="33" t="str"/>
      <x:c r="L2880" s="33" t="str"/>
      <x:c r="M2880" s="44" t="str"/>
      <x:c r="N2880" s="50" t="n">
        <x:v>43</x:v>
      </x:c>
      <x:c r="O2880" s="53" t="str">
        <x:v>Halstead relies on Marcel and Med's newly donated OR 2.0 to save his patient. Charles helps an elderly, confused patient who's mourning the loss of his high school sweetheart. As their wedding day approaches, Choi and April run into some roadblocks.</x:v>
      </x:c>
      <x:c r="P2880" s="53" t="str">
        <x:v>Core One Chicago franchise</x:v>
      </x:c>
      <x:c r="Q2880" s="17" t="str">
        <x:v>6789930</x:v>
      </x:c>
      <x:c r="R2880" s="17" t="str">
        <x:v>tt23468846</x:v>
      </x:c>
      <x:c r="S2880" s="17" t="str"/>
    </x:row>
    <x:row r="2881">
      <x:c r="A2881" s="43" t="n">
        <x:v>2877</x:v>
      </x:c>
      <x:c r="B2881" s="44" t="str">
        <x:v>Not Started</x:v>
      </x:c>
      <x:c r="C2881" s="45" t="n">
        <x:v>44903</x:v>
      </x:c>
      <x:c r="D2881" s="33" t="str">
        <x:v>Chicago P.D.</x:v>
      </x:c>
      <x:c r="E2881" s="33" t="str">
        <x:v>One Chicago</x:v>
      </x:c>
      <x:c r="F2881" s="33" t="str">
        <x:v>core</x:v>
      </x:c>
      <x:c r="G2881" s="50" t="n">
        <x:v>10</x:v>
      </x:c>
      <x:c r="H2881" s="50" t="n">
        <x:v>9</x:v>
      </x:c>
      <x:c r="I2881" s="44" t="str">
        <x:v>10.09</x:v>
      </x:c>
      <x:c r="J2881" s="33" t="str">
        <x:v>Proof of Burden</x:v>
      </x:c>
      <x:c r="K2881" s="33" t="str"/>
      <x:c r="L2881" s="33" t="str"/>
      <x:c r="M2881" s="44" t="str"/>
      <x:c r="N2881" s="50" t="n">
        <x:v>43</x:v>
      </x:c>
      <x:c r="O2881" s="53" t="str">
        <x:v>After a shocking discovery, the team begins closing in on Sean O’Neal with every shred of evidence they can find. Determined to keep his son out of prison, Chief O’Neal hires a lawyer.</x:v>
      </x:c>
      <x:c r="P2881" s="53" t="str">
        <x:v>Core One Chicago franchise; crossovers with SVU/FBI</x:v>
      </x:c>
      <x:c r="Q2881" s="17" t="str">
        <x:v>6885891</x:v>
      </x:c>
      <x:c r="R2881" s="17" t="str">
        <x:v>tt23468918</x:v>
      </x:c>
      <x:c r="S2881" s="17" t="str"/>
    </x:row>
    <x:row r="2882">
      <x:c r="A2882" s="43" t="n">
        <x:v>2878</x:v>
      </x:c>
      <x:c r="B2882" s="44" t="str">
        <x:v>Not Started</x:v>
      </x:c>
      <x:c r="C2882" s="45" t="n">
        <x:v>44903</x:v>
      </x:c>
      <x:c r="D2882" s="33" t="str">
        <x:v>Chicago Fire</x:v>
      </x:c>
      <x:c r="E2882" s="33" t="str">
        <x:v>One Chicago</x:v>
      </x:c>
      <x:c r="F2882" s="33" t="str">
        <x:v>core</x:v>
      </x:c>
      <x:c r="G2882" s="50" t="n">
        <x:v>11</x:v>
      </x:c>
      <x:c r="H2882" s="50" t="n">
        <x:v>9</x:v>
      </x:c>
      <x:c r="I2882" s="44" t="str">
        <x:v>11.09</x:v>
      </x:c>
      <x:c r="J2882" s="33" t="str">
        <x:v>Nemesis</x:v>
      </x:c>
      <x:c r="K2882" s="33" t="str"/>
      <x:c r="L2882" s="33" t="str"/>
      <x:c r="M2882" s="44" t="str"/>
      <x:c r="N2882" s="50" t="n">
        <x:v>43</x:v>
      </x:c>
      <x:c r="O2882" s="53" t="str">
        <x:v>Severide struggles with the cost of helping Det. Pryma with the Martucci case. Gallo campaigns for Herrmann to represent 51 at the National Firefighter’s Association’s Winter Conference. A familiar face makes a shocking return.</x:v>
      </x:c>
      <x:c r="P2882" s="53" t="str">
        <x:v>Core One Chicago franchise</x:v>
      </x:c>
      <x:c r="Q2882" s="17" t="str">
        <x:v>6887145</x:v>
      </x:c>
      <x:c r="R2882" s="17" t="str">
        <x:v>tt23468878</x:v>
      </x:c>
      <x:c r="S2882" s="17" t="str"/>
    </x:row>
    <x:row r="2883">
      <x:c r="A2883" s="43" t="n">
        <x:v>2879</x:v>
      </x:c>
      <x:c r="B2883" s="44" t="str">
        <x:v>Not Started</x:v>
      </x:c>
      <x:c r="C2883" s="45" t="n">
        <x:v>44903</x:v>
      </x:c>
      <x:c r="D2883" s="33" t="str">
        <x:v>Law &amp; Order</x:v>
      </x:c>
      <x:c r="E2883" s="33" t="str">
        <x:v>Law &amp; Order</x:v>
      </x:c>
      <x:c r="F2883" s="33" t="str">
        <x:v>core</x:v>
      </x:c>
      <x:c r="G2883" s="50" t="n">
        <x:v>22</x:v>
      </x:c>
      <x:c r="H2883" s="50" t="n">
        <x:v>9</x:v>
      </x:c>
      <x:c r="I2883" s="44" t="str">
        <x:v>22.09</x:v>
      </x:c>
      <x:c r="J2883" s="33" t="str">
        <x:v>The System</x:v>
      </x:c>
      <x:c r="K2883" s="33" t="str"/>
      <x:c r="L2883" s="33" t="str"/>
      <x:c r="M2883" s="44" t="str"/>
      <x:c r="N2883" s="50" t="n">
        <x:v>42</x:v>
      </x:c>
      <x:c r="O2883" s="53" t="str">
        <x:v>A suspect arrested for murder escapes police custody after months of waiting for his day in court; as a hostage situation erupts, Shaw must re-examine his conduct as the arresting officer; Price questions his faith in the justice system.</x:v>
      </x:c>
      <x:c r="P2883" s="53" t="str">
        <x:v>Core Law &amp; Order franchise</x:v>
      </x:c>
      <x:c r="Q2883" s="17" t="str">
        <x:v>6885046</x:v>
      </x:c>
      <x:c r="R2883" s="17" t="str">
        <x:v>tt23469082</x:v>
      </x:c>
      <x:c r="S2883" s="17" t="str">
        <x:v>1581</x:v>
      </x:c>
    </x:row>
    <x:row r="2884">
      <x:c r="A2884" s="43" t="n">
        <x:v>2880</x:v>
      </x:c>
      <x:c r="B2884" s="44" t="str">
        <x:v>Not Started</x:v>
      </x:c>
      <x:c r="C2884" s="45" t="n">
        <x:v>44903</x:v>
      </x:c>
      <x:c r="D2884" s="33" t="str">
        <x:v>Law &amp; Order: Special Victims Unit</x:v>
      </x:c>
      <x:c r="E2884" s="33" t="str">
        <x:v>Law &amp; Order</x:v>
      </x:c>
      <x:c r="F2884" s="33" t="str">
        <x:v>core</x:v>
      </x:c>
      <x:c r="G2884" s="50" t="n">
        <x:v>24</x:v>
      </x:c>
      <x:c r="H2884" s="50" t="n">
        <x:v>9</x:v>
      </x:c>
      <x:c r="I2884" s="44" t="str">
        <x:v>24.09</x:v>
      </x:c>
      <x:c r="J2884" s="33" t="str">
        <x:v>And a Trauma in a Pear Tree</x:v>
      </x:c>
      <x:c r="K2884" s="33" t="str"/>
      <x:c r="L2884" s="33" t="str"/>
      <x:c r="M2884" s="44" t="str"/>
      <x:c r="N2884" s="50" t="n">
        <x:v>41</x:v>
      </x:c>
      <x:c r="O2884" s="53" t="str">
        <x:v>Carisi and Rollins work together on an important arraignment. Benson tries to make Noah's Christmas wish come true when a case falls in her lap.</x:v>
      </x:c>
      <x:c r="P2884" s="53" t="str">
        <x:v>Core Law &amp; Order franchise</x:v>
      </x:c>
      <x:c r="Q2884" s="17" t="str">
        <x:v>6790129</x:v>
      </x:c>
      <x:c r="R2884" s="17" t="str">
        <x:v>tt23469118</x:v>
      </x:c>
      <x:c r="S2884" s="17" t="str">
        <x:v>1582</x:v>
      </x:c>
    </x:row>
    <x:row r="2885">
      <x:c r="A2885" s="43" t="n">
        <x:v>2881</x:v>
      </x:c>
      <x:c r="B2885" s="44" t="str">
        <x:v>Not Started</x:v>
      </x:c>
      <x:c r="C2885" s="45" t="n">
        <x:v>44909</x:v>
      </x:c>
      <x:c r="D2885" s="33" t="str">
        <x:v>FBI: International</x:v>
      </x:c>
      <x:c r="E2885" s="33" t="str">
        <x:v>FBI</x:v>
      </x:c>
      <x:c r="F2885" s="33" t="str">
        <x:v>core</x:v>
      </x:c>
      <x:c r="G2885" s="50" t="n">
        <x:v>2</x:v>
      </x:c>
      <x:c r="H2885" s="50" t="n">
        <x:v>8</x:v>
      </x:c>
      <x:c r="I2885" s="44" t="str">
        <x:v>02.08</x:v>
      </x:c>
      <x:c r="J2885" s="33" t="str">
        <x:v>Hail Mary</x:v>
      </x:c>
      <x:c r="K2885" s="33" t="str"/>
      <x:c r="L2885" s="33" t="str"/>
      <x:c r="M2885" s="44" t="str"/>
      <x:c r="N2885" s="50" t="n">
        <x:v>40</x:v>
      </x:c>
      <x:c r="O2885" s="53" t="str">
        <x:v>Vo goes under cover when the team investigates the mysterious death of an American model in Milan; Kellett is caught off guard when Dandridge arrives looking for visibility on the case.</x:v>
      </x:c>
      <x:c r="P2885" s="53" t="str">
        <x:v>Core FBI franchise</x:v>
      </x:c>
      <x:c r="Q2885" s="17" t="str">
        <x:v>6935397</x:v>
      </x:c>
      <x:c r="R2885" s="17" t="str">
        <x:v>tt23664864</x:v>
      </x:c>
      <x:c r="S2885" s="17" t="str"/>
    </x:row>
    <x:row r="2886">
      <x:c r="A2886" s="43" t="n">
        <x:v>2882</x:v>
      </x:c>
      <x:c r="B2886" s="44" t="str">
        <x:v>Not Started</x:v>
      </x:c>
      <x:c r="C2886" s="45" t="n">
        <x:v>44909</x:v>
      </x:c>
      <x:c r="D2886" s="33" t="str">
        <x:v>FBI: Most Wanted</x:v>
      </x:c>
      <x:c r="E2886" s="33" t="str">
        <x:v>FBI</x:v>
      </x:c>
      <x:c r="F2886" s="33" t="str">
        <x:v>core</x:v>
      </x:c>
      <x:c r="G2886" s="50" t="n">
        <x:v>4</x:v>
      </x:c>
      <x:c r="H2886" s="50" t="n">
        <x:v>8</x:v>
      </x:c>
      <x:c r="I2886" s="44" t="str">
        <x:v>04.08</x:v>
      </x:c>
      <x:c r="J2886" s="33" t="str">
        <x:v>Appeal</x:v>
      </x:c>
      <x:c r="K2886" s="33" t="str"/>
      <x:c r="L2886" s="33" t="str"/>
      <x:c r="M2886" s="44" t="str"/>
      <x:c r="N2886" s="50" t="n">
        <x:v>43</x:v>
      </x:c>
      <x:c r="O2886" s="53" t="str">
        <x:v>When three prosecutors are assassinated outside a bar in their small Arkansas town, the team is called in to determine if this was a personal vendetta; Ray feels compelled to help a woman and her young son combat an injustice.</x:v>
      </x:c>
      <x:c r="P2886" s="53" t="str">
        <x:v>Core FBI franchise</x:v>
      </x:c>
      <x:c r="Q2886" s="17" t="str">
        <x:v>6935560</x:v>
      </x:c>
      <x:c r="R2886" s="17" t="str">
        <x:v>tt23664890</x:v>
      </x:c>
      <x:c r="S2886" s="17" t="str"/>
    </x:row>
    <x:row r="2887">
      <x:c r="A2887" s="43" t="n">
        <x:v>2883</x:v>
      </x:c>
      <x:c r="B2887" s="44" t="str">
        <x:v>Not Started</x:v>
      </x:c>
      <x:c r="C2887" s="45" t="n">
        <x:v>44909</x:v>
      </x:c>
      <x:c r="D2887" s="33" t="str">
        <x:v>FBI</x:v>
      </x:c>
      <x:c r="E2887" s="33" t="str">
        <x:v>FBI</x:v>
      </x:c>
      <x:c r="F2887" s="33" t="str">
        <x:v>core</x:v>
      </x:c>
      <x:c r="G2887" s="50" t="n">
        <x:v>5</x:v>
      </x:c>
      <x:c r="H2887" s="50" t="n">
        <x:v>9</x:v>
      </x:c>
      <x:c r="I2887" s="44" t="str">
        <x:v>05.09</x:v>
      </x:c>
      <x:c r="J2887" s="33" t="str">
        <x:v>Fortunate Son</x:v>
      </x:c>
      <x:c r="K2887" s="33" t="str"/>
      <x:c r="L2887" s="33" t="str"/>
      <x:c r="M2887" s="44" t="str"/>
      <x:c r="N2887" s="50" t="n">
        <x:v>43</x:v>
      </x:c>
      <x:c r="O2887" s="53" t="str">
        <x:v>A teen shows up at FBI headquarters with a large bag of fentanyl, seeking the team's protection from the men who shot his father; Nina goes to Scola with a proposal he is hesitant to accept.</x:v>
      </x:c>
      <x:c r="P2887" s="53" t="str">
        <x:v>Core FBI franchise</x:v>
      </x:c>
      <x:c r="Q2887" s="17" t="str">
        <x:v>6926134</x:v>
      </x:c>
      <x:c r="R2887" s="17" t="str">
        <x:v>tt23664848</x:v>
      </x:c>
      <x:c r="S2887" s="17" t="str"/>
    </x:row>
    <x:row r="2888">
      <x:c r="A2888" s="43" t="n">
        <x:v>2884</x:v>
      </x:c>
      <x:c r="B2888" s="44" t="str">
        <x:v>Not Started</x:v>
      </x:c>
      <x:c r="C2888" s="45" t="n">
        <x:v>44930</x:v>
      </x:c>
      <x:c r="D2888" s="33" t="str">
        <x:v>FBI: International</x:v>
      </x:c>
      <x:c r="E2888" s="33" t="str">
        <x:v>FBI</x:v>
      </x:c>
      <x:c r="F2888" s="33" t="str">
        <x:v>core</x:v>
      </x:c>
      <x:c r="G2888" s="50" t="n">
        <x:v>2</x:v>
      </x:c>
      <x:c r="H2888" s="50" t="n">
        <x:v>9</x:v>
      </x:c>
      <x:c r="I2888" s="44" t="str">
        <x:v>02.09</x:v>
      </x:c>
      <x:c r="J2888" s="33" t="str">
        <x:v>Wheelman</x:v>
      </x:c>
      <x:c r="K2888" s="33" t="str"/>
      <x:c r="L2888" s="33" t="str"/>
      <x:c r="M2888" s="44" t="str"/>
      <x:c r="N2888" s="50" t="n">
        <x:v>42</x:v>
      </x:c>
      <x:c r="O2888" s="53" t="str">
        <x:v>The team races through the streets of Budapest to put a halt to a major art heist about to be perpetrated by an American; Forrester grows angry as Dandridge watches every move the team makes.</x:v>
      </x:c>
      <x:c r="P2888" s="53" t="str">
        <x:v>Core FBI franchise</x:v>
      </x:c>
      <x:c r="Q2888" s="17" t="str">
        <x:v>6995680</x:v>
      </x:c>
      <x:c r="R2888" s="17" t="str">
        <x:v>tt23664868</x:v>
      </x:c>
      <x:c r="S2888" s="17" t="str"/>
    </x:row>
    <x:row r="2889">
      <x:c r="A2889" s="43" t="n">
        <x:v>2885</x:v>
      </x:c>
      <x:c r="B2889" s="44" t="str">
        <x:v>Not Started</x:v>
      </x:c>
      <x:c r="C2889" s="45" t="n">
        <x:v>44930</x:v>
      </x:c>
      <x:c r="D2889" s="33" t="str">
        <x:v>FBI: Most Wanted</x:v>
      </x:c>
      <x:c r="E2889" s="33" t="str">
        <x:v>FBI</x:v>
      </x:c>
      <x:c r="F2889" s="33" t="str">
        <x:v>core</x:v>
      </x:c>
      <x:c r="G2889" s="50" t="n">
        <x:v>4</x:v>
      </x:c>
      <x:c r="H2889" s="50" t="n">
        <x:v>9</x:v>
      </x:c>
      <x:c r="I2889" s="44" t="str">
        <x:v>04.09</x:v>
      </x:c>
      <x:c r="J2889" s="33" t="str">
        <x:v>Processed</x:v>
      </x:c>
      <x:c r="K2889" s="33" t="str"/>
      <x:c r="L2889" s="33" t="str"/>
      <x:c r="M2889" s="44" t="str"/>
      <x:c r="N2889" s="50" t="n">
        <x:v>42</x:v>
      </x:c>
      <x:c r="O2889" s="53" t="str">
        <x:v>When a celebrity child psychiatrist is kidnapped by the relative of a former client, the team races to track down the perpetrator and learns what really happened to the psychiatrist's client; Kristin confronts her deep-rooted trauma.</x:v>
      </x:c>
      <x:c r="P2889" s="53" t="str">
        <x:v>Core FBI franchise</x:v>
      </x:c>
      <x:c r="Q2889" s="17" t="str">
        <x:v>6995700</x:v>
      </x:c>
      <x:c r="R2889" s="17" t="str">
        <x:v>tt23664914</x:v>
      </x:c>
      <x:c r="S2889" s="17" t="str"/>
    </x:row>
    <x:row r="2890">
      <x:c r="A2890" s="43" t="n">
        <x:v>2886</x:v>
      </x:c>
      <x:c r="B2890" s="44" t="str">
        <x:v>Not Started</x:v>
      </x:c>
      <x:c r="C2890" s="45" t="n">
        <x:v>44930</x:v>
      </x:c>
      <x:c r="D2890" s="33" t="str">
        <x:v>FBI</x:v>
      </x:c>
      <x:c r="E2890" s="33" t="str">
        <x:v>FBI</x:v>
      </x:c>
      <x:c r="F2890" s="33" t="str">
        <x:v>core</x:v>
      </x:c>
      <x:c r="G2890" s="50" t="n">
        <x:v>5</x:v>
      </x:c>
      <x:c r="H2890" s="50" t="n">
        <x:v>10</x:v>
      </x:c>
      <x:c r="I2890" s="44" t="str">
        <x:v>05.10</x:v>
      </x:c>
      <x:c r="J2890" s="33" t="str">
        <x:v>Second Life</x:v>
      </x:c>
      <x:c r="K2890" s="33" t="str"/>
      <x:c r="L2890" s="33" t="str"/>
      <x:c r="M2890" s="44" t="str"/>
      <x:c r="N2890" s="50" t="n">
        <x:v>43</x:v>
      </x:c>
      <x:c r="O2890" s="53" t="str">
        <x:v>The abduction of a young woman leads the team back to a cold case from 18 years ago, which pushes Isobel to reconnect with her old partner Jake and take another shot at solving one of her first cases in the bureau.</x:v>
      </x:c>
      <x:c r="P2890" s="53" t="str">
        <x:v>Core FBI franchise</x:v>
      </x:c>
      <x:c r="Q2890" s="17" t="str">
        <x:v>6926139</x:v>
      </x:c>
      <x:c r="R2890" s="17" t="str">
        <x:v>tt23664854</x:v>
      </x:c>
      <x:c r="S2890" s="17" t="str"/>
    </x:row>
    <x:row r="2891">
      <x:c r="A2891" s="43" t="n">
        <x:v>2887</x:v>
      </x:c>
      <x:c r="B2891" s="44" t="str">
        <x:v>Not Started</x:v>
      </x:c>
      <x:c r="C2891" s="45" t="n">
        <x:v>44931</x:v>
      </x:c>
      <x:c r="D2891" s="33" t="str">
        <x:v>Law &amp; Order: Organized Crime</x:v>
      </x:c>
      <x:c r="E2891" s="33" t="str">
        <x:v>Law &amp; Order</x:v>
      </x:c>
      <x:c r="F2891" s="33" t="str">
        <x:v>core</x:v>
      </x:c>
      <x:c r="G2891" s="50" t="n">
        <x:v>3</x:v>
      </x:c>
      <x:c r="H2891" s="50" t="n">
        <x:v>10</x:v>
      </x:c>
      <x:c r="I2891" s="44" t="str">
        <x:v>03.10</x:v>
      </x:c>
      <x:c r="J2891" s="33" t="str">
        <x:v>Trap</x:v>
      </x:c>
      <x:c r="K2891" s="33" t="str"/>
      <x:c r="L2891" s="33" t="str"/>
      <x:c r="M2891" s="44" t="str"/>
      <x:c r="N2891" s="50" t="n">
        <x:v>42</x:v>
      </x:c>
      <x:c r="O2891" s="53" t="str">
        <x:v>When an informant comes to Stabler desperate for help, the task force sets their sights on a dangerous gang making their mark on New York. Jamie goes undercover, but soon realizes he may be in over his head. Bell meets her new boss.</x:v>
      </x:c>
      <x:c r="P2891" s="53" t="str">
        <x:v>Core Law &amp; Order franchise</x:v>
      </x:c>
      <x:c r="Q2891" s="17" t="str">
        <x:v>6887691</x:v>
      </x:c>
      <x:c r="R2891" s="17" t="str">
        <x:v>tt23469192</x:v>
      </x:c>
      <x:c r="S2891" s="17" t="str">
        <x:v>1586</x:v>
      </x:c>
    </x:row>
    <x:row r="2892">
      <x:c r="A2892" s="43" t="n">
        <x:v>2888</x:v>
      </x:c>
      <x:c r="B2892" s="44" t="str">
        <x:v>Not Started</x:v>
      </x:c>
      <x:c r="C2892" s="45" t="n">
        <x:v>44931</x:v>
      </x:c>
      <x:c r="D2892" s="33" t="str">
        <x:v>Chicago Med</x:v>
      </x:c>
      <x:c r="E2892" s="33" t="str">
        <x:v>One Chicago</x:v>
      </x:c>
      <x:c r="F2892" s="33" t="str">
        <x:v>core</x:v>
      </x:c>
      <x:c r="G2892" s="50" t="n">
        <x:v>8</x:v>
      </x:c>
      <x:c r="H2892" s="50" t="n">
        <x:v>10</x:v>
      </x:c>
      <x:c r="I2892" s="44" t="str">
        <x:v>08.10</x:v>
      </x:c>
      <x:c r="J2892" s="33" t="str">
        <x:v>A Little Change Might Do You Some Good</x:v>
      </x:c>
      <x:c r="K2892" s="33" t="str"/>
      <x:c r="L2892" s="33" t="str"/>
      <x:c r="M2892" s="44" t="str"/>
      <x:c r="N2892" s="50" t="n">
        <x:v>42</x:v>
      </x:c>
      <x:c r="O2892" s="53" t="str">
        <x:v>Charles and Cuevas help an elderly patient and her developmentally disabled grandson. Halstead treats a swimmer with a heart condition. Marcel considers using the OR 2.0 for surgery.</x:v>
      </x:c>
      <x:c r="P2892" s="53" t="str">
        <x:v>Core One Chicago franchise</x:v>
      </x:c>
      <x:c r="Q2892" s="17" t="str">
        <x:v>6946760</x:v>
      </x:c>
      <x:c r="R2892" s="17" t="str">
        <x:v>tt23468856</x:v>
      </x:c>
      <x:c r="S2892" s="17" t="str"/>
    </x:row>
    <x:row r="2893">
      <x:c r="A2893" s="43" t="n">
        <x:v>2889</x:v>
      </x:c>
      <x:c r="B2893" s="44" t="str">
        <x:v>Not Started</x:v>
      </x:c>
      <x:c r="C2893" s="45" t="n">
        <x:v>44931</x:v>
      </x:c>
      <x:c r="D2893" s="33" t="str">
        <x:v>Chicago P.D.</x:v>
      </x:c>
      <x:c r="E2893" s="33" t="str">
        <x:v>One Chicago</x:v>
      </x:c>
      <x:c r="F2893" s="33" t="str">
        <x:v>core</x:v>
      </x:c>
      <x:c r="G2893" s="50" t="n">
        <x:v>10</x:v>
      </x:c>
      <x:c r="H2893" s="50" t="n">
        <x:v>10</x:v>
      </x:c>
      <x:c r="I2893" s="44" t="str">
        <x:v>10.10</x:v>
      </x:c>
      <x:c r="J2893" s="33" t="str">
        <x:v>This Job</x:v>
      </x:c>
      <x:c r="K2893" s="33" t="str"/>
      <x:c r="L2893" s="33" t="str"/>
      <x:c r="M2893" s="44" t="str"/>
      <x:c r="N2893" s="50" t="n">
        <x:v>42</x:v>
      </x:c>
      <x:c r="O2893" s="53" t="str">
        <x:v>A series of brutal home invasion robberies finds the team paired with Detective Borkowski, an old friend of Ruzek's, to work the case. Things get complicated for Torres when it becomes clear Borkowski has a vastly different policing style.</x:v>
      </x:c>
      <x:c r="P2893" s="53" t="str">
        <x:v>Core One Chicago franchise; crossovers with SVU/FBI</x:v>
      </x:c>
      <x:c r="Q2893" s="17" t="str">
        <x:v>6888256</x:v>
      </x:c>
      <x:c r="R2893" s="17" t="str">
        <x:v>tt23469004</x:v>
      </x:c>
      <x:c r="S2893" s="17" t="str"/>
    </x:row>
    <x:row r="2894">
      <x:c r="A2894" s="43" t="n">
        <x:v>2890</x:v>
      </x:c>
      <x:c r="B2894" s="44" t="str">
        <x:v>Not Started</x:v>
      </x:c>
      <x:c r="C2894" s="45" t="n">
        <x:v>44931</x:v>
      </x:c>
      <x:c r="D2894" s="33" t="str">
        <x:v>Chicago Fire</x:v>
      </x:c>
      <x:c r="E2894" s="33" t="str">
        <x:v>One Chicago</x:v>
      </x:c>
      <x:c r="F2894" s="33" t="str">
        <x:v>core</x:v>
      </x:c>
      <x:c r="G2894" s="50" t="n">
        <x:v>11</x:v>
      </x:c>
      <x:c r="H2894" s="50" t="n">
        <x:v>10</x:v>
      </x:c>
      <x:c r="I2894" s="44" t="str">
        <x:v>11.10</x:v>
      </x:c>
      <x:c r="J2894" s="33" t="str">
        <x:v>Something for the Pain</x:v>
      </x:c>
      <x:c r="K2894" s="33" t="str"/>
      <x:c r="L2894" s="33" t="str"/>
      <x:c r="M2894" s="44" t="str"/>
      <x:c r="N2894" s="50" t="n">
        <x:v>43</x:v>
      </x:c>
      <x:c r="O2894" s="53" t="str">
        <x:v>Det. Pryma's case comes to an explosive end with Kidd and Carver's lives in danger. Brett installs an infant safe surrender box at 51. Violet is determined to take Emma down.</x:v>
      </x:c>
      <x:c r="P2894" s="53" t="str">
        <x:v>Core One Chicago franchise</x:v>
      </x:c>
      <x:c r="Q2894" s="17" t="str">
        <x:v>6888263</x:v>
      </x:c>
      <x:c r="R2894" s="17" t="str">
        <x:v>tt23468882</x:v>
      </x:c>
      <x:c r="S2894" s="17" t="str"/>
    </x:row>
    <x:row r="2895">
      <x:c r="A2895" s="43" t="n">
        <x:v>2891</x:v>
      </x:c>
      <x:c r="B2895" s="44" t="str">
        <x:v>Not Started</x:v>
      </x:c>
      <x:c r="C2895" s="45" t="n">
        <x:v>44931</x:v>
      </x:c>
      <x:c r="D2895" s="33" t="str">
        <x:v>Law &amp; Order</x:v>
      </x:c>
      <x:c r="E2895" s="33" t="str">
        <x:v>Law &amp; Order</x:v>
      </x:c>
      <x:c r="F2895" s="33" t="str">
        <x:v>core</x:v>
      </x:c>
      <x:c r="G2895" s="50" t="n">
        <x:v>22</x:v>
      </x:c>
      <x:c r="H2895" s="50" t="n">
        <x:v>10</x:v>
      </x:c>
      <x:c r="I2895" s="44" t="str">
        <x:v>22.10</x:v>
      </x:c>
      <x:c r="J2895" s="33" t="str">
        <x:v>Land of Opportunity</x:v>
      </x:c>
      <x:c r="K2895" s="33" t="str"/>
      <x:c r="L2895" s="33" t="str"/>
      <x:c r="M2895" s="44" t="str"/>
      <x:c r="N2895" s="50" t="n">
        <x:v>42</x:v>
      </x:c>
      <x:c r="O2895" s="53" t="str">
        <x:v>When a homeless migrant is murdered, evidence leads Cosgrove and Shaw to a mysterious cover-up at a construction site. Price and Maroun push a key witness to testify, knowing that speaking out could lead to legal consequences.</x:v>
      </x:c>
      <x:c r="P2895" s="53" t="str">
        <x:v>Core Law &amp; Order franchise</x:v>
      </x:c>
      <x:c r="Q2895" s="17" t="str">
        <x:v>6961180</x:v>
      </x:c>
      <x:c r="R2895" s="17" t="str">
        <x:v>tt23469088</x:v>
      </x:c>
      <x:c r="S2895" s="17" t="str">
        <x:v>1584</x:v>
      </x:c>
    </x:row>
    <x:row r="2896">
      <x:c r="A2896" s="43" t="n">
        <x:v>2892</x:v>
      </x:c>
      <x:c r="B2896" s="44" t="str">
        <x:v>Not Started</x:v>
      </x:c>
      <x:c r="C2896" s="45" t="n">
        <x:v>44931</x:v>
      </x:c>
      <x:c r="D2896" s="33" t="str">
        <x:v>Law &amp; Order: Special Victims Unit</x:v>
      </x:c>
      <x:c r="E2896" s="33" t="str">
        <x:v>Law &amp; Order</x:v>
      </x:c>
      <x:c r="F2896" s="33" t="str">
        <x:v>core</x:v>
      </x:c>
      <x:c r="G2896" s="50" t="n">
        <x:v>24</x:v>
      </x:c>
      <x:c r="H2896" s="50" t="n">
        <x:v>10</x:v>
      </x:c>
      <x:c r="I2896" s="44" t="str">
        <x:v>24.10</x:v>
      </x:c>
      <x:c r="J2896" s="33" t="str">
        <x:v>Jumped In</x:v>
      </x:c>
      <x:c r="K2896" s="33" t="str"/>
      <x:c r="L2896" s="33" t="str"/>
      <x:c r="M2896" s="44" t="str"/>
      <x:c r="N2896" s="50" t="n">
        <x:v>41</x:v>
      </x:c>
      <x:c r="O2896" s="53" t="str">
        <x:v>When Benson becomes the target of a ruthless gang leader, Capt. Duarte takes the case. Fin works with the Bronx SVU to help clear their case backlog. Sgt. Dixon offers to translate when a deaf student is raped.</x:v>
      </x:c>
      <x:c r="P2896" s="53" t="str">
        <x:v>Core Law &amp; Order franchise</x:v>
      </x:c>
      <x:c r="Q2896" s="17" t="str">
        <x:v>6888753</x:v>
      </x:c>
      <x:c r="R2896" s="17" t="str">
        <x:v>tt23469132</x:v>
      </x:c>
      <x:c r="S2896" s="17" t="str">
        <x:v>1585</x:v>
      </x:c>
    </x:row>
    <x:row r="2897">
      <x:c r="A2897" s="43" t="n">
        <x:v>2893</x:v>
      </x:c>
      <x:c r="B2897" s="44" t="str">
        <x:v>Not Started</x:v>
      </x:c>
      <x:c r="C2897" s="45" t="n">
        <x:v>44937</x:v>
      </x:c>
      <x:c r="D2897" s="33" t="str">
        <x:v>FBI: International</x:v>
      </x:c>
      <x:c r="E2897" s="33" t="str">
        <x:v>FBI</x:v>
      </x:c>
      <x:c r="F2897" s="33" t="str">
        <x:v>core</x:v>
      </x:c>
      <x:c r="G2897" s="50" t="n">
        <x:v>2</x:v>
      </x:c>
      <x:c r="H2897" s="50" t="n">
        <x:v>10</x:v>
      </x:c>
      <x:c r="I2897" s="44" t="str">
        <x:v>02.10</x:v>
      </x:c>
      <x:c r="J2897" s="33" t="str">
        <x:v>BHITW</x:v>
      </x:c>
      <x:c r="K2897" s="33" t="str"/>
      <x:c r="L2897" s="33" t="str"/>
      <x:c r="M2897" s="44" t="str"/>
      <x:c r="N2897" s="50" t="n">
        <x:v>41</x:v>
      </x:c>
      <x:c r="O2897" s="53" t="str">
        <x:v>When an American basketball player for a Lithuanian team goes into cardiac arrest, the team investigates along with Zoey McKenna, the new agent appointed by Dandridge.</x:v>
      </x:c>
      <x:c r="P2897" s="53" t="str">
        <x:v>Core FBI franchise</x:v>
      </x:c>
      <x:c r="Q2897" s="17" t="str">
        <x:v>7064484</x:v>
      </x:c>
      <x:c r="R2897" s="17" t="str">
        <x:v>tt24635272</x:v>
      </x:c>
      <x:c r="S2897" s="17" t="str"/>
    </x:row>
    <x:row r="2898">
      <x:c r="A2898" s="43" t="n">
        <x:v>2894</x:v>
      </x:c>
      <x:c r="B2898" s="44" t="str">
        <x:v>Not Started</x:v>
      </x:c>
      <x:c r="C2898" s="45" t="n">
        <x:v>44937</x:v>
      </x:c>
      <x:c r="D2898" s="33" t="str">
        <x:v>FBI: Most Wanted</x:v>
      </x:c>
      <x:c r="E2898" s="33" t="str">
        <x:v>FBI</x:v>
      </x:c>
      <x:c r="F2898" s="33" t="str">
        <x:v>core</x:v>
      </x:c>
      <x:c r="G2898" s="50" t="n">
        <x:v>4</x:v>
      </x:c>
      <x:c r="H2898" s="50" t="n">
        <x:v>10</x:v>
      </x:c>
      <x:c r="I2898" s="44" t="str">
        <x:v>04.10</x:v>
      </x:c>
      <x:c r="J2898" s="33" t="str">
        <x:v>False Flag</x:v>
      </x:c>
      <x:c r="K2898" s="33" t="str"/>
      <x:c r="L2898" s="33" t="str"/>
      <x:c r="M2898" s="44" t="str"/>
      <x:c r="N2898" s="50" t="n">
        <x:v>42</x:v>
      </x:c>
      <x:c r="O2898" s="53" t="str">
        <x:v>The team is thrown for a loop when they discover the abductor of a disgraced state police detective is connected to someone from a recent case.</x:v>
      </x:c>
      <x:c r="P2898" s="53" t="str">
        <x:v>Core FBI franchise</x:v>
      </x:c>
      <x:c r="Q2898" s="17" t="str">
        <x:v>7064483</x:v>
      </x:c>
      <x:c r="R2898" s="17" t="str">
        <x:v>tt23723714</x:v>
      </x:c>
      <x:c r="S2898" s="17" t="str"/>
    </x:row>
    <x:row r="2899">
      <x:c r="A2899" s="43" t="n">
        <x:v>2895</x:v>
      </x:c>
      <x:c r="B2899" s="44" t="str">
        <x:v>Not Started</x:v>
      </x:c>
      <x:c r="C2899" s="45" t="n">
        <x:v>44937</x:v>
      </x:c>
      <x:c r="D2899" s="33" t="str">
        <x:v>FBI</x:v>
      </x:c>
      <x:c r="E2899" s="33" t="str">
        <x:v>FBI</x:v>
      </x:c>
      <x:c r="F2899" s="33" t="str">
        <x:v>core</x:v>
      </x:c>
      <x:c r="G2899" s="50" t="n">
        <x:v>5</x:v>
      </x:c>
      <x:c r="H2899" s="50" t="n">
        <x:v>11</x:v>
      </x:c>
      <x:c r="I2899" s="44" t="str">
        <x:v>05.11</x:v>
      </x:c>
      <x:c r="J2899" s="33" t="str">
        <x:v>Heroes</x:v>
      </x:c>
      <x:c r="K2899" s="33" t="str"/>
      <x:c r="L2899" s="33" t="str"/>
      <x:c r="M2899" s="44" t="str"/>
      <x:c r="N2899" s="50" t="n">
        <x:v>41</x:v>
      </x:c>
      <x:c r="O2899" s="53" t="str">
        <x:v>The team jumps into action when analyst Kelly Moran is taken hostage.</x:v>
      </x:c>
      <x:c r="P2899" s="53" t="str">
        <x:v>Core FBI franchise</x:v>
      </x:c>
      <x:c r="Q2899" s="17" t="str">
        <x:v>7002542</x:v>
      </x:c>
      <x:c r="R2899" s="17" t="str">
        <x:v>tt23863396</x:v>
      </x:c>
      <x:c r="S2899" s="17" t="str"/>
    </x:row>
    <x:row r="2900">
      <x:c r="A2900" s="43" t="n">
        <x:v>2896</x:v>
      </x:c>
      <x:c r="B2900" s="44" t="str">
        <x:v>Not Started</x:v>
      </x:c>
      <x:c r="C2900" s="45" t="n">
        <x:v>44938</x:v>
      </x:c>
      <x:c r="D2900" s="33" t="str">
        <x:v>Law &amp; Order: Organized Crime</x:v>
      </x:c>
      <x:c r="E2900" s="33" t="str">
        <x:v>Law &amp; Order</x:v>
      </x:c>
      <x:c r="F2900" s="33" t="str">
        <x:v>core</x:v>
      </x:c>
      <x:c r="G2900" s="50" t="n">
        <x:v>3</x:v>
      </x:c>
      <x:c r="H2900" s="50" t="n">
        <x:v>11</x:v>
      </x:c>
      <x:c r="I2900" s="44" t="str">
        <x:v>03.11</x:v>
      </x:c>
      <x:c r="J2900" s="33" t="str">
        <x:v>The Infiltration Game</x:v>
      </x:c>
      <x:c r="K2900" s="33" t="str"/>
      <x:c r="L2900" s="33" t="str"/>
      <x:c r="M2900" s="44" t="str"/>
      <x:c r="N2900" s="50" t="n">
        <x:v>42</x:v>
      </x:c>
      <x:c r="O2900" s="53" t="str">
        <x:v>Jamie makes a risky decision that could cost him more than the case. Stabler bristles at the arrival of two Miami detectives offering to help with the investigation. The task force learns the limits of the new deputy inspector's influence.</x:v>
      </x:c>
      <x:c r="P2900" s="53" t="str">
        <x:v>Core Law &amp; Order franchise</x:v>
      </x:c>
      <x:c r="Q2900" s="17" t="str">
        <x:v>7003235</x:v>
      </x:c>
      <x:c r="R2900" s="17" t="str">
        <x:v>tt25394580</x:v>
      </x:c>
      <x:c r="S2900" s="17" t="str">
        <x:v>1589</x:v>
      </x:c>
    </x:row>
    <x:row r="2901">
      <x:c r="A2901" s="43" t="n">
        <x:v>2897</x:v>
      </x:c>
      <x:c r="B2901" s="44" t="str">
        <x:v>Not Started</x:v>
      </x:c>
      <x:c r="C2901" s="45" t="n">
        <x:v>44938</x:v>
      </x:c>
      <x:c r="D2901" s="33" t="str">
        <x:v>Chicago Med</x:v>
      </x:c>
      <x:c r="E2901" s="33" t="str">
        <x:v>One Chicago</x:v>
      </x:c>
      <x:c r="F2901" s="33" t="str">
        <x:v>core</x:v>
      </x:c>
      <x:c r="G2901" s="50" t="n">
        <x:v>8</x:v>
      </x:c>
      <x:c r="H2901" s="50" t="n">
        <x:v>11</x:v>
      </x:c>
      <x:c r="I2901" s="44" t="str">
        <x:v>08.11</x:v>
      </x:c>
      <x:c r="J2901" s="33" t="str">
        <x:v>It Is What It Is, Until It Isn't</x:v>
      </x:c>
      <x:c r="K2901" s="33" t="str"/>
      <x:c r="L2901" s="33" t="str"/>
      <x:c r="M2901" s="44" t="str"/>
      <x:c r="N2901" s="50" t="n">
        <x:v>42</x:v>
      </x:c>
      <x:c r="O2901" s="53" t="str">
        <x:v>Marcel and Charles treat Lieu's gym buddy. Maggie and Halstead help a robbery-homicide suspect. Asher and Archer use Med's new opiate abuse AI program.</x:v>
      </x:c>
      <x:c r="P2901" s="53" t="str">
        <x:v>Core One Chicago franchise</x:v>
      </x:c>
      <x:c r="Q2901" s="17" t="str">
        <x:v>7002304</x:v>
      </x:c>
      <x:c r="R2901" s="17" t="str">
        <x:v>tt24904296</x:v>
      </x:c>
      <x:c r="S2901" s="17" t="str"/>
    </x:row>
    <x:row r="2902">
      <x:c r="A2902" s="43" t="n">
        <x:v>2898</x:v>
      </x:c>
      <x:c r="B2902" s="44" t="str">
        <x:v>Not Started</x:v>
      </x:c>
      <x:c r="C2902" s="45" t="n">
        <x:v>44938</x:v>
      </x:c>
      <x:c r="D2902" s="33" t="str">
        <x:v>Chicago P.D.</x:v>
      </x:c>
      <x:c r="E2902" s="33" t="str">
        <x:v>One Chicago</x:v>
      </x:c>
      <x:c r="F2902" s="33" t="str">
        <x:v>core</x:v>
      </x:c>
      <x:c r="G2902" s="50" t="n">
        <x:v>10</x:v>
      </x:c>
      <x:c r="H2902" s="50" t="n">
        <x:v>11</x:v>
      </x:c>
      <x:c r="I2902" s="44" t="str">
        <x:v>10.11</x:v>
      </x:c>
      <x:c r="J2902" s="33" t="str">
        <x:v>Long Lost</x:v>
      </x:c>
      <x:c r="K2902" s="33" t="str"/>
      <x:c r="L2902" s="33" t="str"/>
      <x:c r="M2902" s="44" t="str"/>
      <x:c r="N2902" s="50" t="n">
        <x:v>43</x:v>
      </x:c>
      <x:c r="O2902" s="53" t="str">
        <x:v>A shocking ambush at a funeral leads the team into a heated investigation to find the shooters. Much to Atwater's surprise, he must rely on someone from his past to help in the investigation, dredging up old memories and revealing new truths.</x:v>
      </x:c>
      <x:c r="P2902" s="53" t="str">
        <x:v>Core One Chicago franchise; crossovers with SVU/FBI</x:v>
      </x:c>
      <x:c r="Q2902" s="17" t="str">
        <x:v>7001119</x:v>
      </x:c>
      <x:c r="R2902" s="17" t="str">
        <x:v>tt25181604</x:v>
      </x:c>
      <x:c r="S2902" s="17" t="str"/>
    </x:row>
    <x:row r="2903">
      <x:c r="A2903" s="43" t="n">
        <x:v>2899</x:v>
      </x:c>
      <x:c r="B2903" s="44" t="str">
        <x:v>Not Started</x:v>
      </x:c>
      <x:c r="C2903" s="45" t="n">
        <x:v>44938</x:v>
      </x:c>
      <x:c r="D2903" s="33" t="str">
        <x:v>Chicago Fire</x:v>
      </x:c>
      <x:c r="E2903" s="33" t="str">
        <x:v>One Chicago</x:v>
      </x:c>
      <x:c r="F2903" s="33" t="str">
        <x:v>core</x:v>
      </x:c>
      <x:c r="G2903" s="50" t="n">
        <x:v>11</x:v>
      </x:c>
      <x:c r="H2903" s="50" t="n">
        <x:v>11</x:v>
      </x:c>
      <x:c r="I2903" s="44" t="str">
        <x:v>11.11</x:v>
      </x:c>
      <x:c r="J2903" s="33" t="str">
        <x:v>A Guy I Used to Know</x:v>
      </x:c>
      <x:c r="K2903" s="33" t="str"/>
      <x:c r="L2903" s="33" t="str"/>
      <x:c r="M2903" s="44" t="str"/>
      <x:c r="N2903" s="50" t="n">
        <x:v>43</x:v>
      </x:c>
      <x:c r="O2903" s="53" t="str">
        <x:v>Firehouse 51 prepares for their semi-annual firehouse inspection. Brett fights to save her paramedicine program. Commander Martin Pearce asks Severide for a favor.</x:v>
      </x:c>
      <x:c r="P2903" s="53" t="str">
        <x:v>Core One Chicago franchise</x:v>
      </x:c>
      <x:c r="Q2903" s="17" t="str">
        <x:v>7001264</x:v>
      </x:c>
      <x:c r="R2903" s="17" t="str">
        <x:v>tt25385746</x:v>
      </x:c>
      <x:c r="S2903" s="17" t="str"/>
    </x:row>
    <x:row r="2904">
      <x:c r="A2904" s="43" t="n">
        <x:v>2900</x:v>
      </x:c>
      <x:c r="B2904" s="44" t="str">
        <x:v>Not Started</x:v>
      </x:c>
      <x:c r="C2904" s="45" t="n">
        <x:v>44938</x:v>
      </x:c>
      <x:c r="D2904" s="33" t="str">
        <x:v>Law &amp; Order</x:v>
      </x:c>
      <x:c r="E2904" s="33" t="str">
        <x:v>Law &amp; Order</x:v>
      </x:c>
      <x:c r="F2904" s="33" t="str">
        <x:v>core</x:v>
      </x:c>
      <x:c r="G2904" s="50" t="n">
        <x:v>22</x:v>
      </x:c>
      <x:c r="H2904" s="50" t="n">
        <x:v>11</x:v>
      </x:c>
      <x:c r="I2904" s="44" t="str">
        <x:v>22.11</x:v>
      </x:c>
      <x:c r="J2904" s="33" t="str">
        <x:v>Second Chance</x:v>
      </x:c>
      <x:c r="K2904" s="33" t="str"/>
      <x:c r="L2904" s="33" t="str"/>
      <x:c r="M2904" s="44" t="str"/>
      <x:c r="N2904" s="50" t="n">
        <x:v>42</x:v>
      </x:c>
      <x:c r="O2904" s="53" t="str">
        <x:v>When an ex-con is found beaten to death, Cosgrove and Shaw arrest an unlikely culprit. Maroun must put her personal feelings for the suspect aside and take the lead in court when she and Price can't agree on the best trial strategy.</x:v>
      </x:c>
      <x:c r="P2904" s="53" t="str">
        <x:v>Core Law &amp; Order franchise</x:v>
      </x:c>
      <x:c r="Q2904" s="17" t="str">
        <x:v>7000397</x:v>
      </x:c>
      <x:c r="R2904" s="17" t="str">
        <x:v>tt25394548</x:v>
      </x:c>
      <x:c r="S2904" s="17" t="str">
        <x:v>1587</x:v>
      </x:c>
    </x:row>
    <x:row r="2905">
      <x:c r="A2905" s="43" t="n">
        <x:v>2901</x:v>
      </x:c>
      <x:c r="B2905" s="44" t="str">
        <x:v>Not Started</x:v>
      </x:c>
      <x:c r="C2905" s="45" t="n">
        <x:v>44938</x:v>
      </x:c>
      <x:c r="D2905" s="33" t="str">
        <x:v>Law &amp; Order: Special Victims Unit</x:v>
      </x:c>
      <x:c r="E2905" s="33" t="str">
        <x:v>Law &amp; Order</x:v>
      </x:c>
      <x:c r="F2905" s="33" t="str">
        <x:v>core</x:v>
      </x:c>
      <x:c r="G2905" s="50" t="n">
        <x:v>24</x:v>
      </x:c>
      <x:c r="H2905" s="50" t="n">
        <x:v>11</x:v>
      </x:c>
      <x:c r="I2905" s="44" t="str">
        <x:v>24.11</x:v>
      </x:c>
      <x:c r="J2905" s="33" t="str">
        <x:v>Soldier Up</x:v>
      </x:c>
      <x:c r="K2905" s="33" t="str"/>
      <x:c r="L2905" s="33" t="str"/>
      <x:c r="M2905" s="44" t="str"/>
      <x:c r="N2905" s="50" t="n">
        <x:v>40</x:v>
      </x:c>
      <x:c r="O2905" s="53" t="str">
        <x:v>While Benson tries to help the gang member who attacked her, Duarte reveals a shocking piece of evidence in the case. Fin is tasked with hiring new detectives for the Bronx SVU.</x:v>
      </x:c>
      <x:c r="P2905" s="53" t="str">
        <x:v>Core Law &amp; Order franchise</x:v>
      </x:c>
      <x:c r="Q2905" s="17" t="str">
        <x:v>7000396</x:v>
      </x:c>
      <x:c r="R2905" s="17" t="str">
        <x:v>tt25394568</x:v>
      </x:c>
      <x:c r="S2905" s="17" t="str">
        <x:v>1588</x:v>
      </x:c>
    </x:row>
    <x:row r="2906">
      <x:c r="A2906" s="43" t="n">
        <x:v>2902</x:v>
      </x:c>
      <x:c r="B2906" s="44" t="str">
        <x:v>Not Started</x:v>
      </x:c>
      <x:c r="C2906" s="45" t="n">
        <x:v>44945</x:v>
      </x:c>
      <x:c r="D2906" s="33" t="str">
        <x:v>Chicago Med</x:v>
      </x:c>
      <x:c r="E2906" s="33" t="str">
        <x:v>One Chicago</x:v>
      </x:c>
      <x:c r="F2906" s="33" t="str">
        <x:v>core</x:v>
      </x:c>
      <x:c r="G2906" s="50" t="n">
        <x:v>8</x:v>
      </x:c>
      <x:c r="H2906" s="50" t="n">
        <x:v>12</x:v>
      </x:c>
      <x:c r="I2906" s="44" t="str">
        <x:v>08.12</x:v>
      </x:c>
      <x:c r="J2906" s="33" t="str">
        <x:v>We All Know What They Say About Assumptions</x:v>
      </x:c>
      <x:c r="K2906" s="33" t="str"/>
      <x:c r="L2906" s="33" t="str"/>
      <x:c r="M2906" s="44" t="str"/>
      <x:c r="N2906" s="50" t="n">
        <x:v>42</x:v>
      </x:c>
      <x:c r="O2906" s="53" t="str">
        <x:v>Goodwin, Maggie and Marcel help victims of a hit-and-run accident. Halstead struggles to diagnose a patient with seizures. Asher and Archer clash with Jack Dayton.</x:v>
      </x:c>
      <x:c r="P2906" s="53" t="str">
        <x:v>Core One Chicago franchise</x:v>
      </x:c>
      <x:c r="Q2906" s="17" t="str">
        <x:v>7167532</x:v>
      </x:c>
      <x:c r="R2906" s="17" t="str">
        <x:v>tt25728230</x:v>
      </x:c>
      <x:c r="S2906" s="17" t="str"/>
    </x:row>
    <x:row r="2907">
      <x:c r="A2907" s="43" t="n">
        <x:v>2903</x:v>
      </x:c>
      <x:c r="B2907" s="44" t="str">
        <x:v>Not Started</x:v>
      </x:c>
      <x:c r="C2907" s="45" t="n">
        <x:v>44945</x:v>
      </x:c>
      <x:c r="D2907" s="33" t="str">
        <x:v>Chicago P.D.</x:v>
      </x:c>
      <x:c r="E2907" s="33" t="str">
        <x:v>One Chicago</x:v>
      </x:c>
      <x:c r="F2907" s="33" t="str">
        <x:v>core</x:v>
      </x:c>
      <x:c r="G2907" s="50" t="n">
        <x:v>10</x:v>
      </x:c>
      <x:c r="H2907" s="50" t="n">
        <x:v>12</x:v>
      </x:c>
      <x:c r="I2907" s="44" t="str">
        <x:v>10.12</x:v>
      </x:c>
      <x:c r="J2907" s="33" t="str">
        <x:v>I Can Let You Go</x:v>
      </x:c>
      <x:c r="K2907" s="33" t="str"/>
      <x:c r="L2907" s="33" t="str"/>
      <x:c r="M2907" s="44" t="str"/>
      <x:c r="N2907" s="50" t="n">
        <x:v>43</x:v>
      </x:c>
      <x:c r="O2907" s="53" t="str">
        <x:v>Sean O'Neal surprises Upton with a call from prison, revealing sensitive information. Meanwhile, the team quickly mobilizes to stop a crime in progress before it's too late.</x:v>
      </x:c>
      <x:c r="P2907" s="53" t="str">
        <x:v>Core One Chicago franchise; crossovers with SVU/FBI</x:v>
      </x:c>
      <x:c r="Q2907" s="17" t="str">
        <x:v>7167796</x:v>
      </x:c>
      <x:c r="R2907" s="17" t="str">
        <x:v>tt25567352</x:v>
      </x:c>
      <x:c r="S2907" s="17" t="str"/>
    </x:row>
    <x:row r="2908">
      <x:c r="A2908" s="43" t="n">
        <x:v>2904</x:v>
      </x:c>
      <x:c r="B2908" s="44" t="str">
        <x:v>Not Started</x:v>
      </x:c>
      <x:c r="C2908" s="45" t="n">
        <x:v>44945</x:v>
      </x:c>
      <x:c r="D2908" s="33" t="str">
        <x:v>Chicago Fire</x:v>
      </x:c>
      <x:c r="E2908" s="33" t="str">
        <x:v>One Chicago</x:v>
      </x:c>
      <x:c r="F2908" s="33" t="str">
        <x:v>core</x:v>
      </x:c>
      <x:c r="G2908" s="50" t="n">
        <x:v>11</x:v>
      </x:c>
      <x:c r="H2908" s="50" t="n">
        <x:v>12</x:v>
      </x:c>
      <x:c r="I2908" s="44" t="str">
        <x:v>11.12</x:v>
      </x:c>
      <x:c r="J2908" s="33" t="str">
        <x:v>How Does It End?</x:v>
      </x:c>
      <x:c r="K2908" s="33" t="str"/>
      <x:c r="L2908" s="33" t="str"/>
      <x:c r="M2908" s="44" t="str"/>
      <x:c r="N2908" s="50" t="n">
        <x:v>43</x:v>
      </x:c>
      <x:c r="O2908" s="53" t="str">
        <x:v>Truck and Squad clash after a tense call rescuing a doomsday prepper. Herrmann struggles with Cindy's diagnosis. Violet gives Brett and Gallo dating advice.</x:v>
      </x:c>
      <x:c r="P2908" s="53" t="str">
        <x:v>Core One Chicago franchise</x:v>
      </x:c>
      <x:c r="Q2908" s="17" t="str">
        <x:v>7163908</x:v>
      </x:c>
      <x:c r="R2908" s="17" t="str">
        <x:v>tt25728260</x:v>
      </x:c>
      <x:c r="S2908" s="17" t="str"/>
    </x:row>
    <x:row r="2909">
      <x:c r="A2909" s="43" t="n">
        <x:v>2905</x:v>
      </x:c>
      <x:c r="B2909" s="44" t="str">
        <x:v>Not Started</x:v>
      </x:c>
      <x:c r="C2909" s="45" t="n">
        <x:v>44951</x:v>
      </x:c>
      <x:c r="D2909" s="33" t="str">
        <x:v>FBI: International</x:v>
      </x:c>
      <x:c r="E2909" s="33" t="str">
        <x:v>FBI</x:v>
      </x:c>
      <x:c r="F2909" s="33" t="str">
        <x:v>core</x:v>
      </x:c>
      <x:c r="G2909" s="50" t="n">
        <x:v>2</x:v>
      </x:c>
      <x:c r="H2909" s="50" t="n">
        <x:v>11</x:v>
      </x:c>
      <x:c r="I2909" s="44" t="str">
        <x:v>02.11</x:v>
      </x:c>
      <x:c r="J2909" s="33" t="str">
        <x:v>Someone She Knew</x:v>
      </x:c>
      <x:c r="K2909" s="33" t="str"/>
      <x:c r="L2909" s="33" t="str"/>
      <x:c r="M2909" s="44" t="str"/>
      <x:c r="N2909" s="50" t="n">
        <x:v>42</x:v>
      </x:c>
      <x:c r="O2909" s="53" t="str">
        <x:v>The team races to find a kidnapped American teen in Austria as the clock ticks on Forrester's reassignment.</x:v>
      </x:c>
      <x:c r="P2909" s="53" t="str">
        <x:v>Core FBI franchise</x:v>
      </x:c>
      <x:c r="Q2909" s="17" t="str">
        <x:v>7232651</x:v>
      </x:c>
      <x:c r="R2909" s="17" t="str">
        <x:v>tt26030104</x:v>
      </x:c>
      <x:c r="S2909" s="17" t="str"/>
    </x:row>
    <x:row r="2910">
      <x:c r="A2910" s="43" t="n">
        <x:v>2906</x:v>
      </x:c>
      <x:c r="B2910" s="44" t="str">
        <x:v>Not Started</x:v>
      </x:c>
      <x:c r="C2910" s="45" t="n">
        <x:v>44951</x:v>
      </x:c>
      <x:c r="D2910" s="33" t="str">
        <x:v>FBI: Most Wanted</x:v>
      </x:c>
      <x:c r="E2910" s="33" t="str">
        <x:v>FBI</x:v>
      </x:c>
      <x:c r="F2910" s="33" t="str">
        <x:v>core</x:v>
      </x:c>
      <x:c r="G2910" s="50" t="n">
        <x:v>4</x:v>
      </x:c>
      <x:c r="H2910" s="50" t="n">
        <x:v>11</x:v>
      </x:c>
      <x:c r="I2910" s="44" t="str">
        <x:v>04.11</x:v>
      </x:c>
      <x:c r="J2910" s="33" t="str">
        <x:v>Crypto Wars</x:v>
      </x:c>
      <x:c r="K2910" s="33" t="str"/>
      <x:c r="L2910" s="33" t="str"/>
      <x:c r="M2910" s="44" t="str"/>
      <x:c r="N2910" s="50" t="n">
        <x:v>42</x:v>
      </x:c>
      <x:c r="O2910" s="53" t="str">
        <x:v>As the team chases after the suspects behind an explosion at an Ohio energy plant, they are led towards a major crypto company with enemies looking to take it down; Remy and his sister close a chapter in their lives.</x:v>
      </x:c>
      <x:c r="P2910" s="53" t="str">
        <x:v>Core FBI franchise</x:v>
      </x:c>
      <x:c r="Q2910" s="17" t="str">
        <x:v>7233042</x:v>
      </x:c>
      <x:c r="R2910" s="17" t="str">
        <x:v>tt26024638</x:v>
      </x:c>
      <x:c r="S2910" s="17" t="str"/>
    </x:row>
    <x:row r="2911">
      <x:c r="A2911" s="43" t="n">
        <x:v>2907</x:v>
      </x:c>
      <x:c r="B2911" s="44" t="str">
        <x:v>Not Started</x:v>
      </x:c>
      <x:c r="C2911" s="45" t="n">
        <x:v>44951</x:v>
      </x:c>
      <x:c r="D2911" s="33" t="str">
        <x:v>FBI</x:v>
      </x:c>
      <x:c r="E2911" s="33" t="str">
        <x:v>FBI</x:v>
      </x:c>
      <x:c r="F2911" s="33" t="str">
        <x:v>core</x:v>
      </x:c>
      <x:c r="G2911" s="50" t="n">
        <x:v>5</x:v>
      </x:c>
      <x:c r="H2911" s="50" t="n">
        <x:v>12</x:v>
      </x:c>
      <x:c r="I2911" s="44" t="str">
        <x:v>05.12</x:v>
      </x:c>
      <x:c r="J2911" s="33" t="str">
        <x:v>Breakdown</x:v>
      </x:c>
      <x:c r="K2911" s="33" t="str"/>
      <x:c r="L2911" s="33" t="str"/>
      <x:c r="M2911" s="44" t="str"/>
      <x:c r="N2911" s="50" t="n">
        <x:v>42</x:v>
      </x:c>
      <x:c r="O2911" s="53" t="str">
        <x:v>After a mysterious bioweapon leaves two MTA workers dead and one injured, the team rushes to determine who is behind the attack and the location of their next target; Jubal’s past demons begin to surface.</x:v>
      </x:c>
      <x:c r="P2911" s="53" t="str">
        <x:v>Core FBI franchise</x:v>
      </x:c>
      <x:c r="Q2911" s="17" t="str">
        <x:v>7233066</x:v>
      </x:c>
      <x:c r="R2911" s="17" t="str">
        <x:v>tt26028068</x:v>
      </x:c>
      <x:c r="S2911" s="17" t="str"/>
    </x:row>
    <x:row r="2912">
      <x:c r="A2912" s="43" t="n">
        <x:v>2908</x:v>
      </x:c>
      <x:c r="B2912" s="44" t="str">
        <x:v>Not Started</x:v>
      </x:c>
      <x:c r="C2912" s="45" t="n">
        <x:v>44952</x:v>
      </x:c>
      <x:c r="D2912" s="33" t="str">
        <x:v>Law &amp; Order: Organized Crime</x:v>
      </x:c>
      <x:c r="E2912" s="33" t="str">
        <x:v>Law &amp; Order</x:v>
      </x:c>
      <x:c r="F2912" s="33" t="str">
        <x:v>core</x:v>
      </x:c>
      <x:c r="G2912" s="50" t="n">
        <x:v>3</x:v>
      </x:c>
      <x:c r="H2912" s="50" t="n">
        <x:v>12</x:v>
      </x:c>
      <x:c r="I2912" s="44" t="str">
        <x:v>03.12</x:v>
      </x:c>
      <x:c r="J2912" s="33" t="str">
        <x:v>Partners in Crime</x:v>
      </x:c>
      <x:c r="K2912" s="33" t="str"/>
      <x:c r="L2912" s="33" t="str"/>
      <x:c r="M2912" s="44" t="str"/>
      <x:c r="N2912" s="50" t="n">
        <x:v>43</x:v>
      </x:c>
      <x:c r="O2912" s="53" t="str">
        <x:v>After learning that an untouchable crime boss may have been behind her former partner's death, Bell enlists the task force to take him down. Stabler is recruited for a secret mission of his own.</x:v>
      </x:c>
      <x:c r="P2912" s="53" t="str">
        <x:v>Core Law &amp; Order franchise</x:v>
      </x:c>
      <x:c r="Q2912" s="17" t="str">
        <x:v>7064482</x:v>
      </x:c>
      <x:c r="R2912" s="17" t="str">
        <x:v>tt25785494</x:v>
      </x:c>
      <x:c r="S2912" s="17" t="str">
        <x:v>1592</x:v>
      </x:c>
    </x:row>
    <x:row r="2913">
      <x:c r="A2913" s="43" t="n">
        <x:v>2909</x:v>
      </x:c>
      <x:c r="B2913" s="44" t="str">
        <x:v>Not Started</x:v>
      </x:c>
      <x:c r="C2913" s="45" t="n">
        <x:v>44952</x:v>
      </x:c>
      <x:c r="D2913" s="33" t="str">
        <x:v>Law &amp; Order</x:v>
      </x:c>
      <x:c r="E2913" s="33" t="str">
        <x:v>Law &amp; Order</x:v>
      </x:c>
      <x:c r="F2913" s="33" t="str">
        <x:v>core</x:v>
      </x:c>
      <x:c r="G2913" s="50" t="n">
        <x:v>22</x:v>
      </x:c>
      <x:c r="H2913" s="50" t="n">
        <x:v>12</x:v>
      </x:c>
      <x:c r="I2913" s="44" t="str">
        <x:v>22.12</x:v>
      </x:c>
      <x:c r="J2913" s="33" t="str">
        <x:v>Almost Famous</x:v>
      </x:c>
      <x:c r="K2913" s="33" t="str"/>
      <x:c r="L2913" s="33" t="str"/>
      <x:c r="M2913" s="44" t="str"/>
      <x:c r="N2913" s="50" t="n">
        <x:v>42</x:v>
      </x:c>
      <x:c r="O2913" s="53" t="str">
        <x:v>After a teenager is killed, Cosgrove and Shaw discover what lengths kids will go to become internet famous; Price and Maroun take a risk to go after whom they believe to be the real criminal in the case, but they wind up back where they started.</x:v>
      </x:c>
      <x:c r="P2913" s="53" t="str">
        <x:v>Core Law &amp; Order franchise</x:v>
      </x:c>
      <x:c r="Q2913" s="17" t="str">
        <x:v>7160299</x:v>
      </x:c>
      <x:c r="R2913" s="17" t="str">
        <x:v>tt25785448</x:v>
      </x:c>
      <x:c r="S2913" s="17" t="str">
        <x:v>1590</x:v>
      </x:c>
    </x:row>
    <x:row r="2914">
      <x:c r="A2914" s="43" t="n">
        <x:v>2910</x:v>
      </x:c>
      <x:c r="B2914" s="44" t="str">
        <x:v>Not Started</x:v>
      </x:c>
      <x:c r="C2914" s="45" t="n">
        <x:v>44952</x:v>
      </x:c>
      <x:c r="D2914" s="33" t="str">
        <x:v>Law &amp; Order: Special Victims Unit</x:v>
      </x:c>
      <x:c r="E2914" s="33" t="str">
        <x:v>Law &amp; Order</x:v>
      </x:c>
      <x:c r="F2914" s="33" t="str">
        <x:v>core</x:v>
      </x:c>
      <x:c r="G2914" s="50" t="n">
        <x:v>24</x:v>
      </x:c>
      <x:c r="H2914" s="50" t="n">
        <x:v>12</x:v>
      </x:c>
      <x:c r="I2914" s="44" t="str">
        <x:v>24.12</x:v>
      </x:c>
      <x:c r="J2914" s="33" t="str">
        <x:v>Blood Out</x:v>
      </x:c>
      <x:c r="K2914" s="33" t="str"/>
      <x:c r="L2914" s="33" t="str"/>
      <x:c r="M2914" s="44" t="str"/>
      <x:c r="N2914" s="50" t="n">
        <x:v>41</x:v>
      </x:c>
      <x:c r="O2914" s="53" t="str">
        <x:v>As Benson and Carisi put a vengeful crime boss on trial, Fin tries to help a woman who was drugged and left for dead. Velasco takes drastic action to get information from a witness.</x:v>
      </x:c>
      <x:c r="P2914" s="53" t="str">
        <x:v>Core Law &amp; Order franchise</x:v>
      </x:c>
      <x:c r="Q2914" s="17" t="str">
        <x:v>7002214</x:v>
      </x:c>
      <x:c r="R2914" s="17" t="str">
        <x:v>tt24167654</x:v>
      </x:c>
      <x:c r="S2914" s="17" t="str">
        <x:v>1591</x:v>
      </x:c>
    </x:row>
    <x:row r="2915">
      <x:c r="A2915" s="43" t="n">
        <x:v>2911</x:v>
      </x:c>
      <x:c r="B2915" s="44" t="str">
        <x:v>Not Started</x:v>
      </x:c>
      <x:c r="C2915" s="45" t="n">
        <x:v>44959</x:v>
      </x:c>
      <x:c r="D2915" s="33" t="str">
        <x:v>Law &amp; Order: Organized Crime</x:v>
      </x:c>
      <x:c r="E2915" s="33" t="str">
        <x:v>Law &amp; Order</x:v>
      </x:c>
      <x:c r="F2915" s="33" t="str">
        <x:v>core</x:v>
      </x:c>
      <x:c r="G2915" s="50" t="n">
        <x:v>3</x:v>
      </x:c>
      <x:c r="H2915" s="50" t="n">
        <x:v>13</x:v>
      </x:c>
      <x:c r="I2915" s="44" t="str">
        <x:v>03.13</x:v>
      </x:c>
      <x:c r="J2915" s="33" t="str">
        <x:v>Punch Drunk</x:v>
      </x:c>
      <x:c r="K2915" s="33" t="str"/>
      <x:c r="L2915" s="33" t="str"/>
      <x:c r="M2915" s="44" t="str"/>
      <x:c r="N2915" s="50" t="n">
        <x:v>43</x:v>
      </x:c>
      <x:c r="O2915" s="53" t="str">
        <x:v>Stabler and Teddy Silas hatch a plan to turn the club into an indispensable venue for Murphy's illegal dealings. Jet blurs the lines between real life and her undercover persona. Bell tries to convince Thurman to take her investigation seriously.</x:v>
      </x:c>
      <x:c r="P2915" s="53" t="str">
        <x:v>Core Law &amp; Order franchise</x:v>
      </x:c>
      <x:c r="Q2915" s="17" t="str">
        <x:v>7252114</x:v>
      </x:c>
      <x:c r="R2915" s="17" t="str">
        <x:v>tt26421602</x:v>
      </x:c>
      <x:c r="S2915" s="17" t="str">
        <x:v>1595</x:v>
      </x:c>
    </x:row>
    <x:row r="2916">
      <x:c r="A2916" s="43" t="n">
        <x:v>2912</x:v>
      </x:c>
      <x:c r="B2916" s="44" t="str">
        <x:v>Not Started</x:v>
      </x:c>
      <x:c r="C2916" s="45" t="n">
        <x:v>44959</x:v>
      </x:c>
      <x:c r="D2916" s="33" t="str">
        <x:v>Law &amp; Order</x:v>
      </x:c>
      <x:c r="E2916" s="33" t="str">
        <x:v>Law &amp; Order</x:v>
      </x:c>
      <x:c r="F2916" s="33" t="str">
        <x:v>core</x:v>
      </x:c>
      <x:c r="G2916" s="50" t="n">
        <x:v>22</x:v>
      </x:c>
      <x:c r="H2916" s="50" t="n">
        <x:v>13</x:v>
      </x:c>
      <x:c r="I2916" s="44" t="str">
        <x:v>22.13</x:v>
      </x:c>
      <x:c r="J2916" s="33" t="str">
        <x:v>Mammon</x:v>
      </x:c>
      <x:c r="K2916" s="33" t="str"/>
      <x:c r="L2916" s="33" t="str"/>
      <x:c r="M2916" s="44" t="str"/>
      <x:c r="N2916" s="50" t="n">
        <x:v>42</x:v>
      </x:c>
      <x:c r="O2916" s="53" t="str">
        <x:v>When a graduate student is found dead, Cosgrove and Shaw follow the evidence to a suspect with no clear motive. Price and Maroun uncover a money-grabbing scheme within a church. McCoy warns them to focus on the suspects and not the institution.</x:v>
      </x:c>
      <x:c r="P2916" s="53" t="str">
        <x:v>Core Law &amp; Order franchise</x:v>
      </x:c>
      <x:c r="Q2916" s="17" t="str">
        <x:v>7257283</x:v>
      </x:c>
      <x:c r="R2916" s="17" t="str">
        <x:v>tt26421574</x:v>
      </x:c>
      <x:c r="S2916" s="17" t="str">
        <x:v>1593</x:v>
      </x:c>
    </x:row>
    <x:row r="2917">
      <x:c r="A2917" s="43" t="n">
        <x:v>2913</x:v>
      </x:c>
      <x:c r="B2917" s="44" t="str">
        <x:v>Not Started</x:v>
      </x:c>
      <x:c r="C2917" s="45" t="n">
        <x:v>44959</x:v>
      </x:c>
      <x:c r="D2917" s="33" t="str">
        <x:v>Law &amp; Order: Special Victims Unit</x:v>
      </x:c>
      <x:c r="E2917" s="33" t="str">
        <x:v>Law &amp; Order</x:v>
      </x:c>
      <x:c r="F2917" s="33" t="str">
        <x:v>core</x:v>
      </x:c>
      <x:c r="G2917" s="50" t="n">
        <x:v>24</x:v>
      </x:c>
      <x:c r="H2917" s="50" t="n">
        <x:v>13</x:v>
      </x:c>
      <x:c r="I2917" s="44" t="str">
        <x:v>24.13</x:v>
      </x:c>
      <x:c r="J2917" s="33" t="str">
        <x:v>Intersection</x:v>
      </x:c>
      <x:c r="K2917" s="33" t="str"/>
      <x:c r="L2917" s="33" t="str"/>
      <x:c r="M2917" s="44" t="str"/>
      <x:c r="N2917" s="50" t="n">
        <x:v>41</x:v>
      </x:c>
      <x:c r="O2917" s="53" t="str">
        <x:v>A car accident leads the detectives on a search for an ambulance driver assaulting his charges. Fin gives Det. Bruno a tour of Manhattan SVU.</x:v>
      </x:c>
      <x:c r="P2917" s="53" t="str">
        <x:v>Core Law &amp; Order franchise</x:v>
      </x:c>
      <x:c r="Q2917" s="17" t="str">
        <x:v>7215320</x:v>
      </x:c>
      <x:c r="R2917" s="17" t="str">
        <x:v>tt26421591</x:v>
      </x:c>
      <x:c r="S2917" s="17" t="str">
        <x:v>1594</x:v>
      </x:c>
    </x:row>
    <x:row r="2918">
      <x:c r="A2918" s="43" t="n">
        <x:v>2914</x:v>
      </x:c>
      <x:c r="B2918" s="44" t="str">
        <x:v>Not Started</x:v>
      </x:c>
      <x:c r="C2918" s="45" t="n">
        <x:v>44972</x:v>
      </x:c>
      <x:c r="D2918" s="33" t="str">
        <x:v>FBI: International</x:v>
      </x:c>
      <x:c r="E2918" s="33" t="str">
        <x:v>FBI</x:v>
      </x:c>
      <x:c r="F2918" s="33" t="str">
        <x:v>core</x:v>
      </x:c>
      <x:c r="G2918" s="50" t="n">
        <x:v>2</x:v>
      </x:c>
      <x:c r="H2918" s="50" t="n">
        <x:v>12</x:v>
      </x:c>
      <x:c r="I2918" s="44" t="str">
        <x:v>02.12</x:v>
      </x:c>
      <x:c r="J2918" s="33" t="str">
        <x:v>Glimmers and Ghosts</x:v>
      </x:c>
      <x:c r="K2918" s="33" t="str"/>
      <x:c r="L2918" s="33" t="str"/>
      <x:c r="M2918" s="44" t="str"/>
      <x:c r="N2918" s="50" t="n">
        <x:v>43</x:v>
      </x:c>
      <x:c r="O2918" s="53" t="str">
        <x:v>The Fly Team and Smitty reunite with Jaeger in Berlin as they all delve into a case involving an unidentified American who killed an elderly German man who appears to have been a covert asset of the ruthless Stasi in East Germany during the Cold War.</x:v>
      </x:c>
      <x:c r="P2918" s="53" t="str">
        <x:v>Core FBI franchise</x:v>
      </x:c>
      <x:c r="Q2918" s="17" t="str">
        <x:v>7309522</x:v>
      </x:c>
      <x:c r="R2918" s="17" t="str">
        <x:v>tt26246542</x:v>
      </x:c>
      <x:c r="S2918" s="17" t="str"/>
    </x:row>
    <x:row r="2919">
      <x:c r="A2919" s="43" t="n">
        <x:v>2915</x:v>
      </x:c>
      <x:c r="B2919" s="44" t="str">
        <x:v>Not Started</x:v>
      </x:c>
      <x:c r="C2919" s="45" t="n">
        <x:v>44972</x:v>
      </x:c>
      <x:c r="D2919" s="33" t="str">
        <x:v>FBI: Most Wanted</x:v>
      </x:c>
      <x:c r="E2919" s="33" t="str">
        <x:v>FBI</x:v>
      </x:c>
      <x:c r="F2919" s="33" t="str">
        <x:v>core</x:v>
      </x:c>
      <x:c r="G2919" s="50" t="n">
        <x:v>4</x:v>
      </x:c>
      <x:c r="H2919" s="50" t="n">
        <x:v>12</x:v>
      </x:c>
      <x:c r="I2919" s="44" t="str">
        <x:v>04.12</x:v>
      </x:c>
      <x:c r="J2919" s="33" t="str">
        <x:v>Black Mirror</x:v>
      </x:c>
      <x:c r="K2919" s="33" t="str"/>
      <x:c r="L2919" s="33" t="str"/>
      <x:c r="M2919" s="44" t="str"/>
      <x:c r="N2919" s="50" t="n">
        <x:v>42</x:v>
      </x:c>
      <x:c r="O2919" s="53" t="str">
        <x:v>When two Vermont teens are kidnapped on their way home from a basketball game, the team is led to a wayward pastor and his brother. Also, Remy attends a hearing for his brother's murderer.</x:v>
      </x:c>
      <x:c r="P2919" s="53" t="str">
        <x:v>Core FBI franchise</x:v>
      </x:c>
      <x:c r="Q2919" s="17" t="str">
        <x:v>7309524</x:v>
      </x:c>
      <x:c r="R2919" s="17" t="str">
        <x:v>tt26246546</x:v>
      </x:c>
      <x:c r="S2919" s="17" t="str"/>
    </x:row>
    <x:row r="2920">
      <x:c r="A2920" s="43" t="n">
        <x:v>2916</x:v>
      </x:c>
      <x:c r="B2920" s="44" t="str">
        <x:v>Not Started</x:v>
      </x:c>
      <x:c r="C2920" s="45" t="n">
        <x:v>44972</x:v>
      </x:c>
      <x:c r="D2920" s="33" t="str">
        <x:v>FBI</x:v>
      </x:c>
      <x:c r="E2920" s="33" t="str">
        <x:v>FBI</x:v>
      </x:c>
      <x:c r="F2920" s="33" t="str">
        <x:v>core</x:v>
      </x:c>
      <x:c r="G2920" s="50" t="n">
        <x:v>5</x:v>
      </x:c>
      <x:c r="H2920" s="50" t="n">
        <x:v>13</x:v>
      </x:c>
      <x:c r="I2920" s="44" t="str">
        <x:v>05.13</x:v>
      </x:c>
      <x:c r="J2920" s="33" t="str">
        <x:v>Protégé</x:v>
      </x:c>
      <x:c r="K2920" s="33" t="str"/>
      <x:c r="L2920" s="33" t="str"/>
      <x:c r="M2920" s="44" t="str"/>
      <x:c r="N2920" s="50" t="n">
        <x:v>41</x:v>
      </x:c>
      <x:c r="O2920" s="53" t="str">
        <x:v>The team investigates the murder of a professional informant after he's found dead outside an abandoned factory in Red Hook. Also, Maggie reconnects with an old colleague and mentor.</x:v>
      </x:c>
      <x:c r="P2920" s="53" t="str">
        <x:v>Core FBI franchise</x:v>
      </x:c>
      <x:c r="Q2920" s="17" t="str">
        <x:v>7268260</x:v>
      </x:c>
      <x:c r="R2920" s="17" t="str">
        <x:v>tt26246530</x:v>
      </x:c>
      <x:c r="S2920" s="17" t="str"/>
    </x:row>
    <x:row r="2921">
      <x:c r="A2921" s="43" t="n">
        <x:v>2917</x:v>
      </x:c>
      <x:c r="B2921" s="44" t="str">
        <x:v>Not Started</x:v>
      </x:c>
      <x:c r="C2921" s="45" t="n">
        <x:v>44973</x:v>
      </x:c>
      <x:c r="D2921" s="33" t="str">
        <x:v>Law &amp; Order: Organized Crime</x:v>
      </x:c>
      <x:c r="E2921" s="33" t="str">
        <x:v>Law &amp; Order</x:v>
      </x:c>
      <x:c r="F2921" s="33" t="str">
        <x:v>core</x:v>
      </x:c>
      <x:c r="G2921" s="50" t="n">
        <x:v>3</x:v>
      </x:c>
      <x:c r="H2921" s="50" t="n">
        <x:v>14</x:v>
      </x:c>
      <x:c r="I2921" s="44" t="str">
        <x:v>03.14</x:v>
      </x:c>
      <x:c r="J2921" s="33" t="str">
        <x:v>All in the Game</x:v>
      </x:c>
      <x:c r="K2921" s="33" t="str"/>
      <x:c r="L2921" s="33" t="str"/>
      <x:c r="M2921" s="44" t="str"/>
      <x:c r="N2921" s="50" t="n">
        <x:v>43</x:v>
      </x:c>
      <x:c r="O2921" s="53" t="str">
        <x:v>When a member of the task force goes missing, Teddy takes advantage of the chaos to make his escape. Bell secures a key piece of evidence in her case against Murphy.</x:v>
      </x:c>
      <x:c r="P2921" s="53" t="str">
        <x:v>Core Law &amp; Order franchise</x:v>
      </x:c>
      <x:c r="Q2921" s="17" t="str">
        <x:v>7294556</x:v>
      </x:c>
      <x:c r="R2921" s="17" t="str">
        <x:v>tt26624834</x:v>
      </x:c>
      <x:c r="S2921" s="17" t="str">
        <x:v>1598</x:v>
      </x:c>
    </x:row>
    <x:row r="2922">
      <x:c r="A2922" s="43" t="n">
        <x:v>2918</x:v>
      </x:c>
      <x:c r="B2922" s="44" t="str">
        <x:v>Not Started</x:v>
      </x:c>
      <x:c r="C2922" s="45" t="n">
        <x:v>44973</x:v>
      </x:c>
      <x:c r="D2922" s="33" t="str">
        <x:v>Chicago Med</x:v>
      </x:c>
      <x:c r="E2922" s="33" t="str">
        <x:v>One Chicago</x:v>
      </x:c>
      <x:c r="F2922" s="33" t="str">
        <x:v>core</x:v>
      </x:c>
      <x:c r="G2922" s="50" t="n">
        <x:v>8</x:v>
      </x:c>
      <x:c r="H2922" s="50" t="n">
        <x:v>13</x:v>
      </x:c>
      <x:c r="I2922" s="44" t="str">
        <x:v>08.13</x:v>
      </x:c>
      <x:c r="J2922" s="33" t="str">
        <x:v>It's an Ill Wind That Blows Nobody Good</x:v>
      </x:c>
      <x:c r="K2922" s="33" t="str"/>
      <x:c r="L2922" s="33" t="str"/>
      <x:c r="M2922" s="44" t="str"/>
      <x:c r="N2922" s="50" t="n">
        <x:v>43</x:v>
      </x:c>
      <x:c r="O2922" s="53" t="str">
        <x:v>A brutal storm rocks Chicago. Halstead encourages Dr. Grace Song to go against her own findings for the benefit of their patient. Asher rushes to the hospital to help Archer's pregnant patient. Maggie's concern for Ben consumes her.</x:v>
      </x:c>
      <x:c r="P2922" s="53" t="str">
        <x:v>Core One Chicago franchise</x:v>
      </x:c>
      <x:c r="Q2922" s="17" t="str">
        <x:v>7253293</x:v>
      </x:c>
      <x:c r="R2922" s="17" t="str">
        <x:v>tt26545802</x:v>
      </x:c>
      <x:c r="S2922" s="17" t="str"/>
    </x:row>
    <x:row r="2923">
      <x:c r="A2923" s="43" t="n">
        <x:v>2919</x:v>
      </x:c>
      <x:c r="B2923" s="44" t="str">
        <x:v>Not Started</x:v>
      </x:c>
      <x:c r="C2923" s="45" t="n">
        <x:v>44973</x:v>
      </x:c>
      <x:c r="D2923" s="33" t="str">
        <x:v>Chicago P.D.</x:v>
      </x:c>
      <x:c r="E2923" s="33" t="str">
        <x:v>One Chicago</x:v>
      </x:c>
      <x:c r="F2923" s="33" t="str">
        <x:v>core</x:v>
      </x:c>
      <x:c r="G2923" s="50" t="n">
        <x:v>10</x:v>
      </x:c>
      <x:c r="H2923" s="50" t="n">
        <x:v>13</x:v>
      </x:c>
      <x:c r="I2923" s="44" t="str">
        <x:v>10.13</x:v>
      </x:c>
      <x:c r="J2923" s="33" t="str">
        <x:v>The Ghost in You</x:v>
      </x:c>
      <x:c r="K2923" s="33" t="str"/>
      <x:c r="L2923" s="33" t="str"/>
      <x:c r="M2923" s="44" t="str"/>
      <x:c r="N2923" s="50" t="n">
        <x:v>43</x:v>
      </x:c>
      <x:c r="O2923" s="53" t="str">
        <x:v>Voight and the team help ASA Nina Chapman pursue a drug runner who dodged prison years ago after Chapman's informant mysteriously disappeared. The investigation takes a turn when Voight uncovers a damaging secret from Chapman's past.</x:v>
      </x:c>
      <x:c r="P2923" s="53" t="str">
        <x:v>Core One Chicago franchise; crossovers with SVU/FBI</x:v>
      </x:c>
      <x:c r="Q2923" s="17" t="str">
        <x:v>7252699</x:v>
      </x:c>
      <x:c r="R2923" s="17" t="str">
        <x:v>tt26491316</x:v>
      </x:c>
      <x:c r="S2923" s="17" t="str"/>
    </x:row>
    <x:row r="2924">
      <x:c r="A2924" s="43" t="n">
        <x:v>2920</x:v>
      </x:c>
      <x:c r="B2924" s="44" t="str">
        <x:v>Not Started</x:v>
      </x:c>
      <x:c r="C2924" s="45" t="n">
        <x:v>44973</x:v>
      </x:c>
      <x:c r="D2924" s="33" t="str">
        <x:v>Chicago Fire</x:v>
      </x:c>
      <x:c r="E2924" s="33" t="str">
        <x:v>One Chicago</x:v>
      </x:c>
      <x:c r="F2924" s="33" t="str">
        <x:v>core</x:v>
      </x:c>
      <x:c r="G2924" s="50" t="n">
        <x:v>11</x:v>
      </x:c>
      <x:c r="H2924" s="50" t="n">
        <x:v>13</x:v>
      </x:c>
      <x:c r="I2924" s="44" t="str">
        <x:v>11.13</x:v>
      </x:c>
      <x:c r="J2924" s="33" t="str">
        <x:v>The Man of the Moment</x:v>
      </x:c>
      <x:c r="K2924" s="33" t="str"/>
      <x:c r="L2924" s="33" t="str"/>
      <x:c r="M2924" s="44" t="str"/>
      <x:c r="N2924" s="50" t="n">
        <x:v>42</x:v>
      </x:c>
      <x:c r="O2924" s="53" t="str">
        <x:v>Firehouse 51 helps Herrmann put on a school fundraiser. Carver's troubled brother comes to town. A grateful citizen is determined to thank Brett and Severide for saving his life.</x:v>
      </x:c>
      <x:c r="P2924" s="53" t="str">
        <x:v>Core One Chicago franchise</x:v>
      </x:c>
      <x:c r="Q2924" s="17" t="str">
        <x:v>7253294</x:v>
      </x:c>
      <x:c r="R2924" s="17" t="str">
        <x:v>tt26345672</x:v>
      </x:c>
      <x:c r="S2924" s="17" t="str"/>
    </x:row>
    <x:row r="2925">
      <x:c r="A2925" s="43" t="n">
        <x:v>2921</x:v>
      </x:c>
      <x:c r="B2925" s="44" t="str">
        <x:v>Not Started</x:v>
      </x:c>
      <x:c r="C2925" s="45" t="n">
        <x:v>44973</x:v>
      </x:c>
      <x:c r="D2925" s="33" t="str">
        <x:v>Law &amp; Order</x:v>
      </x:c>
      <x:c r="E2925" s="33" t="str">
        <x:v>Law &amp; Order</x:v>
      </x:c>
      <x:c r="F2925" s="33" t="str">
        <x:v>core</x:v>
      </x:c>
      <x:c r="G2925" s="50" t="n">
        <x:v>22</x:v>
      </x:c>
      <x:c r="H2925" s="50" t="n">
        <x:v>14</x:v>
      </x:c>
      <x:c r="I2925" s="44" t="str">
        <x:v>22.14</x:v>
      </x:c>
      <x:c r="J2925" s="33" t="str">
        <x:v>Heroes</x:v>
      </x:c>
      <x:c r="K2925" s="33" t="str"/>
      <x:c r="L2925" s="33" t="str"/>
      <x:c r="M2925" s="44" t="str"/>
      <x:c r="N2925" s="50" t="n">
        <x:v>42</x:v>
      </x:c>
      <x:c r="O2925" s="53" t="str">
        <x:v>After shots are fired in a popular nightclub, Cosgrove and Shaw suspect the spree was a ruse to target a sole victim. When security footage mysteriously disappears, Price and Maroun must rely on a witness who values reputation over facts.</x:v>
      </x:c>
      <x:c r="P2925" s="53" t="str">
        <x:v>Core Law &amp; Order franchise</x:v>
      </x:c>
      <x:c r="Q2925" s="17" t="str">
        <x:v>7294741</x:v>
      </x:c>
      <x:c r="R2925" s="17" t="str">
        <x:v>tt26624890</x:v>
      </x:c>
      <x:c r="S2925" s="17" t="str">
        <x:v>1596</x:v>
      </x:c>
    </x:row>
    <x:row r="2926">
      <x:c r="A2926" s="43" t="n">
        <x:v>2922</x:v>
      </x:c>
      <x:c r="B2926" s="44" t="str">
        <x:v>Not Started</x:v>
      </x:c>
      <x:c r="C2926" s="45" t="n">
        <x:v>44973</x:v>
      </x:c>
      <x:c r="D2926" s="33" t="str">
        <x:v>Law &amp; Order: Special Victims Unit</x:v>
      </x:c>
      <x:c r="E2926" s="33" t="str">
        <x:v>Law &amp; Order</x:v>
      </x:c>
      <x:c r="F2926" s="33" t="str">
        <x:v>core</x:v>
      </x:c>
      <x:c r="G2926" s="50" t="n">
        <x:v>24</x:v>
      </x:c>
      <x:c r="H2926" s="50" t="n">
        <x:v>14</x:v>
      </x:c>
      <x:c r="I2926" s="44" t="str">
        <x:v>24.14</x:v>
      </x:c>
      <x:c r="J2926" s="33" t="str">
        <x:v>Dutch Tears</x:v>
      </x:c>
      <x:c r="K2926" s="33" t="str"/>
      <x:c r="L2926" s="33" t="str"/>
      <x:c r="M2926" s="44" t="str"/>
      <x:c r="N2926" s="50" t="n">
        <x:v>40</x:v>
      </x:c>
      <x:c r="O2926" s="53" t="str">
        <x:v>A recently released convict goes looking for his arresting officer, Fin Tutuola; Carisi tries to get an arrest warrant without a positive suspect ID.</x:v>
      </x:c>
      <x:c r="P2926" s="53" t="str">
        <x:v>Core Law &amp; Order franchise</x:v>
      </x:c>
      <x:c r="Q2926" s="17" t="str">
        <x:v>7256501</x:v>
      </x:c>
      <x:c r="R2926" s="17" t="str">
        <x:v>tt26598611</x:v>
      </x:c>
      <x:c r="S2926" s="17" t="str">
        <x:v>1597</x:v>
      </x:c>
    </x:row>
    <x:row r="2927">
      <x:c r="A2927" s="43" t="n">
        <x:v>2923</x:v>
      </x:c>
      <x:c r="B2927" s="44" t="str">
        <x:v>Not Started</x:v>
      </x:c>
      <x:c r="C2927" s="45" t="n">
        <x:v>44979</x:v>
      </x:c>
      <x:c r="D2927" s="33" t="str">
        <x:v>FBI: International</x:v>
      </x:c>
      <x:c r="E2927" s="33" t="str">
        <x:v>FBI</x:v>
      </x:c>
      <x:c r="F2927" s="33" t="str">
        <x:v>core</x:v>
      </x:c>
      <x:c r="G2927" s="50" t="n">
        <x:v>2</x:v>
      </x:c>
      <x:c r="H2927" s="50" t="n">
        <x:v>13</x:v>
      </x:c>
      <x:c r="I2927" s="44" t="str">
        <x:v>02.13</x:v>
      </x:c>
      <x:c r="J2927" s="33" t="str">
        <x:v>Indefensible</x:v>
      </x:c>
      <x:c r="K2927" s="33" t="str"/>
      <x:c r="L2927" s="33" t="str"/>
      <x:c r="M2927" s="44" t="str"/>
      <x:c r="N2927" s="50" t="n">
        <x:v>41</x:v>
      </x:c>
      <x:c r="O2927" s="53" t="str">
        <x:v>The team investigates the death of an American lawyer working out of Budapest, Hungary, after his is killed by a car bomb; Kellett begins to grow close to Hungarian lieutenant Benedek Erdős as the critical case progresses.</x:v>
      </x:c>
      <x:c r="P2927" s="53" t="str">
        <x:v>Core FBI franchise</x:v>
      </x:c>
      <x:c r="Q2927" s="17" t="str">
        <x:v>7309523</x:v>
      </x:c>
      <x:c r="R2927" s="17" t="str">
        <x:v>tt26542382</x:v>
      </x:c>
      <x:c r="S2927" s="17" t="str"/>
    </x:row>
    <x:row r="2928">
      <x:c r="A2928" s="43" t="n">
        <x:v>2924</x:v>
      </x:c>
      <x:c r="B2928" s="44" t="str">
        <x:v>Not Started</x:v>
      </x:c>
      <x:c r="C2928" s="45" t="n">
        <x:v>44979</x:v>
      </x:c>
      <x:c r="D2928" s="33" t="str">
        <x:v>FBI: Most Wanted</x:v>
      </x:c>
      <x:c r="E2928" s="33" t="str">
        <x:v>FBI</x:v>
      </x:c>
      <x:c r="F2928" s="33" t="str">
        <x:v>core</x:v>
      </x:c>
      <x:c r="G2928" s="50" t="n">
        <x:v>4</x:v>
      </x:c>
      <x:c r="H2928" s="50" t="n">
        <x:v>13</x:v>
      </x:c>
      <x:c r="I2928" s="44" t="str">
        <x:v>04.13</x:v>
      </x:c>
      <x:c r="J2928" s="33" t="str">
        <x:v>Transaction</x:v>
      </x:c>
      <x:c r="K2928" s="33" t="str"/>
      <x:c r="L2928" s="33" t="str"/>
      <x:c r="M2928" s="44" t="str"/>
      <x:c r="N2928" s="50" t="n">
        <x:v>42</x:v>
      </x:c>
      <x:c r="O2928" s="53" t="str">
        <x:v>The team must navigate the mistrust of authorities in a tight-knit Somali community in Minnesota as they race to find a kidnapped 14-year-old girl.</x:v>
      </x:c>
      <x:c r="P2928" s="53" t="str">
        <x:v>Core FBI franchise</x:v>
      </x:c>
      <x:c r="Q2928" s="17" t="str">
        <x:v>7309525</x:v>
      </x:c>
      <x:c r="R2928" s="17" t="str">
        <x:v>tt26542411</x:v>
      </x:c>
      <x:c r="S2928" s="17" t="str"/>
    </x:row>
    <x:row r="2929">
      <x:c r="A2929" s="43" t="n">
        <x:v>2925</x:v>
      </x:c>
      <x:c r="B2929" s="44" t="str">
        <x:v>Not Started</x:v>
      </x:c>
      <x:c r="C2929" s="45" t="n">
        <x:v>44979</x:v>
      </x:c>
      <x:c r="D2929" s="33" t="str">
        <x:v>FBI</x:v>
      </x:c>
      <x:c r="E2929" s="33" t="str">
        <x:v>FBI</x:v>
      </x:c>
      <x:c r="F2929" s="33" t="str">
        <x:v>core</x:v>
      </x:c>
      <x:c r="G2929" s="50" t="n">
        <x:v>5</x:v>
      </x:c>
      <x:c r="H2929" s="50" t="n">
        <x:v>14</x:v>
      </x:c>
      <x:c r="I2929" s="44" t="str">
        <x:v>05.14</x:v>
      </x:c>
      <x:c r="J2929" s="33" t="str">
        <x:v>Money for Nothing</x:v>
      </x:c>
      <x:c r="K2929" s="33" t="str"/>
      <x:c r="L2929" s="33" t="str"/>
      <x:c r="M2929" s="44" t="str"/>
      <x:c r="N2929" s="50" t="n">
        <x:v>40</x:v>
      </x:c>
      <x:c r="O2929" s="53" t="str">
        <x:v>After a string of armed robberies targets various businesses, the team investigates a suspect who leads them to something much bigger; OA worries about his future when his investments begin to go south.</x:v>
      </x:c>
      <x:c r="P2929" s="53" t="str">
        <x:v>Core FBI franchise</x:v>
      </x:c>
      <x:c r="Q2929" s="17" t="str">
        <x:v>7323086</x:v>
      </x:c>
      <x:c r="R2929" s="17" t="str">
        <x:v>tt26542354</x:v>
      </x:c>
      <x:c r="S2929" s="17" t="str"/>
    </x:row>
    <x:row r="2930">
      <x:c r="A2930" s="43" t="n">
        <x:v>2926</x:v>
      </x:c>
      <x:c r="B2930" s="44" t="str">
        <x:v>Not Started</x:v>
      </x:c>
      <x:c r="C2930" s="45" t="n">
        <x:v>44980</x:v>
      </x:c>
      <x:c r="D2930" s="33" t="str">
        <x:v>Law &amp; Order: Organized Crime</x:v>
      </x:c>
      <x:c r="E2930" s="33" t="str">
        <x:v>Law &amp; Order</x:v>
      </x:c>
      <x:c r="F2930" s="33" t="str">
        <x:v>core</x:v>
      </x:c>
      <x:c r="G2930" s="50" t="n">
        <x:v>3</x:v>
      </x:c>
      <x:c r="H2930" s="50" t="n">
        <x:v>15</x:v>
      </x:c>
      <x:c r="I2930" s="44" t="str">
        <x:v>03.15</x:v>
      </x:c>
      <x:c r="J2930" s="33" t="str">
        <x:v>The Wild and the Innocent</x:v>
      </x:c>
      <x:c r="K2930" s="33" t="str"/>
      <x:c r="L2930" s="33" t="str"/>
      <x:c r="M2930" s="44" t="str"/>
      <x:c r="N2930" s="50" t="n">
        <x:v>43</x:v>
      </x:c>
      <x:c r="O2930" s="53" t="str">
        <x:v>After the daughter of Stabler's former Marine buddy is kidnapped, the task force must help to settle a dangerous dispute between two rival biker gangs wrapped up in a deadly scheme.</x:v>
      </x:c>
      <x:c r="P2930" s="53" t="str">
        <x:v>Core Law &amp; Order franchise</x:v>
      </x:c>
      <x:c r="Q2930" s="17" t="str">
        <x:v>7311823</x:v>
      </x:c>
      <x:c r="R2930" s="17" t="str">
        <x:v>tt26691637</x:v>
      </x:c>
      <x:c r="S2930" s="17" t="str">
        <x:v>1601</x:v>
      </x:c>
    </x:row>
    <x:row r="2931">
      <x:c r="A2931" s="43" t="n">
        <x:v>2927</x:v>
      </x:c>
      <x:c r="B2931" s="44" t="str">
        <x:v>Not Started</x:v>
      </x:c>
      <x:c r="C2931" s="45" t="n">
        <x:v>44980</x:v>
      </x:c>
      <x:c r="D2931" s="33" t="str">
        <x:v>Chicago Med</x:v>
      </x:c>
      <x:c r="E2931" s="33" t="str">
        <x:v>One Chicago</x:v>
      </x:c>
      <x:c r="F2931" s="33" t="str">
        <x:v>core</x:v>
      </x:c>
      <x:c r="G2931" s="50" t="n">
        <x:v>8</x:v>
      </x:c>
      <x:c r="H2931" s="50" t="n">
        <x:v>14</x:v>
      </x:c>
      <x:c r="I2931" s="44" t="str">
        <x:v>08.14</x:v>
      </x:c>
      <x:c r="J2931" s="33" t="str">
        <x:v>On Days Like Today... Silver Linings Become Lifelines</x:v>
      </x:c>
      <x:c r="K2931" s="33" t="str"/>
      <x:c r="L2931" s="33" t="str"/>
      <x:c r="M2931" s="44" t="str"/>
      <x:c r="N2931" s="50" t="n">
        <x:v>43</x:v>
      </x:c>
      <x:c r="O2931" s="53" t="str">
        <x:v>Goodwin and Charles clash as negotiations drag on between the administration and the custodial workers' union. Asher fights to keep a mother and her newborn baby together.</x:v>
      </x:c>
      <x:c r="P2931" s="53" t="str">
        <x:v>Core One Chicago franchise</x:v>
      </x:c>
      <x:c r="Q2931" s="17" t="str">
        <x:v>7290679</x:v>
      </x:c>
      <x:c r="R2931" s="17" t="str">
        <x:v>tt26672286</x:v>
      </x:c>
      <x:c r="S2931" s="17" t="str"/>
    </x:row>
    <x:row r="2932">
      <x:c r="A2932" s="43" t="n">
        <x:v>2928</x:v>
      </x:c>
      <x:c r="B2932" s="44" t="str">
        <x:v>Not Started</x:v>
      </x:c>
      <x:c r="C2932" s="45" t="n">
        <x:v>44980</x:v>
      </x:c>
      <x:c r="D2932" s="33" t="str">
        <x:v>Chicago P.D.</x:v>
      </x:c>
      <x:c r="E2932" s="33" t="str">
        <x:v>One Chicago</x:v>
      </x:c>
      <x:c r="F2932" s="33" t="str">
        <x:v>core</x:v>
      </x:c>
      <x:c r="G2932" s="50" t="n">
        <x:v>10</x:v>
      </x:c>
      <x:c r="H2932" s="50" t="n">
        <x:v>14</x:v>
      </x:c>
      <x:c r="I2932" s="44" t="str">
        <x:v>10.14</x:v>
      </x:c>
      <x:c r="J2932" s="33" t="str">
        <x:v>Trapped</x:v>
      </x:c>
      <x:c r="K2932" s="33" t="str"/>
      <x:c r="L2932" s="33" t="str"/>
      <x:c r="M2932" s="44" t="str"/>
      <x:c r="N2932" s="50" t="n">
        <x:v>42</x:v>
      </x:c>
      <x:c r="O2932" s="53" t="str">
        <x:v>After a brutal shooting, Burgess and Ruzek find themselves trapped aboard the busy "L" subway. As they piece together scant evidence, the team is drawn into a dark family drama.</x:v>
      </x:c>
      <x:c r="P2932" s="53" t="str">
        <x:v>Core One Chicago franchise; crossovers with SVU/FBI</x:v>
      </x:c>
      <x:c r="Q2932" s="17" t="str">
        <x:v>7290805</x:v>
      </x:c>
      <x:c r="R2932" s="17" t="str">
        <x:v>tt26671720</x:v>
      </x:c>
      <x:c r="S2932" s="17" t="str"/>
    </x:row>
    <x:row r="2933">
      <x:c r="A2933" s="43" t="n">
        <x:v>2929</x:v>
      </x:c>
      <x:c r="B2933" s="44" t="str">
        <x:v>Not Started</x:v>
      </x:c>
      <x:c r="C2933" s="45" t="n">
        <x:v>44980</x:v>
      </x:c>
      <x:c r="D2933" s="33" t="str">
        <x:v>Chicago Fire</x:v>
      </x:c>
      <x:c r="E2933" s="33" t="str">
        <x:v>One Chicago</x:v>
      </x:c>
      <x:c r="F2933" s="33" t="str">
        <x:v>core</x:v>
      </x:c>
      <x:c r="G2933" s="50" t="n">
        <x:v>11</x:v>
      </x:c>
      <x:c r="H2933" s="50" t="n">
        <x:v>14</x:v>
      </x:c>
      <x:c r="I2933" s="44" t="str">
        <x:v>11.14</x:v>
      </x:c>
      <x:c r="J2933" s="33" t="str">
        <x:v>Run Like Hell</x:v>
      </x:c>
      <x:c r="K2933" s="33" t="str"/>
      <x:c r="L2933" s="33" t="str"/>
      <x:c r="M2933" s="44" t="str"/>
      <x:c r="N2933" s="50" t="n">
        <x:v>43</x:v>
      </x:c>
      <x:c r="O2933" s="53" t="str">
        <x:v>An annoying floater takes a romantic interest in Violet. Ritter catches a local politician in a compromising position. Mouch and Severide help Trudy with an arson investigation.</x:v>
      </x:c>
      <x:c r="P2933" s="53" t="str">
        <x:v>Core One Chicago franchise</x:v>
      </x:c>
      <x:c r="Q2933" s="17" t="str">
        <x:v>7290799</x:v>
      </x:c>
      <x:c r="R2933" s="17" t="str">
        <x:v>tt26671713</x:v>
      </x:c>
      <x:c r="S2933" s="17" t="str"/>
    </x:row>
    <x:row r="2934">
      <x:c r="A2934" s="43" t="n">
        <x:v>2930</x:v>
      </x:c>
      <x:c r="B2934" s="44" t="str">
        <x:v>Not Started</x:v>
      </x:c>
      <x:c r="C2934" s="45" t="n">
        <x:v>44980</x:v>
      </x:c>
      <x:c r="D2934" s="33" t="str">
        <x:v>Law &amp; Order</x:v>
      </x:c>
      <x:c r="E2934" s="33" t="str">
        <x:v>Law &amp; Order</x:v>
      </x:c>
      <x:c r="F2934" s="33" t="str">
        <x:v>core</x:v>
      </x:c>
      <x:c r="G2934" s="50" t="n">
        <x:v>22</x:v>
      </x:c>
      <x:c r="H2934" s="50" t="n">
        <x:v>15</x:v>
      </x:c>
      <x:c r="I2934" s="44" t="str">
        <x:v>22.15</x:v>
      </x:c>
      <x:c r="J2934" s="33" t="str">
        <x:v>Fear and Loathing</x:v>
      </x:c>
      <x:c r="K2934" s="33" t="str"/>
      <x:c r="L2934" s="33" t="str"/>
      <x:c r="M2934" s="44" t="str"/>
      <x:c r="N2934" s="50" t="n">
        <x:v>42</x:v>
      </x:c>
      <x:c r="O2934" s="53" t="str">
        <x:v>Cosgrove and Shaw must unravel a string of false crime reports to get to the truth surrounding a respected doctor's murder. Shaw becomes the target of retaliation when he files a complaint against two patrol officers.</x:v>
      </x:c>
      <x:c r="P2934" s="53" t="str">
        <x:v>Core Law &amp; Order franchise</x:v>
      </x:c>
      <x:c r="Q2934" s="17" t="str">
        <x:v>7311243</x:v>
      </x:c>
      <x:c r="R2934" s="17" t="str">
        <x:v>tt26691616</x:v>
      </x:c>
      <x:c r="S2934" s="17" t="str">
        <x:v>1599</x:v>
      </x:c>
    </x:row>
    <x:row r="2935">
      <x:c r="A2935" s="43" t="n">
        <x:v>2931</x:v>
      </x:c>
      <x:c r="B2935" s="44" t="str">
        <x:v>Not Started</x:v>
      </x:c>
      <x:c r="C2935" s="45" t="n">
        <x:v>44980</x:v>
      </x:c>
      <x:c r="D2935" s="33" t="str">
        <x:v>Law &amp; Order: Special Victims Unit</x:v>
      </x:c>
      <x:c r="E2935" s="33" t="str">
        <x:v>Law &amp; Order</x:v>
      </x:c>
      <x:c r="F2935" s="33" t="str">
        <x:v>core</x:v>
      </x:c>
      <x:c r="G2935" s="50" t="n">
        <x:v>24</x:v>
      </x:c>
      <x:c r="H2935" s="50" t="n">
        <x:v>15</x:v>
      </x:c>
      <x:c r="I2935" s="44" t="str">
        <x:v>24.15</x:v>
      </x:c>
      <x:c r="J2935" s="33" t="str">
        <x:v>King of the Moon</x:v>
      </x:c>
      <x:c r="K2935" s="33" t="str"/>
      <x:c r="L2935" s="33" t="str"/>
      <x:c r="M2935" s="44" t="str"/>
      <x:c r="N2935" s="50" t="n">
        <x:v>41</x:v>
      </x:c>
      <x:c r="O2935" s="53" t="str">
        <x:v>A man with dementia confesses to murder, but Benson and Carisi believe there's more to the case; when rumors swirl around the squad room, Fin presses Velasco for the truth.</x:v>
      </x:c>
      <x:c r="P2935" s="53" t="str">
        <x:v>Core Law &amp; Order franchise</x:v>
      </x:c>
      <x:c r="Q2935" s="17" t="str">
        <x:v>7256502</x:v>
      </x:c>
      <x:c r="R2935" s="17" t="str">
        <x:v>tt26347412</x:v>
      </x:c>
      <x:c r="S2935" s="17" t="str">
        <x:v>1600</x:v>
      </x:c>
    </x:row>
    <x:row r="2936">
      <x:c r="A2936" s="43" t="n">
        <x:v>2932</x:v>
      </x:c>
      <x:c r="B2936" s="44" t="str">
        <x:v>Not Started</x:v>
      </x:c>
      <x:c r="C2936" s="45" t="n">
        <x:v>44983</x:v>
      </x:c>
      <x:c r="D2936" s="33" t="str">
        <x:v>Cold Justice</x:v>
      </x:c>
      <x:c r="E2936" s="33" t="str">
        <x:v>Crossover Adjacent</x:v>
      </x:c>
      <x:c r="F2936" s="33" t="str">
        <x:v>complete</x:v>
      </x:c>
      <x:c r="G2936" s="50" t="n">
        <x:v>6</x:v>
      </x:c>
      <x:c r="H2936" s="50" t="n">
        <x:v>19</x:v>
      </x:c>
      <x:c r="I2936" s="44" t="str">
        <x:v>06.19</x:v>
      </x:c>
      <x:c r="J2936" s="33" t="str">
        <x:v>Burning Mystery</x:v>
      </x:c>
      <x:c r="K2936" s="33" t="str"/>
      <x:c r="L2936" s="33" t="str"/>
      <x:c r="M2936" s="44" t="str"/>
      <x:c r="N2936" s="50" t="n">
        <x:v>42</x:v>
      </x:c>
      <x:c r="O2936" s="53" t="str">
        <x:v>Kelly and Steve investigate the biggest unsolved case in East Texas - the 1992 death of a popular teen whose charred remains were found in her car.</x:v>
      </x:c>
      <x:c r="P2936" s="53" t="str">
        <x:v>Wolf Entertainment unscripted true-crime series</x:v>
      </x:c>
      <x:c r="Q2936" s="17" t="str">
        <x:v>7373510</x:v>
      </x:c>
      <x:c r="R2936" s="17" t="str"/>
      <x:c r="S2936" s="17" t="str"/>
    </x:row>
    <x:row r="2937">
      <x:c r="A2937" s="43" t="n">
        <x:v>2933</x:v>
      </x:c>
      <x:c r="B2937" s="44" t="str">
        <x:v>Not Started</x:v>
      </x:c>
      <x:c r="C2937" s="45" t="n">
        <x:v>44986</x:v>
      </x:c>
      <x:c r="D2937" s="33" t="str">
        <x:v>FBI: International</x:v>
      </x:c>
      <x:c r="E2937" s="33" t="str">
        <x:v>FBI</x:v>
      </x:c>
      <x:c r="F2937" s="33" t="str">
        <x:v>core</x:v>
      </x:c>
      <x:c r="G2937" s="50" t="n">
        <x:v>2</x:v>
      </x:c>
      <x:c r="H2937" s="50" t="n">
        <x:v>14</x:v>
      </x:c>
      <x:c r="I2937" s="44" t="str">
        <x:v>02.14</x:v>
      </x:c>
      <x:c r="J2937" s="33" t="str">
        <x:v>He Who Speaks Dies</x:v>
      </x:c>
      <x:c r="K2937" s="33" t="str"/>
      <x:c r="L2937" s="33" t="str"/>
      <x:c r="M2937" s="44" t="str"/>
      <x:c r="N2937" s="50" t="n">
        <x:v>40</x:v>
      </x:c>
      <x:c r="O2937" s="53" t="str">
        <x:v>The team and Smitty head to Morocco when a commercial aircraft flying from New York to Athens is grounded and an American citizen on board goes missing; Kellett's relationship with Erdős continues to blossom.</x:v>
      </x:c>
      <x:c r="P2937" s="53" t="str">
        <x:v>Core FBI franchise</x:v>
      </x:c>
      <x:c r="Q2937" s="17" t="str">
        <x:v>7342401</x:v>
      </x:c>
      <x:c r="R2937" s="17" t="str">
        <x:v>tt26625568</x:v>
      </x:c>
      <x:c r="S2937" s="17" t="str"/>
    </x:row>
    <x:row r="2938">
      <x:c r="A2938" s="43" t="n">
        <x:v>2934</x:v>
      </x:c>
      <x:c r="B2938" s="44" t="str">
        <x:v>Not Started</x:v>
      </x:c>
      <x:c r="C2938" s="45" t="n">
        <x:v>44986</x:v>
      </x:c>
      <x:c r="D2938" s="33" t="str">
        <x:v>FBI: Most Wanted</x:v>
      </x:c>
      <x:c r="E2938" s="33" t="str">
        <x:v>FBI</x:v>
      </x:c>
      <x:c r="F2938" s="33" t="str">
        <x:v>core</x:v>
      </x:c>
      <x:c r="G2938" s="50" t="n">
        <x:v>4</x:v>
      </x:c>
      <x:c r="H2938" s="50" t="n">
        <x:v>14</x:v>
      </x:c>
      <x:c r="I2938" s="44" t="str">
        <x:v>04.14</x:v>
      </x:c>
      <x:c r="J2938" s="33" t="str">
        <x:v>Wanted: America</x:v>
      </x:c>
      <x:c r="K2938" s="33" t="str"/>
      <x:c r="L2938" s="33" t="str"/>
      <x:c r="M2938" s="44" t="str"/>
      <x:c r="N2938" s="50" t="n">
        <x:v>41</x:v>
      </x:c>
      <x:c r="O2938" s="53" t="str">
        <x:v>When a rising star athlete is found violently murdered, the team chases after one of her teammates and his girlfriend; Remy reunites with a true crime show producer from his past.</x:v>
      </x:c>
      <x:c r="P2938" s="53" t="str">
        <x:v>Core FBI franchise</x:v>
      </x:c>
      <x:c r="Q2938" s="17" t="str">
        <x:v>7342461</x:v>
      </x:c>
      <x:c r="R2938" s="17" t="str">
        <x:v>tt26625574</x:v>
      </x:c>
      <x:c r="S2938" s="17" t="str"/>
    </x:row>
    <x:row r="2939">
      <x:c r="A2939" s="43" t="n">
        <x:v>2935</x:v>
      </x:c>
      <x:c r="B2939" s="44" t="str">
        <x:v>Not Started</x:v>
      </x:c>
      <x:c r="C2939" s="45" t="n">
        <x:v>44986</x:v>
      </x:c>
      <x:c r="D2939" s="33" t="str">
        <x:v>FBI</x:v>
      </x:c>
      <x:c r="E2939" s="33" t="str">
        <x:v>FBI</x:v>
      </x:c>
      <x:c r="F2939" s="33" t="str">
        <x:v>core</x:v>
      </x:c>
      <x:c r="G2939" s="50" t="n">
        <x:v>5</x:v>
      </x:c>
      <x:c r="H2939" s="50" t="n">
        <x:v>15</x:v>
      </x:c>
      <x:c r="I2939" s="44" t="str">
        <x:v>05.15</x:v>
      </x:c>
      <x:c r="J2939" s="33" t="str">
        <x:v>The Lies We Tell</x:v>
      </x:c>
      <x:c r="K2939" s="33" t="str"/>
      <x:c r="L2939" s="33" t="str"/>
      <x:c r="M2939" s="44" t="str"/>
      <x:c r="N2939" s="50" t="n">
        <x:v>42</x:v>
      </x:c>
      <x:c r="O2939" s="53" t="str">
        <x:v>When an off-duty diplomatic security agent is fatally shot in New York City trying to apprehend someone, the team investigates if there's a connection to his time working in Croatia.</x:v>
      </x:c>
      <x:c r="P2939" s="53" t="str">
        <x:v>Core FBI franchise</x:v>
      </x:c>
      <x:c r="Q2939" s="17" t="str">
        <x:v>7347233</x:v>
      </x:c>
      <x:c r="R2939" s="17" t="str">
        <x:v>tt26625566</x:v>
      </x:c>
      <x:c r="S2939" s="17" t="str"/>
    </x:row>
    <x:row r="2940">
      <x:c r="A2940" s="43" t="n">
        <x:v>2936</x:v>
      </x:c>
      <x:c r="B2940" s="44" t="str">
        <x:v>Not Started</x:v>
      </x:c>
      <x:c r="C2940" s="45" t="n">
        <x:v>44987</x:v>
      </x:c>
      <x:c r="D2940" s="33" t="str">
        <x:v>Chicago Med</x:v>
      </x:c>
      <x:c r="E2940" s="33" t="str">
        <x:v>One Chicago</x:v>
      </x:c>
      <x:c r="F2940" s="33" t="str">
        <x:v>core</x:v>
      </x:c>
      <x:c r="G2940" s="50" t="n">
        <x:v>8</x:v>
      </x:c>
      <x:c r="H2940" s="50" t="n">
        <x:v>15</x:v>
      </x:c>
      <x:c r="I2940" s="44" t="str">
        <x:v>08.15</x:v>
      </x:c>
      <x:c r="J2940" s="33" t="str">
        <x:v>Those Times You Have to Cross the Line</x:v>
      </x:c>
      <x:c r="K2940" s="33" t="str"/>
      <x:c r="L2940" s="33" t="str"/>
      <x:c r="M2940" s="44" t="str"/>
      <x:c r="N2940" s="50" t="n">
        <x:v>43</x:v>
      </x:c>
      <x:c r="O2940" s="53" t="str">
        <x:v>The hospital is in disarray when the janitors go on strike. Marcel treats a young girl injured on her family's farm. Charles and Cuevas' schizophrenic patient returns to Med.</x:v>
      </x:c>
      <x:c r="P2940" s="53" t="str">
        <x:v>Core One Chicago franchise</x:v>
      </x:c>
      <x:c r="Q2940" s="17" t="str">
        <x:v>7323985</x:v>
      </x:c>
      <x:c r="R2940" s="17" t="str">
        <x:v>tt26740464</x:v>
      </x:c>
      <x:c r="S2940" s="17" t="str"/>
    </x:row>
    <x:row r="2941">
      <x:c r="A2941" s="43" t="n">
        <x:v>2937</x:v>
      </x:c>
      <x:c r="B2941" s="44" t="str">
        <x:v>Not Started</x:v>
      </x:c>
      <x:c r="C2941" s="45" t="n">
        <x:v>44987</x:v>
      </x:c>
      <x:c r="D2941" s="33" t="str">
        <x:v>Chicago P.D.</x:v>
      </x:c>
      <x:c r="E2941" s="33" t="str">
        <x:v>One Chicago</x:v>
      </x:c>
      <x:c r="F2941" s="33" t="str">
        <x:v>core</x:v>
      </x:c>
      <x:c r="G2941" s="50" t="n">
        <x:v>10</x:v>
      </x:c>
      <x:c r="H2941" s="50" t="n">
        <x:v>15</x:v>
      </x:c>
      <x:c r="I2941" s="44" t="str">
        <x:v>10.15</x:v>
      </x:c>
      <x:c r="J2941" s="33" t="str">
        <x:v>Blood and Honor</x:v>
      </x:c>
      <x:c r="K2941" s="33" t="str"/>
      <x:c r="L2941" s="33" t="str"/>
      <x:c r="M2941" s="44" t="str"/>
      <x:c r="N2941" s="50" t="n">
        <x:v>42</x:v>
      </x:c>
      <x:c r="O2941" s="53" t="str">
        <x:v>When a family is poisoned in their home, the team discovers a connection to the Becks. Ruzek goes undercover to work for their business, and as he gets closer to Samantha, chilling information about her father, Richard, comes to light.</x:v>
      </x:c>
      <x:c r="P2941" s="53" t="str">
        <x:v>Core One Chicago franchise; crossovers with SVU/FBI</x:v>
      </x:c>
      <x:c r="Q2941" s="17" t="str">
        <x:v>7324209</x:v>
      </x:c>
      <x:c r="R2941" s="17" t="str">
        <x:v>tt26739344</x:v>
      </x:c>
      <x:c r="S2941" s="17" t="str"/>
    </x:row>
    <x:row r="2942">
      <x:c r="A2942" s="43" t="n">
        <x:v>2938</x:v>
      </x:c>
      <x:c r="B2942" s="44" t="str">
        <x:v>Not Started</x:v>
      </x:c>
      <x:c r="C2942" s="45" t="n">
        <x:v>44987</x:v>
      </x:c>
      <x:c r="D2942" s="33" t="str">
        <x:v>Chicago Fire</x:v>
      </x:c>
      <x:c r="E2942" s="33" t="str">
        <x:v>One Chicago</x:v>
      </x:c>
      <x:c r="F2942" s="33" t="str">
        <x:v>core</x:v>
      </x:c>
      <x:c r="G2942" s="50" t="n">
        <x:v>11</x:v>
      </x:c>
      <x:c r="H2942" s="50" t="n">
        <x:v>15</x:v>
      </x:c>
      <x:c r="I2942" s="44" t="str">
        <x:v>11.15</x:v>
      </x:c>
      <x:c r="J2942" s="33" t="str">
        <x:v>Damage Control</x:v>
      </x:c>
      <x:c r="K2942" s="33" t="str"/>
      <x:c r="L2942" s="33" t="str"/>
      <x:c r="M2942" s="44" t="str"/>
      <x:c r="N2942" s="50" t="n">
        <x:v>43</x:v>
      </x:c>
      <x:c r="O2942" s="53" t="str">
        <x:v>Kidd, Seager and Carver investigate a fire at the city stables. Kylie clashes with some of the firefighters over changes due to budget cuts. Herrmann struggles to keep it together as Cindy's condition worsens.</x:v>
      </x:c>
      <x:c r="P2942" s="53" t="str">
        <x:v>Core One Chicago franchise</x:v>
      </x:c>
      <x:c r="Q2942" s="17" t="str">
        <x:v>7342734</x:v>
      </x:c>
      <x:c r="R2942" s="17" t="str">
        <x:v>tt26739336</x:v>
      </x:c>
      <x:c r="S2942" s="17" t="str"/>
    </x:row>
    <x:row r="2943">
      <x:c r="A2943" s="43" t="n">
        <x:v>2939</x:v>
      </x:c>
      <x:c r="B2943" s="44" t="str">
        <x:v>Not Started</x:v>
      </x:c>
      <x:c r="C2943" s="45" t="n">
        <x:v>44990</x:v>
      </x:c>
      <x:c r="D2943" s="33" t="str">
        <x:v>Cold Justice</x:v>
      </x:c>
      <x:c r="E2943" s="33" t="str">
        <x:v>Crossover Adjacent</x:v>
      </x:c>
      <x:c r="F2943" s="33" t="str">
        <x:v>complete</x:v>
      </x:c>
      <x:c r="G2943" s="50" t="n">
        <x:v>6</x:v>
      </x:c>
      <x:c r="H2943" s="50" t="n">
        <x:v>20</x:v>
      </x:c>
      <x:c r="I2943" s="44" t="str">
        <x:v>06.20</x:v>
      </x:c>
      <x:c r="J2943" s="33" t="str">
        <x:v>Double Disappearance</x:v>
      </x:c>
      <x:c r="K2943" s="33" t="str"/>
      <x:c r="L2943" s="33" t="str"/>
      <x:c r="M2943" s="44" t="str"/>
      <x:c r="N2943" s="50" t="n">
        <x:v>42</x:v>
      </x:c>
      <x:c r="O2943" s="53" t="str">
        <x:v>For the first time, Kelly and Steve investigate two missing persons cases at once, a loving mother and her high school friend who vanished just months apart.</x:v>
      </x:c>
      <x:c r="P2943" s="53" t="str">
        <x:v>Wolf Entertainment unscripted true-crime series</x:v>
      </x:c>
      <x:c r="Q2943" s="17" t="str">
        <x:v>7373511</x:v>
      </x:c>
      <x:c r="R2943" s="17" t="str"/>
      <x:c r="S2943" s="17" t="str"/>
    </x:row>
    <x:row r="2944">
      <x:c r="A2944" s="43" t="n">
        <x:v>2940</x:v>
      </x:c>
      <x:c r="B2944" s="44" t="str">
        <x:v>Not Started</x:v>
      </x:c>
      <x:c r="C2944" s="45" t="n">
        <x:v>44996</x:v>
      </x:c>
      <x:c r="D2944" s="33" t="str">
        <x:v>Blood &amp; Money</x:v>
      </x:c>
      <x:c r="E2944" s="33" t="str">
        <x:v>Wolf Archive</x:v>
      </x:c>
      <x:c r="F2944" s="33" t="str">
        <x:v>complete</x:v>
      </x:c>
      <x:c r="G2944" s="50" t="n">
        <x:v>1</x:v>
      </x:c>
      <x:c r="H2944" s="50" t="n">
        <x:v>1</x:v>
      </x:c>
      <x:c r="I2944" s="44" t="str">
        <x:v>01.01</x:v>
      </x:c>
      <x:c r="J2944" s="33" t="str">
        <x:v>An Unexpected Link to Robert Durst</x:v>
      </x:c>
      <x:c r="K2944" s="33" t="str"/>
      <x:c r="L2944" s="33" t="str"/>
      <x:c r="M2944" s="44" t="str"/>
      <x:c r="N2944" s="50" t="n">
        <x:v>44</x:v>
      </x:c>
      <x:c r="O2944" s="53" t="str">
        <x:v>A true-crime investigation into the case featured in “An Unexpected Link to Robert Durst,” following the detectives and prosecutors who traced money, motive and evidence.</x:v>
      </x:c>
      <x:c r="P2944" s="53" t="str">
        <x:v>2023 Wolf Entertainment true-crime series created by Dick Wolf; the unrelated 1981 series is excluded.</x:v>
      </x:c>
      <x:c r="Q2944" s="17" t="str">
        <x:v>7351987</x:v>
      </x:c>
      <x:c r="R2944" s="17" t="str"/>
      <x:c r="S2944" s="17" t="str">
        <x:v>https://www.oxygen.com/blood-money/season-1/episode-5/high-society-schemers</x:v>
      </x:c>
    </x:row>
    <x:row r="2945">
      <x:c r="A2945" s="43" t="n">
        <x:v>2941</x:v>
      </x:c>
      <x:c r="B2945" s="44" t="str">
        <x:v>Not Started</x:v>
      </x:c>
      <x:c r="C2945" s="45" t="n">
        <x:v>44997</x:v>
      </x:c>
      <x:c r="D2945" s="33" t="str">
        <x:v>Cold Justice</x:v>
      </x:c>
      <x:c r="E2945" s="33" t="str">
        <x:v>Crossover Adjacent</x:v>
      </x:c>
      <x:c r="F2945" s="33" t="str">
        <x:v>complete</x:v>
      </x:c>
      <x:c r="G2945" s="50" t="n">
        <x:v>6</x:v>
      </x:c>
      <x:c r="H2945" s="50" t="n">
        <x:v>21</x:v>
      </x:c>
      <x:c r="I2945" s="44" t="str">
        <x:v>06.21</x:v>
      </x:c>
      <x:c r="J2945" s="33" t="str">
        <x:v>Trail of Terror</x:v>
      </x:c>
      <x:c r="K2945" s="33" t="str"/>
      <x:c r="L2945" s="33" t="str"/>
      <x:c r="M2945" s="44" t="str"/>
      <x:c r="N2945" s="50" t="n">
        <x:v>42</x:v>
      </x:c>
      <x:c r="O2945" s="53" t="str">
        <x:v>The team tackles the twisted murder case of Rhonda Richardson, who went searching for her lost dog and was later found seemingly scalped by a sadistic killer; the biggest twist is a new piece of evidence that breaks the case wide open.</x:v>
      </x:c>
      <x:c r="P2945" s="53" t="str">
        <x:v>Wolf Entertainment unscripted true-crime series</x:v>
      </x:c>
      <x:c r="Q2945" s="17" t="str">
        <x:v>7436708</x:v>
      </x:c>
      <x:c r="R2945" s="17" t="str"/>
      <x:c r="S2945" s="17" t="str"/>
    </x:row>
    <x:row r="2946">
      <x:c r="A2946" s="43" t="n">
        <x:v>2942</x:v>
      </x:c>
      <x:c r="B2946" s="44" t="str">
        <x:v>Not Started</x:v>
      </x:c>
      <x:c r="C2946" s="45" t="n">
        <x:v>45000</x:v>
      </x:c>
      <x:c r="D2946" s="33" t="str">
        <x:v>FBI: International</x:v>
      </x:c>
      <x:c r="E2946" s="33" t="str">
        <x:v>FBI</x:v>
      </x:c>
      <x:c r="F2946" s="33" t="str">
        <x:v>core</x:v>
      </x:c>
      <x:c r="G2946" s="50" t="n">
        <x:v>2</x:v>
      </x:c>
      <x:c r="H2946" s="50" t="n">
        <x:v>15</x:v>
      </x:c>
      <x:c r="I2946" s="44" t="str">
        <x:v>02.15</x:v>
      </x:c>
      <x:c r="J2946" s="33" t="str">
        <x:v>Trust</x:v>
      </x:c>
      <x:c r="K2946" s="33" t="str"/>
      <x:c r="L2946" s="33" t="str"/>
      <x:c r="M2946" s="44" t="str"/>
      <x:c r="N2946" s="50" t="n">
        <x:v>39</x:v>
      </x:c>
      <x:c r="O2946" s="53" t="str">
        <x:v>The Fly Team lends a helping hand to the Hungarian National Police when one of their police officers is accused of murdering a couple in Budapest; Kellett questions her relationship with Erdős.</x:v>
      </x:c>
      <x:c r="P2946" s="53" t="str">
        <x:v>Core FBI franchise</x:v>
      </x:c>
      <x:c r="Q2946" s="17" t="str">
        <x:v>7368475</x:v>
      </x:c>
      <x:c r="R2946" s="17" t="str">
        <x:v>tt26763312</x:v>
      </x:c>
      <x:c r="S2946" s="17" t="str"/>
    </x:row>
    <x:row r="2947">
      <x:c r="A2947" s="43" t="n">
        <x:v>2943</x:v>
      </x:c>
      <x:c r="B2947" s="44" t="str">
        <x:v>Not Started</x:v>
      </x:c>
      <x:c r="C2947" s="45" t="n">
        <x:v>45000</x:v>
      </x:c>
      <x:c r="D2947" s="33" t="str">
        <x:v>FBI: Most Wanted</x:v>
      </x:c>
      <x:c r="E2947" s="33" t="str">
        <x:v>FBI</x:v>
      </x:c>
      <x:c r="F2947" s="33" t="str">
        <x:v>core</x:v>
      </x:c>
      <x:c r="G2947" s="50" t="n">
        <x:v>4</x:v>
      </x:c>
      <x:c r="H2947" s="50" t="n">
        <x:v>15</x:v>
      </x:c>
      <x:c r="I2947" s="44" t="str">
        <x:v>04.15</x:v>
      </x:c>
      <x:c r="J2947" s="33" t="str">
        <x:v>Double Fault</x:v>
      </x:c>
      <x:c r="K2947" s="33" t="str"/>
      <x:c r="L2947" s="33" t="str"/>
      <x:c r="M2947" s="44" t="str"/>
      <x:c r="N2947" s="50" t="n">
        <x:v>41</x:v>
      </x:c>
      <x:c r="O2947" s="53" t="str">
        <x:v>The Fugitive Task Force springs into action to find a famous foreign tennis player after she's kidnapped from a tennis court in Brooklyn.</x:v>
      </x:c>
      <x:c r="P2947" s="53" t="str">
        <x:v>Core FBI franchise</x:v>
      </x:c>
      <x:c r="Q2947" s="17" t="str">
        <x:v>7367232</x:v>
      </x:c>
      <x:c r="R2947" s="17" t="str">
        <x:v>tt26680782</x:v>
      </x:c>
      <x:c r="S2947" s="17" t="str"/>
    </x:row>
    <x:row r="2948">
      <x:c r="A2948" s="43" t="n">
        <x:v>2944</x:v>
      </x:c>
      <x:c r="B2948" s="44" t="str">
        <x:v>Not Started</x:v>
      </x:c>
      <x:c r="C2948" s="45" t="n">
        <x:v>45000</x:v>
      </x:c>
      <x:c r="D2948" s="33" t="str">
        <x:v>FBI</x:v>
      </x:c>
      <x:c r="E2948" s="33" t="str">
        <x:v>FBI</x:v>
      </x:c>
      <x:c r="F2948" s="33" t="str">
        <x:v>core</x:v>
      </x:c>
      <x:c r="G2948" s="50" t="n">
        <x:v>5</x:v>
      </x:c>
      <x:c r="H2948" s="50" t="n">
        <x:v>16</x:v>
      </x:c>
      <x:c r="I2948" s="44" t="str">
        <x:v>05.16</x:v>
      </x:c>
      <x:c r="J2948" s="33" t="str">
        <x:v>Family First</x:v>
      </x:c>
      <x:c r="K2948" s="33" t="str"/>
      <x:c r="L2948" s="33" t="str"/>
      <x:c r="M2948" s="44" t="str"/>
      <x:c r="N2948" s="50" t="n">
        <x:v>40</x:v>
      </x:c>
      <x:c r="O2948" s="53" t="str">
        <x:v>The shooting of a federal corrections officer leads the team to an ex-Marine who has gone rogue ever since he returned from Afghanistan; Tiffany's sister looks to her for guidance when their younger brother begins to lash out.</x:v>
      </x:c>
      <x:c r="P2948" s="53" t="str">
        <x:v>Core FBI franchise</x:v>
      </x:c>
      <x:c r="Q2948" s="17" t="str">
        <x:v>7360777</x:v>
      </x:c>
      <x:c r="R2948" s="17" t="str">
        <x:v>tt26763311</x:v>
      </x:c>
      <x:c r="S2948" s="17" t="str"/>
    </x:row>
    <x:row r="2949">
      <x:c r="A2949" s="43" t="n">
        <x:v>2945</x:v>
      </x:c>
      <x:c r="B2949" s="44" t="str">
        <x:v>Not Started</x:v>
      </x:c>
      <x:c r="C2949" s="45" t="n">
        <x:v>45003</x:v>
      </x:c>
      <x:c r="D2949" s="33" t="str">
        <x:v>Blood &amp; Money</x:v>
      </x:c>
      <x:c r="E2949" s="33" t="str">
        <x:v>Wolf Archive</x:v>
      </x:c>
      <x:c r="F2949" s="33" t="str">
        <x:v>complete</x:v>
      </x:c>
      <x:c r="G2949" s="50" t="n">
        <x:v>1</x:v>
      </x:c>
      <x:c r="H2949" s="50" t="n">
        <x:v>2</x:v>
      </x:c>
      <x:c r="I2949" s="44" t="str">
        <x:v>01.02</x:v>
      </x:c>
      <x:c r="J2949" s="33" t="str">
        <x:v>The Millionaire's Defense</x:v>
      </x:c>
      <x:c r="K2949" s="33" t="str"/>
      <x:c r="L2949" s="33" t="str"/>
      <x:c r="M2949" s="44" t="str"/>
      <x:c r="N2949" s="50" t="n">
        <x:v>44</x:v>
      </x:c>
      <x:c r="O2949" s="53" t="str">
        <x:v>A true-crime investigation into the case featured in “The Millionaire's Defense,” following the detectives and prosecutors who traced money, motive and evidence.</x:v>
      </x:c>
      <x:c r="P2949" s="53" t="str">
        <x:v>2023 Wolf Entertainment true-crime series created by Dick Wolf; the unrelated 1981 series is excluded.</x:v>
      </x:c>
      <x:c r="Q2949" s="17" t="str">
        <x:v>7362449</x:v>
      </x:c>
      <x:c r="R2949" s="17" t="str"/>
      <x:c r="S2949" s="17" t="str">
        <x:v>https://www.oxygen.com/blood-money/season-1/episode-5/high-society-schemers</x:v>
      </x:c>
    </x:row>
    <x:row r="2950">
      <x:c r="A2950" s="43" t="n">
        <x:v>2946</x:v>
      </x:c>
      <x:c r="B2950" s="44" t="str">
        <x:v>Not Started</x:v>
      </x:c>
      <x:c r="C2950" s="45" t="n">
        <x:v>45004</x:v>
      </x:c>
      <x:c r="D2950" s="33" t="str">
        <x:v>Cold Justice</x:v>
      </x:c>
      <x:c r="E2950" s="33" t="str">
        <x:v>Crossover Adjacent</x:v>
      </x:c>
      <x:c r="F2950" s="33" t="str">
        <x:v>complete</x:v>
      </x:c>
      <x:c r="G2950" s="50" t="n">
        <x:v>6</x:v>
      </x:c>
      <x:c r="H2950" s="50" t="n">
        <x:v>22</x:v>
      </x:c>
      <x:c r="I2950" s="44" t="str">
        <x:v>06.22</x:v>
      </x:c>
      <x:c r="J2950" s="33" t="str">
        <x:v>On Holy Grounds</x:v>
      </x:c>
      <x:c r="K2950" s="33" t="str"/>
      <x:c r="L2950" s="33" t="str"/>
      <x:c r="M2950" s="44" t="str"/>
      <x:c r="N2950" s="50" t="n">
        <x:v>42</x:v>
      </x:c>
      <x:c r="O2950" s="53" t="str">
        <x:v>Kelly and Steve investigate the brutal homicide of a beloved seminary student who was brutally hung and stabbed to death in the chapel restroom; their investigation reveals even more dark secrets and sinister deeds.</x:v>
      </x:c>
      <x:c r="P2950" s="53" t="str">
        <x:v>Wolf Entertainment unscripted true-crime series</x:v>
      </x:c>
      <x:c r="Q2950" s="17" t="str">
        <x:v>7436709</x:v>
      </x:c>
      <x:c r="R2950" s="17" t="str"/>
      <x:c r="S2950" s="17" t="str"/>
    </x:row>
    <x:row r="2951">
      <x:c r="A2951" s="43" t="n">
        <x:v>2947</x:v>
      </x:c>
      <x:c r="B2951" s="44" t="str">
        <x:v>Not Started</x:v>
      </x:c>
      <x:c r="C2951" s="45" t="n">
        <x:v>45008</x:v>
      </x:c>
      <x:c r="D2951" s="33" t="str">
        <x:v>Law &amp; Order: Organized Crime</x:v>
      </x:c>
      <x:c r="E2951" s="33" t="str">
        <x:v>Law &amp; Order</x:v>
      </x:c>
      <x:c r="F2951" s="33" t="str">
        <x:v>core</x:v>
      </x:c>
      <x:c r="G2951" s="50" t="n">
        <x:v>3</x:v>
      </x:c>
      <x:c r="H2951" s="50" t="n">
        <x:v>16</x:v>
      </x:c>
      <x:c r="I2951" s="44" t="str">
        <x:v>03.16</x:v>
      </x:c>
      <x:c r="J2951" s="33" t="str">
        <x:v>Chinatown</x:v>
      </x:c>
      <x:c r="K2951" s="33" t="str"/>
      <x:c r="L2951" s="33" t="str"/>
      <x:c r="M2951" s="44" t="str"/>
      <x:c r="N2951" s="50" t="n">
        <x:v>42</x:v>
      </x:c>
      <x:c r="O2951" s="53" t="str">
        <x:v>When a city council candidate's fundraiser ends in an assassination attempt, Stabler makes it a top priority to find the culprit. Despite Thurman's orders, the local precinct captain is reluctant to let Bell's team take the lead.</x:v>
      </x:c>
      <x:c r="P2951" s="53" t="str">
        <x:v>Core Law &amp; Order franchise</x:v>
      </x:c>
      <x:c r="Q2951" s="17" t="str">
        <x:v>7345523</x:v>
      </x:c>
      <x:c r="R2951" s="17" t="str">
        <x:v>tt27047213</x:v>
      </x:c>
      <x:c r="S2951" s="17" t="str">
        <x:v>1604</x:v>
      </x:c>
    </x:row>
    <x:row r="2952">
      <x:c r="A2952" s="43" t="n">
        <x:v>2948</x:v>
      </x:c>
      <x:c r="B2952" s="44" t="str">
        <x:v>Not Started</x:v>
      </x:c>
      <x:c r="C2952" s="45" t="n">
        <x:v>45008</x:v>
      </x:c>
      <x:c r="D2952" s="33" t="str">
        <x:v>Chicago Med</x:v>
      </x:c>
      <x:c r="E2952" s="33" t="str">
        <x:v>One Chicago</x:v>
      </x:c>
      <x:c r="F2952" s="33" t="str">
        <x:v>core</x:v>
      </x:c>
      <x:c r="G2952" s="50" t="n">
        <x:v>8</x:v>
      </x:c>
      <x:c r="H2952" s="50" t="n">
        <x:v>16</x:v>
      </x:c>
      <x:c r="I2952" s="44" t="str">
        <x:v>08.16</x:v>
      </x:c>
      <x:c r="J2952" s="33" t="str">
        <x:v>What You See Isn't Always What You Get</x:v>
      </x:c>
      <x:c r="K2952" s="33" t="str"/>
      <x:c r="L2952" s="33" t="str"/>
      <x:c r="M2952" s="44" t="str"/>
      <x:c r="N2952" s="50" t="n">
        <x:v>42</x:v>
      </x:c>
      <x:c r="O2952" s="53" t="str">
        <x:v>Halstead and Cuevas struggle to diagnose a patient with a rare disorder. CFD and Med staff work to free a paranoid father trapped in the MRI suite. Tanaka-Reed gets an ego check.</x:v>
      </x:c>
      <x:c r="P2952" s="53" t="str">
        <x:v>Core One Chicago franchise</x:v>
      </x:c>
      <x:c r="Q2952" s="17" t="str">
        <x:v>7367017</x:v>
      </x:c>
      <x:c r="R2952" s="17" t="str">
        <x:v>tt26755289</x:v>
      </x:c>
      <x:c r="S2952" s="17" t="str"/>
    </x:row>
    <x:row r="2953">
      <x:c r="A2953" s="43" t="n">
        <x:v>2949</x:v>
      </x:c>
      <x:c r="B2953" s="44" t="str">
        <x:v>Not Started</x:v>
      </x:c>
      <x:c r="C2953" s="45" t="n">
        <x:v>45008</x:v>
      </x:c>
      <x:c r="D2953" s="33" t="str">
        <x:v>Chicago P.D.</x:v>
      </x:c>
      <x:c r="E2953" s="33" t="str">
        <x:v>One Chicago</x:v>
      </x:c>
      <x:c r="F2953" s="33" t="str">
        <x:v>core</x:v>
      </x:c>
      <x:c r="G2953" s="50" t="n">
        <x:v>10</x:v>
      </x:c>
      <x:c r="H2953" s="50" t="n">
        <x:v>16</x:v>
      </x:c>
      <x:c r="I2953" s="44" t="str">
        <x:v>10.16</x:v>
      </x:c>
      <x:c r="J2953" s="33" t="str">
        <x:v>Deadlocked</x:v>
      </x:c>
      <x:c r="K2953" s="33" t="str"/>
      <x:c r="L2953" s="33" t="str"/>
      <x:c r="M2953" s="44" t="str"/>
      <x:c r="N2953" s="50" t="n">
        <x:v>43</x:v>
      </x:c>
      <x:c r="O2953" s="53" t="str">
        <x:v>Voight takes the stand in a high-stakes murder trial against notorious drug kingpin Arturo Morales. When it becomes clear that Morales and his henchmen have compromised a juror, Voight and the team work furiously to ensure justice prevails.</x:v>
      </x:c>
      <x:c r="P2953" s="53" t="str">
        <x:v>Core One Chicago franchise; crossovers with SVU/FBI</x:v>
      </x:c>
      <x:c r="Q2953" s="17" t="str">
        <x:v>7354954</x:v>
      </x:c>
      <x:c r="R2953" s="17" t="str">
        <x:v>tt22882108</x:v>
      </x:c>
      <x:c r="S2953" s="17" t="str"/>
    </x:row>
    <x:row r="2954">
      <x:c r="A2954" s="43" t="n">
        <x:v>2950</x:v>
      </x:c>
      <x:c r="B2954" s="44" t="str">
        <x:v>Not Started</x:v>
      </x:c>
      <x:c r="C2954" s="45" t="n">
        <x:v>45008</x:v>
      </x:c>
      <x:c r="D2954" s="33" t="str">
        <x:v>Chicago Fire</x:v>
      </x:c>
      <x:c r="E2954" s="33" t="str">
        <x:v>One Chicago</x:v>
      </x:c>
      <x:c r="F2954" s="33" t="str">
        <x:v>core</x:v>
      </x:c>
      <x:c r="G2954" s="50" t="n">
        <x:v>11</x:v>
      </x:c>
      <x:c r="H2954" s="50" t="n">
        <x:v>16</x:v>
      </x:c>
      <x:c r="I2954" s="44" t="str">
        <x:v>11.16</x:v>
      </x:c>
      <x:c r="J2954" s="33" t="str">
        <x:v>Acting Up</x:v>
      </x:c>
      <x:c r="K2954" s="33" t="str"/>
      <x:c r="L2954" s="33" t="str"/>
      <x:c r="M2954" s="44" t="str"/>
      <x:c r="N2954" s="50" t="n">
        <x:v>43</x:v>
      </x:c>
      <x:c r="O2954" s="53" t="str">
        <x:v>Cruz feels the burden of his increased responsibilities. Kidd, Gallo and Carver get caught in the middle of a gang war on a call. Herrmann wrangles Trudy for help lifting Cindy's mood.</x:v>
      </x:c>
      <x:c r="P2954" s="53" t="str">
        <x:v>Core One Chicago franchise</x:v>
      </x:c>
      <x:c r="Q2954" s="17" t="str">
        <x:v>7367074</x:v>
      </x:c>
      <x:c r="R2954" s="17" t="str">
        <x:v>tt26935847</x:v>
      </x:c>
      <x:c r="S2954" s="17" t="str"/>
    </x:row>
    <x:row r="2955">
      <x:c r="A2955" s="43" t="n">
        <x:v>2951</x:v>
      </x:c>
      <x:c r="B2955" s="44" t="str">
        <x:v>Not Started</x:v>
      </x:c>
      <x:c r="C2955" s="45" t="n">
        <x:v>45008</x:v>
      </x:c>
      <x:c r="D2955" s="33" t="str">
        <x:v>Law &amp; Order</x:v>
      </x:c>
      <x:c r="E2955" s="33" t="str">
        <x:v>Law &amp; Order</x:v>
      </x:c>
      <x:c r="F2955" s="33" t="str">
        <x:v>core</x:v>
      </x:c>
      <x:c r="G2955" s="50" t="n">
        <x:v>22</x:v>
      </x:c>
      <x:c r="H2955" s="50" t="n">
        <x:v>16</x:v>
      </x:c>
      <x:c r="I2955" s="44" t="str">
        <x:v>22.16</x:v>
      </x:c>
      <x:c r="J2955" s="33" t="str">
        <x:v>Deadline</x:v>
      </x:c>
      <x:c r="K2955" s="33" t="str"/>
      <x:c r="L2955" s="33" t="str"/>
      <x:c r="M2955" s="44" t="str"/>
      <x:c r="N2955" s="50" t="n">
        <x:v>42</x:v>
      </x:c>
      <x:c r="O2955" s="53" t="str">
        <x:v>When a celebrated journalist is killed, Cosgrove and Shaw explore an unpublished report involving a prominent politician; Price and Maroun fight an uphill battle when their only credible witness is currently awaiting trial for another heinous crime.</x:v>
      </x:c>
      <x:c r="P2955" s="53" t="str">
        <x:v>Core Law &amp; Order franchise</x:v>
      </x:c>
      <x:c r="Q2955" s="17" t="str">
        <x:v>7356042</x:v>
      </x:c>
      <x:c r="R2955" s="17" t="str">
        <x:v>tt27047204</x:v>
      </x:c>
      <x:c r="S2955" s="17" t="str">
        <x:v>1602</x:v>
      </x:c>
    </x:row>
    <x:row r="2956">
      <x:c r="A2956" s="43" t="n">
        <x:v>2952</x:v>
      </x:c>
      <x:c r="B2956" s="44" t="str">
        <x:v>Not Started</x:v>
      </x:c>
      <x:c r="C2956" s="45" t="n">
        <x:v>45008</x:v>
      </x:c>
      <x:c r="D2956" s="33" t="str">
        <x:v>Law &amp; Order: Special Victims Unit</x:v>
      </x:c>
      <x:c r="E2956" s="33" t="str">
        <x:v>Law &amp; Order</x:v>
      </x:c>
      <x:c r="F2956" s="33" t="str">
        <x:v>core</x:v>
      </x:c>
      <x:c r="G2956" s="50" t="n">
        <x:v>24</x:v>
      </x:c>
      <x:c r="H2956" s="50" t="n">
        <x:v>16</x:v>
      </x:c>
      <x:c r="I2956" s="44" t="str">
        <x:v>24.16</x:v>
      </x:c>
      <x:c r="J2956" s="33" t="str">
        <x:v>The Presence of Absence</x:v>
      </x:c>
      <x:c r="K2956" s="33" t="str"/>
      <x:c r="L2956" s="33" t="str"/>
      <x:c r="M2956" s="44" t="str"/>
      <x:c r="N2956" s="50" t="n">
        <x:v>41</x:v>
      </x:c>
      <x:c r="O2956" s="53" t="str">
        <x:v>An internet dating site becomes the source of terror for a young widow. Muncy struggles with Velasco's absence.</x:v>
      </x:c>
      <x:c r="P2956" s="53" t="str">
        <x:v>Core Law &amp; Order franchise</x:v>
      </x:c>
      <x:c r="Q2956" s="17" t="str">
        <x:v>7256503</x:v>
      </x:c>
      <x:c r="R2956" s="17" t="str">
        <x:v>tt27047210</x:v>
      </x:c>
      <x:c r="S2956" s="17" t="str">
        <x:v>1603</x:v>
      </x:c>
    </x:row>
    <x:row r="2957">
      <x:c r="A2957" s="43" t="n">
        <x:v>2953</x:v>
      </x:c>
      <x:c r="B2957" s="44" t="str">
        <x:v>Not Started</x:v>
      </x:c>
      <x:c r="C2957" s="45" t="n">
        <x:v>45010</x:v>
      </x:c>
      <x:c r="D2957" s="33" t="str">
        <x:v>Blood &amp; Money</x:v>
      </x:c>
      <x:c r="E2957" s="33" t="str">
        <x:v>Wolf Archive</x:v>
      </x:c>
      <x:c r="F2957" s="33" t="str">
        <x:v>complete</x:v>
      </x:c>
      <x:c r="G2957" s="50" t="n">
        <x:v>1</x:v>
      </x:c>
      <x:c r="H2957" s="50" t="n">
        <x:v>3</x:v>
      </x:c>
      <x:c r="I2957" s="44" t="str">
        <x:v>01.03</x:v>
      </x:c>
      <x:c r="J2957" s="33" t="str">
        <x:v>A Missing Mogul</x:v>
      </x:c>
      <x:c r="K2957" s="33" t="str"/>
      <x:c r="L2957" s="33" t="str"/>
      <x:c r="M2957" s="44" t="str"/>
      <x:c r="N2957" s="50" t="n">
        <x:v>44</x:v>
      </x:c>
      <x:c r="O2957" s="53" t="str">
        <x:v>A true-crime investigation into the case featured in “A Missing Mogul,” following the detectives and prosecutors who traced money, motive and evidence.</x:v>
      </x:c>
      <x:c r="P2957" s="53" t="str">
        <x:v>2023 Wolf Entertainment true-crime series created by Dick Wolf; the unrelated 1981 series is excluded.</x:v>
      </x:c>
      <x:c r="Q2957" s="17" t="str">
        <x:v>7362467</x:v>
      </x:c>
      <x:c r="R2957" s="17" t="str"/>
      <x:c r="S2957" s="17" t="str">
        <x:v>https://www.oxygen.com/blood-money/season-1/episode-5/high-society-schemers</x:v>
      </x:c>
    </x:row>
    <x:row r="2958">
      <x:c r="A2958" s="43" t="n">
        <x:v>2954</x:v>
      </x:c>
      <x:c r="B2958" s="44" t="str">
        <x:v>Not Started</x:v>
      </x:c>
      <x:c r="C2958" s="45" t="n">
        <x:v>45011</x:v>
      </x:c>
      <x:c r="D2958" s="33" t="str">
        <x:v>Cold Justice</x:v>
      </x:c>
      <x:c r="E2958" s="33" t="str">
        <x:v>Crossover Adjacent</x:v>
      </x:c>
      <x:c r="F2958" s="33" t="str">
        <x:v>complete</x:v>
      </x:c>
      <x:c r="G2958" s="50" t="n">
        <x:v>6</x:v>
      </x:c>
      <x:c r="H2958" s="50" t="n">
        <x:v>23</x:v>
      </x:c>
      <x:c r="I2958" s="44" t="str">
        <x:v>06.23</x:v>
      </x:c>
      <x:c r="J2958" s="33" t="str">
        <x:v>Deadly Abduction</x:v>
      </x:c>
      <x:c r="K2958" s="33" t="str"/>
      <x:c r="L2958" s="33" t="str"/>
      <x:c r="M2958" s="44" t="str"/>
      <x:c r="N2958" s="50" t="n">
        <x:v>42</x:v>
      </x:c>
      <x:c r="O2958" s="53" t="str">
        <x:v>In 2000, a young mother was abducted from a parking lot and executed in a nearby field; state-of-the-art DNA testing may provide the answer.</x:v>
      </x:c>
      <x:c r="P2958" s="53" t="str">
        <x:v>Wolf Entertainment unscripted true-crime series</x:v>
      </x:c>
      <x:c r="Q2958" s="17" t="str">
        <x:v>7436710</x:v>
      </x:c>
      <x:c r="R2958" s="17" t="str"/>
      <x:c r="S2958" s="17" t="str"/>
    </x:row>
    <x:row r="2959">
      <x:c r="A2959" s="43" t="n">
        <x:v>2955</x:v>
      </x:c>
      <x:c r="B2959" s="44" t="str">
        <x:v>Not Started</x:v>
      </x:c>
      <x:c r="C2959" s="45" t="n">
        <x:v>45015</x:v>
      </x:c>
      <x:c r="D2959" s="33" t="str">
        <x:v>Law &amp; Order: Organized Crime</x:v>
      </x:c>
      <x:c r="E2959" s="33" t="str">
        <x:v>Law &amp; Order</x:v>
      </x:c>
      <x:c r="F2959" s="33" t="str">
        <x:v>core</x:v>
      </x:c>
      <x:c r="G2959" s="50" t="n">
        <x:v>3</x:v>
      </x:c>
      <x:c r="H2959" s="50" t="n">
        <x:v>17</x:v>
      </x:c>
      <x:c r="I2959" s="44" t="str">
        <x:v>03.17</x:v>
      </x:c>
      <x:c r="J2959" s="33" t="str">
        <x:v>Blood Ties</x:v>
      </x:c>
      <x:c r="K2959" s="33" t="str"/>
      <x:c r="L2959" s="33" t="str"/>
      <x:c r="M2959" s="44" t="str"/>
      <x:c r="N2959" s="50" t="n">
        <x:v>42</x:v>
      </x:c>
      <x:c r="O2959" s="53" t="str">
        <x:v>A father desperate to find his son helps Stabler uncover a sinister human trafficking operation. Bell's investigation is undermined by a high-powered politician.</x:v>
      </x:c>
      <x:c r="P2959" s="53" t="str">
        <x:v>Core Law &amp; Order franchise</x:v>
      </x:c>
      <x:c r="Q2959" s="17" t="str">
        <x:v>7395508</x:v>
      </x:c>
      <x:c r="R2959" s="17" t="str">
        <x:v>tt27135034</x:v>
      </x:c>
      <x:c r="S2959" s="17" t="str">
        <x:v>1607</x:v>
      </x:c>
    </x:row>
    <x:row r="2960">
      <x:c r="A2960" s="43" t="n">
        <x:v>2956</x:v>
      </x:c>
      <x:c r="B2960" s="44" t="str">
        <x:v>Not Started</x:v>
      </x:c>
      <x:c r="C2960" s="45" t="n">
        <x:v>45015</x:v>
      </x:c>
      <x:c r="D2960" s="33" t="str">
        <x:v>Chicago Med</x:v>
      </x:c>
      <x:c r="E2960" s="33" t="str">
        <x:v>One Chicago</x:v>
      </x:c>
      <x:c r="F2960" s="33" t="str">
        <x:v>core</x:v>
      </x:c>
      <x:c r="G2960" s="50" t="n">
        <x:v>8</x:v>
      </x:c>
      <x:c r="H2960" s="50" t="n">
        <x:v>17</x:v>
      </x:c>
      <x:c r="I2960" s="44" t="str">
        <x:v>08.17</x:v>
      </x:c>
      <x:c r="J2960" s="33" t="str">
        <x:v>Know When to Hold and When to Fold</x:v>
      </x:c>
      <x:c r="K2960" s="33" t="str"/>
      <x:c r="L2960" s="33" t="str"/>
      <x:c r="M2960" s="44" t="str"/>
      <x:c r="N2960" s="50" t="n">
        <x:v>43</x:v>
      </x:c>
      <x:c r="O2960" s="53" t="str">
        <x:v>A documentary crew visits Med to film Marcel and Abrams' groundbreaking surgery. Archer refuses to ask for help for his kidney issues despite the staff's unrelenting kindness.</x:v>
      </x:c>
      <x:c r="P2960" s="53" t="str">
        <x:v>Core One Chicago franchise</x:v>
      </x:c>
      <x:c r="Q2960" s="17" t="str">
        <x:v>7396877</x:v>
      </x:c>
      <x:c r="R2960" s="17" t="str">
        <x:v>tt27126240</x:v>
      </x:c>
      <x:c r="S2960" s="17" t="str"/>
    </x:row>
    <x:row r="2961">
      <x:c r="A2961" s="43" t="n">
        <x:v>2957</x:v>
      </x:c>
      <x:c r="B2961" s="44" t="str">
        <x:v>Not Started</x:v>
      </x:c>
      <x:c r="C2961" s="45" t="n">
        <x:v>45015</x:v>
      </x:c>
      <x:c r="D2961" s="33" t="str">
        <x:v>Chicago P.D.</x:v>
      </x:c>
      <x:c r="E2961" s="33" t="str">
        <x:v>One Chicago</x:v>
      </x:c>
      <x:c r="F2961" s="33" t="str">
        <x:v>core</x:v>
      </x:c>
      <x:c r="G2961" s="50" t="n">
        <x:v>10</x:v>
      </x:c>
      <x:c r="H2961" s="50" t="n">
        <x:v>17</x:v>
      </x:c>
      <x:c r="I2961" s="44" t="str">
        <x:v>10.17</x:v>
      </x:c>
      <x:c r="J2961" s="33" t="str">
        <x:v>Out of the Depths</x:v>
      </x:c>
      <x:c r="K2961" s="33" t="str"/>
      <x:c r="L2961" s="33" t="str"/>
      <x:c r="M2961" s="44" t="str"/>
      <x:c r="N2961" s="50" t="n">
        <x:v>43</x:v>
      </x:c>
      <x:c r="O2961" s="53" t="str">
        <x:v>As the team investigates a convenience store robbery, the evidence leads them to an unusual pair of suspects, revealing a dark personal drama and another potential victim. Burgess slowly makes strides tackling her past trauma.</x:v>
      </x:c>
      <x:c r="P2961" s="53" t="str">
        <x:v>Core One Chicago franchise; crossovers with SVU/FBI</x:v>
      </x:c>
      <x:c r="Q2961" s="17" t="str">
        <x:v>7396961</x:v>
      </x:c>
      <x:c r="R2961" s="17" t="str">
        <x:v>tt26771189</x:v>
      </x:c>
      <x:c r="S2961" s="17" t="str"/>
    </x:row>
    <x:row r="2962">
      <x:c r="A2962" s="43" t="n">
        <x:v>2958</x:v>
      </x:c>
      <x:c r="B2962" s="44" t="str">
        <x:v>Not Started</x:v>
      </x:c>
      <x:c r="C2962" s="45" t="n">
        <x:v>45015</x:v>
      </x:c>
      <x:c r="D2962" s="33" t="str">
        <x:v>Chicago Fire</x:v>
      </x:c>
      <x:c r="E2962" s="33" t="str">
        <x:v>One Chicago</x:v>
      </x:c>
      <x:c r="F2962" s="33" t="str">
        <x:v>core</x:v>
      </x:c>
      <x:c r="G2962" s="50" t="n">
        <x:v>11</x:v>
      </x:c>
      <x:c r="H2962" s="50" t="n">
        <x:v>17</x:v>
      </x:c>
      <x:c r="I2962" s="44" t="str">
        <x:v>11.17</x:v>
      </x:c>
      <x:c r="J2962" s="33" t="str">
        <x:v>The First Symptom</x:v>
      </x:c>
      <x:c r="K2962" s="33" t="str"/>
      <x:c r="L2962" s="33" t="str"/>
      <x:c r="M2962" s="44" t="str"/>
      <x:c r="N2962" s="50" t="n">
        <x:v>42</x:v>
      </x:c>
      <x:c r="O2962" s="53" t="str">
        <x:v>Mouch builds a classic firetruck model for the Deputy District Chief but needs some assistance from Gallo and Ritter. Brett and Violet encounter multiple victims with a strange set of symptoms. Cindy's chemotherapy results loom over the Herrmann family.</x:v>
      </x:c>
      <x:c r="P2962" s="53" t="str">
        <x:v>Core One Chicago franchise</x:v>
      </x:c>
      <x:c r="Q2962" s="17" t="str">
        <x:v>7396556</x:v>
      </x:c>
      <x:c r="R2962" s="17" t="str">
        <x:v>tt27047940</x:v>
      </x:c>
      <x:c r="S2962" s="17" t="str"/>
    </x:row>
    <x:row r="2963">
      <x:c r="A2963" s="43" t="n">
        <x:v>2959</x:v>
      </x:c>
      <x:c r="B2963" s="44" t="str">
        <x:v>Not Started</x:v>
      </x:c>
      <x:c r="C2963" s="45" t="n">
        <x:v>45015</x:v>
      </x:c>
      <x:c r="D2963" s="33" t="str">
        <x:v>Law &amp; Order</x:v>
      </x:c>
      <x:c r="E2963" s="33" t="str">
        <x:v>Law &amp; Order</x:v>
      </x:c>
      <x:c r="F2963" s="33" t="str">
        <x:v>core</x:v>
      </x:c>
      <x:c r="G2963" s="50" t="n">
        <x:v>22</x:v>
      </x:c>
      <x:c r="H2963" s="50" t="n">
        <x:v>17</x:v>
      </x:c>
      <x:c r="I2963" s="44" t="str">
        <x:v>22.17</x:v>
      </x:c>
      <x:c r="J2963" s="33" t="str">
        <x:v>Bias</x:v>
      </x:c>
      <x:c r="K2963" s="33" t="str"/>
      <x:c r="L2963" s="33" t="str"/>
      <x:c r="M2963" s="44" t="str"/>
      <x:c r="N2963" s="50" t="n">
        <x:v>45</x:v>
      </x:c>
      <x:c r="O2963" s="53" t="str">
        <x:v>When a public defender is murdered, Cosgrove and Shaw are surprised to find Price at the scene; his involvement in the trial compromises the case.</x:v>
      </x:c>
      <x:c r="P2963" s="53" t="str">
        <x:v>Core Law &amp; Order franchise</x:v>
      </x:c>
      <x:c r="Q2963" s="17" t="str">
        <x:v>7412888</x:v>
      </x:c>
      <x:c r="R2963" s="17" t="str">
        <x:v>tt27135023</x:v>
      </x:c>
      <x:c r="S2963" s="17" t="str">
        <x:v>1605</x:v>
      </x:c>
    </x:row>
    <x:row r="2964">
      <x:c r="A2964" s="43" t="n">
        <x:v>2960</x:v>
      </x:c>
      <x:c r="B2964" s="44" t="str">
        <x:v>Not Started</x:v>
      </x:c>
      <x:c r="C2964" s="45" t="n">
        <x:v>45015</x:v>
      </x:c>
      <x:c r="D2964" s="33" t="str">
        <x:v>Law &amp; Order: Special Victims Unit</x:v>
      </x:c>
      <x:c r="E2964" s="33" t="str">
        <x:v>Law &amp; Order</x:v>
      </x:c>
      <x:c r="F2964" s="33" t="str">
        <x:v>core</x:v>
      </x:c>
      <x:c r="G2964" s="50" t="n">
        <x:v>24</x:v>
      </x:c>
      <x:c r="H2964" s="50" t="n">
        <x:v>17</x:v>
      </x:c>
      <x:c r="I2964" s="44" t="str">
        <x:v>24.17</x:v>
      </x:c>
      <x:c r="J2964" s="33" t="str">
        <x:v>Lime Chaser</x:v>
      </x:c>
      <x:c r="K2964" s="33" t="str"/>
      <x:c r="L2964" s="33" t="str"/>
      <x:c r="M2964" s="44" t="str"/>
      <x:c r="N2964" s="50" t="n">
        <x:v>42</x:v>
      </x:c>
      <x:c r="O2964" s="53" t="str">
        <x:v>The search for a suspect who drugs women's drinks in crowded bars leads the SVU to Muncy's brother. Churlish makes a risky move to impress Benson.</x:v>
      </x:c>
      <x:c r="P2964" s="53" t="str">
        <x:v>Core Law &amp; Order franchise</x:v>
      </x:c>
      <x:c r="Q2964" s="17" t="str">
        <x:v>7350885</x:v>
      </x:c>
      <x:c r="R2964" s="17" t="str">
        <x:v>tt27135026</x:v>
      </x:c>
      <x:c r="S2964" s="17" t="str">
        <x:v>1606</x:v>
      </x:c>
    </x:row>
    <x:row r="2965">
      <x:c r="A2965" s="43" t="n">
        <x:v>2961</x:v>
      </x:c>
      <x:c r="B2965" s="44" t="str">
        <x:v>Not Started</x:v>
      </x:c>
      <x:c r="C2965" s="45" t="n">
        <x:v>45017</x:v>
      </x:c>
      <x:c r="D2965" s="33" t="str">
        <x:v>Blood &amp; Money</x:v>
      </x:c>
      <x:c r="E2965" s="33" t="str">
        <x:v>Wolf Archive</x:v>
      </x:c>
      <x:c r="F2965" s="33" t="str">
        <x:v>complete</x:v>
      </x:c>
      <x:c r="G2965" s="50" t="n">
        <x:v>1</x:v>
      </x:c>
      <x:c r="H2965" s="50" t="n">
        <x:v>4</x:v>
      </x:c>
      <x:c r="I2965" s="44" t="str">
        <x:v>01.04</x:v>
      </x:c>
      <x:c r="J2965" s="33" t="str">
        <x:v>A College Kingpin's Greed</x:v>
      </x:c>
      <x:c r="K2965" s="33" t="str"/>
      <x:c r="L2965" s="33" t="str"/>
      <x:c r="M2965" s="44" t="str"/>
      <x:c r="N2965" s="50" t="n">
        <x:v>44</x:v>
      </x:c>
      <x:c r="O2965" s="53" t="str">
        <x:v>A true-crime investigation into the case featured in “A College Kingpin's Greed,” following the detectives and prosecutors who traced money, motive and evidence.</x:v>
      </x:c>
      <x:c r="P2965" s="53" t="str">
        <x:v>2023 Wolf Entertainment true-crime series created by Dick Wolf; the unrelated 1981 series is excluded.</x:v>
      </x:c>
      <x:c r="Q2965" s="17" t="str">
        <x:v>7399635</x:v>
      </x:c>
      <x:c r="R2965" s="17" t="str"/>
      <x:c r="S2965" s="17" t="str">
        <x:v>https://www.oxygen.com/blood-money/season-1/episode-5/high-society-schemers</x:v>
      </x:c>
    </x:row>
    <x:row r="2966">
      <x:c r="A2966" s="43" t="n">
        <x:v>2962</x:v>
      </x:c>
      <x:c r="B2966" s="44" t="str">
        <x:v>Not Started</x:v>
      </x:c>
      <x:c r="C2966" s="45" t="n">
        <x:v>45018</x:v>
      </x:c>
      <x:c r="D2966" s="33" t="str">
        <x:v>Cold Justice</x:v>
      </x:c>
      <x:c r="E2966" s="33" t="str">
        <x:v>Crossover Adjacent</x:v>
      </x:c>
      <x:c r="F2966" s="33" t="str">
        <x:v>complete</x:v>
      </x:c>
      <x:c r="G2966" s="50" t="n">
        <x:v>6</x:v>
      </x:c>
      <x:c r="H2966" s="50" t="n">
        <x:v>24</x:v>
      </x:c>
      <x:c r="I2966" s="44" t="str">
        <x:v>06.24</x:v>
      </x:c>
      <x:c r="J2966" s="33" t="str">
        <x:v>Digging for Justice</x:v>
      </x:c>
      <x:c r="K2966" s="33" t="str"/>
      <x:c r="L2966" s="33" t="str"/>
      <x:c r="M2966" s="44" t="str"/>
      <x:c r="N2966" s="50" t="n">
        <x:v>42</x:v>
      </x:c>
      <x:c r="O2966" s="53" t="str">
        <x:v>Kelly and Tonya investigate the mysterious disappearance of a mother who went missing after a Fourth of July celebration; an old tip on where her body might be buried takes a turn when cadaver dogs signal they've found something.</x:v>
      </x:c>
      <x:c r="P2966" s="53" t="str">
        <x:v>Wolf Entertainment unscripted true-crime series</x:v>
      </x:c>
      <x:c r="Q2966" s="17" t="str">
        <x:v>7436711</x:v>
      </x:c>
      <x:c r="R2966" s="17" t="str"/>
      <x:c r="S2966" s="17" t="str"/>
    </x:row>
    <x:row r="2967">
      <x:c r="A2967" s="43" t="n">
        <x:v>2963</x:v>
      </x:c>
      <x:c r="B2967" s="44" t="str">
        <x:v>Not Started</x:v>
      </x:c>
      <x:c r="C2967" s="45" t="n">
        <x:v>45021</x:v>
      </x:c>
      <x:c r="D2967" s="33" t="str">
        <x:v>FBI: International</x:v>
      </x:c>
      <x:c r="E2967" s="33" t="str">
        <x:v>FBI</x:v>
      </x:c>
      <x:c r="F2967" s="33" t="str">
        <x:v>core</x:v>
      </x:c>
      <x:c r="G2967" s="50" t="n">
        <x:v>2</x:v>
      </x:c>
      <x:c r="H2967" s="50" t="n">
        <x:v>16</x:v>
      </x:c>
      <x:c r="I2967" s="44" t="str">
        <x:v>02.16</x:v>
      </x:c>
      <x:c r="J2967" s="33" t="str">
        <x:v>Imminent Threat (I)</x:v>
      </x:c>
      <x:c r="K2967" s="33" t="str">
        <x:v>Crossover</x:v>
      </x:c>
      <x:c r="L2967" s="33" t="str">
        <x:v>Imminent Threat</x:v>
      </x:c>
      <x:c r="M2967" s="44" t="str">
        <x:v>1/3</x:v>
      </x:c>
      <x:c r="N2967" s="50" t="n">
        <x:v>41</x:v>
      </x:c>
      <x:c r="O2967" s="53" t="str">
        <x:v>When the abduction of an American architect in Rome appears to be connected to a brewing terror threat in New York City, FBI’s Jubal and Nina join Forrester and his Fly Team in Italy as they work together to find the missing American and shed light on the terrorists’ U.S. target.
The crossover continues on FBI S05E17 Imminent Threat (II) and FBI: Most Wanted S04E16 Imminent Threat (III).</x:v>
      </x:c>
      <x:c r="P2967" s="53" t="str">
        <x:v>Core FBI franchise</x:v>
      </x:c>
      <x:c r="Q2967" s="17" t="str">
        <x:v>7399900</x:v>
      </x:c>
      <x:c r="R2967" s="17" t="str">
        <x:v>tt27050861</x:v>
      </x:c>
      <x:c r="S2967" s="17" t="str">
        <x:v>https://one-chicago-fbi.fandom.com/wiki/Crossovers_and_Milestones</x:v>
      </x:c>
    </x:row>
    <x:row r="2968">
      <x:c r="A2968" s="43" t="n">
        <x:v>2964</x:v>
      </x:c>
      <x:c r="B2968" s="44" t="str">
        <x:v>Not Started</x:v>
      </x:c>
      <x:c r="C2968" s="45" t="n">
        <x:v>45021</x:v>
      </x:c>
      <x:c r="D2968" s="33" t="str">
        <x:v>FBI: Most Wanted</x:v>
      </x:c>
      <x:c r="E2968" s="33" t="str">
        <x:v>FBI</x:v>
      </x:c>
      <x:c r="F2968" s="33" t="str">
        <x:v>core</x:v>
      </x:c>
      <x:c r="G2968" s="50" t="n">
        <x:v>4</x:v>
      </x:c>
      <x:c r="H2968" s="50" t="n">
        <x:v>16</x:v>
      </x:c>
      <x:c r="I2968" s="44" t="str">
        <x:v>04.16</x:v>
      </x:c>
      <x:c r="J2968" s="33" t="str">
        <x:v>Imminent Threat (III)</x:v>
      </x:c>
      <x:c r="K2968" s="33" t="str">
        <x:v>Crossover</x:v>
      </x:c>
      <x:c r="L2968" s="33" t="str">
        <x:v>Imminent Threat</x:v>
      </x:c>
      <x:c r="M2968" s="44" t="str">
        <x:v>3/3</x:v>
      </x:c>
      <x:c r="N2968" s="50" t="n">
        <x:v>42</x:v>
      </x:c>
      <x:c r="O2968" s="53" t="str">
        <x:v>The clock ticks as the FBI and FBI: Most Wanted teams join forces to hunt down the fugitive terrorists as they get closer to carrying out a plot to destroy a major New York City landmark and cause devastating civilian casualties.
The crossover starts on FBI: International S02E16 Imminent Threat (I) and FBI S05E17 Imminent Threat (II).</x:v>
      </x:c>
      <x:c r="P2968" s="53" t="str">
        <x:v>Core FBI franchise</x:v>
      </x:c>
      <x:c r="Q2968" s="17" t="str">
        <x:v>7400030</x:v>
      </x:c>
      <x:c r="R2968" s="17" t="str">
        <x:v>tt27050878</x:v>
      </x:c>
      <x:c r="S2968" s="17" t="str">
        <x:v>https://one-chicago-fbi.fandom.com/wiki/Crossovers_and_Milestones</x:v>
      </x:c>
    </x:row>
    <x:row r="2969">
      <x:c r="A2969" s="43" t="n">
        <x:v>2965</x:v>
      </x:c>
      <x:c r="B2969" s="44" t="str">
        <x:v>Not Started</x:v>
      </x:c>
      <x:c r="C2969" s="45" t="n">
        <x:v>45021</x:v>
      </x:c>
      <x:c r="D2969" s="33" t="str">
        <x:v>FBI</x:v>
      </x:c>
      <x:c r="E2969" s="33" t="str">
        <x:v>FBI</x:v>
      </x:c>
      <x:c r="F2969" s="33" t="str">
        <x:v>core</x:v>
      </x:c>
      <x:c r="G2969" s="50" t="n">
        <x:v>5</x:v>
      </x:c>
      <x:c r="H2969" s="50" t="n">
        <x:v>17</x:v>
      </x:c>
      <x:c r="I2969" s="44" t="str">
        <x:v>05.17</x:v>
      </x:c>
      <x:c r="J2969" s="33" t="str">
        <x:v>Imminent Threat  (II)</x:v>
      </x:c>
      <x:c r="K2969" s="33" t="str">
        <x:v>Crossover</x:v>
      </x:c>
      <x:c r="L2969" s="33" t="str">
        <x:v>Imminent Threat</x:v>
      </x:c>
      <x:c r="M2969" s="44" t="str">
        <x:v>2/3</x:v>
      </x:c>
      <x:c r="N2969" s="50" t="n">
        <x:v>42</x:v>
      </x:c>
      <x:c r="O2969" s="53" t="str">
        <x:v>To aid Scola in his undercover mission to find the terrorists believed to be behind the imminent attack in New York City, Maggie calls in Remy, whose well-connected informant from a prior case may be key to moving the operation forward.
The crossover starts on FBI: International S02E16 Imminent Threat (I). It continues on FBI: Most Wanted S04E16 Imminent Threat (III).</x:v>
      </x:c>
      <x:c r="P2969" s="53" t="str">
        <x:v>Core FBI franchise</x:v>
      </x:c>
      <x:c r="Q2969" s="17" t="str">
        <x:v>7400066</x:v>
      </x:c>
      <x:c r="R2969" s="17" t="str">
        <x:v>tt27050838</x:v>
      </x:c>
      <x:c r="S2969" s="17" t="str">
        <x:v>https://one-chicago-fbi.fandom.com/wiki/Crossovers_and_Milestones</x:v>
      </x:c>
    </x:row>
    <x:row r="2970">
      <x:c r="A2970" s="43" t="n">
        <x:v>2966</x:v>
      </x:c>
      <x:c r="B2970" s="44" t="str">
        <x:v>Not Started</x:v>
      </x:c>
      <x:c r="C2970" s="45" t="n">
        <x:v>45022</x:v>
      </x:c>
      <x:c r="D2970" s="33" t="str">
        <x:v>Law &amp; Order: Organized Crime</x:v>
      </x:c>
      <x:c r="E2970" s="33" t="str">
        <x:v>Law &amp; Order</x:v>
      </x:c>
      <x:c r="F2970" s="33" t="str">
        <x:v>core</x:v>
      </x:c>
      <x:c r="G2970" s="50" t="n">
        <x:v>3</x:v>
      </x:c>
      <x:c r="H2970" s="50" t="n">
        <x:v>18</x:v>
      </x:c>
      <x:c r="I2970" s="44" t="str">
        <x:v>03.18</x:v>
      </x:c>
      <x:c r="J2970" s="33" t="str">
        <x:v>Tag:GEN</x:v>
      </x:c>
      <x:c r="K2970" s="33" t="str"/>
      <x:c r="L2970" s="33" t="str"/>
      <x:c r="M2970" s="44" t="str"/>
      <x:c r="N2970" s="50" t="n">
        <x:v>42</x:v>
      </x:c>
      <x:c r="O2970" s="53" t="str">
        <x:v>When a drug bust goes sideways, the task force uncovers a sinister robbery scheme targeting gay men. Bell vows to help a fellow officer when he falls victim to the scheme.</x:v>
      </x:c>
      <x:c r="P2970" s="53" t="str">
        <x:v>Core Law &amp; Order franchise</x:v>
      </x:c>
      <x:c r="Q2970" s="17" t="str">
        <x:v>7418239</x:v>
      </x:c>
      <x:c r="R2970" s="17" t="str">
        <x:v>tt27250249</x:v>
      </x:c>
      <x:c r="S2970" s="17" t="str">
        <x:v>1610</x:v>
      </x:c>
    </x:row>
    <x:row r="2971">
      <x:c r="A2971" s="43" t="n">
        <x:v>2967</x:v>
      </x:c>
      <x:c r="B2971" s="44" t="str">
        <x:v>Not Started</x:v>
      </x:c>
      <x:c r="C2971" s="45" t="n">
        <x:v>45022</x:v>
      </x:c>
      <x:c r="D2971" s="33" t="str">
        <x:v>Chicago Med</x:v>
      </x:c>
      <x:c r="E2971" s="33" t="str">
        <x:v>One Chicago</x:v>
      </x:c>
      <x:c r="F2971" s="33" t="str">
        <x:v>core</x:v>
      </x:c>
      <x:c r="G2971" s="50" t="n">
        <x:v>8</x:v>
      </x:c>
      <x:c r="H2971" s="50" t="n">
        <x:v>18</x:v>
      </x:c>
      <x:c r="I2971" s="44" t="str">
        <x:v>08.18</x:v>
      </x:c>
      <x:c r="J2971" s="33" t="str">
        <x:v>I Could See the Writing on the Wall</x:v>
      </x:c>
      <x:c r="K2971" s="33" t="str"/>
      <x:c r="L2971" s="33" t="str"/>
      <x:c r="M2971" s="44" t="str"/>
      <x:c r="N2971" s="50" t="n">
        <x:v>43</x:v>
      </x:c>
      <x:c r="O2971" s="53" t="str">
        <x:v>Dr. Song launches her pilot program, giving the E.D. a technological facelift. Archer clashes with Charles on a patient faking paralysis. Archer helps a pregnant mother with a heart condition.</x:v>
      </x:c>
      <x:c r="P2971" s="53" t="str">
        <x:v>Core One Chicago franchise</x:v>
      </x:c>
      <x:c r="Q2971" s="17" t="str">
        <x:v>7417567</x:v>
      </x:c>
      <x:c r="R2971" s="17" t="str">
        <x:v>tt27192403</x:v>
      </x:c>
      <x:c r="S2971" s="17" t="str"/>
    </x:row>
    <x:row r="2972">
      <x:c r="A2972" s="43" t="n">
        <x:v>2968</x:v>
      </x:c>
      <x:c r="B2972" s="44" t="str">
        <x:v>Not Started</x:v>
      </x:c>
      <x:c r="C2972" s="45" t="n">
        <x:v>45022</x:v>
      </x:c>
      <x:c r="D2972" s="33" t="str">
        <x:v>Chicago P.D.</x:v>
      </x:c>
      <x:c r="E2972" s="33" t="str">
        <x:v>One Chicago</x:v>
      </x:c>
      <x:c r="F2972" s="33" t="str">
        <x:v>core</x:v>
      </x:c>
      <x:c r="G2972" s="50" t="n">
        <x:v>10</x:v>
      </x:c>
      <x:c r="H2972" s="50" t="n">
        <x:v>18</x:v>
      </x:c>
      <x:c r="I2972" s="44" t="str">
        <x:v>10.18</x:v>
      </x:c>
      <x:c r="J2972" s="33" t="str">
        <x:v>You Only Die Twice</x:v>
      </x:c>
      <x:c r="K2972" s="33" t="str"/>
      <x:c r="L2972" s="33" t="str"/>
      <x:c r="M2972" s="44" t="str"/>
      <x:c r="N2972" s="50" t="n">
        <x:v>43</x:v>
      </x:c>
      <x:c r="O2972" s="53" t="str">
        <x:v>A tragic crime leads the team closer to the Beck family and their deadly ideology. Ruzek makes progress infiltrating the Becks, earning Samantha and Richard's trust with a bold move.</x:v>
      </x:c>
      <x:c r="P2972" s="53" t="str">
        <x:v>Core One Chicago franchise; crossovers with SVU/FBI</x:v>
      </x:c>
      <x:c r="Q2972" s="17" t="str">
        <x:v>7417767</x:v>
      </x:c>
      <x:c r="R2972" s="17" t="str">
        <x:v>tt27202193</x:v>
      </x:c>
      <x:c r="S2972" s="17" t="str"/>
    </x:row>
    <x:row r="2973">
      <x:c r="A2973" s="43" t="n">
        <x:v>2969</x:v>
      </x:c>
      <x:c r="B2973" s="44" t="str">
        <x:v>Not Started</x:v>
      </x:c>
      <x:c r="C2973" s="45" t="n">
        <x:v>45022</x:v>
      </x:c>
      <x:c r="D2973" s="33" t="str">
        <x:v>Chicago Fire</x:v>
      </x:c>
      <x:c r="E2973" s="33" t="str">
        <x:v>One Chicago</x:v>
      </x:c>
      <x:c r="F2973" s="33" t="str">
        <x:v>core</x:v>
      </x:c>
      <x:c r="G2973" s="50" t="n">
        <x:v>11</x:v>
      </x:c>
      <x:c r="H2973" s="50" t="n">
        <x:v>18</x:v>
      </x:c>
      <x:c r="I2973" s="44" t="str">
        <x:v>11.18</x:v>
      </x:c>
      <x:c r="J2973" s="33" t="str">
        <x:v>Danger Is All Around</x:v>
      </x:c>
      <x:c r="K2973" s="33" t="str"/>
      <x:c r="L2973" s="33" t="str"/>
      <x:c r="M2973" s="44" t="str"/>
      <x:c r="N2973" s="50" t="n">
        <x:v>43</x:v>
      </x:c>
      <x:c r="O2973" s="53" t="str">
        <x:v>A familiar face returns to Firehouse 51 to serve with Kidd on a special task force. Mouch and Capp work to keep Tony safe, as he's days away from breaking the CFD's perfect attendance record. Old grudges resurface when Gallo reunites with a family member.</x:v>
      </x:c>
      <x:c r="P2973" s="53" t="str">
        <x:v>Core One Chicago franchise</x:v>
      </x:c>
      <x:c r="Q2973" s="17" t="str">
        <x:v>7417578</x:v>
      </x:c>
      <x:c r="R2973" s="17" t="str">
        <x:v>tt27202167</x:v>
      </x:c>
      <x:c r="S2973" s="17" t="str"/>
    </x:row>
    <x:row r="2974">
      <x:c r="A2974" s="43" t="n">
        <x:v>2970</x:v>
      </x:c>
      <x:c r="B2974" s="44" t="str">
        <x:v>Not Started</x:v>
      </x:c>
      <x:c r="C2974" s="45" t="n">
        <x:v>45022</x:v>
      </x:c>
      <x:c r="D2974" s="33" t="str">
        <x:v>Law &amp; Order</x:v>
      </x:c>
      <x:c r="E2974" s="33" t="str">
        <x:v>Law &amp; Order</x:v>
      </x:c>
      <x:c r="F2974" s="33" t="str">
        <x:v>core</x:v>
      </x:c>
      <x:c r="G2974" s="50" t="n">
        <x:v>22</x:v>
      </x:c>
      <x:c r="H2974" s="50" t="n">
        <x:v>18</x:v>
      </x:c>
      <x:c r="I2974" s="44" t="str">
        <x:v>22.18</x:v>
      </x:c>
      <x:c r="J2974" s="33" t="str">
        <x:v>Collateral Damage</x:v>
      </x:c>
      <x:c r="K2974" s="33" t="str"/>
      <x:c r="L2974" s="33" t="str"/>
      <x:c r="M2974" s="44" t="str"/>
      <x:c r="N2974" s="50" t="n">
        <x:v>45</x:v>
      </x:c>
      <x:c r="O2974" s="53" t="str">
        <x:v>When a young woman dies a slow and painful death from an untreated infection, Cosgrove and Shaw suspect she was under the influence of a powerful cult; Price and Maroun put pressure on its members to find the cult's true mastermind.</x:v>
      </x:c>
      <x:c r="P2974" s="53" t="str">
        <x:v>Core Law &amp; Order franchise</x:v>
      </x:c>
      <x:c r="Q2974" s="17" t="str">
        <x:v>7433502</x:v>
      </x:c>
      <x:c r="R2974" s="17" t="str">
        <x:v>tt27250246</x:v>
      </x:c>
      <x:c r="S2974" s="17" t="str">
        <x:v>1608</x:v>
      </x:c>
    </x:row>
    <x:row r="2975">
      <x:c r="A2975" s="43" t="n">
        <x:v>2971</x:v>
      </x:c>
      <x:c r="B2975" s="44" t="str">
        <x:v>Not Started</x:v>
      </x:c>
      <x:c r="C2975" s="45" t="n">
        <x:v>45022</x:v>
      </x:c>
      <x:c r="D2975" s="33" t="str">
        <x:v>Law &amp; Order: Special Victims Unit</x:v>
      </x:c>
      <x:c r="E2975" s="33" t="str">
        <x:v>Law &amp; Order</x:v>
      </x:c>
      <x:c r="F2975" s="33" t="str">
        <x:v>core</x:v>
      </x:c>
      <x:c r="G2975" s="50" t="n">
        <x:v>24</x:v>
      </x:c>
      <x:c r="H2975" s="50" t="n">
        <x:v>18</x:v>
      </x:c>
      <x:c r="I2975" s="44" t="str">
        <x:v>24.18</x:v>
      </x:c>
      <x:c r="J2975" s="33" t="str">
        <x:v>Bubble Wrap</x:v>
      </x:c>
      <x:c r="K2975" s="33" t="str"/>
      <x:c r="L2975" s="33" t="str"/>
      <x:c r="M2975" s="44" t="str"/>
      <x:c r="N2975" s="50" t="n">
        <x:v>42</x:v>
      </x:c>
      <x:c r="O2975" s="53" t="str">
        <x:v>A construction tycoon interferes with an SVU investigation into her family. Carisi struggles to get an indictment when the complainant backs down.</x:v>
      </x:c>
      <x:c r="P2975" s="53" t="str">
        <x:v>Core Law &amp; Order franchise</x:v>
      </x:c>
      <x:c r="Q2975" s="17" t="str">
        <x:v>7357545</x:v>
      </x:c>
      <x:c r="R2975" s="17" t="str">
        <x:v>tt27203965</x:v>
      </x:c>
      <x:c r="S2975" s="17" t="str">
        <x:v>1609</x:v>
      </x:c>
    </x:row>
    <x:row r="2976">
      <x:c r="A2976" s="43" t="n">
        <x:v>2972</x:v>
      </x:c>
      <x:c r="B2976" s="44" t="str">
        <x:v>Not Started</x:v>
      </x:c>
      <x:c r="C2976" s="45" t="n">
        <x:v>45024</x:v>
      </x:c>
      <x:c r="D2976" s="33" t="str">
        <x:v>Blood &amp; Money</x:v>
      </x:c>
      <x:c r="E2976" s="33" t="str">
        <x:v>Wolf Archive</x:v>
      </x:c>
      <x:c r="F2976" s="33" t="str">
        <x:v>complete</x:v>
      </x:c>
      <x:c r="G2976" s="50" t="n">
        <x:v>1</x:v>
      </x:c>
      <x:c r="H2976" s="50" t="n">
        <x:v>5</x:v>
      </x:c>
      <x:c r="I2976" s="44" t="str">
        <x:v>01.05</x:v>
      </x:c>
      <x:c r="J2976" s="33" t="str">
        <x:v>High Society Schemers</x:v>
      </x:c>
      <x:c r="K2976" s="33" t="str"/>
      <x:c r="L2976" s="33" t="str"/>
      <x:c r="M2976" s="44" t="str"/>
      <x:c r="N2976" s="50" t="n">
        <x:v>44</x:v>
      </x:c>
      <x:c r="O2976" s="53" t="str">
        <x:v>A true-crime investigation into the case featured in “High Society Schemers,” following the detectives and prosecutors who traced money, motive and evidence.</x:v>
      </x:c>
      <x:c r="P2976" s="53" t="str">
        <x:v>2023 Wolf Entertainment true-crime series created by Dick Wolf; the unrelated 1981 series is excluded.</x:v>
      </x:c>
      <x:c r="Q2976" s="17" t="str">
        <x:v>7399640</x:v>
      </x:c>
      <x:c r="R2976" s="17" t="str"/>
      <x:c r="S2976" s="17" t="str">
        <x:v>https://www.oxygen.com/blood-money/season-1/episode-5/high-society-schemers</x:v>
      </x:c>
    </x:row>
    <x:row r="2977">
      <x:c r="A2977" s="43" t="n">
        <x:v>2973</x:v>
      </x:c>
      <x:c r="B2977" s="44" t="str">
        <x:v>Not Started</x:v>
      </x:c>
      <x:c r="C2977" s="45" t="n">
        <x:v>45028</x:v>
      </x:c>
      <x:c r="D2977" s="33" t="str">
        <x:v>FBI: International</x:v>
      </x:c>
      <x:c r="E2977" s="33" t="str">
        <x:v>FBI</x:v>
      </x:c>
      <x:c r="F2977" s="33" t="str">
        <x:v>core</x:v>
      </x:c>
      <x:c r="G2977" s="50" t="n">
        <x:v>2</x:v>
      </x:c>
      <x:c r="H2977" s="50" t="n">
        <x:v>17</x:v>
      </x:c>
      <x:c r="I2977" s="44" t="str">
        <x:v>02.17</x:v>
      </x:c>
      <x:c r="J2977" s="33" t="str">
        <x:v>Jealous Mistress</x:v>
      </x:c>
      <x:c r="K2977" s="33" t="str"/>
      <x:c r="L2977" s="33" t="str"/>
      <x:c r="M2977" s="44" t="str"/>
      <x:c r="N2977" s="50" t="n">
        <x:v>42</x:v>
      </x:c>
      <x:c r="O2977" s="53" t="str">
        <x:v>The Fly Team heads to Vienna to find the culprit of an acid attack on a rising American prima ballerina. Also, Smitty receives some troubling intel from a familiar face.</x:v>
      </x:c>
      <x:c r="P2977" s="53" t="str">
        <x:v>Core FBI franchise</x:v>
      </x:c>
      <x:c r="Q2977" s="17" t="str">
        <x:v>7440617</x:v>
      </x:c>
      <x:c r="R2977" s="17" t="str">
        <x:v>tt27099464</x:v>
      </x:c>
      <x:c r="S2977" s="17" t="str"/>
    </x:row>
    <x:row r="2978">
      <x:c r="A2978" s="43" t="n">
        <x:v>2974</x:v>
      </x:c>
      <x:c r="B2978" s="44" t="str">
        <x:v>Not Started</x:v>
      </x:c>
      <x:c r="C2978" s="45" t="n">
        <x:v>45028</x:v>
      </x:c>
      <x:c r="D2978" s="33" t="str">
        <x:v>FBI: Most Wanted</x:v>
      </x:c>
      <x:c r="E2978" s="33" t="str">
        <x:v>FBI</x:v>
      </x:c>
      <x:c r="F2978" s="33" t="str">
        <x:v>core</x:v>
      </x:c>
      <x:c r="G2978" s="50" t="n">
        <x:v>4</x:v>
      </x:c>
      <x:c r="H2978" s="50" t="n">
        <x:v>17</x:v>
      </x:c>
      <x:c r="I2978" s="44" t="str">
        <x:v>04.17</x:v>
      </x:c>
      <x:c r="J2978" s="33" t="str">
        <x:v>The Miseducation of Metcalf 2</x:v>
      </x:c>
      <x:c r="K2978" s="33" t="str"/>
      <x:c r="L2978" s="33" t="str"/>
      <x:c r="M2978" s="44" t="str"/>
      <x:c r="N2978" s="50" t="n">
        <x:v>42</x:v>
      </x:c>
      <x:c r="O2978" s="53" t="str">
        <x:v>The team jumps into action to find two missing coeds after their roommate Carly Cassidy’s older brother is involved in a homicide that took place in their dorm room. Also, Hana becomes distracted when she meets someone online.</x:v>
      </x:c>
      <x:c r="P2978" s="53" t="str">
        <x:v>Core FBI franchise</x:v>
      </x:c>
      <x:c r="Q2978" s="17" t="str">
        <x:v>7440621</x:v>
      </x:c>
      <x:c r="R2978" s="17" t="str">
        <x:v>tt27099954</x:v>
      </x:c>
      <x:c r="S2978" s="17" t="str"/>
    </x:row>
    <x:row r="2979">
      <x:c r="A2979" s="43" t="n">
        <x:v>2975</x:v>
      </x:c>
      <x:c r="B2979" s="44" t="str">
        <x:v>Not Started</x:v>
      </x:c>
      <x:c r="C2979" s="45" t="n">
        <x:v>45028</x:v>
      </x:c>
      <x:c r="D2979" s="33" t="str">
        <x:v>FBI</x:v>
      </x:c>
      <x:c r="E2979" s="33" t="str">
        <x:v>FBI</x:v>
      </x:c>
      <x:c r="F2979" s="33" t="str">
        <x:v>core</x:v>
      </x:c>
      <x:c r="G2979" s="50" t="n">
        <x:v>5</x:v>
      </x:c>
      <x:c r="H2979" s="50" t="n">
        <x:v>18</x:v>
      </x:c>
      <x:c r="I2979" s="44" t="str">
        <x:v>05.18</x:v>
      </x:c>
      <x:c r="J2979" s="33" t="str">
        <x:v>Obligation</x:v>
      </x:c>
      <x:c r="K2979" s="33" t="str"/>
      <x:c r="L2979" s="33" t="str"/>
      <x:c r="M2979" s="44" t="str"/>
      <x:c r="N2979" s="50" t="n">
        <x:v>42</x:v>
      </x:c>
      <x:c r="O2979" s="53" t="str">
        <x:v>When the deputy commander of an Air National Guard Base is kidnapped and forced to give over access codes, the team must work quickly to find the suspect along with stolen ammunition. Also, Scola questions his own safety in the aftermath of a recent traumatic experience.</x:v>
      </x:c>
      <x:c r="P2979" s="53" t="str">
        <x:v>Core FBI franchise</x:v>
      </x:c>
      <x:c r="Q2979" s="17" t="str">
        <x:v>7434878</x:v>
      </x:c>
      <x:c r="R2979" s="17" t="str">
        <x:v>tt27099241</x:v>
      </x:c>
      <x:c r="S2979" s="17" t="str"/>
    </x:row>
    <x:row r="2980">
      <x:c r="A2980" s="43" t="n">
        <x:v>2976</x:v>
      </x:c>
      <x:c r="B2980" s="44" t="str">
        <x:v>Not Started</x:v>
      </x:c>
      <x:c r="C2980" s="45" t="n">
        <x:v>45031</x:v>
      </x:c>
      <x:c r="D2980" s="33" t="str">
        <x:v>Blood &amp; Money</x:v>
      </x:c>
      <x:c r="E2980" s="33" t="str">
        <x:v>Wolf Archive</x:v>
      </x:c>
      <x:c r="F2980" s="33" t="str">
        <x:v>complete</x:v>
      </x:c>
      <x:c r="G2980" s="50" t="n">
        <x:v>1</x:v>
      </x:c>
      <x:c r="H2980" s="50" t="n">
        <x:v>6</x:v>
      </x:c>
      <x:c r="I2980" s="44" t="str">
        <x:v>01.06</x:v>
      </x:c>
      <x:c r="J2980" s="33" t="str">
        <x:v>The Case of the Menendez Brothers Today</x:v>
      </x:c>
      <x:c r="K2980" s="33" t="str"/>
      <x:c r="L2980" s="33" t="str"/>
      <x:c r="M2980" s="44" t="str"/>
      <x:c r="N2980" s="50" t="n">
        <x:v>44</x:v>
      </x:c>
      <x:c r="O2980" s="53" t="str">
        <x:v>A true-crime investigation into the case featured in “The Case of the Menendez Brothers Today,” following the detectives and prosecutors who traced money, motive and evidence.</x:v>
      </x:c>
      <x:c r="P2980" s="53" t="str">
        <x:v>2023 Wolf Entertainment true-crime series created by Dick Wolf; the unrelated 1981 series is excluded.</x:v>
      </x:c>
      <x:c r="Q2980" s="17" t="str"/>
      <x:c r="R2980" s="17" t="str"/>
      <x:c r="S2980" s="17" t="str">
        <x:v>https://www.oxygen.com/blood-money/season-1/episode-5/high-society-schemers</x:v>
      </x:c>
    </x:row>
    <x:row r="2981">
      <x:c r="A2981" s="43" t="n">
        <x:v>2977</x:v>
      </x:c>
      <x:c r="B2981" s="44" t="str">
        <x:v>Not Started</x:v>
      </x:c>
      <x:c r="C2981" s="45" t="n">
        <x:v>45035</x:v>
      </x:c>
      <x:c r="D2981" s="33" t="str">
        <x:v>FBI: International</x:v>
      </x:c>
      <x:c r="E2981" s="33" t="str">
        <x:v>FBI</x:v>
      </x:c>
      <x:c r="F2981" s="33" t="str">
        <x:v>core</x:v>
      </x:c>
      <x:c r="G2981" s="50" t="n">
        <x:v>2</x:v>
      </x:c>
      <x:c r="H2981" s="50" t="n">
        <x:v>18</x:v>
      </x:c>
      <x:c r="I2981" s="44" t="str">
        <x:v>02.18</x:v>
      </x:c>
      <x:c r="J2981" s="33" t="str">
        <x:v>Blood Feud</x:v>
      </x:c>
      <x:c r="K2981" s="33" t="str"/>
      <x:c r="L2981" s="33" t="str"/>
      <x:c r="M2981" s="44" t="str"/>
      <x:c r="N2981" s="50" t="n">
        <x:v>40</x:v>
      </x:c>
      <x:c r="O2981" s="53" t="str">
        <x:v>The team jumps into action to protect Forrester when a Russian hit man seeks revenge on him; Raines is sent into a tailspin when someone close to him is taken.</x:v>
      </x:c>
      <x:c r="P2981" s="53" t="str">
        <x:v>Core FBI franchise</x:v>
      </x:c>
      <x:c r="Q2981" s="17" t="str">
        <x:v>7457689</x:v>
      </x:c>
      <x:c r="R2981" s="17" t="str">
        <x:v>tt27099558</x:v>
      </x:c>
      <x:c r="S2981" s="17" t="str"/>
    </x:row>
    <x:row r="2982">
      <x:c r="A2982" s="43" t="n">
        <x:v>2978</x:v>
      </x:c>
      <x:c r="B2982" s="44" t="str">
        <x:v>Not Started</x:v>
      </x:c>
      <x:c r="C2982" s="45" t="n">
        <x:v>45035</x:v>
      </x:c>
      <x:c r="D2982" s="33" t="str">
        <x:v>FBI: Most Wanted</x:v>
      </x:c>
      <x:c r="E2982" s="33" t="str">
        <x:v>FBI</x:v>
      </x:c>
      <x:c r="F2982" s="33" t="str">
        <x:v>core</x:v>
      </x:c>
      <x:c r="G2982" s="50" t="n">
        <x:v>4</x:v>
      </x:c>
      <x:c r="H2982" s="50" t="n">
        <x:v>18</x:v>
      </x:c>
      <x:c r="I2982" s="44" t="str">
        <x:v>04.18</x:v>
      </x:c>
      <x:c r="J2982" s="33" t="str">
        <x:v>Rangeland</x:v>
      </x:c>
      <x:c r="K2982" s="33" t="str"/>
      <x:c r="L2982" s="33" t="str"/>
      <x:c r="M2982" s="44" t="str"/>
      <x:c r="N2982" s="50" t="n">
        <x:v>43</x:v>
      </x:c>
      <x:c r="O2982" s="53" t="str">
        <x:v>After two agents from the Bureau of Land Management go missing while executing a land seizure warrant in Wyoming, the Fugitive Task Force heads west to track them down in an unwelcoming county; Hana receives a threat.</x:v>
      </x:c>
      <x:c r="P2982" s="53" t="str">
        <x:v>Core FBI franchise</x:v>
      </x:c>
      <x:c r="Q2982" s="17" t="str">
        <x:v>7441568</x:v>
      </x:c>
      <x:c r="R2982" s="17" t="str">
        <x:v>tt27099961</x:v>
      </x:c>
      <x:c r="S2982" s="17" t="str"/>
    </x:row>
    <x:row r="2983">
      <x:c r="A2983" s="43" t="n">
        <x:v>2979</x:v>
      </x:c>
      <x:c r="B2983" s="44" t="str">
        <x:v>Not Started</x:v>
      </x:c>
      <x:c r="C2983" s="45" t="n">
        <x:v>45035</x:v>
      </x:c>
      <x:c r="D2983" s="33" t="str">
        <x:v>FBI</x:v>
      </x:c>
      <x:c r="E2983" s="33" t="str">
        <x:v>FBI</x:v>
      </x:c>
      <x:c r="F2983" s="33" t="str">
        <x:v>core</x:v>
      </x:c>
      <x:c r="G2983" s="50" t="n">
        <x:v>5</x:v>
      </x:c>
      <x:c r="H2983" s="50" t="n">
        <x:v>19</x:v>
      </x:c>
      <x:c r="I2983" s="44" t="str">
        <x:v>05.19</x:v>
      </x:c>
      <x:c r="J2983" s="33" t="str">
        <x:v>Sins of the Past</x:v>
      </x:c>
      <x:c r="K2983" s="33" t="str"/>
      <x:c r="L2983" s="33" t="str"/>
      <x:c r="M2983" s="44" t="str"/>
      <x:c r="N2983" s="50" t="n">
        <x:v>43</x:v>
      </x:c>
      <x:c r="O2983" s="53" t="str">
        <x:v>When a trucker is gunned down after a routine trip from Canada, all signs point the team to a noted criminal on the FBI’s Most Wanted Terrorists list. Also, Jubal gets to work with an old friend and colleague, Detective Jack Lombardo.</x:v>
      </x:c>
      <x:c r="P2983" s="53" t="str">
        <x:v>Core FBI franchise</x:v>
      </x:c>
      <x:c r="Q2983" s="17" t="str">
        <x:v>7434879</x:v>
      </x:c>
      <x:c r="R2983" s="17" t="str">
        <x:v>tt27099245</x:v>
      </x:c>
      <x:c r="S2983" s="17" t="str"/>
    </x:row>
    <x:row r="2984">
      <x:c r="A2984" s="43" t="n">
        <x:v>2980</x:v>
      </x:c>
      <x:c r="B2984" s="44" t="str">
        <x:v>Not Started</x:v>
      </x:c>
      <x:c r="C2984" s="45" t="n">
        <x:v>45038</x:v>
      </x:c>
      <x:c r="D2984" s="33" t="str">
        <x:v>Blood &amp; Money</x:v>
      </x:c>
      <x:c r="E2984" s="33" t="str">
        <x:v>Wolf Archive</x:v>
      </x:c>
      <x:c r="F2984" s="33" t="str">
        <x:v>complete</x:v>
      </x:c>
      <x:c r="G2984" s="50" t="n">
        <x:v>1</x:v>
      </x:c>
      <x:c r="H2984" s="50" t="n">
        <x:v>7</x:v>
      </x:c>
      <x:c r="I2984" s="44" t="str">
        <x:v>01.07</x:v>
      </x:c>
      <x:c r="J2984" s="33" t="str">
        <x:v>The Hitman's Tale</x:v>
      </x:c>
      <x:c r="K2984" s="33" t="str"/>
      <x:c r="L2984" s="33" t="str"/>
      <x:c r="M2984" s="44" t="str"/>
      <x:c r="N2984" s="50" t="n">
        <x:v>44</x:v>
      </x:c>
      <x:c r="O2984" s="53" t="str">
        <x:v>A true-crime investigation into the case featured in “The Hitman's Tale,” following the detectives and prosecutors who traced money, motive and evidence.</x:v>
      </x:c>
      <x:c r="P2984" s="53" t="str">
        <x:v>2023 Wolf Entertainment true-crime series created by Dick Wolf; the unrelated 1981 series is excluded.</x:v>
      </x:c>
      <x:c r="Q2984" s="17" t="str"/>
      <x:c r="R2984" s="17" t="str"/>
      <x:c r="S2984" s="17" t="str">
        <x:v>https://www.oxygen.com/blood-money/season-1/episode-5/high-society-schemers</x:v>
      </x:c>
    </x:row>
    <x:row r="2985">
      <x:c r="A2985" s="43" t="n">
        <x:v>2981</x:v>
      </x:c>
      <x:c r="B2985" s="44" t="str">
        <x:v>Not Started</x:v>
      </x:c>
      <x:c r="C2985" s="45" t="n">
        <x:v>45042</x:v>
      </x:c>
      <x:c r="D2985" s="33" t="str">
        <x:v>FBI: International</x:v>
      </x:c>
      <x:c r="E2985" s="33" t="str">
        <x:v>FBI</x:v>
      </x:c>
      <x:c r="F2985" s="33" t="str">
        <x:v>core</x:v>
      </x:c>
      <x:c r="G2985" s="50" t="n">
        <x:v>2</x:v>
      </x:c>
      <x:c r="H2985" s="50" t="n">
        <x:v>19</x:v>
      </x:c>
      <x:c r="I2985" s="44" t="str">
        <x:v>02.19</x:v>
      </x:c>
      <x:c r="J2985" s="33" t="str">
        <x:v>Dead Sprint</x:v>
      </x:c>
      <x:c r="K2985" s="33" t="str"/>
      <x:c r="L2985" s="33" t="str"/>
      <x:c r="M2985" s="44" t="str"/>
      <x:c r="N2985" s="50" t="n">
        <x:v>41</x:v>
      </x:c>
      <x:c r="O2985" s="53" t="str">
        <x:v>After an American tourist is killed while visiting Stockholm with his girlfriend, the Fly Team must work together to take down a Swedish group responsible for the hate crime.</x:v>
      </x:c>
      <x:c r="P2985" s="53" t="str">
        <x:v>Core FBI franchise</x:v>
      </x:c>
      <x:c r="Q2985" s="17" t="str">
        <x:v>7490350</x:v>
      </x:c>
      <x:c r="R2985" s="17" t="str">
        <x:v>tt27099804</x:v>
      </x:c>
      <x:c r="S2985" s="17" t="str"/>
    </x:row>
    <x:row r="2986">
      <x:c r="A2986" s="43" t="n">
        <x:v>2982</x:v>
      </x:c>
      <x:c r="B2986" s="44" t="str">
        <x:v>Not Started</x:v>
      </x:c>
      <x:c r="C2986" s="45" t="n">
        <x:v>45042</x:v>
      </x:c>
      <x:c r="D2986" s="33" t="str">
        <x:v>FBI: Most Wanted</x:v>
      </x:c>
      <x:c r="E2986" s="33" t="str">
        <x:v>FBI</x:v>
      </x:c>
      <x:c r="F2986" s="33" t="str">
        <x:v>core</x:v>
      </x:c>
      <x:c r="G2986" s="50" t="n">
        <x:v>4</x:v>
      </x:c>
      <x:c r="H2986" s="50" t="n">
        <x:v>19</x:v>
      </x:c>
      <x:c r="I2986" s="44" t="str">
        <x:v>04.19</x:v>
      </x:c>
      <x:c r="J2986" s="33" t="str">
        <x:v>Bad Seed</x:v>
      </x:c>
      <x:c r="K2986" s="33" t="str"/>
      <x:c r="L2986" s="33" t="str"/>
      <x:c r="M2986" s="44" t="str"/>
      <x:c r="N2986" s="50" t="n">
        <x:v>42</x:v>
      </x:c>
      <x:c r="O2986" s="53" t="str">
        <x:v>When a news anchor is shot dead in the station's parking lot, the task force must dive into a story she was working on to track down her killer; Remy debates revisiting the case around his brother's murder.</x:v>
      </x:c>
      <x:c r="P2986" s="53" t="str">
        <x:v>Core FBI franchise</x:v>
      </x:c>
      <x:c r="Q2986" s="17" t="str">
        <x:v>7441570</x:v>
      </x:c>
      <x:c r="R2986" s="17" t="str">
        <x:v>tt27099964</x:v>
      </x:c>
      <x:c r="S2986" s="17" t="str"/>
    </x:row>
    <x:row r="2987">
      <x:c r="A2987" s="43" t="n">
        <x:v>2983</x:v>
      </x:c>
      <x:c r="B2987" s="44" t="str">
        <x:v>Not Started</x:v>
      </x:c>
      <x:c r="C2987" s="45" t="n">
        <x:v>45042</x:v>
      </x:c>
      <x:c r="D2987" s="33" t="str">
        <x:v>FBI</x:v>
      </x:c>
      <x:c r="E2987" s="33" t="str">
        <x:v>FBI</x:v>
      </x:c>
      <x:c r="F2987" s="33" t="str">
        <x:v>core</x:v>
      </x:c>
      <x:c r="G2987" s="50" t="n">
        <x:v>5</x:v>
      </x:c>
      <x:c r="H2987" s="50" t="n">
        <x:v>20</x:v>
      </x:c>
      <x:c r="I2987" s="44" t="str">
        <x:v>05.20</x:v>
      </x:c>
      <x:c r="J2987" s="33" t="str">
        <x:v>Sisterhood</x:v>
      </x:c>
      <x:c r="K2987" s="33" t="str"/>
      <x:c r="L2987" s="33" t="str"/>
      <x:c r="M2987" s="44" t="str"/>
      <x:c r="N2987" s="50" t="n">
        <x:v>43</x:v>
      </x:c>
      <x:c r="O2987" s="53" t="str">
        <x:v>A drug dealer is shot in a federal park  and the team sets out to look for his killer; Maggie's sister returns to New York and complicates the case.</x:v>
      </x:c>
      <x:c r="P2987" s="53" t="str">
        <x:v>Core FBI franchise</x:v>
      </x:c>
      <x:c r="Q2987" s="17" t="str">
        <x:v>7441577</x:v>
      </x:c>
      <x:c r="R2987" s="17" t="str">
        <x:v>tt27099251</x:v>
      </x:c>
      <x:c r="S2987" s="17" t="str"/>
    </x:row>
    <x:row r="2988">
      <x:c r="A2988" s="43" t="n">
        <x:v>2984</x:v>
      </x:c>
      <x:c r="B2988" s="44" t="str">
        <x:v>Not Started</x:v>
      </x:c>
      <x:c r="C2988" s="45" t="n">
        <x:v>45043</x:v>
      </x:c>
      <x:c r="D2988" s="33" t="str">
        <x:v>Law &amp; Order: Organized Crime</x:v>
      </x:c>
      <x:c r="E2988" s="33" t="str">
        <x:v>Law &amp; Order</x:v>
      </x:c>
      <x:c r="F2988" s="33" t="str">
        <x:v>core</x:v>
      </x:c>
      <x:c r="G2988" s="50" t="n">
        <x:v>3</x:v>
      </x:c>
      <x:c r="H2988" s="50" t="n">
        <x:v>19</x:v>
      </x:c>
      <x:c r="I2988" s="44" t="str">
        <x:v>03.19</x:v>
      </x:c>
      <x:c r="J2988" s="33" t="str">
        <x:v>A Diplomatic Solution</x:v>
      </x:c>
      <x:c r="K2988" s="33" t="str"/>
      <x:c r="L2988" s="33" t="str"/>
      <x:c r="M2988" s="44" t="str"/>
      <x:c r="N2988" s="50" t="n">
        <x:v>42</x:v>
      </x:c>
      <x:c r="O2988" s="53" t="str">
        <x:v>The team scrambles to find the group responsible for an assassination attempt on a UN diplomat. Whelan and Reyes find a key clue in the depths of the city’s tunnel system. Stabler struggles to balance the investigation with his mother’s increasing need for support.</x:v>
      </x:c>
      <x:c r="P2988" s="53" t="str">
        <x:v>Core Law &amp; Order franchise</x:v>
      </x:c>
      <x:c r="Q2988" s="17" t="str">
        <x:v>7441183</x:v>
      </x:c>
      <x:c r="R2988" s="17" t="str">
        <x:v>tt27448807</x:v>
      </x:c>
      <x:c r="S2988" s="17" t="str">
        <x:v>1612</x:v>
      </x:c>
    </x:row>
    <x:row r="2989">
      <x:c r="A2989" s="43" t="n">
        <x:v>2985</x:v>
      </x:c>
      <x:c r="B2989" s="44" t="str">
        <x:v>Not Started</x:v>
      </x:c>
      <x:c r="C2989" s="45" t="n">
        <x:v>45043</x:v>
      </x:c>
      <x:c r="D2989" s="33" t="str">
        <x:v>Law &amp; Order</x:v>
      </x:c>
      <x:c r="E2989" s="33" t="str">
        <x:v>Law &amp; Order</x:v>
      </x:c>
      <x:c r="F2989" s="33" t="str">
        <x:v>core</x:v>
      </x:c>
      <x:c r="G2989" s="50" t="n">
        <x:v>22</x:v>
      </x:c>
      <x:c r="H2989" s="50" t="n">
        <x:v>19</x:v>
      </x:c>
      <x:c r="I2989" s="44" t="str">
        <x:v>22.19</x:v>
      </x:c>
      <x:c r="J2989" s="33" t="str">
        <x:v>Private Lives</x:v>
      </x:c>
      <x:c r="K2989" s="33" t="str"/>
      <x:c r="L2989" s="33" t="str"/>
      <x:c r="M2989" s="44" t="str"/>
      <x:c r="N2989" s="50" t="n">
        <x:v>45</x:v>
      </x:c>
      <x:c r="O2989" s="53" t="str">
        <x:v>Cosgrove and Shaw investigate the murder of a family physician whose outspoken politician wife suspects she was the intended target. Price and Maroun's case hangs in the balance when the defense calls one of the doctor's young patients to testify as a witness.</x:v>
      </x:c>
      <x:c r="P2989" s="53" t="str">
        <x:v>Core Law &amp; Order franchise</x:v>
      </x:c>
      <x:c r="Q2989" s="17" t="str">
        <x:v>7441945</x:v>
      </x:c>
      <x:c r="R2989" s="17" t="str">
        <x:v>tt27448934</x:v>
      </x:c>
      <x:c r="S2989" s="17" t="str">
        <x:v>1611</x:v>
      </x:c>
    </x:row>
    <x:row r="2990">
      <x:c r="A2990" s="43" t="n">
        <x:v>2986</x:v>
      </x:c>
      <x:c r="B2990" s="44" t="str">
        <x:v>Not Started</x:v>
      </x:c>
      <x:c r="C2990" s="45" t="n">
        <x:v>45043</x:v>
      </x:c>
      <x:c r="D2990" s="33" t="str">
        <x:v>Law &amp; Order: Special Victims Unit</x:v>
      </x:c>
      <x:c r="E2990" s="33" t="str">
        <x:v>Law &amp; Order</x:v>
      </x:c>
      <x:c r="F2990" s="33" t="str">
        <x:v>core</x:v>
      </x:c>
      <x:c r="G2990" s="50" t="n">
        <x:v>24</x:v>
      </x:c>
      <x:c r="H2990" s="50" t="n">
        <x:v>19</x:v>
      </x:c>
      <x:c r="I2990" s="44" t="str">
        <x:v>24.19</x:v>
      </x:c>
      <x:c r="J2990" s="33" t="str">
        <x:v>Bend the Law</x:v>
      </x:c>
      <x:c r="K2990" s="33" t="str"/>
      <x:c r="L2990" s="33" t="str"/>
      <x:c r="M2990" s="44" t="str"/>
      <x:c r="N2990" s="50" t="n">
        <x:v>41</x:v>
      </x:c>
      <x:c r="O2990" s="53" t="str">
        <x:v>Carisi must tread carefully when Maxwell's husband becomes a person of interest in an SVU investigation. Benson sends Velasco to take an old friend into custody.</x:v>
      </x:c>
      <x:c r="P2990" s="53" t="str">
        <x:v>Core Law &amp; Order franchise</x:v>
      </x:c>
      <x:c r="Q2990" s="17" t="str">
        <x:v>7441944</x:v>
      </x:c>
      <x:c r="R2990" s="17" t="str">
        <x:v>tt27449073</x:v>
      </x:c>
      <x:c r="S2990" s="17" t="str">
        <x:v>1613</x:v>
      </x:c>
    </x:row>
    <x:row r="2991">
      <x:c r="A2991" s="43" t="n">
        <x:v>2987</x:v>
      </x:c>
      <x:c r="B2991" s="44" t="str">
        <x:v>Not Started</x:v>
      </x:c>
      <x:c r="C2991" s="45" t="n">
        <x:v>45045</x:v>
      </x:c>
      <x:c r="D2991" s="33" t="str">
        <x:v>Blood &amp; Money</x:v>
      </x:c>
      <x:c r="E2991" s="33" t="str">
        <x:v>Wolf Archive</x:v>
      </x:c>
      <x:c r="F2991" s="33" t="str">
        <x:v>complete</x:v>
      </x:c>
      <x:c r="G2991" s="50" t="n">
        <x:v>1</x:v>
      </x:c>
      <x:c r="H2991" s="50" t="n">
        <x:v>8</x:v>
      </x:c>
      <x:c r="I2991" s="44" t="str">
        <x:v>01.08</x:v>
      </x:c>
      <x:c r="J2991" s="33" t="str">
        <x:v>Inventing a Rockefeller</x:v>
      </x:c>
      <x:c r="K2991" s="33" t="str"/>
      <x:c r="L2991" s="33" t="str"/>
      <x:c r="M2991" s="44" t="str"/>
      <x:c r="N2991" s="50" t="n">
        <x:v>44</x:v>
      </x:c>
      <x:c r="O2991" s="53" t="str">
        <x:v>A true-crime investigation into the case featured in “Inventing a Rockefeller,” following the detectives and prosecutors who traced money, motive and evidence.</x:v>
      </x:c>
      <x:c r="P2991" s="53" t="str">
        <x:v>2023 Wolf Entertainment true-crime series created by Dick Wolf; the unrelated 1981 series is excluded.</x:v>
      </x:c>
      <x:c r="Q2991" s="17" t="str"/>
      <x:c r="R2991" s="17" t="str"/>
      <x:c r="S2991" s="17" t="str">
        <x:v>https://www.oxygen.com/blood-money/season-1/episode-5/high-society-schemers</x:v>
      </x:c>
    </x:row>
    <x:row r="2992">
      <x:c r="A2992" s="43" t="n">
        <x:v>2988</x:v>
      </x:c>
      <x:c r="B2992" s="44" t="str">
        <x:v>Not Started</x:v>
      </x:c>
      <x:c r="C2992" s="45" t="n">
        <x:v>45050</x:v>
      </x:c>
      <x:c r="D2992" s="33" t="str">
        <x:v>Law &amp; Order: Organized Crime</x:v>
      </x:c>
      <x:c r="E2992" s="33" t="str">
        <x:v>Law &amp; Order</x:v>
      </x:c>
      <x:c r="F2992" s="33" t="str">
        <x:v>core</x:v>
      </x:c>
      <x:c r="G2992" s="50" t="n">
        <x:v>3</x:v>
      </x:c>
      <x:c r="H2992" s="50" t="n">
        <x:v>20</x:v>
      </x:c>
      <x:c r="I2992" s="44" t="str">
        <x:v>03.20</x:v>
      </x:c>
      <x:c r="J2992" s="33" t="str">
        <x:v>Pareto Principle</x:v>
      </x:c>
      <x:c r="K2992" s="33" t="str"/>
      <x:c r="L2992" s="33" t="str"/>
      <x:c r="M2992" s="44" t="str"/>
      <x:c r="N2992" s="50" t="n">
        <x:v>42</x:v>
      </x:c>
      <x:c r="O2992" s="53" t="str">
        <x:v>The Feds call in Bell and Stabler when they suspect a gruesome murder could be connected to a string of bank robberies. When a DNA match is tied to a suspect with the perfect alibi, the team struggles to make a case against him.</x:v>
      </x:c>
      <x:c r="P2992" s="53" t="str">
        <x:v>Core Law &amp; Order franchise</x:v>
      </x:c>
      <x:c r="Q2992" s="17" t="str">
        <x:v>7465155</x:v>
      </x:c>
      <x:c r="R2992" s="17" t="str">
        <x:v>tt27525114</x:v>
      </x:c>
      <x:c r="S2992" s="17" t="str">
        <x:v>1615</x:v>
      </x:c>
    </x:row>
    <x:row r="2993">
      <x:c r="A2993" s="43" t="n">
        <x:v>2989</x:v>
      </x:c>
      <x:c r="B2993" s="44" t="str">
        <x:v>Not Started</x:v>
      </x:c>
      <x:c r="C2993" s="45" t="n">
        <x:v>45050</x:v>
      </x:c>
      <x:c r="D2993" s="33" t="str">
        <x:v>Chicago Med</x:v>
      </x:c>
      <x:c r="E2993" s="33" t="str">
        <x:v>One Chicago</x:v>
      </x:c>
      <x:c r="F2993" s="33" t="str">
        <x:v>core</x:v>
      </x:c>
      <x:c r="G2993" s="50" t="n">
        <x:v>8</x:v>
      </x:c>
      <x:c r="H2993" s="50" t="n">
        <x:v>19</x:v>
      </x:c>
      <x:c r="I2993" s="44" t="str">
        <x:v>08.19</x:v>
      </x:c>
      <x:c r="J2993" s="33" t="str">
        <x:v>Look Closely and You Might Hear the Truth</x:v>
      </x:c>
      <x:c r="K2993" s="33" t="str"/>
      <x:c r="L2993" s="33" t="str"/>
      <x:c r="M2993" s="44" t="str"/>
      <x:c r="N2993" s="50" t="n">
        <x:v>43</x:v>
      </x:c>
      <x:c r="O2993" s="53" t="str">
        <x:v>The fate of the hospital rests on the vote of an incapacitated board member. Archer helps a mother with a rare stem cell disease while Asher treats the woman's pregnant daughter. Charles encounters a schizophrenic patient with a hearing impairment.</x:v>
      </x:c>
      <x:c r="P2993" s="53" t="str">
        <x:v>Core One Chicago franchise</x:v>
      </x:c>
      <x:c r="Q2993" s="17" t="str">
        <x:v>7456235</x:v>
      </x:c>
      <x:c r="R2993" s="17" t="str">
        <x:v>tt27424386</x:v>
      </x:c>
      <x:c r="S2993" s="17" t="str"/>
    </x:row>
    <x:row r="2994">
      <x:c r="A2994" s="43" t="n">
        <x:v>2990</x:v>
      </x:c>
      <x:c r="B2994" s="44" t="str">
        <x:v>Not Started</x:v>
      </x:c>
      <x:c r="C2994" s="45" t="n">
        <x:v>45050</x:v>
      </x:c>
      <x:c r="D2994" s="33" t="str">
        <x:v>Chicago P.D.</x:v>
      </x:c>
      <x:c r="E2994" s="33" t="str">
        <x:v>One Chicago</x:v>
      </x:c>
      <x:c r="F2994" s="33" t="str">
        <x:v>core</x:v>
      </x:c>
      <x:c r="G2994" s="50" t="n">
        <x:v>10</x:v>
      </x:c>
      <x:c r="H2994" s="50" t="n">
        <x:v>19</x:v>
      </x:c>
      <x:c r="I2994" s="44" t="str">
        <x:v>10.19</x:v>
      </x:c>
      <x:c r="J2994" s="33" t="str">
        <x:v>The Bleed Valve</x:v>
      </x:c>
      <x:c r="K2994" s="33" t="str"/>
      <x:c r="L2994" s="33" t="str"/>
      <x:c r="M2994" s="44" t="str"/>
      <x:c r="N2994" s="50" t="n">
        <x:v>43</x:v>
      </x:c>
      <x:c r="O2994" s="53" t="str">
        <x:v>Atwater's worlds collide when a shooting at the building he owns in Burnside leaves a child dead. Atwater must confront his relationship with his father, Lew, as the brutal case forces them together.</x:v>
      </x:c>
      <x:c r="P2994" s="53" t="str">
        <x:v>Core One Chicago franchise; crossovers with SVU/FBI</x:v>
      </x:c>
      <x:c r="Q2994" s="17" t="str">
        <x:v>7452840</x:v>
      </x:c>
      <x:c r="R2994" s="17" t="str">
        <x:v>tt27443160</x:v>
      </x:c>
      <x:c r="S2994" s="17" t="str"/>
    </x:row>
    <x:row r="2995">
      <x:c r="A2995" s="43" t="n">
        <x:v>2991</x:v>
      </x:c>
      <x:c r="B2995" s="44" t="str">
        <x:v>Not Started</x:v>
      </x:c>
      <x:c r="C2995" s="45" t="n">
        <x:v>45050</x:v>
      </x:c>
      <x:c r="D2995" s="33" t="str">
        <x:v>Chicago Fire</x:v>
      </x:c>
      <x:c r="E2995" s="33" t="str">
        <x:v>One Chicago</x:v>
      </x:c>
      <x:c r="F2995" s="33" t="str">
        <x:v>core</x:v>
      </x:c>
      <x:c r="G2995" s="50" t="n">
        <x:v>11</x:v>
      </x:c>
      <x:c r="H2995" s="50" t="n">
        <x:v>19</x:v>
      </x:c>
      <x:c r="I2995" s="44" t="str">
        <x:v>11.19</x:v>
      </x:c>
      <x:c r="J2995" s="33" t="str">
        <x:v>Take a Shot at the King</x:v>
      </x:c>
      <x:c r="K2995" s="33" t="str"/>
      <x:c r="L2995" s="33" t="str"/>
      <x:c r="M2995" s="44" t="str"/>
      <x:c r="N2995" s="50" t="n">
        <x:v>42</x:v>
      </x:c>
      <x:c r="O2995" s="53" t="str">
        <x:v>Boden, Ritter, Herrmann and Kidd work together to take down a local politician responsible for a chemical fire. After his aunt's accident, Gallo worries about their future.</x:v>
      </x:c>
      <x:c r="P2995" s="53" t="str">
        <x:v>Core One Chicago franchise</x:v>
      </x:c>
      <x:c r="Q2995" s="17" t="str">
        <x:v>7454701</x:v>
      </x:c>
      <x:c r="R2995" s="17" t="str">
        <x:v>tt27443086</x:v>
      </x:c>
      <x:c r="S2995" s="17" t="str"/>
    </x:row>
    <x:row r="2996">
      <x:c r="A2996" s="43" t="n">
        <x:v>2992</x:v>
      </x:c>
      <x:c r="B2996" s="44" t="str">
        <x:v>Not Started</x:v>
      </x:c>
      <x:c r="C2996" s="45" t="n">
        <x:v>45050</x:v>
      </x:c>
      <x:c r="D2996" s="33" t="str">
        <x:v>Law &amp; Order</x:v>
      </x:c>
      <x:c r="E2996" s="33" t="str">
        <x:v>Law &amp; Order</x:v>
      </x:c>
      <x:c r="F2996" s="33" t="str">
        <x:v>core</x:v>
      </x:c>
      <x:c r="G2996" s="50" t="n">
        <x:v>22</x:v>
      </x:c>
      <x:c r="H2996" s="50" t="n">
        <x:v>20</x:v>
      </x:c>
      <x:c r="I2996" s="44" t="str">
        <x:v>22.20</x:v>
      </x:c>
      <x:c r="J2996" s="33" t="str">
        <x:v>Class Retreat</x:v>
      </x:c>
      <x:c r="K2996" s="33" t="str"/>
      <x:c r="L2996" s="33" t="str"/>
      <x:c r="M2996" s="44" t="str"/>
      <x:c r="N2996" s="50" t="n">
        <x:v>45</x:v>
      </x:c>
      <x:c r="O2996" s="53" t="str">
        <x:v>When a respected businessman is found murdered, his surprising connection to Cosgrove's daughter helps the police make a break in the case. Price and Maroun disagree on how to proceed at trial when the defendant's age brings up legal precedent they must follow.</x:v>
      </x:c>
      <x:c r="P2996" s="53" t="str">
        <x:v>Core Law &amp; Order franchise</x:v>
      </x:c>
      <x:c r="Q2996" s="17" t="str">
        <x:v>7463660</x:v>
      </x:c>
      <x:c r="R2996" s="17" t="str">
        <x:v>tt27310677</x:v>
      </x:c>
      <x:c r="S2996" s="17" t="str">
        <x:v>1614</x:v>
      </x:c>
    </x:row>
    <x:row r="2997">
      <x:c r="A2997" s="43" t="n">
        <x:v>2993</x:v>
      </x:c>
      <x:c r="B2997" s="44" t="str">
        <x:v>Not Started</x:v>
      </x:c>
      <x:c r="C2997" s="45" t="n">
        <x:v>45050</x:v>
      </x:c>
      <x:c r="D2997" s="33" t="str">
        <x:v>Law &amp; Order: Special Victims Unit</x:v>
      </x:c>
      <x:c r="E2997" s="33" t="str">
        <x:v>Law &amp; Order</x:v>
      </x:c>
      <x:c r="F2997" s="33" t="str">
        <x:v>core</x:v>
      </x:c>
      <x:c r="G2997" s="50" t="n">
        <x:v>24</x:v>
      </x:c>
      <x:c r="H2997" s="50" t="n">
        <x:v>20</x:v>
      </x:c>
      <x:c r="I2997" s="44" t="str">
        <x:v>24.20</x:v>
      </x:c>
      <x:c r="J2997" s="33" t="str">
        <x:v>Debatable</x:v>
      </x:c>
      <x:c r="K2997" s="33" t="str"/>
      <x:c r="L2997" s="33" t="str"/>
      <x:c r="M2997" s="44" t="str"/>
      <x:c r="N2997" s="50" t="n">
        <x:v>41</x:v>
      </x:c>
      <x:c r="O2997" s="53" t="str">
        <x:v>Benson tries to help a student after she's assaulted on a field trip. Fin suspects a witness in the case may not be telling the whole truth.</x:v>
      </x:c>
      <x:c r="P2997" s="53" t="str">
        <x:v>Core Law &amp; Order franchise</x:v>
      </x:c>
      <x:c r="Q2997" s="17" t="str">
        <x:v>7465158</x:v>
      </x:c>
      <x:c r="R2997" s="17" t="str">
        <x:v>tt27481140</x:v>
      </x:c>
      <x:c r="S2997" s="17" t="str">
        <x:v>1616</x:v>
      </x:c>
    </x:row>
    <x:row r="2998">
      <x:c r="A2998" s="43" t="n">
        <x:v>2994</x:v>
      </x:c>
      <x:c r="B2998" s="44" t="str">
        <x:v>Not Started</x:v>
      </x:c>
      <x:c r="C2998" s="45" t="n">
        <x:v>45052</x:v>
      </x:c>
      <x:c r="D2998" s="33" t="str">
        <x:v>Blood &amp; Money</x:v>
      </x:c>
      <x:c r="E2998" s="33" t="str">
        <x:v>Wolf Archive</x:v>
      </x:c>
      <x:c r="F2998" s="33" t="str">
        <x:v>complete</x:v>
      </x:c>
      <x:c r="G2998" s="50" t="n">
        <x:v>1</x:v>
      </x:c>
      <x:c r="H2998" s="50" t="n">
        <x:v>9</x:v>
      </x:c>
      <x:c r="I2998" s="44" t="str">
        <x:v>01.09</x:v>
      </x:c>
      <x:c r="J2998" s="33" t="str">
        <x:v>The Business of Divorce</x:v>
      </x:c>
      <x:c r="K2998" s="33" t="str"/>
      <x:c r="L2998" s="33" t="str"/>
      <x:c r="M2998" s="44" t="str"/>
      <x:c r="N2998" s="50" t="n">
        <x:v>44</x:v>
      </x:c>
      <x:c r="O2998" s="53" t="str">
        <x:v>A true-crime investigation into the case featured in “The Business of Divorce,” following the detectives and prosecutors who traced money, motive and evidence.</x:v>
      </x:c>
      <x:c r="P2998" s="53" t="str">
        <x:v>2023 Wolf Entertainment true-crime series created by Dick Wolf; the unrelated 1981 series is excluded.</x:v>
      </x:c>
      <x:c r="Q2998" s="17" t="str"/>
      <x:c r="R2998" s="17" t="str"/>
      <x:c r="S2998" s="17" t="str">
        <x:v>https://www.oxygen.com/blood-money/season-1/episode-5/high-society-schemers</x:v>
      </x:c>
    </x:row>
    <x:row r="2999">
      <x:c r="A2999" s="43" t="n">
        <x:v>2995</x:v>
      </x:c>
      <x:c r="B2999" s="44" t="str">
        <x:v>Not Started</x:v>
      </x:c>
      <x:c r="C2999" s="45" t="n">
        <x:v>45056</x:v>
      </x:c>
      <x:c r="D2999" s="33" t="str">
        <x:v>FBI: International</x:v>
      </x:c>
      <x:c r="E2999" s="33" t="str">
        <x:v>FBI</x:v>
      </x:c>
      <x:c r="F2999" s="33" t="str">
        <x:v>core</x:v>
      </x:c>
      <x:c r="G2999" s="50" t="n">
        <x:v>2</x:v>
      </x:c>
      <x:c r="H2999" s="50" t="n">
        <x:v>20</x:v>
      </x:c>
      <x:c r="I2999" s="44" t="str">
        <x:v>02.20</x:v>
      </x:c>
      <x:c r="J2999" s="33" t="str">
        <x:v>A Tradition of Secrets</x:v>
      </x:c>
      <x:c r="K2999" s="33" t="str"/>
      <x:c r="L2999" s="33" t="str"/>
      <x:c r="M2999" s="44" t="str"/>
      <x:c r="N2999" s="50" t="n">
        <x:v>42</x:v>
      </x:c>
      <x:c r="O2999" s="53" t="str">
        <x:v>After a cybersecurity expert robs one of Switzerland's largest and most secretive banks, the Fly Team is called to track down the fugitive. Also, Smitty's loyalty is put to the test.</x:v>
      </x:c>
      <x:c r="P2999" s="53" t="str">
        <x:v>Core FBI franchise</x:v>
      </x:c>
      <x:c r="Q2999" s="17" t="str">
        <x:v>7517861</x:v>
      </x:c>
      <x:c r="R2999" s="17" t="str">
        <x:v>tt27099919</x:v>
      </x:c>
      <x:c r="S2999" s="17" t="str"/>
    </x:row>
    <x:row r="3000">
      <x:c r="A3000" s="43" t="n">
        <x:v>2996</x:v>
      </x:c>
      <x:c r="B3000" s="44" t="str">
        <x:v>Not Started</x:v>
      </x:c>
      <x:c r="C3000" s="45" t="n">
        <x:v>45056</x:v>
      </x:c>
      <x:c r="D3000" s="33" t="str">
        <x:v>FBI: Most Wanted</x:v>
      </x:c>
      <x:c r="E3000" s="33" t="str">
        <x:v>FBI</x:v>
      </x:c>
      <x:c r="F3000" s="33" t="str">
        <x:v>core</x:v>
      </x:c>
      <x:c r="G3000" s="50" t="n">
        <x:v>4</x:v>
      </x:c>
      <x:c r="H3000" s="50" t="n">
        <x:v>20</x:v>
      </x:c>
      <x:c r="I3000" s="44" t="str">
        <x:v>04.20</x:v>
      </x:c>
      <x:c r="J3000" s="33" t="str">
        <x:v>These Walls</x:v>
      </x:c>
      <x:c r="K3000" s="33" t="str"/>
      <x:c r="L3000" s="33" t="str"/>
      <x:c r="M3000" s="44" t="str"/>
      <x:c r="N3000" s="50" t="n">
        <x:v>42</x:v>
      </x:c>
      <x:c r="O3000" s="53" t="str">
        <x:v>The witness Remy and Kristen are visiting in prison is put in danger when a riot breaks out, leaving the staff and visitors held hostage by two murderous gangs.</x:v>
      </x:c>
      <x:c r="P3000" s="53" t="str">
        <x:v>Core FBI franchise</x:v>
      </x:c>
      <x:c r="Q3000" s="17" t="str">
        <x:v>7441574</x:v>
      </x:c>
      <x:c r="R3000" s="17" t="str">
        <x:v>tt27099965</x:v>
      </x:c>
      <x:c r="S3000" s="17" t="str"/>
    </x:row>
    <x:row r="3001">
      <x:c r="A3001" s="43" t="n">
        <x:v>2997</x:v>
      </x:c>
      <x:c r="B3001" s="44" t="str">
        <x:v>Not Started</x:v>
      </x:c>
      <x:c r="C3001" s="45" t="n">
        <x:v>45056</x:v>
      </x:c>
      <x:c r="D3001" s="33" t="str">
        <x:v>FBI</x:v>
      </x:c>
      <x:c r="E3001" s="33" t="str">
        <x:v>FBI</x:v>
      </x:c>
      <x:c r="F3001" s="33" t="str">
        <x:v>core</x:v>
      </x:c>
      <x:c r="G3001" s="50" t="n">
        <x:v>5</x:v>
      </x:c>
      <x:c r="H3001" s="50" t="n">
        <x:v>21</x:v>
      </x:c>
      <x:c r="I3001" s="44" t="str">
        <x:v>05.21</x:v>
      </x:c>
      <x:c r="J3001" s="33" t="str">
        <x:v>Privilege</x:v>
      </x:c>
      <x:c r="K3001" s="33" t="str"/>
      <x:c r="L3001" s="33" t="str"/>
      <x:c r="M3001" s="44" t="str"/>
      <x:c r="N3001" s="50" t="n">
        <x:v>43</x:v>
      </x:c>
      <x:c r="O3001" s="53" t="str">
        <x:v>All eyes are on the team when they try to find out who kidnapped the only child of a prominent U.S senator. The abduction also uncovers a potential link to a similar case that was pushed to the side by local authorities.</x:v>
      </x:c>
      <x:c r="P3001" s="53" t="str">
        <x:v>Core FBI franchise</x:v>
      </x:c>
      <x:c r="Q3001" s="17" t="str">
        <x:v>7441581</x:v>
      </x:c>
      <x:c r="R3001" s="17" t="str">
        <x:v>tt27099258</x:v>
      </x:c>
      <x:c r="S3001" s="17" t="str"/>
    </x:row>
    <x:row r="3002">
      <x:c r="A3002" s="43" t="n">
        <x:v>2998</x:v>
      </x:c>
      <x:c r="B3002" s="44" t="str">
        <x:v>Not Started</x:v>
      </x:c>
      <x:c r="C3002" s="45" t="n">
        <x:v>45057</x:v>
      </x:c>
      <x:c r="D3002" s="33" t="str">
        <x:v>Law &amp; Order: Organized Crime</x:v>
      </x:c>
      <x:c r="E3002" s="33" t="str">
        <x:v>Law &amp; Order</x:v>
      </x:c>
      <x:c r="F3002" s="33" t="str">
        <x:v>core</x:v>
      </x:c>
      <x:c r="G3002" s="50" t="n">
        <x:v>3</x:v>
      </x:c>
      <x:c r="H3002" s="50" t="n">
        <x:v>21</x:v>
      </x:c>
      <x:c r="I3002" s="44" t="str">
        <x:v>03.21</x:v>
      </x:c>
      <x:c r="J3002" s="33" t="str">
        <x:v>Shadowërk (II)</x:v>
      </x:c>
      <x:c r="K3002" s="33" t="str">
        <x:v>Crossover</x:v>
      </x:c>
      <x:c r="L3002" s="33" t="str">
        <x:v>Shadowërk</x:v>
      </x:c>
      <x:c r="M3002" s="44" t="str">
        <x:v>2/4</x:v>
      </x:c>
      <x:c r="N3002" s="50" t="n">
        <x:v>43</x:v>
      </x:c>
      <x:c r="O3002" s="53" t="str">
        <x:v>When DNA from an SVU rape investigation connects to an OCCB unsolved murder, Stabler and Benson uncover a revenge-for-hire scheme on the dark web.
The crossover starts on Law &amp; Order: Special Victims Unit S24E21 Bad Things (I). It continues on Law &amp; Order: Special Victims Unit S24E22 All Pain Is One Malady (III) and Law &amp; Order: Organized Crime S03E22 With Many Names (III).</x:v>
      </x:c>
      <x:c r="P3002" s="53" t="str">
        <x:v>Core Law &amp; Order franchise</x:v>
      </x:c>
      <x:c r="Q3002" s="17" t="str">
        <x:v>7465156</x:v>
      </x:c>
      <x:c r="R3002" s="17" t="str">
        <x:v>tt27611452</x:v>
      </x:c>
      <x:c r="S3002" s="17" t="str">
        <x:v>https://one-chicago-fbi.fandom.com/wiki/Crossovers_and_Milestones</x:v>
      </x:c>
    </x:row>
    <x:row r="3003">
      <x:c r="A3003" s="43" t="n">
        <x:v>2999</x:v>
      </x:c>
      <x:c r="B3003" s="44" t="str">
        <x:v>Not Started</x:v>
      </x:c>
      <x:c r="C3003" s="45" t="n">
        <x:v>45057</x:v>
      </x:c>
      <x:c r="D3003" s="33" t="str">
        <x:v>Chicago Med</x:v>
      </x:c>
      <x:c r="E3003" s="33" t="str">
        <x:v>One Chicago</x:v>
      </x:c>
      <x:c r="F3003" s="33" t="str">
        <x:v>core</x:v>
      </x:c>
      <x:c r="G3003" s="50" t="n">
        <x:v>8</x:v>
      </x:c>
      <x:c r="H3003" s="50" t="n">
        <x:v>20</x:v>
      </x:c>
      <x:c r="I3003" s="44" t="str">
        <x:v>08.20</x:v>
      </x:c>
      <x:c r="J3003" s="33" t="str">
        <x:v>The Winds of Change Are Starting to Blow</x:v>
      </x:c>
      <x:c r="K3003" s="33" t="str"/>
      <x:c r="L3003" s="33" t="str"/>
      <x:c r="M3003" s="44" t="str"/>
      <x:c r="N3003" s="50" t="n">
        <x:v>42</x:v>
      </x:c>
      <x:c r="O3003" s="53" t="str">
        <x:v>Maggie clashes with Charles over a distrustful patient. Marcel and Halstead fight against Med's new policies. Asher and Archer pull surprising things out of their unsuspecting patients.</x:v>
      </x:c>
      <x:c r="P3003" s="53" t="str">
        <x:v>Core One Chicago franchise</x:v>
      </x:c>
      <x:c r="Q3003" s="17" t="str">
        <x:v>7490192</x:v>
      </x:c>
      <x:c r="R3003" s="17" t="str">
        <x:v>tt27485814</x:v>
      </x:c>
      <x:c r="S3003" s="17" t="str"/>
    </x:row>
    <x:row r="3004">
      <x:c r="A3004" s="43" t="n">
        <x:v>3000</x:v>
      </x:c>
      <x:c r="B3004" s="44" t="str">
        <x:v>Not Started</x:v>
      </x:c>
      <x:c r="C3004" s="45" t="n">
        <x:v>45057</x:v>
      </x:c>
      <x:c r="D3004" s="33" t="str">
        <x:v>Chicago P.D.</x:v>
      </x:c>
      <x:c r="E3004" s="33" t="str">
        <x:v>One Chicago</x:v>
      </x:c>
      <x:c r="F3004" s="33" t="str">
        <x:v>core</x:v>
      </x:c>
      <x:c r="G3004" s="50" t="n">
        <x:v>10</x:v>
      </x:c>
      <x:c r="H3004" s="50" t="n">
        <x:v>20</x:v>
      </x:c>
      <x:c r="I3004" s="44" t="str">
        <x:v>10.20</x:v>
      </x:c>
      <x:c r="J3004" s="33" t="str">
        <x:v>Fight</x:v>
      </x:c>
      <x:c r="K3004" s="33" t="str"/>
      <x:c r="L3004" s="33" t="str"/>
      <x:c r="M3004" s="44" t="str"/>
      <x:c r="N3004" s="50" t="n">
        <x:v>42</x:v>
      </x:c>
      <x:c r="O3004" s="53" t="str">
        <x:v>Upton is unwittingly drawn into a deadly betrayal and finds herself in a fight for her life. With minimal leads, Voight and the team scramble to find her before it's too late.</x:v>
      </x:c>
      <x:c r="P3004" s="53" t="str">
        <x:v>Core One Chicago franchise; crossovers with SVU/FBI</x:v>
      </x:c>
      <x:c r="Q3004" s="17" t="str">
        <x:v>7487168</x:v>
      </x:c>
      <x:c r="R3004" s="17" t="str">
        <x:v>tt27485843</x:v>
      </x:c>
      <x:c r="S3004" s="17" t="str"/>
    </x:row>
    <x:row r="3005">
      <x:c r="A3005" s="43" t="n">
        <x:v>3001</x:v>
      </x:c>
      <x:c r="B3005" s="44" t="str">
        <x:v>Not Started</x:v>
      </x:c>
      <x:c r="C3005" s="45" t="n">
        <x:v>45057</x:v>
      </x:c>
      <x:c r="D3005" s="33" t="str">
        <x:v>Chicago Fire</x:v>
      </x:c>
      <x:c r="E3005" s="33" t="str">
        <x:v>One Chicago</x:v>
      </x:c>
      <x:c r="F3005" s="33" t="str">
        <x:v>core</x:v>
      </x:c>
      <x:c r="G3005" s="50" t="n">
        <x:v>11</x:v>
      </x:c>
      <x:c r="H3005" s="50" t="n">
        <x:v>20</x:v>
      </x:c>
      <x:c r="I3005" s="44" t="str">
        <x:v>11.20</x:v>
      </x:c>
      <x:c r="J3005" s="33" t="str">
        <x:v>Never, Ever Make a Mistake</x:v>
      </x:c>
      <x:c r="K3005" s="33" t="str"/>
      <x:c r="L3005" s="33" t="str"/>
      <x:c r="M3005" s="44" t="str"/>
      <x:c r="N3005" s="50" t="n">
        <x:v>43</x:v>
      </x:c>
      <x:c r="O3005" s="53" t="str">
        <x:v>Herrmann works on becoming a better man after Cindy's cancer journey. Kidd bonds with a homeless victim on a call. Kylie takes her firefighter exams. A harrowing call takes a toll on Brett.</x:v>
      </x:c>
      <x:c r="P3005" s="53" t="str">
        <x:v>Core One Chicago franchise</x:v>
      </x:c>
      <x:c r="Q3005" s="17" t="str">
        <x:v>7487179</x:v>
      </x:c>
      <x:c r="R3005" s="17" t="str">
        <x:v>tt27485826</x:v>
      </x:c>
      <x:c r="S3005" s="17" t="str"/>
    </x:row>
    <x:row r="3006">
      <x:c r="A3006" s="43" t="n">
        <x:v>3002</x:v>
      </x:c>
      <x:c r="B3006" s="44" t="str">
        <x:v>Not Started</x:v>
      </x:c>
      <x:c r="C3006" s="45" t="n">
        <x:v>45057</x:v>
      </x:c>
      <x:c r="D3006" s="33" t="str">
        <x:v>Law &amp; Order</x:v>
      </x:c>
      <x:c r="E3006" s="33" t="str">
        <x:v>Law &amp; Order</x:v>
      </x:c>
      <x:c r="F3006" s="33" t="str">
        <x:v>core</x:v>
      </x:c>
      <x:c r="G3006" s="50" t="n">
        <x:v>22</x:v>
      </x:c>
      <x:c r="H3006" s="50" t="n">
        <x:v>21</x:v>
      </x:c>
      <x:c r="I3006" s="44" t="str">
        <x:v>22.21</x:v>
      </x:c>
      <x:c r="J3006" s="33" t="str">
        <x:v>Appraisal</x:v>
      </x:c>
      <x:c r="K3006" s="33" t="str"/>
      <x:c r="L3006" s="33" t="str"/>
      <x:c r="M3006" s="44" t="str"/>
      <x:c r="N3006" s="50" t="n">
        <x:v>45</x:v>
      </x:c>
      <x:c r="O3006" s="53" t="str">
        <x:v>Cosgrove and Shaw suspect an art dealer was murdered but can't make an arrest until they locate her body. Price and Maroun must go to trial with a circumstantial case and a suspect with unlimited resources. The squad celebrates a birthday.</x:v>
      </x:c>
      <x:c r="P3006" s="53" t="str">
        <x:v>Core Law &amp; Order franchise</x:v>
      </x:c>
      <x:c r="Q3006" s="17" t="str">
        <x:v>7463661</x:v>
      </x:c>
      <x:c r="R3006" s="17" t="str">
        <x:v>tt27514163</x:v>
      </x:c>
      <x:c r="S3006" s="17" t="str">
        <x:v>1617</x:v>
      </x:c>
    </x:row>
    <x:row r="3007">
      <x:c r="A3007" s="43" t="n">
        <x:v>3003</x:v>
      </x:c>
      <x:c r="B3007" s="44" t="str">
        <x:v>Not Started</x:v>
      </x:c>
      <x:c r="C3007" s="45" t="n">
        <x:v>45057</x:v>
      </x:c>
      <x:c r="D3007" s="33" t="str">
        <x:v>Law &amp; Order: Special Victims Unit</x:v>
      </x:c>
      <x:c r="E3007" s="33" t="str">
        <x:v>Law &amp; Order</x:v>
      </x:c>
      <x:c r="F3007" s="33" t="str">
        <x:v>core</x:v>
      </x:c>
      <x:c r="G3007" s="50" t="n">
        <x:v>24</x:v>
      </x:c>
      <x:c r="H3007" s="50" t="n">
        <x:v>21</x:v>
      </x:c>
      <x:c r="I3007" s="44" t="str">
        <x:v>24.21</x:v>
      </x:c>
      <x:c r="J3007" s="33" t="str">
        <x:v>Bad Things (I)</x:v>
      </x:c>
      <x:c r="K3007" s="33" t="str">
        <x:v>Crossover</x:v>
      </x:c>
      <x:c r="L3007" s="33" t="str">
        <x:v>Shadowërk</x:v>
      </x:c>
      <x:c r="M3007" s="44" t="str">
        <x:v>1/4</x:v>
      </x:c>
      <x:c r="N3007" s="50" t="n">
        <x:v>41</x:v>
      </x:c>
      <x:c r="O3007" s="53" t="str">
        <x:v>Benson and Carisi are baffled when a series of assaults have the same M.O. but different DNA at each crime scene. Muncy believes Elias Olsen has struck again and is determined to prove it.
The crossover continues on Law &amp; Order: Organized Crime S03E21 Shadowërk (II), Law &amp; Order: Special Victims Unit S24E22 All Pain Is One Malady (III), and Law &amp; Order: Organized Crime S03E22 With Many Names (IV).</x:v>
      </x:c>
      <x:c r="P3007" s="53" t="str">
        <x:v>Core Law &amp; Order franchise</x:v>
      </x:c>
      <x:c r="Q3007" s="17" t="str">
        <x:v>7465159</x:v>
      </x:c>
      <x:c r="R3007" s="17" t="str">
        <x:v>tt27481144</x:v>
      </x:c>
      <x:c r="S3007" s="17" t="str">
        <x:v>https://one-chicago-fbi.fandom.com/wiki/Crossovers_and_Milestones</x:v>
      </x:c>
    </x:row>
    <x:row r="3008">
      <x:c r="A3008" s="43" t="n">
        <x:v>3004</x:v>
      </x:c>
      <x:c r="B3008" s="44" t="str">
        <x:v>Not Started</x:v>
      </x:c>
      <x:c r="C3008" s="45" t="n">
        <x:v>45059</x:v>
      </x:c>
      <x:c r="D3008" s="33" t="str">
        <x:v>Blood &amp; Money</x:v>
      </x:c>
      <x:c r="E3008" s="33" t="str">
        <x:v>Wolf Archive</x:v>
      </x:c>
      <x:c r="F3008" s="33" t="str">
        <x:v>complete</x:v>
      </x:c>
      <x:c r="G3008" s="50" t="n">
        <x:v>1</x:v>
      </x:c>
      <x:c r="H3008" s="50" t="n">
        <x:v>10</x:v>
      </x:c>
      <x:c r="I3008" s="44" t="str">
        <x:v>01.10</x:v>
      </x:c>
      <x:c r="J3008" s="33" t="str">
        <x:v>A Casino Tycoon's Hidden Treasure</x:v>
      </x:c>
      <x:c r="K3008" s="33" t="str"/>
      <x:c r="L3008" s="33" t="str"/>
      <x:c r="M3008" s="44" t="str"/>
      <x:c r="N3008" s="50" t="n">
        <x:v>44</x:v>
      </x:c>
      <x:c r="O3008" s="53" t="str">
        <x:v>A true-crime investigation into the case featured in “A Casino Tycoon's Hidden Treasure,” following the detectives and prosecutors who traced money, motive and evidence.</x:v>
      </x:c>
      <x:c r="P3008" s="53" t="str">
        <x:v>2023 Wolf Entertainment true-crime series created by Dick Wolf; the unrelated 1981 series is excluded.</x:v>
      </x:c>
      <x:c r="Q3008" s="17" t="str"/>
      <x:c r="R3008" s="17" t="str"/>
      <x:c r="S3008" s="17" t="str">
        <x:v>https://www.oxygen.com/blood-money/season-1/episode-5/high-society-schemers</x:v>
      </x:c>
    </x:row>
    <x:row r="3009">
      <x:c r="A3009" s="43" t="n">
        <x:v>3005</x:v>
      </x:c>
      <x:c r="B3009" s="44" t="str">
        <x:v>Not Started</x:v>
      </x:c>
      <x:c r="C3009" s="45" t="n">
        <x:v>45063</x:v>
      </x:c>
      <x:c r="D3009" s="33" t="str">
        <x:v>FBI: International</x:v>
      </x:c>
      <x:c r="E3009" s="33" t="str">
        <x:v>FBI</x:v>
      </x:c>
      <x:c r="F3009" s="33" t="str">
        <x:v>core</x:v>
      </x:c>
      <x:c r="G3009" s="50" t="n">
        <x:v>2</x:v>
      </x:c>
      <x:c r="H3009" s="50" t="n">
        <x:v>21</x:v>
      </x:c>
      <x:c r="I3009" s="44" t="str">
        <x:v>02.21</x:v>
      </x:c>
      <x:c r="J3009" s="33" t="str">
        <x:v>Fed to the Sharks</x:v>
      </x:c>
      <x:c r="K3009" s="33" t="str"/>
      <x:c r="L3009" s="33" t="str"/>
      <x:c r="M3009" s="44" t="str"/>
      <x:c r="N3009" s="50" t="n">
        <x:v>41</x:v>
      </x:c>
      <x:c r="O3009" s="53" t="str">
        <x:v>The Fly Team jets off to Portugal when the daughter of a prominent American hotelier becomes the primary suspect in the murder of an employee. Also, Raines becomes concerned about Vo.</x:v>
      </x:c>
      <x:c r="P3009" s="53" t="str">
        <x:v>Core FBI franchise</x:v>
      </x:c>
      <x:c r="Q3009" s="17" t="str">
        <x:v>7517863</x:v>
      </x:c>
      <x:c r="R3009" s="17" t="str">
        <x:v>tt27099930</x:v>
      </x:c>
      <x:c r="S3009" s="17" t="str"/>
    </x:row>
    <x:row r="3010">
      <x:c r="A3010" s="43" t="n">
        <x:v>3006</x:v>
      </x:c>
      <x:c r="B3010" s="44" t="str">
        <x:v>Not Started</x:v>
      </x:c>
      <x:c r="C3010" s="45" t="n">
        <x:v>45063</x:v>
      </x:c>
      <x:c r="D3010" s="33" t="str">
        <x:v>FBI: Most Wanted</x:v>
      </x:c>
      <x:c r="E3010" s="33" t="str">
        <x:v>FBI</x:v>
      </x:c>
      <x:c r="F3010" s="33" t="str">
        <x:v>core</x:v>
      </x:c>
      <x:c r="G3010" s="50" t="n">
        <x:v>4</x:v>
      </x:c>
      <x:c r="H3010" s="50" t="n">
        <x:v>21</x:v>
      </x:c>
      <x:c r="I3010" s="44" t="str">
        <x:v>04.21</x:v>
      </x:c>
      <x:c r="J3010" s="33" t="str">
        <x:v>Clean House</x:v>
      </x:c>
      <x:c r="K3010" s="33" t="str"/>
      <x:c r="L3010" s="33" t="str"/>
      <x:c r="M3010" s="44" t="str"/>
      <x:c r="N3010" s="50" t="n">
        <x:v>42</x:v>
      </x:c>
      <x:c r="O3010" s="53" t="str">
        <x:v>The Fugitive Task Force searches for a missing migrant teen they believe was lured into unlawful work by a dangerous man. Also, Remy learns of a previously undisclosed witness in his brother’s murder case.</x:v>
      </x:c>
      <x:c r="P3010" s="53" t="str">
        <x:v>Core FBI franchise</x:v>
      </x:c>
      <x:c r="Q3010" s="17" t="str">
        <x:v>7441579</x:v>
      </x:c>
      <x:c r="R3010" s="17" t="str">
        <x:v>tt27099968</x:v>
      </x:c>
      <x:c r="S3010" s="17" t="str"/>
    </x:row>
    <x:row r="3011">
      <x:c r="A3011" s="43" t="n">
        <x:v>3007</x:v>
      </x:c>
      <x:c r="B3011" s="44" t="str">
        <x:v>Not Started</x:v>
      </x:c>
      <x:c r="C3011" s="45" t="n">
        <x:v>45063</x:v>
      </x:c>
      <x:c r="D3011" s="33" t="str">
        <x:v>FBI</x:v>
      </x:c>
      <x:c r="E3011" s="33" t="str">
        <x:v>FBI</x:v>
      </x:c>
      <x:c r="F3011" s="33" t="str">
        <x:v>core</x:v>
      </x:c>
      <x:c r="G3011" s="50" t="n">
        <x:v>5</x:v>
      </x:c>
      <x:c r="H3011" s="50" t="n">
        <x:v>22</x:v>
      </x:c>
      <x:c r="I3011" s="44" t="str">
        <x:v>05.22</x:v>
      </x:c>
      <x:c r="J3011" s="33" t="str">
        <x:v>Torn</x:v>
      </x:c>
      <x:c r="K3011" s="33" t="str"/>
      <x:c r="L3011" s="33" t="str"/>
      <x:c r="M3011" s="44" t="str"/>
      <x:c r="N3011" s="50" t="n">
        <x:v>40</x:v>
      </x:c>
      <x:c r="O3011" s="53" t="str">
        <x:v>After finding a group of teens dead from a drug overdose, the team races to find the dangerous dealer and his supplier. Meanwhile, OA questions where he stands in his faith.</x:v>
      </x:c>
      <x:c r="P3011" s="53" t="str">
        <x:v>Core FBI franchise</x:v>
      </x:c>
      <x:c r="Q3011" s="17" t="str">
        <x:v>7441588</x:v>
      </x:c>
      <x:c r="R3011" s="17" t="str">
        <x:v>tt27099259</x:v>
      </x:c>
      <x:c r="S3011" s="17" t="str"/>
    </x:row>
    <x:row r="3012">
      <x:c r="A3012" s="43" t="n">
        <x:v>3008</x:v>
      </x:c>
      <x:c r="B3012" s="44" t="str">
        <x:v>Not Started</x:v>
      </x:c>
      <x:c r="C3012" s="45" t="n">
        <x:v>45064</x:v>
      </x:c>
      <x:c r="D3012" s="33" t="str">
        <x:v>Law &amp; Order: Organized Crime</x:v>
      </x:c>
      <x:c r="E3012" s="33" t="str">
        <x:v>Law &amp; Order</x:v>
      </x:c>
      <x:c r="F3012" s="33" t="str">
        <x:v>core</x:v>
      </x:c>
      <x:c r="G3012" s="50" t="n">
        <x:v>3</x:v>
      </x:c>
      <x:c r="H3012" s="50" t="n">
        <x:v>22</x:v>
      </x:c>
      <x:c r="I3012" s="44" t="str">
        <x:v>03.22</x:v>
      </x:c>
      <x:c r="J3012" s="33" t="str">
        <x:v>With Many Names (IV)</x:v>
      </x:c>
      <x:c r="K3012" s="33" t="str">
        <x:v>Crossover</x:v>
      </x:c>
      <x:c r="L3012" s="33" t="str">
        <x:v>Shadowërk</x:v>
      </x:c>
      <x:c r="M3012" s="44" t="str">
        <x:v>4/4</x:v>
      </x:c>
      <x:c r="N3012" s="50" t="n">
        <x:v>43</x:v>
      </x:c>
      <x:c r="O3012" s="53" t="str">
        <x:v>As OCCB and SVU close in on a callous and desperate suspect, the U.S. Attorney benches Stabler and Benson. Bell and Fin must lead the team on a perilous task. Rollins confronts a witness.
The crossover starts on Law &amp; Order: Special Victims Unit S24E21 Bad Things (I), Law &amp; Order: Organized Crime S03E21 Shadowërk (II), and Law &amp; Order: Special Victims Unit S24E22 All Pain Is One Malady (III).</x:v>
      </x:c>
      <x:c r="P3012" s="53" t="str">
        <x:v>Core Law &amp; Order franchise</x:v>
      </x:c>
      <x:c r="Q3012" s="17" t="str">
        <x:v>7465157</x:v>
      </x:c>
      <x:c r="R3012" s="17" t="str">
        <x:v>tt27629355</x:v>
      </x:c>
      <x:c r="S3012" s="17" t="str">
        <x:v>https://one-chicago-fbi.fandom.com/wiki/Crossovers_and_Milestones</x:v>
      </x:c>
    </x:row>
    <x:row r="3013">
      <x:c r="A3013" s="43" t="n">
        <x:v>3009</x:v>
      </x:c>
      <x:c r="B3013" s="44" t="str">
        <x:v>Not Started</x:v>
      </x:c>
      <x:c r="C3013" s="45" t="n">
        <x:v>45064</x:v>
      </x:c>
      <x:c r="D3013" s="33" t="str">
        <x:v>Chicago Med</x:v>
      </x:c>
      <x:c r="E3013" s="33" t="str">
        <x:v>One Chicago</x:v>
      </x:c>
      <x:c r="F3013" s="33" t="str">
        <x:v>core</x:v>
      </x:c>
      <x:c r="G3013" s="50" t="n">
        <x:v>8</x:v>
      </x:c>
      <x:c r="H3013" s="50" t="n">
        <x:v>21</x:v>
      </x:c>
      <x:c r="I3013" s="44" t="str">
        <x:v>08.21</x:v>
      </x:c>
      <x:c r="J3013" s="33" t="str">
        <x:v>Might Feel Like It's Time for a Change</x:v>
      </x:c>
      <x:c r="K3013" s="33" t="str"/>
      <x:c r="L3013" s="33" t="str"/>
      <x:c r="M3013" s="44" t="str"/>
      <x:c r="N3013" s="50" t="n">
        <x:v>43</x:v>
      </x:c>
      <x:c r="O3013" s="53" t="str">
        <x:v>As Jack Dayton prepares to launch OR 2.0's IPO, Marcel and Grace search for data that may put a wrench in his plans. Charles helps a schizophrenic patient who is anxious about prom. Asher clashes with Abrams when his wife becomes her patient.</x:v>
      </x:c>
      <x:c r="P3013" s="53" t="str">
        <x:v>Core One Chicago franchise</x:v>
      </x:c>
      <x:c r="Q3013" s="17" t="str">
        <x:v>7490193</x:v>
      </x:c>
      <x:c r="R3013" s="17" t="str">
        <x:v>tt27485816</x:v>
      </x:c>
      <x:c r="S3013" s="17" t="str"/>
    </x:row>
    <x:row r="3014">
      <x:c r="A3014" s="43" t="n">
        <x:v>3010</x:v>
      </x:c>
      <x:c r="B3014" s="44" t="str">
        <x:v>Not Started</x:v>
      </x:c>
      <x:c r="C3014" s="45" t="n">
        <x:v>45064</x:v>
      </x:c>
      <x:c r="D3014" s="33" t="str">
        <x:v>Chicago P.D.</x:v>
      </x:c>
      <x:c r="E3014" s="33" t="str">
        <x:v>One Chicago</x:v>
      </x:c>
      <x:c r="F3014" s="33" t="str">
        <x:v>core</x:v>
      </x:c>
      <x:c r="G3014" s="50" t="n">
        <x:v>10</x:v>
      </x:c>
      <x:c r="H3014" s="50" t="n">
        <x:v>21</x:v>
      </x:c>
      <x:c r="I3014" s="44" t="str">
        <x:v>10.21</x:v>
      </x:c>
      <x:c r="J3014" s="33" t="str">
        <x:v>New Life</x:v>
      </x:c>
      <x:c r="K3014" s="33" t="str"/>
      <x:c r="L3014" s="33" t="str"/>
      <x:c r="M3014" s="44" t="str"/>
      <x:c r="N3014" s="50" t="n">
        <x:v>42</x:v>
      </x:c>
      <x:c r="O3014" s="53" t="str">
        <x:v>Torres finds himself in the midst of a murder case that hits close to home and threatens to expose his troubled past. As he struggles to reconcile his old life with his new one, Voight keeps a watchful eye.</x:v>
      </x:c>
      <x:c r="P3014" s="53" t="str">
        <x:v>Core One Chicago franchise; crossovers with SVU/FBI</x:v>
      </x:c>
      <x:c r="Q3014" s="17" t="str">
        <x:v>7487170</x:v>
      </x:c>
      <x:c r="R3014" s="17" t="str">
        <x:v>tt27485846</x:v>
      </x:c>
      <x:c r="S3014" s="17" t="str"/>
    </x:row>
    <x:row r="3015">
      <x:c r="A3015" s="43" t="n">
        <x:v>3011</x:v>
      </x:c>
      <x:c r="B3015" s="44" t="str">
        <x:v>Not Started</x:v>
      </x:c>
      <x:c r="C3015" s="45" t="n">
        <x:v>45064</x:v>
      </x:c>
      <x:c r="D3015" s="33" t="str">
        <x:v>Chicago Fire</x:v>
      </x:c>
      <x:c r="E3015" s="33" t="str">
        <x:v>One Chicago</x:v>
      </x:c>
      <x:c r="F3015" s="33" t="str">
        <x:v>core</x:v>
      </x:c>
      <x:c r="G3015" s="50" t="n">
        <x:v>11</x:v>
      </x:c>
      <x:c r="H3015" s="50" t="n">
        <x:v>21</x:v>
      </x:c>
      <x:c r="I3015" s="44" t="str">
        <x:v>11.21</x:v>
      </x:c>
      <x:c r="J3015" s="33" t="str">
        <x:v>Change of Plans</x:v>
      </x:c>
      <x:c r="K3015" s="33" t="str"/>
      <x:c r="L3015" s="33" t="str"/>
      <x:c r="M3015" s="44" t="str"/>
      <x:c r="N3015" s="50" t="n">
        <x:v>43</x:v>
      </x:c>
      <x:c r="O3015" s="53" t="str">
        <x:v>Carver deals with the fallout of his arrest. Brett searches for closure with the baby she rescued. Capp weasels his way into the Firehouse 51 group chat.</x:v>
      </x:c>
      <x:c r="P3015" s="53" t="str">
        <x:v>Core One Chicago franchise</x:v>
      </x:c>
      <x:c r="Q3015" s="17" t="str">
        <x:v>7487181</x:v>
      </x:c>
      <x:c r="R3015" s="17" t="str">
        <x:v>tt27485829</x:v>
      </x:c>
      <x:c r="S3015" s="17" t="str"/>
    </x:row>
    <x:row r="3016">
      <x:c r="A3016" s="43" t="n">
        <x:v>3012</x:v>
      </x:c>
      <x:c r="B3016" s="44" t="str">
        <x:v>Not Started</x:v>
      </x:c>
      <x:c r="C3016" s="45" t="n">
        <x:v>45064</x:v>
      </x:c>
      <x:c r="D3016" s="33" t="str">
        <x:v>Law &amp; Order</x:v>
      </x:c>
      <x:c r="E3016" s="33" t="str">
        <x:v>Law &amp; Order</x:v>
      </x:c>
      <x:c r="F3016" s="33" t="str">
        <x:v>core</x:v>
      </x:c>
      <x:c r="G3016" s="50" t="n">
        <x:v>22</x:v>
      </x:c>
      <x:c r="H3016" s="50" t="n">
        <x:v>22</x:v>
      </x:c>
      <x:c r="I3016" s="44" t="str">
        <x:v>22.22</x:v>
      </x:c>
      <x:c r="J3016" s="33" t="str">
        <x:v>Open Wounds</x:v>
      </x:c>
      <x:c r="K3016" s="33" t="str"/>
      <x:c r="L3016" s="33" t="str"/>
      <x:c r="M3016" s="44" t="str"/>
      <x:c r="N3016" s="50" t="n">
        <x:v>45</x:v>
      </x:c>
      <x:c r="O3016" s="53" t="str">
        <x:v>When a senator is gunned down at his daughter's wedding, McCoy pushes for a severe sentence and squares up against a formidable defense attorney — his own daughter. Price aims to stay neutral but can't help but empathize with the defendant over a shared trauma.</x:v>
      </x:c>
      <x:c r="P3016" s="53" t="str">
        <x:v>Core Law &amp; Order franchise</x:v>
      </x:c>
      <x:c r="Q3016" s="17" t="str">
        <x:v>7463662</x:v>
      </x:c>
      <x:c r="R3016" s="17" t="str">
        <x:v>tt27443068</x:v>
      </x:c>
      <x:c r="S3016" s="17" t="str">
        <x:v>1620</x:v>
      </x:c>
    </x:row>
    <x:row r="3017">
      <x:c r="A3017" s="43" t="n">
        <x:v>3013</x:v>
      </x:c>
      <x:c r="B3017" s="44" t="str">
        <x:v>Not Started</x:v>
      </x:c>
      <x:c r="C3017" s="45" t="n">
        <x:v>45064</x:v>
      </x:c>
      <x:c r="D3017" s="33" t="str">
        <x:v>Law &amp; Order: Special Victims Unit</x:v>
      </x:c>
      <x:c r="E3017" s="33" t="str">
        <x:v>Law &amp; Order</x:v>
      </x:c>
      <x:c r="F3017" s="33" t="str">
        <x:v>core</x:v>
      </x:c>
      <x:c r="G3017" s="50" t="n">
        <x:v>24</x:v>
      </x:c>
      <x:c r="H3017" s="50" t="n">
        <x:v>22</x:v>
      </x:c>
      <x:c r="I3017" s="44" t="str">
        <x:v>24.22</x:v>
      </x:c>
      <x:c r="J3017" s="33" t="str">
        <x:v>All Pain Is One Malady (III)</x:v>
      </x:c>
      <x:c r="K3017" s="33" t="str">
        <x:v>Crossover</x:v>
      </x:c>
      <x:c r="L3017" s="33" t="str">
        <x:v>Shadowërk</x:v>
      </x:c>
      <x:c r="M3017" s="44" t="str">
        <x:v>3/4</x:v>
      </x:c>
      <x:c r="N3017" s="50" t="n">
        <x:v>41</x:v>
      </x:c>
      <x:c r="O3017" s="53" t="str">
        <x:v>Benson and Stabler combine forces on a global revenge-for-hire case. Fin and Bruno help a victim assaulted a second time. Jet's plan to hack the dark web backfires and puts the team in danger.
The crossover starts on Law &amp; Order: Special Victims Unit S24E21 Bad Things (I) and Law &amp; Order: Organized Crime S03E21 Shadowërk (II). It continues on Law &amp; Order: Organized Crime S03E22 With Many Names (IV).</x:v>
      </x:c>
      <x:c r="P3017" s="53" t="str">
        <x:v>Core Law &amp; Order franchise</x:v>
      </x:c>
      <x:c r="Q3017" s="17" t="str">
        <x:v>7465160</x:v>
      </x:c>
      <x:c r="R3017" s="17" t="str">
        <x:v>tt27481146</x:v>
      </x:c>
      <x:c r="S3017" s="17" t="str">
        <x:v>https://one-chicago-fbi.fandom.com/wiki/Crossovers_and_Milestones</x:v>
      </x:c>
    </x:row>
    <x:row r="3018">
      <x:c r="A3018" s="43" t="n">
        <x:v>3014</x:v>
      </x:c>
      <x:c r="B3018" s="44" t="str">
        <x:v>Not Started</x:v>
      </x:c>
      <x:c r="C3018" s="45" t="n">
        <x:v>45070</x:v>
      </x:c>
      <x:c r="D3018" s="33" t="str">
        <x:v>FBI: International</x:v>
      </x:c>
      <x:c r="E3018" s="33" t="str">
        <x:v>FBI</x:v>
      </x:c>
      <x:c r="F3018" s="33" t="str">
        <x:v>core</x:v>
      </x:c>
      <x:c r="G3018" s="50" t="n">
        <x:v>2</x:v>
      </x:c>
      <x:c r="H3018" s="50" t="n">
        <x:v>22</x:v>
      </x:c>
      <x:c r="I3018" s="44" t="str">
        <x:v>02.22</x:v>
      </x:c>
      <x:c r="J3018" s="33" t="str">
        <x:v>Fencing the Mona Lisa</x:v>
      </x:c>
      <x:c r="K3018" s="33" t="str"/>
      <x:c r="L3018" s="33" t="str"/>
      <x:c r="M3018" s="44" t="str"/>
      <x:c r="N3018" s="50" t="n">
        <x:v>41</x:v>
      </x:c>
      <x:c r="O3018" s="53" t="str">
        <x:v>When a Russian missile is stolen and put on the black market in Budapest, the Fly Team must secure the weapon before a mysterious American arms broker delivers it into the wrong hands.</x:v>
      </x:c>
      <x:c r="P3018" s="53" t="str">
        <x:v>Core FBI franchise</x:v>
      </x:c>
      <x:c r="Q3018" s="17" t="str">
        <x:v>7508282</x:v>
      </x:c>
      <x:c r="R3018" s="17" t="str">
        <x:v>tt27099935</x:v>
      </x:c>
      <x:c r="S3018" s="17" t="str"/>
    </x:row>
    <x:row r="3019">
      <x:c r="A3019" s="43" t="n">
        <x:v>3015</x:v>
      </x:c>
      <x:c r="B3019" s="44" t="str">
        <x:v>Not Started</x:v>
      </x:c>
      <x:c r="C3019" s="45" t="n">
        <x:v>45070</x:v>
      </x:c>
      <x:c r="D3019" s="33" t="str">
        <x:v>FBI: Most Wanted</x:v>
      </x:c>
      <x:c r="E3019" s="33" t="str">
        <x:v>FBI</x:v>
      </x:c>
      <x:c r="F3019" s="33" t="str">
        <x:v>core</x:v>
      </x:c>
      <x:c r="G3019" s="50" t="n">
        <x:v>4</x:v>
      </x:c>
      <x:c r="H3019" s="50" t="n">
        <x:v>22</x:v>
      </x:c>
      <x:c r="I3019" s="44" t="str">
        <x:v>04.22</x:v>
      </x:c>
      <x:c r="J3019" s="33" t="str">
        <x:v>Heaven Falling</x:v>
      </x:c>
      <x:c r="K3019" s="33" t="str"/>
      <x:c r="L3019" s="33" t="str"/>
      <x:c r="M3019" s="44" t="str"/>
      <x:c r="N3019" s="50" t="n">
        <x:v>42</x:v>
      </x:c>
      <x:c r="O3019" s="53" t="str">
        <x:v>The team helps Remy try to catch his brother’s real killer 25 years after Mikey was murdered.</x:v>
      </x:c>
      <x:c r="P3019" s="53" t="str">
        <x:v>Core FBI franchise</x:v>
      </x:c>
      <x:c r="Q3019" s="17" t="str">
        <x:v>7441584</x:v>
      </x:c>
      <x:c r="R3019" s="17" t="str">
        <x:v>tt27099970</x:v>
      </x:c>
      <x:c r="S3019" s="17" t="str"/>
    </x:row>
    <x:row r="3020">
      <x:c r="A3020" s="43" t="n">
        <x:v>3016</x:v>
      </x:c>
      <x:c r="B3020" s="44" t="str">
        <x:v>Not Started</x:v>
      </x:c>
      <x:c r="C3020" s="45" t="n">
        <x:v>45070</x:v>
      </x:c>
      <x:c r="D3020" s="33" t="str">
        <x:v>FBI</x:v>
      </x:c>
      <x:c r="E3020" s="33" t="str">
        <x:v>FBI</x:v>
      </x:c>
      <x:c r="F3020" s="33" t="str">
        <x:v>core</x:v>
      </x:c>
      <x:c r="G3020" s="50" t="n">
        <x:v>5</x:v>
      </x:c>
      <x:c r="H3020" s="50" t="n">
        <x:v>23</x:v>
      </x:c>
      <x:c r="I3020" s="44" t="str">
        <x:v>05.23</x:v>
      </x:c>
      <x:c r="J3020" s="33" t="str">
        <x:v>God Complex</x:v>
      </x:c>
      <x:c r="K3020" s="33" t="str"/>
      <x:c r="L3020" s="33" t="str"/>
      <x:c r="M3020" s="44" t="str"/>
      <x:c r="N3020" s="50" t="n">
        <x:v>42</x:v>
      </x:c>
      <x:c r="O3020" s="53" t="str">
        <x:v>When a prominent doctor is found dead in a ritualistic slaying, the team must race against time to hunt down a religiously motivated serial killer. Also, Scola faces a life-or-death decision.</x:v>
      </x:c>
      <x:c r="P3020" s="53" t="str">
        <x:v>Core FBI franchise</x:v>
      </x:c>
      <x:c r="Q3020" s="17" t="str">
        <x:v>7441590</x:v>
      </x:c>
      <x:c r="R3020" s="17" t="str">
        <x:v>tt27099261</x:v>
      </x:c>
      <x:c r="S3020" s="17" t="str"/>
    </x:row>
    <x:row r="3021">
      <x:c r="A3021" s="43" t="n">
        <x:v>3017</x:v>
      </x:c>
      <x:c r="B3021" s="44" t="str">
        <x:v>Not Started</x:v>
      </x:c>
      <x:c r="C3021" s="45" t="n">
        <x:v>45071</x:v>
      </x:c>
      <x:c r="D3021" s="33" t="str">
        <x:v>Chicago Med</x:v>
      </x:c>
      <x:c r="E3021" s="33" t="str">
        <x:v>One Chicago</x:v>
      </x:c>
      <x:c r="F3021" s="33" t="str">
        <x:v>core</x:v>
      </x:c>
      <x:c r="G3021" s="50" t="n">
        <x:v>8</x:v>
      </x:c>
      <x:c r="H3021" s="50" t="n">
        <x:v>22</x:v>
      </x:c>
      <x:c r="I3021" s="44" t="str">
        <x:v>08.22</x:v>
      </x:c>
      <x:c r="J3021" s="33" t="str">
        <x:v>Does One Door Close and Another One Open?</x:v>
      </x:c>
      <x:c r="K3021" s="33" t="str"/>
      <x:c r="L3021" s="33" t="str"/>
      <x:c r="M3021" s="44" t="str"/>
      <x:c r="N3021" s="50" t="n">
        <x:v>43</x:v>
      </x:c>
      <x:c r="O3021" s="53" t="str">
        <x:v>Shocking information threatens Jack Dayton's surgery and the future of OR 2.0. Archer goes rogue to save a patient in need. Maggie questions her future at Med.</x:v>
      </x:c>
      <x:c r="P3021" s="53" t="str">
        <x:v>Core One Chicago franchise</x:v>
      </x:c>
      <x:c r="Q3021" s="17" t="str">
        <x:v>7490194</x:v>
      </x:c>
      <x:c r="R3021" s="17" t="str">
        <x:v>tt27485819</x:v>
      </x:c>
      <x:c r="S3021" s="17" t="str"/>
    </x:row>
    <x:row r="3022">
      <x:c r="A3022" s="43" t="n">
        <x:v>3018</x:v>
      </x:c>
      <x:c r="B3022" s="44" t="str">
        <x:v>Not Started</x:v>
      </x:c>
      <x:c r="C3022" s="45" t="n">
        <x:v>45071</x:v>
      </x:c>
      <x:c r="D3022" s="33" t="str">
        <x:v>Chicago P.D.</x:v>
      </x:c>
      <x:c r="E3022" s="33" t="str">
        <x:v>One Chicago</x:v>
      </x:c>
      <x:c r="F3022" s="33" t="str">
        <x:v>core</x:v>
      </x:c>
      <x:c r="G3022" s="50" t="n">
        <x:v>10</x:v>
      </x:c>
      <x:c r="H3022" s="50" t="n">
        <x:v>22</x:v>
      </x:c>
      <x:c r="I3022" s="44" t="str">
        <x:v>10.22</x:v>
      </x:c>
      <x:c r="J3022" s="33" t="str">
        <x:v>A Better Place</x:v>
      </x:c>
      <x:c r="K3022" s="33" t="str"/>
      <x:c r="L3022" s="33" t="str"/>
      <x:c r="M3022" s="44" t="str"/>
      <x:c r="N3022" s="50" t="n">
        <x:v>43</x:v>
      </x:c>
      <x:c r="O3022" s="53" t="str">
        <x:v>As Richard Beck's timeline for a deadly attack moves up and Samantha panics, Ruzek and the team scramble to get ahead of unprecedented disaster.</x:v>
      </x:c>
      <x:c r="P3022" s="53" t="str">
        <x:v>Core One Chicago franchise; crossovers with SVU/FBI</x:v>
      </x:c>
      <x:c r="Q3022" s="17" t="str">
        <x:v>7487171</x:v>
      </x:c>
      <x:c r="R3022" s="17" t="str">
        <x:v>tt27485848</x:v>
      </x:c>
      <x:c r="S3022" s="17" t="str"/>
    </x:row>
    <x:row r="3023">
      <x:c r="A3023" s="43" t="n">
        <x:v>3019</x:v>
      </x:c>
      <x:c r="B3023" s="44" t="str">
        <x:v>Not Started</x:v>
      </x:c>
      <x:c r="C3023" s="45" t="n">
        <x:v>45071</x:v>
      </x:c>
      <x:c r="D3023" s="33" t="str">
        <x:v>Chicago Fire</x:v>
      </x:c>
      <x:c r="E3023" s="33" t="str">
        <x:v>One Chicago</x:v>
      </x:c>
      <x:c r="F3023" s="33" t="str">
        <x:v>core</x:v>
      </x:c>
      <x:c r="G3023" s="50" t="n">
        <x:v>11</x:v>
      </x:c>
      <x:c r="H3023" s="50" t="n">
        <x:v>22</x:v>
      </x:c>
      <x:c r="I3023" s="44" t="str">
        <x:v>11.22</x:v>
      </x:c>
      <x:c r="J3023" s="33" t="str">
        <x:v>Red Waterfall</x:v>
      </x:c>
      <x:c r="K3023" s="33" t="str"/>
      <x:c r="L3023" s="33" t="str"/>
      <x:c r="M3023" s="44" t="str"/>
      <x:c r="N3023" s="50" t="n">
        <x:v>42</x:v>
      </x:c>
      <x:c r="O3023" s="53" t="str">
        <x:v>Brett waits for life-changing news. Herrmann encounters a psychic with a grave warning on a call. Kidd finds a new lead on the Homeland Security case.</x:v>
      </x:c>
      <x:c r="P3023" s="53" t="str">
        <x:v>Core One Chicago franchise</x:v>
      </x:c>
      <x:c r="Q3023" s="17" t="str">
        <x:v>7487183</x:v>
      </x:c>
      <x:c r="R3023" s="17" t="str">
        <x:v>tt27485831</x:v>
      </x:c>
      <x:c r="S3023" s="17" t="str"/>
    </x:row>
    <x:row r="3024">
      <x:c r="A3024" s="43" t="n">
        <x:v>3020</x:v>
      </x:c>
      <x:c r="B3024" s="44" t="str">
        <x:v>Not Started</x:v>
      </x:c>
      <x:c r="C3024" s="45" t="n">
        <x:v>45099</x:v>
      </x:c>
      <x:c r="D3024" s="33" t="str">
        <x:v>LA Fire &amp; Rescue</x:v>
      </x:c>
      <x:c r="E3024" s="33" t="str">
        <x:v>Crossover Adjacent</x:v>
      </x:c>
      <x:c r="F3024" s="33" t="str">
        <x:v>complete</x:v>
      </x:c>
      <x:c r="G3024" s="50" t="n">
        <x:v>1</x:v>
      </x:c>
      <x:c r="H3024" s="50" t="n">
        <x:v>1</x:v>
      </x:c>
      <x:c r="I3024" s="44" t="str">
        <x:v>01.01</x:v>
      </x:c>
      <x:c r="J3024" s="33" t="str">
        <x:v>Best Job in the World</x:v>
      </x:c>
      <x:c r="K3024" s="33" t="str"/>
      <x:c r="L3024" s="33" t="str"/>
      <x:c r="M3024" s="44" t="str"/>
      <x:c r="N3024" s="50" t="n">
        <x:v>43</x:v>
      </x:c>
      <x:c r="O3024" s="53" t="str">
        <x:v>Meet the stations and first responders of the LA County Fire Department as they perform a rescue on Sunset Boulevard, tackle a spreading brush fire and respond to a collision and fire emergency at a busy city gas station.</x:v>
      </x:c>
      <x:c r="P3024" s="53" t="str">
        <x:v>Wolf Entertainment first-responder docuseries</x:v>
      </x:c>
      <x:c r="Q3024" s="17" t="str">
        <x:v>6745051</x:v>
      </x:c>
      <x:c r="R3024" s="17" t="str">
        <x:v>tt27371961</x:v>
      </x:c>
      <x:c r="S3024" s="17" t="str"/>
    </x:row>
    <x:row r="3025">
      <x:c r="A3025" s="43" t="n">
        <x:v>3021</x:v>
      </x:c>
      <x:c r="B3025" s="44" t="str">
        <x:v>Not Started</x:v>
      </x:c>
      <x:c r="C3025" s="45" t="n">
        <x:v>45106</x:v>
      </x:c>
      <x:c r="D3025" s="33" t="str">
        <x:v>LA Fire &amp; Rescue</x:v>
      </x:c>
      <x:c r="E3025" s="33" t="str">
        <x:v>Crossover Adjacent</x:v>
      </x:c>
      <x:c r="F3025" s="33" t="str">
        <x:v>complete</x:v>
      </x:c>
      <x:c r="G3025" s="50" t="n">
        <x:v>1</x:v>
      </x:c>
      <x:c r="H3025" s="50" t="n">
        <x:v>2</x:v>
      </x:c>
      <x:c r="I3025" s="44" t="str">
        <x:v>01.02</x:v>
      </x:c>
      <x:c r="J3025" s="33" t="str">
        <x:v>Boots on the Ground</x:v>
      </x:c>
      <x:c r="K3025" s="33" t="str"/>
      <x:c r="L3025" s="33" t="str"/>
      <x:c r="M3025" s="44" t="str"/>
      <x:c r="N3025" s="50" t="n">
        <x:v>43</x:v>
      </x:c>
      <x:c r="O3025" s="53" t="str">
        <x:v>Watts Station 16 responds to a warehouse fire, searching for any signs of life. Captain Scott Woods of Station 41 teaches "the boot" Erin Scouler a valuable lesson while responding to a police standoff call.</x:v>
      </x:c>
      <x:c r="P3025" s="53" t="str">
        <x:v>Wolf Entertainment first-responder docuseries</x:v>
      </x:c>
      <x:c r="Q3025" s="17" t="str">
        <x:v>10732553</x:v>
      </x:c>
      <x:c r="R3025" s="17" t="str">
        <x:v>tt28129597</x:v>
      </x:c>
      <x:c r="S3025" s="17" t="str"/>
    </x:row>
    <x:row r="3026">
      <x:c r="A3026" s="43" t="n">
        <x:v>3022</x:v>
      </x:c>
      <x:c r="B3026" s="44" t="str">
        <x:v>Not Started</x:v>
      </x:c>
      <x:c r="C3026" s="45" t="n">
        <x:v>45113</x:v>
      </x:c>
      <x:c r="D3026" s="33" t="str">
        <x:v>LA Fire &amp; Rescue</x:v>
      </x:c>
      <x:c r="E3026" s="33" t="str">
        <x:v>Crossover Adjacent</x:v>
      </x:c>
      <x:c r="F3026" s="33" t="str">
        <x:v>complete</x:v>
      </x:c>
      <x:c r="G3026" s="50" t="n">
        <x:v>1</x:v>
      </x:c>
      <x:c r="H3026" s="50" t="n">
        <x:v>3</x:v>
      </x:c>
      <x:c r="I3026" s="44" t="str">
        <x:v>01.03</x:v>
      </x:c>
      <x:c r="J3026" s="33" t="str">
        <x:v>The Real Baywatch</x:v>
      </x:c>
      <x:c r="K3026" s="33" t="str"/>
      <x:c r="L3026" s="33" t="str"/>
      <x:c r="M3026" s="44" t="str"/>
      <x:c r="N3026" s="50" t="n">
        <x:v>43</x:v>
      </x:c>
      <x:c r="O3026" s="53" t="str">
        <x:v>The LA County Fire Department lifeguards join forces with the Air Ops team on a dramatic rescue during the Malibu triathlon. Watts Station 16 shows how much they value caring for the community.</x:v>
      </x:c>
      <x:c r="P3026" s="53" t="str">
        <x:v>Wolf Entertainment first-responder docuseries</x:v>
      </x:c>
      <x:c r="Q3026" s="17" t="str">
        <x:v>10732565</x:v>
      </x:c>
      <x:c r="R3026" s="17" t="str">
        <x:v>tt28129599</x:v>
      </x:c>
      <x:c r="S3026" s="17" t="str"/>
    </x:row>
    <x:row r="3027">
      <x:c r="A3027" s="43" t="n">
        <x:v>3023</x:v>
      </x:c>
      <x:c r="B3027" s="44" t="str">
        <x:v>Not Started</x:v>
      </x:c>
      <x:c r="C3027" s="45" t="n">
        <x:v>45120</x:v>
      </x:c>
      <x:c r="D3027" s="33" t="str">
        <x:v>LA Fire &amp; Rescue</x:v>
      </x:c>
      <x:c r="E3027" s="33" t="str">
        <x:v>Crossover Adjacent</x:v>
      </x:c>
      <x:c r="F3027" s="33" t="str">
        <x:v>complete</x:v>
      </x:c>
      <x:c r="G3027" s="50" t="n">
        <x:v>1</x:v>
      </x:c>
      <x:c r="H3027" s="50" t="n">
        <x:v>4</x:v>
      </x:c>
      <x:c r="I3027" s="44" t="str">
        <x:v>01.04</x:v>
      </x:c>
      <x:c r="J3027" s="33" t="str">
        <x:v>Angels in the Sky</x:v>
      </x:c>
      <x:c r="K3027" s="33" t="str"/>
      <x:c r="L3027" s="33" t="str"/>
      <x:c r="M3027" s="44" t="str"/>
      <x:c r="N3027" s="50" t="n">
        <x:v>43</x:v>
      </x:c>
      <x:c r="O3027" s="53" t="str">
        <x:v>Meet the pilots and crew chiefs who make up the specialized Air Ops arm of the LACoFD as they respond to high-stakes emergency situations. Probation firefighter in training Erin Scouler gets closer to becoming an official firefighter at Station 41.</x:v>
      </x:c>
      <x:c r="P3027" s="53" t="str">
        <x:v>Wolf Entertainment first-responder docuseries</x:v>
      </x:c>
      <x:c r="Q3027" s="17" t="str">
        <x:v>10770242</x:v>
      </x:c>
      <x:c r="R3027" s="17" t="str"/>
      <x:c r="S3027" s="17" t="str"/>
    </x:row>
    <x:row r="3028">
      <x:c r="A3028" s="43" t="n">
        <x:v>3024</x:v>
      </x:c>
      <x:c r="B3028" s="44" t="str">
        <x:v>Not Started</x:v>
      </x:c>
      <x:c r="C3028" s="45" t="n">
        <x:v>45127</x:v>
      </x:c>
      <x:c r="D3028" s="33" t="str">
        <x:v>LA Fire &amp; Rescue</x:v>
      </x:c>
      <x:c r="E3028" s="33" t="str">
        <x:v>Crossover Adjacent</x:v>
      </x:c>
      <x:c r="F3028" s="33" t="str">
        <x:v>complete</x:v>
      </x:c>
      <x:c r="G3028" s="50" t="n">
        <x:v>1</x:v>
      </x:c>
      <x:c r="H3028" s="50" t="n">
        <x:v>5</x:v>
      </x:c>
      <x:c r="I3028" s="44" t="str">
        <x:v>01.05</x:v>
      </x:c>
      <x:c r="J3028" s="33" t="str">
        <x:v>Fire Is in the Blood</x:v>
      </x:c>
      <x:c r="K3028" s="33" t="str"/>
      <x:c r="L3028" s="33" t="str"/>
      <x:c r="M3028" s="44" t="str"/>
      <x:c r="N3028" s="50" t="n">
        <x:v>43</x:v>
      </x:c>
      <x:c r="O3028" s="53" t="str">
        <x:v>Proud Station 16 Captain Dan Olivas beams with joy as he attends his son's graduation from the Fire Academy and welcomes him into the department. Inglewood Station 172 first responders reveal the emotional impact of the job.</x:v>
      </x:c>
      <x:c r="P3028" s="53" t="str">
        <x:v>Wolf Entertainment first-responder docuseries</x:v>
      </x:c>
      <x:c r="Q3028" s="17" t="str">
        <x:v>10785359</x:v>
      </x:c>
      <x:c r="R3028" s="17" t="str"/>
      <x:c r="S3028" s="17" t="str"/>
    </x:row>
    <x:row r="3029">
      <x:c r="A3029" s="43" t="n">
        <x:v>3025</x:v>
      </x:c>
      <x:c r="B3029" s="44" t="str">
        <x:v>Not Started</x:v>
      </x:c>
      <x:c r="C3029" s="45" t="n">
        <x:v>45134</x:v>
      </x:c>
      <x:c r="D3029" s="33" t="str">
        <x:v>LA Fire &amp; Rescue</x:v>
      </x:c>
      <x:c r="E3029" s="33" t="str">
        <x:v>Crossover Adjacent</x:v>
      </x:c>
      <x:c r="F3029" s="33" t="str">
        <x:v>complete</x:v>
      </x:c>
      <x:c r="G3029" s="50" t="n">
        <x:v>1</x:v>
      </x:c>
      <x:c r="H3029" s="50" t="n">
        <x:v>6</x:v>
      </x:c>
      <x:c r="I3029" s="44" t="str">
        <x:v>01.06</x:v>
      </x:c>
      <x:c r="J3029" s="33" t="str">
        <x:v>Three Alarm</x:v>
      </x:c>
      <x:c r="K3029" s="33" t="str"/>
      <x:c r="L3029" s="33" t="str"/>
      <x:c r="M3029" s="44" t="str"/>
      <x:c r="N3029" s="50" t="n">
        <x:v>43</x:v>
      </x:c>
      <x:c r="O3029" s="53" t="str">
        <x:v>Inglewood Station 172 tackles a career-defining fire in an industrial warehouse. Calabasas station 125 responds to a multi car collision before ending their day on a residential call removing a slithering creature from a fearful family's home.</x:v>
      </x:c>
      <x:c r="P3029" s="53" t="str">
        <x:v>Wolf Entertainment first-responder docuseries</x:v>
      </x:c>
      <x:c r="Q3029" s="17" t="str">
        <x:v>10785360</x:v>
      </x:c>
      <x:c r="R3029" s="17" t="str"/>
      <x:c r="S3029" s="17" t="str"/>
    </x:row>
    <x:row r="3030">
      <x:c r="A3030" s="43" t="n">
        <x:v>3026</x:v>
      </x:c>
      <x:c r="B3030" s="44" t="str">
        <x:v>Not Started</x:v>
      </x:c>
      <x:c r="C3030" s="45" t="n">
        <x:v>45141</x:v>
      </x:c>
      <x:c r="D3030" s="33" t="str">
        <x:v>LA Fire &amp; Rescue</x:v>
      </x:c>
      <x:c r="E3030" s="33" t="str">
        <x:v>Crossover Adjacent</x:v>
      </x:c>
      <x:c r="F3030" s="33" t="str">
        <x:v>complete</x:v>
      </x:c>
      <x:c r="G3030" s="50" t="n">
        <x:v>1</x:v>
      </x:c>
      <x:c r="H3030" s="50" t="n">
        <x:v>7</x:v>
      </x:c>
      <x:c r="I3030" s="44" t="str">
        <x:v>01.07</x:v>
      </x:c>
      <x:c r="J3030" s="33" t="str">
        <x:v>Broken Bones &amp; Burning Homes</x:v>
      </x:c>
      <x:c r="K3030" s="33" t="str"/>
      <x:c r="L3030" s="33" t="str"/>
      <x:c r="M3030" s="44" t="str"/>
      <x:c r="N3030" s="50" t="n">
        <x:v>43</x:v>
      </x:c>
      <x:c r="O3030" s="53" t="str">
        <x:v>The Air Ops team is back in action as they are called in on a rescue where every second is crucial to the patient's survival. Stations 41 and 16 join forces as they back each other up on a residential house fire.</x:v>
      </x:c>
      <x:c r="P3030" s="53" t="str">
        <x:v>Wolf Entertainment first-responder docuseries</x:v>
      </x:c>
      <x:c r="Q3030" s="17" t="str">
        <x:v>10785361</x:v>
      </x:c>
      <x:c r="R3030" s="17" t="str"/>
      <x:c r="S3030" s="17" t="str"/>
    </x:row>
    <x:row r="3031">
      <x:c r="A3031" s="43" t="n">
        <x:v>3027</x:v>
      </x:c>
      <x:c r="B3031" s="44" t="str">
        <x:v>Not Started</x:v>
      </x:c>
      <x:c r="C3031" s="45" t="n">
        <x:v>45148</x:v>
      </x:c>
      <x:c r="D3031" s="33" t="str">
        <x:v>LA Fire &amp; Rescue</x:v>
      </x:c>
      <x:c r="E3031" s="33" t="str">
        <x:v>Crossover Adjacent</x:v>
      </x:c>
      <x:c r="F3031" s="33" t="str">
        <x:v>complete</x:v>
      </x:c>
      <x:c r="G3031" s="50" t="n">
        <x:v>1</x:v>
      </x:c>
      <x:c r="H3031" s="50" t="n">
        <x:v>8</x:v>
      </x:c>
      <x:c r="I3031" s="44" t="str">
        <x:v>01.08</x:v>
      </x:c>
      <x:c r="J3031" s="33" t="str">
        <x:v>Passing the Torch</x:v>
      </x:c>
      <x:c r="K3031" s="33" t="str"/>
      <x:c r="L3031" s="33" t="str"/>
      <x:c r="M3031" s="44" t="str"/>
      <x:c r="N3031" s="50" t="n">
        <x:v>43</x:v>
      </x:c>
      <x:c r="O3031" s="53" t="str"/>
      <x:c r="P3031" s="53" t="str">
        <x:v>Wolf Entertainment first-responder docuseries</x:v>
      </x:c>
      <x:c r="Q3031" s="17" t="str">
        <x:v>10785362</x:v>
      </x:c>
      <x:c r="R3031" s="17" t="str"/>
      <x:c r="S3031" s="17" t="str"/>
    </x:row>
    <x:row r="3032">
      <x:c r="A3032" s="43" t="n">
        <x:v>3028</x:v>
      </x:c>
      <x:c r="B3032" s="44" t="str">
        <x:v>Not Started</x:v>
      </x:c>
      <x:c r="C3032" s="45" t="n">
        <x:v>45309</x:v>
      </x:c>
      <x:c r="D3032" s="33" t="str">
        <x:v>Law &amp; Order: Organized Crime</x:v>
      </x:c>
      <x:c r="E3032" s="33" t="str">
        <x:v>Law &amp; Order</x:v>
      </x:c>
      <x:c r="F3032" s="33" t="str">
        <x:v>core</x:v>
      </x:c>
      <x:c r="G3032" s="50" t="n">
        <x:v>4</x:v>
      </x:c>
      <x:c r="H3032" s="50" t="n">
        <x:v>1</x:v>
      </x:c>
      <x:c r="I3032" s="44" t="str">
        <x:v>04.01</x:v>
      </x:c>
      <x:c r="J3032" s="33" t="str">
        <x:v>Memory Lane</x:v>
      </x:c>
      <x:c r="K3032" s="33" t="str"/>
      <x:c r="L3032" s="33" t="str"/>
      <x:c r="M3032" s="44" t="str"/>
      <x:c r="N3032" s="50" t="n">
        <x:v>43</x:v>
      </x:c>
      <x:c r="O3032" s="53" t="str">
        <x:v>Stabler must deal with rapid changes at work and home after returning from a dangerous undercover assignment. Bell hires an advisor whose AI technology program could revolutionize police investigation. Jet and Reyes struggle with Whelan's absence.</x:v>
      </x:c>
      <x:c r="P3032" s="53" t="str">
        <x:v>Core Law &amp; Order franchise</x:v>
      </x:c>
      <x:c r="Q3032" s="17" t="str">
        <x:v>10786740</x:v>
      </x:c>
      <x:c r="R3032" s="17" t="str">
        <x:v>tt27525119</x:v>
      </x:c>
      <x:c r="S3032" s="17" t="str">
        <x:v>1625</x:v>
      </x:c>
    </x:row>
    <x:row r="3033">
      <x:c r="A3033" s="43" t="n">
        <x:v>3029</x:v>
      </x:c>
      <x:c r="B3033" s="44" t="str">
        <x:v>Not Started</x:v>
      </x:c>
      <x:c r="C3033" s="45" t="n">
        <x:v>45309</x:v>
      </x:c>
      <x:c r="D3033" s="33" t="str">
        <x:v>Chicago Med</x:v>
      </x:c>
      <x:c r="E3033" s="33" t="str">
        <x:v>One Chicago</x:v>
      </x:c>
      <x:c r="F3033" s="33" t="str">
        <x:v>core</x:v>
      </x:c>
      <x:c r="G3033" s="50" t="n">
        <x:v>9</x:v>
      </x:c>
      <x:c r="H3033" s="50" t="n">
        <x:v>1</x:v>
      </x:c>
      <x:c r="I3033" s="44" t="str">
        <x:v>09.01</x:v>
      </x:c>
      <x:c r="J3033" s="33" t="str">
        <x:v>Row Row Row Your Boat on a Rocky Sea</x:v>
      </x:c>
      <x:c r="K3033" s="33" t="str"/>
      <x:c r="L3033" s="33" t="str"/>
      <x:c r="M3033" s="44" t="str"/>
      <x:c r="N3033" s="50" t="n">
        <x:v>43</x:v>
      </x:c>
      <x:c r="O3033" s="53" t="str">
        <x:v>When the E.D. is flooded with patients from a crash, the entire team is pulled in to help. Charles can't shake the feeling that he knows the new E.D. attending. Archer has second thoughts on the eve of his kidney transplant.</x:v>
      </x:c>
      <x:c r="P3033" s="53" t="str">
        <x:v>Core One Chicago franchise</x:v>
      </x:c>
      <x:c r="Q3033" s="17" t="str">
        <x:v>11080389</x:v>
      </x:c>
      <x:c r="R3033" s="17" t="str">
        <x:v>tt29940976</x:v>
      </x:c>
      <x:c r="S3033" s="17" t="str"/>
    </x:row>
    <x:row r="3034">
      <x:c r="A3034" s="43" t="n">
        <x:v>3030</x:v>
      </x:c>
      <x:c r="B3034" s="44" t="str">
        <x:v>Not Started</x:v>
      </x:c>
      <x:c r="C3034" s="45" t="n">
        <x:v>45309</x:v>
      </x:c>
      <x:c r="D3034" s="33" t="str">
        <x:v>Chicago P.D.</x:v>
      </x:c>
      <x:c r="E3034" s="33" t="str">
        <x:v>One Chicago</x:v>
      </x:c>
      <x:c r="F3034" s="33" t="str">
        <x:v>core</x:v>
      </x:c>
      <x:c r="G3034" s="50" t="n">
        <x:v>11</x:v>
      </x:c>
      <x:c r="H3034" s="50" t="n">
        <x:v>1</x:v>
      </x:c>
      <x:c r="I3034" s="44" t="str">
        <x:v>11.01</x:v>
      </x:c>
      <x:c r="J3034" s="33" t="str">
        <x:v>Unpacking</x:v>
      </x:c>
      <x:c r="K3034" s="33" t="str"/>
      <x:c r="L3034" s="33" t="str"/>
      <x:c r="M3034" s="44" t="str"/>
      <x:c r="N3034" s="50" t="n">
        <x:v>43</x:v>
      </x:c>
      <x:c r="O3034" s="53" t="str">
        <x:v>Tasked with shadowing a crisis prevention team, Upton finds her approach to policing at odds with the team's mental health clinician. Voight stands by Upton as she continues to struggle in her personal life.</x:v>
      </x:c>
      <x:c r="P3034" s="53" t="str">
        <x:v>Core One Chicago franchise; crossovers with SVU/FBI</x:v>
      </x:c>
      <x:c r="Q3034" s="17" t="str">
        <x:v>11080390</x:v>
      </x:c>
      <x:c r="R3034" s="17" t="str">
        <x:v>tt30090156</x:v>
      </x:c>
      <x:c r="S3034" s="17" t="str"/>
    </x:row>
    <x:row r="3035">
      <x:c r="A3035" s="43" t="n">
        <x:v>3031</x:v>
      </x:c>
      <x:c r="B3035" s="44" t="str">
        <x:v>Not Started</x:v>
      </x:c>
      <x:c r="C3035" s="45" t="n">
        <x:v>45309</x:v>
      </x:c>
      <x:c r="D3035" s="33" t="str">
        <x:v>Chicago Fire</x:v>
      </x:c>
      <x:c r="E3035" s="33" t="str">
        <x:v>One Chicago</x:v>
      </x:c>
      <x:c r="F3035" s="33" t="str">
        <x:v>core</x:v>
      </x:c>
      <x:c r="G3035" s="50" t="n">
        <x:v>12</x:v>
      </x:c>
      <x:c r="H3035" s="50" t="n">
        <x:v>1</x:v>
      </x:c>
      <x:c r="I3035" s="44" t="str">
        <x:v>12.01</x:v>
      </x:c>
      <x:c r="J3035" s="33" t="str">
        <x:v>Barely Gone</x:v>
      </x:c>
      <x:c r="K3035" s="33" t="str"/>
      <x:c r="L3035" s="33" t="str"/>
      <x:c r="M3035" s="44" t="str"/>
      <x:c r="N3035" s="50" t="n">
        <x:v>42</x:v>
      </x:c>
      <x:c r="O3035" s="53" t="str">
        <x:v>Firehouse 51 is forced to share space with Firehouse 17. Kidd and Herrmann fight over Ritter. An arson case tests Kidd and Severide's relationship. Firehouse 51 says goodbye to one of its own.</x:v>
      </x:c>
      <x:c r="P3035" s="53" t="str">
        <x:v>Core One Chicago franchise</x:v>
      </x:c>
      <x:c r="Q3035" s="17" t="str">
        <x:v>11080421</x:v>
      </x:c>
      <x:c r="R3035" s="17" t="str">
        <x:v>tt30090150</x:v>
      </x:c>
      <x:c r="S3035" s="17" t="str"/>
    </x:row>
    <x:row r="3036">
      <x:c r="A3036" s="43" t="n">
        <x:v>3032</x:v>
      </x:c>
      <x:c r="B3036" s="44" t="str">
        <x:v>Not Started</x:v>
      </x:c>
      <x:c r="C3036" s="45" t="n">
        <x:v>45309</x:v>
      </x:c>
      <x:c r="D3036" s="33" t="str">
        <x:v>Law &amp; Order</x:v>
      </x:c>
      <x:c r="E3036" s="33" t="str">
        <x:v>Law &amp; Order</x:v>
      </x:c>
      <x:c r="F3036" s="33" t="str">
        <x:v>core</x:v>
      </x:c>
      <x:c r="G3036" s="50" t="n">
        <x:v>23</x:v>
      </x:c>
      <x:c r="H3036" s="50" t="n">
        <x:v>1</x:v>
      </x:c>
      <x:c r="I3036" s="44" t="str">
        <x:v>23.01</x:v>
      </x:c>
      <x:c r="J3036" s="33" t="str">
        <x:v>Freedom of Expression</x:v>
      </x:c>
      <x:c r="K3036" s="33" t="str"/>
      <x:c r="L3036" s="33" t="str"/>
      <x:c r="M3036" s="44" t="str"/>
      <x:c r="N3036" s="50" t="n">
        <x:v>43</x:v>
      </x:c>
      <x:c r="O3036" s="53" t="str">
        <x:v>In the wake of a murder on campus, the line between free speech and hate speech at a university is examined.</x:v>
      </x:c>
      <x:c r="P3036" s="53" t="str">
        <x:v>Core Law &amp; Order franchise</x:v>
      </x:c>
      <x:c r="Q3036" s="17" t="str">
        <x:v>11078661</x:v>
      </x:c>
      <x:c r="R3036" s="17" t="str">
        <x:v>tt30090168</x:v>
      </x:c>
      <x:c r="S3036" s="17" t="str">
        <x:v>1623</x:v>
      </x:c>
    </x:row>
    <x:row r="3037">
      <x:c r="A3037" s="43" t="n">
        <x:v>3033</x:v>
      </x:c>
      <x:c r="B3037" s="44" t="str">
        <x:v>Not Started</x:v>
      </x:c>
      <x:c r="C3037" s="45" t="n">
        <x:v>45309</x:v>
      </x:c>
      <x:c r="D3037" s="33" t="str">
        <x:v>Law &amp; Order: Special Victims Unit</x:v>
      </x:c>
      <x:c r="E3037" s="33" t="str">
        <x:v>Law &amp; Order</x:v>
      </x:c>
      <x:c r="F3037" s="33" t="str">
        <x:v>core</x:v>
      </x:c>
      <x:c r="G3037" s="50" t="n">
        <x:v>25</x:v>
      </x:c>
      <x:c r="H3037" s="50" t="n">
        <x:v>1</x:v>
      </x:c>
      <x:c r="I3037" s="44" t="str">
        <x:v>25.01</x:v>
      </x:c>
      <x:c r="J3037" s="33" t="str">
        <x:v>Tunnel Blind</x:v>
      </x:c>
      <x:c r="K3037" s="33" t="str"/>
      <x:c r="L3037" s="33" t="str"/>
      <x:c r="M3037" s="44" t="str"/>
      <x:c r="N3037" s="50" t="n">
        <x:v>43</x:v>
      </x:c>
      <x:c r="O3037" s="53" t="str">
        <x:v>As the squad celebrates Rollins and Carisi's child, another child goes missing in broad daylight.</x:v>
      </x:c>
      <x:c r="P3037" s="53" t="str">
        <x:v>Core Law &amp; Order franchise</x:v>
      </x:c>
      <x:c r="Q3037" s="17" t="str">
        <x:v>10787286</x:v>
      </x:c>
      <x:c r="R3037" s="17" t="str">
        <x:v>tt30094911</x:v>
      </x:c>
      <x:c r="S3037" s="17" t="str">
        <x:v>1624</x:v>
      </x:c>
    </x:row>
    <x:row r="3038">
      <x:c r="A3038" s="43" t="n">
        <x:v>3034</x:v>
      </x:c>
      <x:c r="B3038" s="44" t="str">
        <x:v>Not Started</x:v>
      </x:c>
      <x:c r="C3038" s="45" t="n">
        <x:v>45316</x:v>
      </x:c>
      <x:c r="D3038" s="33" t="str">
        <x:v>Law &amp; Order: Organized Crime</x:v>
      </x:c>
      <x:c r="E3038" s="33" t="str">
        <x:v>Law &amp; Order</x:v>
      </x:c>
      <x:c r="F3038" s="33" t="str">
        <x:v>core</x:v>
      </x:c>
      <x:c r="G3038" s="50" t="n">
        <x:v>4</x:v>
      </x:c>
      <x:c r="H3038" s="50" t="n">
        <x:v>2</x:v>
      </x:c>
      <x:c r="I3038" s="44" t="str">
        <x:v>04.02</x:v>
      </x:c>
      <x:c r="J3038" s="33" t="str">
        <x:v>Deliver Us from Evil</x:v>
      </x:c>
      <x:c r="K3038" s="33" t="str"/>
      <x:c r="L3038" s="33" t="str"/>
      <x:c r="M3038" s="44" t="str"/>
      <x:c r="N3038" s="50" t="n">
        <x:v>43</x:v>
      </x:c>
      <x:c r="O3038" s="53" t="str">
        <x:v>After a deadly bombing claims the life of a spiritual leader, Stabler meets with an officer who's convinced the crime is part of a larger conspiracy. Tensions rise within the task force as Jet struggles to get her team on board with Vargas' program.</x:v>
      </x:c>
      <x:c r="P3038" s="53" t="str">
        <x:v>Core Law &amp; Order franchise</x:v>
      </x:c>
      <x:c r="Q3038" s="17" t="str">
        <x:v>11291140</x:v>
      </x:c>
      <x:c r="R3038" s="17" t="str">
        <x:v>tt30582166</x:v>
      </x:c>
      <x:c r="S3038" s="17" t="str">
        <x:v>1628</x:v>
      </x:c>
    </x:row>
    <x:row r="3039">
      <x:c r="A3039" s="43" t="n">
        <x:v>3035</x:v>
      </x:c>
      <x:c r="B3039" s="44" t="str">
        <x:v>Not Started</x:v>
      </x:c>
      <x:c r="C3039" s="45" t="n">
        <x:v>45316</x:v>
      </x:c>
      <x:c r="D3039" s="33" t="str">
        <x:v>Chicago Med</x:v>
      </x:c>
      <x:c r="E3039" s="33" t="str">
        <x:v>One Chicago</x:v>
      </x:c>
      <x:c r="F3039" s="33" t="str">
        <x:v>core</x:v>
      </x:c>
      <x:c r="G3039" s="50" t="n">
        <x:v>9</x:v>
      </x:c>
      <x:c r="H3039" s="50" t="n">
        <x:v>2</x:v>
      </x:c>
      <x:c r="I3039" s="44" t="str">
        <x:v>09.02</x:v>
      </x:c>
      <x:c r="J3039" s="33" t="str">
        <x:v>This Town Ain't Big Enough for Both of Us</x:v>
      </x:c>
      <x:c r="K3039" s="33" t="str"/>
      <x:c r="L3039" s="33" t="str"/>
      <x:c r="M3039" s="44" t="str"/>
      <x:c r="N3039" s="50" t="n">
        <x:v>42</x:v>
      </x:c>
      <x:c r="O3039" s="53" t="str">
        <x:v>A woman from Archer's past returns and threatens his transplant surgery. Marcel clashes with Med's new eager first-year resident. Charles works to repair his relationship with Ripley.</x:v>
      </x:c>
      <x:c r="P3039" s="53" t="str">
        <x:v>Core One Chicago franchise</x:v>
      </x:c>
      <x:c r="Q3039" s="17" t="str">
        <x:v>11302606</x:v>
      </x:c>
      <x:c r="R3039" s="17" t="str">
        <x:v>tt30643638</x:v>
      </x:c>
      <x:c r="S3039" s="17" t="str"/>
    </x:row>
    <x:row r="3040">
      <x:c r="A3040" s="43" t="n">
        <x:v>3036</x:v>
      </x:c>
      <x:c r="B3040" s="44" t="str">
        <x:v>Not Started</x:v>
      </x:c>
      <x:c r="C3040" s="45" t="n">
        <x:v>45316</x:v>
      </x:c>
      <x:c r="D3040" s="33" t="str">
        <x:v>Chicago P.D.</x:v>
      </x:c>
      <x:c r="E3040" s="33" t="str">
        <x:v>One Chicago</x:v>
      </x:c>
      <x:c r="F3040" s="33" t="str">
        <x:v>core</x:v>
      </x:c>
      <x:c r="G3040" s="50" t="n">
        <x:v>11</x:v>
      </x:c>
      <x:c r="H3040" s="50" t="n">
        <x:v>2</x:v>
      </x:c>
      <x:c r="I3040" s="44" t="str">
        <x:v>11.02</x:v>
      </x:c>
      <x:c r="J3040" s="33" t="str">
        <x:v>Retread</x:v>
      </x:c>
      <x:c r="K3040" s="33" t="str"/>
      <x:c r="L3040" s="33" t="str"/>
      <x:c r="M3040" s="44" t="str"/>
      <x:c r="N3040" s="50" t="n">
        <x:v>43</x:v>
      </x:c>
      <x:c r="O3040" s="53" t="str">
        <x:v>Ruzek gets mixed up in a case after a late-night poker game is raided. Afraid of becoming like his father, Ruzek struggles to stand down and allow Intelligence to carry out the investigation.</x:v>
      </x:c>
      <x:c r="P3040" s="53" t="str">
        <x:v>Core One Chicago franchise; crossovers with SVU/FBI</x:v>
      </x:c>
      <x:c r="Q3040" s="17" t="str">
        <x:v>11304358</x:v>
      </x:c>
      <x:c r="R3040" s="17" t="str">
        <x:v>tt30829715</x:v>
      </x:c>
      <x:c r="S3040" s="17" t="str"/>
    </x:row>
    <x:row r="3041">
      <x:c r="A3041" s="43" t="n">
        <x:v>3037</x:v>
      </x:c>
      <x:c r="B3041" s="44" t="str">
        <x:v>Not Started</x:v>
      </x:c>
      <x:c r="C3041" s="45" t="n">
        <x:v>45316</x:v>
      </x:c>
      <x:c r="D3041" s="33" t="str">
        <x:v>Chicago Fire</x:v>
      </x:c>
      <x:c r="E3041" s="33" t="str">
        <x:v>One Chicago</x:v>
      </x:c>
      <x:c r="F3041" s="33" t="str">
        <x:v>core</x:v>
      </x:c>
      <x:c r="G3041" s="50" t="n">
        <x:v>12</x:v>
      </x:c>
      <x:c r="H3041" s="50" t="n">
        <x:v>2</x:v>
      </x:c>
      <x:c r="I3041" s="44" t="str">
        <x:v>12.02</x:v>
      </x:c>
      <x:c r="J3041" s="33" t="str">
        <x:v>Call Me McHolland</x:v>
      </x:c>
      <x:c r="K3041" s="33" t="str"/>
      <x:c r="L3041" s="33" t="str"/>
      <x:c r="M3041" s="44" t="str"/>
      <x:c r="N3041" s="50" t="n">
        <x:v>43</x:v>
      </x:c>
      <x:c r="O3041" s="53" t="str">
        <x:v>Mouch sets out to change his legacy and nickname. Ritter pushes Herrmann to see a doctor. Brett searches for the perfect wedding venue.</x:v>
      </x:c>
      <x:c r="P3041" s="53" t="str">
        <x:v>Core One Chicago franchise</x:v>
      </x:c>
      <x:c r="Q3041" s="17" t="str">
        <x:v>11211648</x:v>
      </x:c>
      <x:c r="R3041" s="17" t="str">
        <x:v>tt30429029</x:v>
      </x:c>
      <x:c r="S3041" s="17" t="str"/>
    </x:row>
    <x:row r="3042">
      <x:c r="A3042" s="43" t="n">
        <x:v>3038</x:v>
      </x:c>
      <x:c r="B3042" s="44" t="str">
        <x:v>Not Started</x:v>
      </x:c>
      <x:c r="C3042" s="45" t="n">
        <x:v>45316</x:v>
      </x:c>
      <x:c r="D3042" s="33" t="str">
        <x:v>Law &amp; Order</x:v>
      </x:c>
      <x:c r="E3042" s="33" t="str">
        <x:v>Law &amp; Order</x:v>
      </x:c>
      <x:c r="F3042" s="33" t="str">
        <x:v>core</x:v>
      </x:c>
      <x:c r="G3042" s="50" t="n">
        <x:v>23</x:v>
      </x:c>
      <x:c r="H3042" s="50" t="n">
        <x:v>2</x:v>
      </x:c>
      <x:c r="I3042" s="44" t="str">
        <x:v>23.02</x:v>
      </x:c>
      <x:c r="J3042" s="33" t="str">
        <x:v>Human Innovation</x:v>
      </x:c>
      <x:c r="K3042" s="33" t="str"/>
      <x:c r="L3042" s="33" t="str"/>
      <x:c r="M3042" s="44" t="str"/>
      <x:c r="N3042" s="50" t="n">
        <x:v>43</x:v>
      </x:c>
      <x:c r="O3042" s="53" t="str">
        <x:v>When a prominent tech CEO is killed, Shaw and Riley untangle multiple leads to reveal a plot for retribution. Price and Maroun debate whether an overdue piece of evidence should be submitted to the jury.</x:v>
      </x:c>
      <x:c r="P3042" s="53" t="str">
        <x:v>Core Law &amp; Order franchise</x:v>
      </x:c>
      <x:c r="Q3042" s="17" t="str">
        <x:v>11323124</x:v>
      </x:c>
      <x:c r="R3042" s="17" t="str">
        <x:v>tt30825546</x:v>
      </x:c>
      <x:c r="S3042" s="17" t="str">
        <x:v>1626</x:v>
      </x:c>
    </x:row>
    <x:row r="3043">
      <x:c r="A3043" s="43" t="n">
        <x:v>3039</x:v>
      </x:c>
      <x:c r="B3043" s="44" t="str">
        <x:v>Not Started</x:v>
      </x:c>
      <x:c r="C3043" s="45" t="n">
        <x:v>45316</x:v>
      </x:c>
      <x:c r="D3043" s="33" t="str">
        <x:v>Law &amp; Order: Special Victims Unit</x:v>
      </x:c>
      <x:c r="E3043" s="33" t="str">
        <x:v>Law &amp; Order</x:v>
      </x:c>
      <x:c r="F3043" s="33" t="str">
        <x:v>core</x:v>
      </x:c>
      <x:c r="G3043" s="50" t="n">
        <x:v>25</x:v>
      </x:c>
      <x:c r="H3043" s="50" t="n">
        <x:v>2</x:v>
      </x:c>
      <x:c r="I3043" s="44" t="str">
        <x:v>25.02</x:v>
      </x:c>
      <x:c r="J3043" s="33" t="str">
        <x:v>Truth Embargo</x:v>
      </x:c>
      <x:c r="K3043" s="33" t="str"/>
      <x:c r="L3043" s="33" t="str"/>
      <x:c r="M3043" s="44" t="str"/>
      <x:c r="N3043" s="50" t="n">
        <x:v>43</x:v>
      </x:c>
      <x:c r="O3043" s="53" t="str">
        <x:v>As Benson teams up with the FBI on an unsolved case, Fin and Velasco investigate a flash mob robbery that lead to a sexual assault.</x:v>
      </x:c>
      <x:c r="P3043" s="53" t="str">
        <x:v>Core Law &amp; Order franchise</x:v>
      </x:c>
      <x:c r="Q3043" s="17" t="str">
        <x:v>11293627</x:v>
      </x:c>
      <x:c r="R3043" s="17" t="str">
        <x:v>tt30334601</x:v>
      </x:c>
      <x:c r="S3043" s="17" t="str">
        <x:v>1627</x:v>
      </x:c>
    </x:row>
    <x:row r="3044">
      <x:c r="A3044" s="43" t="n">
        <x:v>3040</x:v>
      </x:c>
      <x:c r="B3044" s="44" t="str">
        <x:v>Not Started</x:v>
      </x:c>
      <x:c r="C3044" s="45" t="n">
        <x:v>45323</x:v>
      </x:c>
      <x:c r="D3044" s="33" t="str">
        <x:v>Law &amp; Order: Organized Crime</x:v>
      </x:c>
      <x:c r="E3044" s="33" t="str">
        <x:v>Law &amp; Order</x:v>
      </x:c>
      <x:c r="F3044" s="33" t="str">
        <x:v>core</x:v>
      </x:c>
      <x:c r="G3044" s="50" t="n">
        <x:v>4</x:v>
      </x:c>
      <x:c r="H3044" s="50" t="n">
        <x:v>3</x:v>
      </x:c>
      <x:c r="I3044" s="44" t="str">
        <x:v>04.03</x:v>
      </x:c>
      <x:c r="J3044" s="33" t="str">
        <x:v>End of Innocence</x:v>
      </x:c>
      <x:c r="K3044" s="33" t="str"/>
      <x:c r="L3044" s="33" t="str"/>
      <x:c r="M3044" s="44" t="str"/>
      <x:c r="N3044" s="50" t="n">
        <x:v>43</x:v>
      </x:c>
      <x:c r="O3044" s="53" t="str">
        <x:v>Stabler and Officer Bashir track down a missing father and son who could lead to the answers they need. After an undercover operation goes sideways, Bell relegates Reyes to desk duty.</x:v>
      </x:c>
      <x:c r="P3044" s="53" t="str">
        <x:v>Core Law &amp; Order franchise</x:v>
      </x:c>
      <x:c r="Q3044" s="17" t="str">
        <x:v>11314398</x:v>
      </x:c>
      <x:c r="R3044" s="17" t="str">
        <x:v>tt30582167</x:v>
      </x:c>
      <x:c r="S3044" s="17" t="str">
        <x:v>1631</x:v>
      </x:c>
    </x:row>
    <x:row r="3045">
      <x:c r="A3045" s="43" t="n">
        <x:v>3041</x:v>
      </x:c>
      <x:c r="B3045" s="44" t="str">
        <x:v>Not Started</x:v>
      </x:c>
      <x:c r="C3045" s="45" t="n">
        <x:v>45323</x:v>
      </x:c>
      <x:c r="D3045" s="33" t="str">
        <x:v>Chicago Med</x:v>
      </x:c>
      <x:c r="E3045" s="33" t="str">
        <x:v>One Chicago</x:v>
      </x:c>
      <x:c r="F3045" s="33" t="str">
        <x:v>core</x:v>
      </x:c>
      <x:c r="G3045" s="50" t="n">
        <x:v>9</x:v>
      </x:c>
      <x:c r="H3045" s="50" t="n">
        <x:v>3</x:v>
      </x:c>
      <x:c r="I3045" s="44" t="str">
        <x:v>09.03</x:v>
      </x:c>
      <x:c r="J3045" s="33" t="str">
        <x:v>What Happens in the Dark Always Comes to Light</x:v>
      </x:c>
      <x:c r="K3045" s="33" t="str"/>
      <x:c r="L3045" s="33" t="str"/>
      <x:c r="M3045" s="44" t="str"/>
      <x:c r="N3045" s="50" t="n">
        <x:v>42</x:v>
      </x:c>
      <x:c r="O3045" s="53" t="str">
        <x:v>Frustrated with an insurance company, Ahmad takes matters into her own hands, jeopardizing Med's negotiations and Marcel's first day on the board. Charles helps a woman's depressed husband. Asher's first date takes a surprising turn.</x:v>
      </x:c>
      <x:c r="P3045" s="53" t="str">
        <x:v>Core One Chicago franchise</x:v>
      </x:c>
      <x:c r="Q3045" s="17" t="str">
        <x:v>11302607</x:v>
      </x:c>
      <x:c r="R3045" s="17" t="str">
        <x:v>tt30644734</x:v>
      </x:c>
      <x:c r="S3045" s="17" t="str"/>
    </x:row>
    <x:row r="3046">
      <x:c r="A3046" s="43" t="n">
        <x:v>3042</x:v>
      </x:c>
      <x:c r="B3046" s="44" t="str">
        <x:v>Not Started</x:v>
      </x:c>
      <x:c r="C3046" s="45" t="n">
        <x:v>45323</x:v>
      </x:c>
      <x:c r="D3046" s="33" t="str">
        <x:v>Chicago P.D.</x:v>
      </x:c>
      <x:c r="E3046" s="33" t="str">
        <x:v>One Chicago</x:v>
      </x:c>
      <x:c r="F3046" s="33" t="str">
        <x:v>core</x:v>
      </x:c>
      <x:c r="G3046" s="50" t="n">
        <x:v>11</x:v>
      </x:c>
      <x:c r="H3046" s="50" t="n">
        <x:v>3</x:v>
      </x:c>
      <x:c r="I3046" s="44" t="str">
        <x:v>11.03</x:v>
      </x:c>
      <x:c r="J3046" s="33" t="str">
        <x:v>Safe Harbor</x:v>
      </x:c>
      <x:c r="K3046" s="33" t="str"/>
      <x:c r="L3046" s="33" t="str"/>
      <x:c r="M3046" s="44" t="str"/>
      <x:c r="N3046" s="50" t="n">
        <x:v>43</x:v>
      </x:c>
      <x:c r="O3046" s="53" t="str">
        <x:v>Burgess works an extra shift at the 13th District and gets caught in the middle of a drive-by attack on refugees. The team works together to track down the shooter and uncover the true motive behind the attack.</x:v>
      </x:c>
      <x:c r="P3046" s="53" t="str">
        <x:v>Core One Chicago franchise; crossovers with SVU/FBI</x:v>
      </x:c>
      <x:c r="Q3046" s="17" t="str">
        <x:v>11304359</x:v>
      </x:c>
      <x:c r="R3046" s="17" t="str">
        <x:v>tt30644948</x:v>
      </x:c>
      <x:c r="S3046" s="17" t="str"/>
    </x:row>
    <x:row r="3047">
      <x:c r="A3047" s="43" t="n">
        <x:v>3043</x:v>
      </x:c>
      <x:c r="B3047" s="44" t="str">
        <x:v>Not Started</x:v>
      </x:c>
      <x:c r="C3047" s="45" t="n">
        <x:v>45323</x:v>
      </x:c>
      <x:c r="D3047" s="33" t="str">
        <x:v>Chicago Fire</x:v>
      </x:c>
      <x:c r="E3047" s="33" t="str">
        <x:v>One Chicago</x:v>
      </x:c>
      <x:c r="F3047" s="33" t="str">
        <x:v>core</x:v>
      </x:c>
      <x:c r="G3047" s="50" t="n">
        <x:v>12</x:v>
      </x:c>
      <x:c r="H3047" s="50" t="n">
        <x:v>3</x:v>
      </x:c>
      <x:c r="I3047" s="44" t="str">
        <x:v>12.03</x:v>
      </x:c>
      <x:c r="J3047" s="33" t="str">
        <x:v>Trapped</x:v>
      </x:c>
      <x:c r="K3047" s="33" t="str"/>
      <x:c r="L3047" s="33" t="str"/>
      <x:c r="M3047" s="44" t="str"/>
      <x:c r="N3047" s="50" t="n">
        <x:v>43</x:v>
      </x:c>
      <x:c r="O3047" s="53" t="str">
        <x:v>After witnessing a domestic dispute, Brett and Violet decide to take the investigation into their own hands. Mouch vets Truck 81's new firefighter. Herrmann relies on something new to aid him on the job.</x:v>
      </x:c>
      <x:c r="P3047" s="53" t="str">
        <x:v>Core One Chicago franchise</x:v>
      </x:c>
      <x:c r="Q3047" s="17" t="str">
        <x:v>11298960</x:v>
      </x:c>
      <x:c r="R3047" s="17" t="str">
        <x:v>tt30697513</x:v>
      </x:c>
      <x:c r="S3047" s="17" t="str"/>
    </x:row>
    <x:row r="3048">
      <x:c r="A3048" s="43" t="n">
        <x:v>3044</x:v>
      </x:c>
      <x:c r="B3048" s="44" t="str">
        <x:v>Not Started</x:v>
      </x:c>
      <x:c r="C3048" s="45" t="n">
        <x:v>45323</x:v>
      </x:c>
      <x:c r="D3048" s="33" t="str">
        <x:v>Law &amp; Order</x:v>
      </x:c>
      <x:c r="E3048" s="33" t="str">
        <x:v>Law &amp; Order</x:v>
      </x:c>
      <x:c r="F3048" s="33" t="str">
        <x:v>core</x:v>
      </x:c>
      <x:c r="G3048" s="50" t="n">
        <x:v>23</x:v>
      </x:c>
      <x:c r="H3048" s="50" t="n">
        <x:v>3</x:v>
      </x:c>
      <x:c r="I3048" s="44" t="str">
        <x:v>23.03</x:v>
      </x:c>
      <x:c r="J3048" s="33" t="str">
        <x:v>Turn the Page</x:v>
      </x:c>
      <x:c r="K3048" s="33" t="str"/>
      <x:c r="L3048" s="33" t="str"/>
      <x:c r="M3048" s="44" t="str"/>
      <x:c r="N3048" s="50" t="n">
        <x:v>43</x:v>
      </x:c>
      <x:c r="O3048" s="53" t="str">
        <x:v>When a young woman is strangled, Yee connects the MO to a potential serial offender, leading Riley to revisit a case that went cold on his watch. Price makes a risky move to bait one of their own on the stand.</x:v>
      </x:c>
      <x:c r="P3048" s="53" t="str">
        <x:v>Core Law &amp; Order franchise</x:v>
      </x:c>
      <x:c r="Q3048" s="17" t="str">
        <x:v>11327661</x:v>
      </x:c>
      <x:c r="R3048" s="17" t="str">
        <x:v>tt31033144</x:v>
      </x:c>
      <x:c r="S3048" s="17" t="str">
        <x:v>1629</x:v>
      </x:c>
    </x:row>
    <x:row r="3049">
      <x:c r="A3049" s="43" t="n">
        <x:v>3045</x:v>
      </x:c>
      <x:c r="B3049" s="44" t="str">
        <x:v>Not Started</x:v>
      </x:c>
      <x:c r="C3049" s="45" t="n">
        <x:v>45323</x:v>
      </x:c>
      <x:c r="D3049" s="33" t="str">
        <x:v>Law &amp; Order: Special Victims Unit</x:v>
      </x:c>
      <x:c r="E3049" s="33" t="str">
        <x:v>Law &amp; Order</x:v>
      </x:c>
      <x:c r="F3049" s="33" t="str">
        <x:v>core</x:v>
      </x:c>
      <x:c r="G3049" s="50" t="n">
        <x:v>25</x:v>
      </x:c>
      <x:c r="H3049" s="50" t="n">
        <x:v>3</x:v>
      </x:c>
      <x:c r="I3049" s="44" t="str">
        <x:v>25.03</x:v>
      </x:c>
      <x:c r="J3049" s="33" t="str">
        <x:v>The Punch List</x:v>
      </x:c>
      <x:c r="K3049" s="33" t="str"/>
      <x:c r="L3049" s="33" t="str"/>
      <x:c r="M3049" s="44" t="str"/>
      <x:c r="N3049" s="50" t="n">
        <x:v>42</x:v>
      </x:c>
      <x:c r="O3049" s="53" t="str">
        <x:v>The SVU helps a man come to terms with being victimized. Benson tries to support a victim's family when tragedy strikes twice.</x:v>
      </x:c>
      <x:c r="P3049" s="53" t="str">
        <x:v>Core Law &amp; Order franchise</x:v>
      </x:c>
      <x:c r="Q3049" s="17" t="str">
        <x:v>11315611</x:v>
      </x:c>
      <x:c r="R3049" s="17" t="str">
        <x:v>tt30818570</x:v>
      </x:c>
      <x:c r="S3049" s="17" t="str">
        <x:v>1630</x:v>
      </x:c>
    </x:row>
    <x:row r="3050">
      <x:c r="A3050" s="43" t="n">
        <x:v>3046</x:v>
      </x:c>
      <x:c r="B3050" s="44" t="str">
        <x:v>Not Started</x:v>
      </x:c>
      <x:c r="C3050" s="45" t="n">
        <x:v>45330</x:v>
      </x:c>
      <x:c r="D3050" s="33" t="str">
        <x:v>Law &amp; Order: Organized Crime</x:v>
      </x:c>
      <x:c r="E3050" s="33" t="str">
        <x:v>Law &amp; Order</x:v>
      </x:c>
      <x:c r="F3050" s="33" t="str">
        <x:v>core</x:v>
      </x:c>
      <x:c r="G3050" s="50" t="n">
        <x:v>4</x:v>
      </x:c>
      <x:c r="H3050" s="50" t="n">
        <x:v>4</x:v>
      </x:c>
      <x:c r="I3050" s="44" t="str">
        <x:v>04.04</x:v>
      </x:c>
      <x:c r="J3050" s="33" t="str">
        <x:v>The Last Supper</x:v>
      </x:c>
      <x:c r="K3050" s="33" t="str"/>
      <x:c r="L3050" s="33" t="str"/>
      <x:c r="M3050" s="44" t="str"/>
      <x:c r="N3050" s="50" t="n">
        <x:v>43</x:v>
      </x:c>
      <x:c r="O3050" s="53" t="str">
        <x:v>Bell and the team must keep a witness and her family safe from Los Santos before she testifies. Carisi asks Stabler to back off the case to preserve the integrity of his undercover work. Stabler hosts a chaotic family dinner.</x:v>
      </x:c>
      <x:c r="P3050" s="53" t="str">
        <x:v>Core Law &amp; Order franchise</x:v>
      </x:c>
      <x:c r="Q3050" s="17" t="str">
        <x:v>11326334</x:v>
      </x:c>
      <x:c r="R3050" s="17" t="str">
        <x:v>tt31066185</x:v>
      </x:c>
      <x:c r="S3050" s="17" t="str">
        <x:v>1634</x:v>
      </x:c>
    </x:row>
    <x:row r="3051">
      <x:c r="A3051" s="43" t="n">
        <x:v>3047</x:v>
      </x:c>
      <x:c r="B3051" s="44" t="str">
        <x:v>Not Started</x:v>
      </x:c>
      <x:c r="C3051" s="45" t="n">
        <x:v>45330</x:v>
      </x:c>
      <x:c r="D3051" s="33" t="str">
        <x:v>Chicago Med</x:v>
      </x:c>
      <x:c r="E3051" s="33" t="str">
        <x:v>One Chicago</x:v>
      </x:c>
      <x:c r="F3051" s="33" t="str">
        <x:v>core</x:v>
      </x:c>
      <x:c r="G3051" s="50" t="n">
        <x:v>9</x:v>
      </x:c>
      <x:c r="H3051" s="50" t="n">
        <x:v>4</x:v>
      </x:c>
      <x:c r="I3051" s="44" t="str">
        <x:v>09.04</x:v>
      </x:c>
      <x:c r="J3051" s="33" t="str">
        <x:v>These Are Not the Droids You Are Looking For</x:v>
      </x:c>
      <x:c r="K3051" s="33" t="str"/>
      <x:c r="L3051" s="33" t="str"/>
      <x:c r="M3051" s="44" t="str"/>
      <x:c r="N3051" s="50" t="n">
        <x:v>43</x:v>
      </x:c>
      <x:c r="O3051" s="53" t="str">
        <x:v>Goodwin is worried after an accident lands two people close to her in the E.D. Archer returns to Med and treats a man concerned about a family curse. Maggie and Ahmad help a patient on a cross-country road trip.</x:v>
      </x:c>
      <x:c r="P3051" s="53" t="str">
        <x:v>Core One Chicago franchise</x:v>
      </x:c>
      <x:c r="Q3051" s="17" t="str">
        <x:v>11334436</x:v>
      </x:c>
      <x:c r="R3051" s="17" t="str">
        <x:v>tt31051337</x:v>
      </x:c>
      <x:c r="S3051" s="17" t="str"/>
    </x:row>
    <x:row r="3052">
      <x:c r="A3052" s="43" t="n">
        <x:v>3048</x:v>
      </x:c>
      <x:c r="B3052" s="44" t="str">
        <x:v>Not Started</x:v>
      </x:c>
      <x:c r="C3052" s="45" t="n">
        <x:v>45330</x:v>
      </x:c>
      <x:c r="D3052" s="33" t="str">
        <x:v>Chicago P.D.</x:v>
      </x:c>
      <x:c r="E3052" s="33" t="str">
        <x:v>One Chicago</x:v>
      </x:c>
      <x:c r="F3052" s="33" t="str">
        <x:v>core</x:v>
      </x:c>
      <x:c r="G3052" s="50" t="n">
        <x:v>11</x:v>
      </x:c>
      <x:c r="H3052" s="50" t="n">
        <x:v>4</x:v>
      </x:c>
      <x:c r="I3052" s="44" t="str">
        <x:v>11.04</x:v>
      </x:c>
      <x:c r="J3052" s="33" t="str">
        <x:v>Escape</x:v>
      </x:c>
      <x:c r="K3052" s="33" t="str"/>
      <x:c r="L3052" s="33" t="str"/>
      <x:c r="M3052" s="44" t="str"/>
      <x:c r="N3052" s="50" t="n">
        <x:v>43</x:v>
      </x:c>
      <x:c r="O3052" s="53" t="str">
        <x:v>Returning from furlough, Torres goes undercover in a tense and high-stakes drug trafficking case.</x:v>
      </x:c>
      <x:c r="P3052" s="53" t="str">
        <x:v>Core One Chicago franchise; crossovers with SVU/FBI</x:v>
      </x:c>
      <x:c r="Q3052" s="17" t="str">
        <x:v>11334432</x:v>
      </x:c>
      <x:c r="R3052" s="17" t="str">
        <x:v>tt31051385</x:v>
      </x:c>
      <x:c r="S3052" s="17" t="str"/>
    </x:row>
    <x:row r="3053">
      <x:c r="A3053" s="43" t="n">
        <x:v>3049</x:v>
      </x:c>
      <x:c r="B3053" s="44" t="str">
        <x:v>Not Started</x:v>
      </x:c>
      <x:c r="C3053" s="45" t="n">
        <x:v>45330</x:v>
      </x:c>
      <x:c r="D3053" s="33" t="str">
        <x:v>Chicago Fire</x:v>
      </x:c>
      <x:c r="E3053" s="33" t="str">
        <x:v>One Chicago</x:v>
      </x:c>
      <x:c r="F3053" s="33" t="str">
        <x:v>core</x:v>
      </x:c>
      <x:c r="G3053" s="50" t="n">
        <x:v>12</x:v>
      </x:c>
      <x:c r="H3053" s="50" t="n">
        <x:v>4</x:v>
      </x:c>
      <x:c r="I3053" s="44" t="str">
        <x:v>12.04</x:v>
      </x:c>
      <x:c r="J3053" s="33" t="str">
        <x:v>The Little Things</x:v>
      </x:c>
      <x:c r="K3053" s="33" t="str"/>
      <x:c r="L3053" s="33" t="str"/>
      <x:c r="M3053" s="44" t="str"/>
      <x:c r="N3053" s="50" t="n">
        <x:v>41</x:v>
      </x:c>
      <x:c r="O3053" s="53" t="str">
        <x:v>Julia spends a couple of days at 51. Boden's stepson returns, desperate for Boden to help his mother. After a little girl starts a fire in her backyard, Kidd and her team decide to dig deeper.</x:v>
      </x:c>
      <x:c r="P3053" s="53" t="str">
        <x:v>Core One Chicago franchise</x:v>
      </x:c>
      <x:c r="Q3053" s="17" t="str">
        <x:v>11298961</x:v>
      </x:c>
      <x:c r="R3053" s="17" t="str">
        <x:v>tt31051358</x:v>
      </x:c>
      <x:c r="S3053" s="17" t="str"/>
    </x:row>
    <x:row r="3054">
      <x:c r="A3054" s="43" t="n">
        <x:v>3050</x:v>
      </x:c>
      <x:c r="B3054" s="44" t="str">
        <x:v>Not Started</x:v>
      </x:c>
      <x:c r="C3054" s="45" t="n">
        <x:v>45330</x:v>
      </x:c>
      <x:c r="D3054" s="33" t="str">
        <x:v>Law &amp; Order</x:v>
      </x:c>
      <x:c r="E3054" s="33" t="str">
        <x:v>Law &amp; Order</x:v>
      </x:c>
      <x:c r="F3054" s="33" t="str">
        <x:v>core</x:v>
      </x:c>
      <x:c r="G3054" s="50" t="n">
        <x:v>23</x:v>
      </x:c>
      <x:c r="H3054" s="50" t="n">
        <x:v>4</x:v>
      </x:c>
      <x:c r="I3054" s="44" t="str">
        <x:v>23.04</x:v>
      </x:c>
      <x:c r="J3054" s="33" t="str">
        <x:v>Unintended Consequences</x:v>
      </x:c>
      <x:c r="K3054" s="33" t="str"/>
      <x:c r="L3054" s="33" t="str"/>
      <x:c r="M3054" s="44" t="str"/>
      <x:c r="N3054" s="50" t="n">
        <x:v>43</x:v>
      </x:c>
      <x:c r="O3054" s="53" t="str">
        <x:v>Shaw and Riley investigate a real estate agent's murder. After they speak with prominent clients, an unexpected witness appears. Price and Maroun struggle to convince a jury of motive and face a difficult decision about their only witness.</x:v>
      </x:c>
      <x:c r="P3054" s="53" t="str">
        <x:v>Core Law &amp; Order franchise</x:v>
      </x:c>
      <x:c r="Q3054" s="17" t="str">
        <x:v>11334433</x:v>
      </x:c>
      <x:c r="R3054" s="17" t="str">
        <x:v>tt30973440</x:v>
      </x:c>
      <x:c r="S3054" s="17" t="str">
        <x:v>1632</x:v>
      </x:c>
    </x:row>
    <x:row r="3055">
      <x:c r="A3055" s="43" t="n">
        <x:v>3051</x:v>
      </x:c>
      <x:c r="B3055" s="44" t="str">
        <x:v>Not Started</x:v>
      </x:c>
      <x:c r="C3055" s="45" t="n">
        <x:v>45330</x:v>
      </x:c>
      <x:c r="D3055" s="33" t="str">
        <x:v>Law &amp; Order: Special Victims Unit</x:v>
      </x:c>
      <x:c r="E3055" s="33" t="str">
        <x:v>Law &amp; Order</x:v>
      </x:c>
      <x:c r="F3055" s="33" t="str">
        <x:v>core</x:v>
      </x:c>
      <x:c r="G3055" s="50" t="n">
        <x:v>25</x:v>
      </x:c>
      <x:c r="H3055" s="50" t="n">
        <x:v>4</x:v>
      </x:c>
      <x:c r="I3055" s="44" t="str">
        <x:v>25.04</x:v>
      </x:c>
      <x:c r="J3055" s="33" t="str">
        <x:v>Duty to Report</x:v>
      </x:c>
      <x:c r="K3055" s="33" t="str"/>
      <x:c r="L3055" s="33" t="str"/>
      <x:c r="M3055" s="44" t="str"/>
      <x:c r="N3055" s="50" t="n">
        <x:v>43</x:v>
      </x:c>
      <x:c r="O3055" s="53" t="str">
        <x:v>When Chief McGrath's daughter discloses a sexual assault, Benson must balance the intricacies of the investigation with McGrath's impulsive actions.</x:v>
      </x:c>
      <x:c r="P3055" s="53" t="str">
        <x:v>Core Law &amp; Order franchise</x:v>
      </x:c>
      <x:c r="Q3055" s="17" t="str">
        <x:v>11326534</x:v>
      </x:c>
      <x:c r="R3055" s="17" t="str">
        <x:v>tt30796631</x:v>
      </x:c>
      <x:c r="S3055" s="17" t="str">
        <x:v>1633</x:v>
      </x:c>
    </x:row>
    <x:row r="3056">
      <x:c r="A3056" s="43" t="n">
        <x:v>3052</x:v>
      </x:c>
      <x:c r="B3056" s="44" t="str">
        <x:v>Not Started</x:v>
      </x:c>
      <x:c r="C3056" s="45" t="n">
        <x:v>45336</x:v>
      </x:c>
      <x:c r="D3056" s="33" t="str">
        <x:v>FBI: International</x:v>
      </x:c>
      <x:c r="E3056" s="33" t="str">
        <x:v>FBI</x:v>
      </x:c>
      <x:c r="F3056" s="33" t="str">
        <x:v>core</x:v>
      </x:c>
      <x:c r="G3056" s="50" t="n">
        <x:v>3</x:v>
      </x:c>
      <x:c r="H3056" s="50" t="n">
        <x:v>1</x:v>
      </x:c>
      <x:c r="I3056" s="44" t="str">
        <x:v>03.01</x:v>
      </x:c>
      <x:c r="J3056" s="33" t="str">
        <x:v>June</x:v>
      </x:c>
      <x:c r="K3056" s="33" t="str"/>
      <x:c r="L3056" s="33" t="str"/>
      <x:c r="M3056" s="44" t="str"/>
      <x:c r="N3056" s="50" t="n">
        <x:v>42</x:v>
      </x:c>
      <x:c r="O3056" s="53" t="str">
        <x:v>The Fly Team, with the help of their new intel analyst, Special Agent Amanda Tate, works to clean up the pieces left behind after a massive explosion rocks headquarters and their key suspect slips away.</x:v>
      </x:c>
      <x:c r="P3056" s="53" t="str">
        <x:v>Core FBI franchise</x:v>
      </x:c>
      <x:c r="Q3056" s="17" t="str">
        <x:v>11048560</x:v>
      </x:c>
      <x:c r="R3056" s="17" t="str">
        <x:v>tt20195170</x:v>
      </x:c>
      <x:c r="S3056" s="17" t="str"/>
    </x:row>
    <x:row r="3057">
      <x:c r="A3057" s="43" t="n">
        <x:v>3053</x:v>
      </x:c>
      <x:c r="B3057" s="44" t="str">
        <x:v>Not Started</x:v>
      </x:c>
      <x:c r="C3057" s="45" t="n">
        <x:v>45336</x:v>
      </x:c>
      <x:c r="D3057" s="33" t="str">
        <x:v>FBI: Most Wanted</x:v>
      </x:c>
      <x:c r="E3057" s="33" t="str">
        <x:v>FBI</x:v>
      </x:c>
      <x:c r="F3057" s="33" t="str">
        <x:v>core</x:v>
      </x:c>
      <x:c r="G3057" s="50" t="n">
        <x:v>5</x:v>
      </x:c>
      <x:c r="H3057" s="50" t="n">
        <x:v>1</x:v>
      </x:c>
      <x:c r="I3057" s="44" t="str">
        <x:v>05.01</x:v>
      </x:c>
      <x:c r="J3057" s="33" t="str">
        <x:v>Above &amp; Beyond</x:v>
      </x:c>
      <x:c r="K3057" s="33" t="str"/>
      <x:c r="L3057" s="33" t="str"/>
      <x:c r="M3057" s="44" t="str"/>
      <x:c r="N3057" s="50" t="n">
        <x:v>44</x:v>
      </x:c>
      <x:c r="O3057" s="53" t="str">
        <x:v>When a mysterious deal goes south, leaving behind multiple bodies, the Fugitive Task Force heads to Virginia to put the pieces together with the help of a familiar face and new addition to the team, Special Agent Nina Chase.</x:v>
      </x:c>
      <x:c r="P3057" s="53" t="str">
        <x:v>Core FBI franchise</x:v>
      </x:c>
      <x:c r="Q3057" s="17" t="str">
        <x:v>10892387</x:v>
      </x:c>
      <x:c r="R3057" s="17" t="str">
        <x:v>tt20195168</x:v>
      </x:c>
      <x:c r="S3057" s="17" t="str"/>
    </x:row>
    <x:row r="3058">
      <x:c r="A3058" s="43" t="n">
        <x:v>3054</x:v>
      </x:c>
      <x:c r="B3058" s="44" t="str">
        <x:v>Not Started</x:v>
      </x:c>
      <x:c r="C3058" s="45" t="n">
        <x:v>45336</x:v>
      </x:c>
      <x:c r="D3058" s="33" t="str">
        <x:v>FBI</x:v>
      </x:c>
      <x:c r="E3058" s="33" t="str">
        <x:v>FBI</x:v>
      </x:c>
      <x:c r="F3058" s="33" t="str">
        <x:v>core</x:v>
      </x:c>
      <x:c r="G3058" s="50" t="n">
        <x:v>6</x:v>
      </x:c>
      <x:c r="H3058" s="50" t="n">
        <x:v>1</x:v>
      </x:c>
      <x:c r="I3058" s="44" t="str">
        <x:v>06.01</x:v>
      </x:c>
      <x:c r="J3058" s="33" t="str">
        <x:v>All the Rage</x:v>
      </x:c>
      <x:c r="K3058" s="33" t="str"/>
      <x:c r="L3058" s="33" t="str"/>
      <x:c r="M3058" s="44" t="str"/>
      <x:c r="N3058" s="50" t="n">
        <x:v>44</x:v>
      </x:c>
      <x:c r="O3058" s="53" t="str">
        <x:v>When a bus explosion kills several innocent people, the team jumps into action to take down the responsible terrorist organization. Meanwhile, Scola tries to balance fatherhood with the job.</x:v>
      </x:c>
      <x:c r="P3058" s="53" t="str">
        <x:v>Core FBI franchise</x:v>
      </x:c>
      <x:c r="Q3058" s="17" t="str">
        <x:v>11049668</x:v>
      </x:c>
      <x:c r="R3058" s="17" t="str">
        <x:v>tt20195162</x:v>
      </x:c>
      <x:c r="S3058" s="17" t="str"/>
    </x:row>
    <x:row r="3059">
      <x:c r="A3059" s="43" t="n">
        <x:v>3055</x:v>
      </x:c>
      <x:c r="B3059" s="44" t="str">
        <x:v>Not Started</x:v>
      </x:c>
      <x:c r="C3059" s="45" t="n">
        <x:v>45343</x:v>
      </x:c>
      <x:c r="D3059" s="33" t="str">
        <x:v>FBI: International</x:v>
      </x:c>
      <x:c r="E3059" s="33" t="str">
        <x:v>FBI</x:v>
      </x:c>
      <x:c r="F3059" s="33" t="str">
        <x:v>core</x:v>
      </x:c>
      <x:c r="G3059" s="50" t="n">
        <x:v>3</x:v>
      </x:c>
      <x:c r="H3059" s="50" t="n">
        <x:v>2</x:v>
      </x:c>
      <x:c r="I3059" s="44" t="str">
        <x:v>03.02</x:v>
      </x:c>
      <x:c r="J3059" s="33" t="str">
        <x:v>The Last Stop</x:v>
      </x:c>
      <x:c r="K3059" s="33" t="str"/>
      <x:c r="L3059" s="33" t="str"/>
      <x:c r="M3059" s="44" t="str"/>
      <x:c r="N3059" s="50" t="n">
        <x:v>43</x:v>
      </x:c>
      <x:c r="O3059" s="53" t="str">
        <x:v>When an ex-FBI agent suddenly resurfaces in a brutal Tripoli prison, Forrester and Powell risk everything to go under cover as prisoners to break him out; the fly team adjusts to their new and improved HQ.</x:v>
      </x:c>
      <x:c r="P3059" s="53" t="str">
        <x:v>Core FBI franchise</x:v>
      </x:c>
      <x:c r="Q3059" s="17" t="str">
        <x:v>11314945</x:v>
      </x:c>
      <x:c r="R3059" s="17" t="str">
        <x:v>tt30755283</x:v>
      </x:c>
      <x:c r="S3059" s="17" t="str"/>
    </x:row>
    <x:row r="3060">
      <x:c r="A3060" s="43" t="n">
        <x:v>3056</x:v>
      </x:c>
      <x:c r="B3060" s="44" t="str">
        <x:v>Not Started</x:v>
      </x:c>
      <x:c r="C3060" s="45" t="n">
        <x:v>45343</x:v>
      </x:c>
      <x:c r="D3060" s="33" t="str">
        <x:v>FBI: Most Wanted</x:v>
      </x:c>
      <x:c r="E3060" s="33" t="str">
        <x:v>FBI</x:v>
      </x:c>
      <x:c r="F3060" s="33" t="str">
        <x:v>core</x:v>
      </x:c>
      <x:c r="G3060" s="50" t="n">
        <x:v>5</x:v>
      </x:c>
      <x:c r="H3060" s="50" t="n">
        <x:v>2</x:v>
      </x:c>
      <x:c r="I3060" s="44" t="str">
        <x:v>05.02</x:v>
      </x:c>
      <x:c r="J3060" s="33" t="str">
        <x:v>Footsteps</x:v>
      </x:c>
      <x:c r="K3060" s="33" t="str"/>
      <x:c r="L3060" s="33" t="str"/>
      <x:c r="M3060" s="44" t="str"/>
      <x:c r="N3060" s="50" t="n">
        <x:v>43</x:v>
      </x:c>
      <x:c r="O3060" s="53" t="str">
        <x:v>The Fugitive Task Force launches into full gear after multiple bombings appear to be targeting retired NYPD officers. Also, Ray decides he's ready to take the next step in his relationship with Cora.</x:v>
      </x:c>
      <x:c r="P3060" s="53" t="str">
        <x:v>Core FBI franchise</x:v>
      </x:c>
      <x:c r="Q3060" s="17" t="str">
        <x:v>10892388</x:v>
      </x:c>
      <x:c r="R3060" s="17" t="str">
        <x:v>tt30742123</x:v>
      </x:c>
      <x:c r="S3060" s="17" t="str"/>
    </x:row>
    <x:row r="3061">
      <x:c r="A3061" s="43" t="n">
        <x:v>3057</x:v>
      </x:c>
      <x:c r="B3061" s="44" t="str">
        <x:v>Not Started</x:v>
      </x:c>
      <x:c r="C3061" s="45" t="n">
        <x:v>45343</x:v>
      </x:c>
      <x:c r="D3061" s="33" t="str">
        <x:v>FBI</x:v>
      </x:c>
      <x:c r="E3061" s="33" t="str">
        <x:v>FBI</x:v>
      </x:c>
      <x:c r="F3061" s="33" t="str">
        <x:v>core</x:v>
      </x:c>
      <x:c r="G3061" s="50" t="n">
        <x:v>6</x:v>
      </x:c>
      <x:c r="H3061" s="50" t="n">
        <x:v>2</x:v>
      </x:c>
      <x:c r="I3061" s="44" t="str">
        <x:v>06.02</x:v>
      </x:c>
      <x:c r="J3061" s="33" t="str">
        <x:v>Remorse</x:v>
      </x:c>
      <x:c r="K3061" s="33" t="str"/>
      <x:c r="L3061" s="33" t="str"/>
      <x:c r="M3061" s="44" t="str"/>
      <x:c r="N3061" s="50" t="n">
        <x:v>44</x:v>
      </x:c>
      <x:c r="O3061" s="53" t="str">
        <x:v>After the president of the NY Fed is gunned down trying to help a young woman in peril, the team races to find the killer and the missing woman. Additionally, a distressing connection to one of Jubal’s past cases is revealed during the investigation, compounding the pressure on him as he also deals with his son’s school suspension.</x:v>
      </x:c>
      <x:c r="P3061" s="53" t="str">
        <x:v>Core FBI franchise</x:v>
      </x:c>
      <x:c r="Q3061" s="17" t="str">
        <x:v>11325232</x:v>
      </x:c>
      <x:c r="R3061" s="17" t="str">
        <x:v>tt30982877</x:v>
      </x:c>
      <x:c r="S3061" s="17" t="str"/>
    </x:row>
    <x:row r="3062">
      <x:c r="A3062" s="43" t="n">
        <x:v>3058</x:v>
      </x:c>
      <x:c r="B3062" s="44" t="str">
        <x:v>Not Started</x:v>
      </x:c>
      <x:c r="C3062" s="45" t="n">
        <x:v>45344</x:v>
      </x:c>
      <x:c r="D3062" s="33" t="str">
        <x:v>Law &amp; Order Toronto: Criminal Intent</x:v>
      </x:c>
      <x:c r="E3062" s="33" t="str">
        <x:v>Law &amp; Order</x:v>
      </x:c>
      <x:c r="F3062" s="33" t="str">
        <x:v>core</x:v>
      </x:c>
      <x:c r="G3062" s="50" t="n">
        <x:v>1</x:v>
      </x:c>
      <x:c r="H3062" s="50" t="n">
        <x:v>1</x:v>
      </x:c>
      <x:c r="I3062" s="44" t="str">
        <x:v>01.01</x:v>
      </x:c>
      <x:c r="J3062" s="33" t="str">
        <x:v>The Key to the Castle</x:v>
      </x:c>
      <x:c r="K3062" s="33" t="str"/>
      <x:c r="L3062" s="33" t="str"/>
      <x:c r="M3062" s="44" t="str"/>
      <x:c r="N3062" s="50" t="n">
        <x:v>43</x:v>
      </x:c>
      <x:c r="O3062" s="53" t="str">
        <x:v>Graff and Bateman investigate the disappearance of a crypto investor when he vanishes on Lake Ontario, along with hundreds of millions of his clients' dollars.</x:v>
      </x:c>
      <x:c r="P3062" s="53" t="str">
        <x:v>Law &amp; Order international franchise</x:v>
      </x:c>
      <x:c r="Q3062" s="17" t="str">
        <x:v>10714811</x:v>
      </x:c>
      <x:c r="R3062" s="17" t="str">
        <x:v>tt27957661</x:v>
      </x:c>
      <x:c r="S3062" s="17" t="str">
        <x:v>1635</x:v>
      </x:c>
    </x:row>
    <x:row r="3063">
      <x:c r="A3063" s="43" t="n">
        <x:v>3059</x:v>
      </x:c>
      <x:c r="B3063" s="44" t="str">
        <x:v>Not Started</x:v>
      </x:c>
      <x:c r="C3063" s="45" t="n">
        <x:v>45344</x:v>
      </x:c>
      <x:c r="D3063" s="33" t="str">
        <x:v>Law &amp; Order: Organized Crime</x:v>
      </x:c>
      <x:c r="E3063" s="33" t="str">
        <x:v>Law &amp; Order</x:v>
      </x:c>
      <x:c r="F3063" s="33" t="str">
        <x:v>core</x:v>
      </x:c>
      <x:c r="G3063" s="50" t="n">
        <x:v>4</x:v>
      </x:c>
      <x:c r="H3063" s="50" t="n">
        <x:v>5</x:v>
      </x:c>
      <x:c r="I3063" s="44" t="str">
        <x:v>04.05</x:v>
      </x:c>
      <x:c r="J3063" s="33" t="str">
        <x:v>Missing Persons</x:v>
      </x:c>
      <x:c r="K3063" s="33" t="str"/>
      <x:c r="L3063" s="33" t="str"/>
      <x:c r="M3063" s="44" t="str"/>
      <x:c r="N3063" s="50" t="n">
        <x:v>43</x:v>
      </x:c>
      <x:c r="O3063" s="53" t="str">
        <x:v>A rescued victim from Stabler's past goes missing. Bell recovers in the hospital while Jet, Reyes and Bashir are all questioned by IAB. Joe Jr. shows off his new career path.</x:v>
      </x:c>
      <x:c r="P3063" s="53" t="str">
        <x:v>Core Law &amp; Order franchise</x:v>
      </x:c>
      <x:c r="Q3063" s="17" t="str">
        <x:v>11334428</x:v>
      </x:c>
      <x:c r="R3063" s="17" t="str">
        <x:v>tt31091096</x:v>
      </x:c>
      <x:c r="S3063" s="17" t="str">
        <x:v>1638</x:v>
      </x:c>
    </x:row>
    <x:row r="3064">
      <x:c r="A3064" s="43" t="n">
        <x:v>3060</x:v>
      </x:c>
      <x:c r="B3064" s="44" t="str">
        <x:v>Not Started</x:v>
      </x:c>
      <x:c r="C3064" s="45" t="n">
        <x:v>45344</x:v>
      </x:c>
      <x:c r="D3064" s="33" t="str">
        <x:v>Chicago Med</x:v>
      </x:c>
      <x:c r="E3064" s="33" t="str">
        <x:v>One Chicago</x:v>
      </x:c>
      <x:c r="F3064" s="33" t="str">
        <x:v>core</x:v>
      </x:c>
      <x:c r="G3064" s="50" t="n">
        <x:v>9</x:v>
      </x:c>
      <x:c r="H3064" s="50" t="n">
        <x:v>5</x:v>
      </x:c>
      <x:c r="I3064" s="44" t="str">
        <x:v>09.05</x:v>
      </x:c>
      <x:c r="J3064" s="33" t="str">
        <x:v>I Make a Promise, I Will Never Leave You</x:v>
      </x:c>
      <x:c r="K3064" s="33" t="str"/>
      <x:c r="L3064" s="33" t="str"/>
      <x:c r="M3064" s="44" t="str"/>
      <x:c r="N3064" s="50" t="n">
        <x:v>43</x:v>
      </x:c>
      <x:c r="O3064" s="53" t="str">
        <x:v>Goodwin recruits Charles to evaluate her ex-husband's memory. Archer treats one of Sean's peers from the rehab center. Asher treats a woman from a rural clinic whose miscarriage was improperly treated.</x:v>
      </x:c>
      <x:c r="P3064" s="53" t="str">
        <x:v>Core One Chicago franchise</x:v>
      </x:c>
      <x:c r="Q3064" s="17" t="str">
        <x:v>11457409</x:v>
      </x:c>
      <x:c r="R3064" s="17" t="str">
        <x:v>tt31131058</x:v>
      </x:c>
      <x:c r="S3064" s="17" t="str"/>
    </x:row>
    <x:row r="3065">
      <x:c r="A3065" s="43" t="n">
        <x:v>3061</x:v>
      </x:c>
      <x:c r="B3065" s="44" t="str">
        <x:v>Not Started</x:v>
      </x:c>
      <x:c r="C3065" s="45" t="n">
        <x:v>45344</x:v>
      </x:c>
      <x:c r="D3065" s="33" t="str">
        <x:v>Chicago P.D.</x:v>
      </x:c>
      <x:c r="E3065" s="33" t="str">
        <x:v>One Chicago</x:v>
      </x:c>
      <x:c r="F3065" s="33" t="str">
        <x:v>core</x:v>
      </x:c>
      <x:c r="G3065" s="50" t="n">
        <x:v>11</x:v>
      </x:c>
      <x:c r="H3065" s="50" t="n">
        <x:v>5</x:v>
      </x:c>
      <x:c r="I3065" s="44" t="str">
        <x:v>11.05</x:v>
      </x:c>
      <x:c r="J3065" s="33" t="str">
        <x:v>Split Second</x:v>
      </x:c>
      <x:c r="K3065" s="33" t="str"/>
      <x:c r="L3065" s="33" t="str"/>
      <x:c r="M3065" s="44" t="str"/>
      <x:c r="N3065" s="50" t="n">
        <x:v>43</x:v>
      </x:c>
      <x:c r="O3065" s="53" t="str">
        <x:v>Atwater turns to an unlikely source of support when a string of jewelry store robberies shakes his confidence.</x:v>
      </x:c>
      <x:c r="P3065" s="53" t="str">
        <x:v>Core One Chicago franchise; crossovers with SVU/FBI</x:v>
      </x:c>
      <x:c r="Q3065" s="17" t="str">
        <x:v>11457410</x:v>
      </x:c>
      <x:c r="R3065" s="17" t="str">
        <x:v>tt31117277</x:v>
      </x:c>
      <x:c r="S3065" s="17" t="str"/>
    </x:row>
    <x:row r="3066">
      <x:c r="A3066" s="43" t="n">
        <x:v>3062</x:v>
      </x:c>
      <x:c r="B3066" s="44" t="str">
        <x:v>Not Started</x:v>
      </x:c>
      <x:c r="C3066" s="45" t="n">
        <x:v>45344</x:v>
      </x:c>
      <x:c r="D3066" s="33" t="str">
        <x:v>Chicago Fire</x:v>
      </x:c>
      <x:c r="E3066" s="33" t="str">
        <x:v>One Chicago</x:v>
      </x:c>
      <x:c r="F3066" s="33" t="str">
        <x:v>core</x:v>
      </x:c>
      <x:c r="G3066" s="50" t="n">
        <x:v>12</x:v>
      </x:c>
      <x:c r="H3066" s="50" t="n">
        <x:v>5</x:v>
      </x:c>
      <x:c r="I3066" s="44" t="str">
        <x:v>12.05</x:v>
      </x:c>
      <x:c r="J3066" s="33" t="str">
        <x:v>On the Hook</x:v>
      </x:c>
      <x:c r="K3066" s="33" t="str"/>
      <x:c r="L3066" s="33" t="str"/>
      <x:c r="M3066" s="44" t="str"/>
      <x:c r="N3066" s="50" t="n">
        <x:v>41</x:v>
      </x:c>
      <x:c r="O3066" s="53" t="str">
        <x:v>After their defibrillator malfunctions on a call, Brett and Violet search for answers. Herrmann tries to find the perfect home for his new recliner. A secret from Gibson's past comes to light.</x:v>
      </x:c>
      <x:c r="P3066" s="53" t="str">
        <x:v>Core One Chicago franchise</x:v>
      </x:c>
      <x:c r="Q3066" s="17" t="str">
        <x:v>11457923</x:v>
      </x:c>
      <x:c r="R3066" s="17" t="str">
        <x:v>tt31190039</x:v>
      </x:c>
      <x:c r="S3066" s="17" t="str"/>
    </x:row>
    <x:row r="3067">
      <x:c r="A3067" s="43" t="n">
        <x:v>3063</x:v>
      </x:c>
      <x:c r="B3067" s="44" t="str">
        <x:v>Not Started</x:v>
      </x:c>
      <x:c r="C3067" s="45" t="n">
        <x:v>45344</x:v>
      </x:c>
      <x:c r="D3067" s="33" t="str">
        <x:v>Law &amp; Order</x:v>
      </x:c>
      <x:c r="E3067" s="33" t="str">
        <x:v>Law &amp; Order</x:v>
      </x:c>
      <x:c r="F3067" s="33" t="str">
        <x:v>core</x:v>
      </x:c>
      <x:c r="G3067" s="50" t="n">
        <x:v>23</x:v>
      </x:c>
      <x:c r="H3067" s="50" t="n">
        <x:v>5</x:v>
      </x:c>
      <x:c r="I3067" s="44" t="str">
        <x:v>23.05</x:v>
      </x:c>
      <x:c r="J3067" s="33" t="str">
        <x:v>Last Dance</x:v>
      </x:c>
      <x:c r="K3067" s="33" t="str"/>
      <x:c r="L3067" s="33" t="str"/>
      <x:c r="M3067" s="44" t="str"/>
      <x:c r="N3067" s="50" t="n">
        <x:v>43</x:v>
      </x:c>
      <x:c r="O3067" s="53" t="str">
        <x:v>When a woman is found murdered in Central Park, evidence points to two frequent park-goers: a street vendor and a tech billionaire. In the face of extreme political pressure, McCoy takes drastic action to make the case.</x:v>
      </x:c>
      <x:c r="P3067" s="53" t="str">
        <x:v>Core Law &amp; Order franchise</x:v>
      </x:c>
      <x:c r="Q3067" s="17" t="str">
        <x:v>11334434</x:v>
      </x:c>
      <x:c r="R3067" s="17" t="str">
        <x:v>tt31186943</x:v>
      </x:c>
      <x:c r="S3067" s="17" t="str">
        <x:v>1636</x:v>
      </x:c>
    </x:row>
    <x:row r="3068">
      <x:c r="A3068" s="43" t="n">
        <x:v>3064</x:v>
      </x:c>
      <x:c r="B3068" s="44" t="str">
        <x:v>Not Started</x:v>
      </x:c>
      <x:c r="C3068" s="45" t="n">
        <x:v>45344</x:v>
      </x:c>
      <x:c r="D3068" s="33" t="str">
        <x:v>Law &amp; Order: Special Victims Unit</x:v>
      </x:c>
      <x:c r="E3068" s="33" t="str">
        <x:v>Law &amp; Order</x:v>
      </x:c>
      <x:c r="F3068" s="33" t="str">
        <x:v>core</x:v>
      </x:c>
      <x:c r="G3068" s="50" t="n">
        <x:v>25</x:v>
      </x:c>
      <x:c r="H3068" s="50" t="n">
        <x:v>5</x:v>
      </x:c>
      <x:c r="I3068" s="44" t="str">
        <x:v>25.05</x:v>
      </x:c>
      <x:c r="J3068" s="33" t="str">
        <x:v>Zone Rouge</x:v>
      </x:c>
      <x:c r="K3068" s="33" t="str"/>
      <x:c r="L3068" s="33" t="str"/>
      <x:c r="M3068" s="44" t="str"/>
      <x:c r="N3068" s="50" t="n">
        <x:v>43</x:v>
      </x:c>
      <x:c r="O3068" s="53" t="str">
        <x:v>A cryptic message sends SVU on a new track to find Maddie. Benson tries to help a federal agent when the case hits too close to home. Captain Curry tries to make amends with Fin.</x:v>
      </x:c>
      <x:c r="P3068" s="53" t="str">
        <x:v>Core Law &amp; Order franchise</x:v>
      </x:c>
      <x:c r="Q3068" s="17" t="str">
        <x:v>11334430</x:v>
      </x:c>
      <x:c r="R3068" s="17" t="str">
        <x:v>tt30973737</x:v>
      </x:c>
      <x:c r="S3068" s="17" t="str">
        <x:v>1637</x:v>
      </x:c>
    </x:row>
    <x:row r="3069">
      <x:c r="A3069" s="43" t="n">
        <x:v>3065</x:v>
      </x:c>
      <x:c r="B3069" s="44" t="str">
        <x:v>Not Started</x:v>
      </x:c>
      <x:c r="C3069" s="45" t="n">
        <x:v>45347</x:v>
      </x:c>
      <x:c r="D3069" s="33" t="str">
        <x:v>Cold Justice</x:v>
      </x:c>
      <x:c r="E3069" s="33" t="str">
        <x:v>Crossover Adjacent</x:v>
      </x:c>
      <x:c r="F3069" s="33" t="str">
        <x:v>complete</x:v>
      </x:c>
      <x:c r="G3069" s="50" t="n">
        <x:v>7</x:v>
      </x:c>
      <x:c r="H3069" s="50" t="n">
        <x:v>1</x:v>
      </x:c>
      <x:c r="I3069" s="44" t="str">
        <x:v>07.01</x:v>
      </x:c>
      <x:c r="J3069" s="33" t="str">
        <x:v>Beloved Veteran</x:v>
      </x:c>
      <x:c r="K3069" s="33" t="str"/>
      <x:c r="L3069" s="33" t="str"/>
      <x:c r="M3069" s="44" t="str"/>
      <x:c r="N3069" s="50" t="n">
        <x:v>44</x:v>
      </x:c>
      <x:c r="O3069" s="53" t="str">
        <x:v>Kelly and the team help the Lake Station Police department look into the 2007 slaying of a kind-hearted WWII veteran killed with a sledgehammer. Tracing the purchases on his stolen credit card may be the key to solving the case.</x:v>
      </x:c>
      <x:c r="P3069" s="53" t="str">
        <x:v>Wolf Entertainment unscripted true-crime series</x:v>
      </x:c>
      <x:c r="Q3069" s="17" t="str">
        <x:v>11455630</x:v>
      </x:c>
      <x:c r="R3069" s="17" t="str"/>
      <x:c r="S3069" s="17" t="str"/>
    </x:row>
    <x:row r="3070">
      <x:c r="A3070" s="43" t="n">
        <x:v>3066</x:v>
      </x:c>
      <x:c r="B3070" s="44" t="str">
        <x:v>Not Started</x:v>
      </x:c>
      <x:c r="C3070" s="45" t="n">
        <x:v>45350</x:v>
      </x:c>
      <x:c r="D3070" s="33" t="str">
        <x:v>FBI: International</x:v>
      </x:c>
      <x:c r="E3070" s="33" t="str">
        <x:v>FBI</x:v>
      </x:c>
      <x:c r="F3070" s="33" t="str">
        <x:v>core</x:v>
      </x:c>
      <x:c r="G3070" s="50" t="n">
        <x:v>3</x:v>
      </x:c>
      <x:c r="H3070" s="50" t="n">
        <x:v>3</x:v>
      </x:c>
      <x:c r="I3070" s="44" t="str">
        <x:v>03.03</x:v>
      </x:c>
      <x:c r="J3070" s="33" t="str">
        <x:v>Magpie</x:v>
      </x:c>
      <x:c r="K3070" s="33" t="str"/>
      <x:c r="L3070" s="33" t="str"/>
      <x:c r="M3070" s="44" t="str"/>
      <x:c r="N3070" s="50" t="n">
        <x:v>42</x:v>
      </x:c>
      <x:c r="O3070" s="53" t="str">
        <x:v>When an American family's lavish sweet sixteen celebration is cut short after the mother of the birthday girl is found dead near their European estate, the Fly Team heads to Monaco to find the woman's murderer. Vo begins seeing Raines in a new light.</x:v>
      </x:c>
      <x:c r="P3070" s="53" t="str">
        <x:v>Core FBI franchise</x:v>
      </x:c>
      <x:c r="Q3070" s="17" t="str">
        <x:v>11314951</x:v>
      </x:c>
      <x:c r="R3070" s="17" t="str">
        <x:v>tt30764834</x:v>
      </x:c>
      <x:c r="S3070" s="17" t="str"/>
    </x:row>
    <x:row r="3071">
      <x:c r="A3071" s="43" t="n">
        <x:v>3067</x:v>
      </x:c>
      <x:c r="B3071" s="44" t="str">
        <x:v>Not Started</x:v>
      </x:c>
      <x:c r="C3071" s="45" t="n">
        <x:v>45350</x:v>
      </x:c>
      <x:c r="D3071" s="33" t="str">
        <x:v>FBI: Most Wanted</x:v>
      </x:c>
      <x:c r="E3071" s="33" t="str">
        <x:v>FBI</x:v>
      </x:c>
      <x:c r="F3071" s="33" t="str">
        <x:v>core</x:v>
      </x:c>
      <x:c r="G3071" s="50" t="n">
        <x:v>5</x:v>
      </x:c>
      <x:c r="H3071" s="50" t="n">
        <x:v>3</x:v>
      </x:c>
      <x:c r="I3071" s="44" t="str">
        <x:v>05.03</x:v>
      </x:c>
      <x:c r="J3071" s="33" t="str">
        <x:v>Ghost in the Machine</x:v>
      </x:c>
      <x:c r="K3071" s="33" t="str"/>
      <x:c r="L3071" s="33" t="str"/>
      <x:c r="M3071" s="44" t="str"/>
      <x:c r="N3071" s="50" t="n">
        <x:v>43</x:v>
      </x:c>
      <x:c r="O3071" s="53" t="str">
        <x:v>When the woman whose visage is the face of a popular AI bot is found violently murdered inside a Brooklyn hotel room, the Fugitive Task Force jumps into action to find out who lured her there in the first place.</x:v>
      </x:c>
      <x:c r="P3071" s="53" t="str">
        <x:v>Core FBI franchise</x:v>
      </x:c>
      <x:c r="Q3071" s="17" t="str">
        <x:v>10892389</x:v>
      </x:c>
      <x:c r="R3071" s="17" t="str">
        <x:v>tt30746350</x:v>
      </x:c>
      <x:c r="S3071" s="17" t="str"/>
    </x:row>
    <x:row r="3072">
      <x:c r="A3072" s="43" t="n">
        <x:v>3068</x:v>
      </x:c>
      <x:c r="B3072" s="44" t="str">
        <x:v>Not Started</x:v>
      </x:c>
      <x:c r="C3072" s="45" t="n">
        <x:v>45350</x:v>
      </x:c>
      <x:c r="D3072" s="33" t="str">
        <x:v>FBI</x:v>
      </x:c>
      <x:c r="E3072" s="33" t="str">
        <x:v>FBI</x:v>
      </x:c>
      <x:c r="F3072" s="33" t="str">
        <x:v>core</x:v>
      </x:c>
      <x:c r="G3072" s="50" t="n">
        <x:v>6</x:v>
      </x:c>
      <x:c r="H3072" s="50" t="n">
        <x:v>3</x:v>
      </x:c>
      <x:c r="I3072" s="44" t="str">
        <x:v>06.03</x:v>
      </x:c>
      <x:c r="J3072" s="33" t="str">
        <x:v>Stay in Your Lane</x:v>
      </x:c>
      <x:c r="K3072" s="33" t="str"/>
      <x:c r="L3072" s="33" t="str"/>
      <x:c r="M3072" s="44" t="str"/>
      <x:c r="N3072" s="50" t="n">
        <x:v>42</x:v>
      </x:c>
      <x:c r="O3072" s="53" t="str">
        <x:v>When a local club owner is found dead, the team works quickly to find the motive behind the murder of a seemingly innocent man. Meanwhile, OA is smitten with a new love interest but is concerned that she's mixed up with the wrong crowd.</x:v>
      </x:c>
      <x:c r="P3072" s="53" t="str">
        <x:v>Core FBI franchise</x:v>
      </x:c>
      <x:c r="Q3072" s="17" t="str">
        <x:v>11325235</x:v>
      </x:c>
      <x:c r="R3072" s="17" t="str">
        <x:v>tt31122490</x:v>
      </x:c>
      <x:c r="S3072" s="17" t="str"/>
    </x:row>
    <x:row r="3073">
      <x:c r="A3073" s="43" t="n">
        <x:v>3069</x:v>
      </x:c>
      <x:c r="B3073" s="44" t="str">
        <x:v>Not Started</x:v>
      </x:c>
      <x:c r="C3073" s="45" t="n">
        <x:v>45351</x:v>
      </x:c>
      <x:c r="D3073" s="33" t="str">
        <x:v>Law &amp; Order Toronto: Criminal Intent</x:v>
      </x:c>
      <x:c r="E3073" s="33" t="str">
        <x:v>Law &amp; Order</x:v>
      </x:c>
      <x:c r="F3073" s="33" t="str">
        <x:v>core</x:v>
      </x:c>
      <x:c r="G3073" s="50" t="n">
        <x:v>1</x:v>
      </x:c>
      <x:c r="H3073" s="50" t="n">
        <x:v>2</x:v>
      </x:c>
      <x:c r="I3073" s="44" t="str">
        <x:v>01.02</x:v>
      </x:c>
      <x:c r="J3073" s="33" t="str">
        <x:v>Good Neighbours</x:v>
      </x:c>
      <x:c r="K3073" s="33" t="str"/>
      <x:c r="L3073" s="33" t="str"/>
      <x:c r="M3073" s="44" t="str"/>
      <x:c r="N3073" s="50" t="n">
        <x:v>43</x:v>
      </x:c>
      <x:c r="O3073" s="53" t="str">
        <x:v>A shooting at a condo building leads Graff and Bateman to a twenty-year-old cold case that they must solve in order to catch the killer.</x:v>
      </x:c>
      <x:c r="P3073" s="53" t="str">
        <x:v>Law &amp; Order international franchise</x:v>
      </x:c>
      <x:c r="Q3073" s="17" t="str">
        <x:v>11302052</x:v>
      </x:c>
      <x:c r="R3073" s="17" t="str">
        <x:v>tt29144645</x:v>
      </x:c>
      <x:c r="S3073" s="17" t="str">
        <x:v>1639</x:v>
      </x:c>
    </x:row>
    <x:row r="3074">
      <x:c r="A3074" s="43" t="n">
        <x:v>3070</x:v>
      </x:c>
      <x:c r="B3074" s="44" t="str">
        <x:v>Not Started</x:v>
      </x:c>
      <x:c r="C3074" s="45" t="n">
        <x:v>45351</x:v>
      </x:c>
      <x:c r="D3074" s="33" t="str">
        <x:v>Law &amp; Order: Organized Crime</x:v>
      </x:c>
      <x:c r="E3074" s="33" t="str">
        <x:v>Law &amp; Order</x:v>
      </x:c>
      <x:c r="F3074" s="33" t="str">
        <x:v>core</x:v>
      </x:c>
      <x:c r="G3074" s="50" t="n">
        <x:v>4</x:v>
      </x:c>
      <x:c r="H3074" s="50" t="n">
        <x:v>6</x:v>
      </x:c>
      <x:c r="I3074" s="44" t="str">
        <x:v>04.06</x:v>
      </x:c>
      <x:c r="J3074" s="33" t="str">
        <x:v>Beyond the Sea</x:v>
      </x:c>
      <x:c r="K3074" s="33" t="str"/>
      <x:c r="L3074" s="33" t="str"/>
      <x:c r="M3074" s="44" t="str"/>
      <x:c r="N3074" s="50" t="n">
        <x:v>43</x:v>
      </x:c>
      <x:c r="O3074" s="53" t="str">
        <x:v>When several bodies are found in a seaside town, Stabler navigates the politics and secrets of the community to find a potential serial killer. Jet brings a witness under her protection.</x:v>
      </x:c>
      <x:c r="P3074" s="53" t="str">
        <x:v>Core Law &amp; Order franchise</x:v>
      </x:c>
      <x:c r="Q3074" s="17" t="str">
        <x:v>11334429</x:v>
      </x:c>
      <x:c r="R3074" s="17" t="str">
        <x:v>tt31324501</x:v>
      </x:c>
      <x:c r="S3074" s="17" t="str">
        <x:v>1642</x:v>
      </x:c>
    </x:row>
    <x:row r="3075">
      <x:c r="A3075" s="43" t="n">
        <x:v>3071</x:v>
      </x:c>
      <x:c r="B3075" s="44" t="str">
        <x:v>Not Started</x:v>
      </x:c>
      <x:c r="C3075" s="45" t="n">
        <x:v>45351</x:v>
      </x:c>
      <x:c r="D3075" s="33" t="str">
        <x:v>Chicago Med</x:v>
      </x:c>
      <x:c r="E3075" s="33" t="str">
        <x:v>One Chicago</x:v>
      </x:c>
      <x:c r="F3075" s="33" t="str">
        <x:v>core</x:v>
      </x:c>
      <x:c r="G3075" s="50" t="n">
        <x:v>9</x:v>
      </x:c>
      <x:c r="H3075" s="50" t="n">
        <x:v>6</x:v>
      </x:c>
      <x:c r="I3075" s="44" t="str">
        <x:v>09.06</x:v>
      </x:c>
      <x:c r="J3075" s="33" t="str">
        <x:v>I Told Myself That I Was Done with You</x:v>
      </x:c>
      <x:c r="K3075" s="33" t="str"/>
      <x:c r="L3075" s="33" t="str"/>
      <x:c r="M3075" s="44" t="str"/>
      <x:c r="N3075" s="50" t="n">
        <x:v>43</x:v>
      </x:c>
      <x:c r="O3075" s="53" t="str">
        <x:v>Maggie empathizes with a patient whose mother is afraid to consent to her son's risky surgery. Ripley treats someone from his past. Ahmad questions her instincts.</x:v>
      </x:c>
      <x:c r="P3075" s="53" t="str">
        <x:v>Core One Chicago franchise</x:v>
      </x:c>
      <x:c r="Q3075" s="17" t="str">
        <x:v>11470949</x:v>
      </x:c>
      <x:c r="R3075" s="17" t="str">
        <x:v>tt31146533</x:v>
      </x:c>
      <x:c r="S3075" s="17" t="str"/>
    </x:row>
    <x:row r="3076">
      <x:c r="A3076" s="43" t="n">
        <x:v>3072</x:v>
      </x:c>
      <x:c r="B3076" s="44" t="str">
        <x:v>Not Started</x:v>
      </x:c>
      <x:c r="C3076" s="45" t="n">
        <x:v>45351</x:v>
      </x:c>
      <x:c r="D3076" s="33" t="str">
        <x:v>Chicago P.D.</x:v>
      </x:c>
      <x:c r="E3076" s="33" t="str">
        <x:v>One Chicago</x:v>
      </x:c>
      <x:c r="F3076" s="33" t="str">
        <x:v>core</x:v>
      </x:c>
      <x:c r="G3076" s="50" t="n">
        <x:v>11</x:v>
      </x:c>
      <x:c r="H3076" s="50" t="n">
        <x:v>6</x:v>
      </x:c>
      <x:c r="I3076" s="44" t="str">
        <x:v>11.06</x:v>
      </x:c>
      <x:c r="J3076" s="33" t="str">
        <x:v>Survival</x:v>
      </x:c>
      <x:c r="K3076" s="33" t="str"/>
      <x:c r="L3076" s="33" t="str"/>
      <x:c r="M3076" s="44" t="str"/>
      <x:c r="N3076" s="50" t="n">
        <x:v>42</x:v>
      </x:c>
      <x:c r="O3076" s="53" t="str">
        <x:v>Intelligence teams up with ASA Chapman to take on an abduction case involving a teenager. The case hits close to home for Voight, leading him to take a personal interest in finding justice for the victim.</x:v>
      </x:c>
      <x:c r="P3076" s="53" t="str">
        <x:v>Core One Chicago franchise; crossovers with SVU/FBI</x:v>
      </x:c>
      <x:c r="Q3076" s="17" t="str">
        <x:v>11474111</x:v>
      </x:c>
      <x:c r="R3076" s="17" t="str">
        <x:v>tt31308603</x:v>
      </x:c>
      <x:c r="S3076" s="17" t="str"/>
    </x:row>
    <x:row r="3077">
      <x:c r="A3077" s="43" t="n">
        <x:v>3073</x:v>
      </x:c>
      <x:c r="B3077" s="44" t="str">
        <x:v>Not Started</x:v>
      </x:c>
      <x:c r="C3077" s="45" t="n">
        <x:v>45351</x:v>
      </x:c>
      <x:c r="D3077" s="33" t="str">
        <x:v>Chicago Fire</x:v>
      </x:c>
      <x:c r="E3077" s="33" t="str">
        <x:v>One Chicago</x:v>
      </x:c>
      <x:c r="F3077" s="33" t="str">
        <x:v>core</x:v>
      </x:c>
      <x:c r="G3077" s="50" t="n">
        <x:v>12</x:v>
      </x:c>
      <x:c r="H3077" s="50" t="n">
        <x:v>6</x:v>
      </x:c>
      <x:c r="I3077" s="44" t="str">
        <x:v>12.06</x:v>
      </x:c>
      <x:c r="J3077" s="33" t="str">
        <x:v>Port in the Storm</x:v>
      </x:c>
      <x:c r="K3077" s="33" t="str"/>
      <x:c r="L3077" s="33" t="str"/>
      <x:c r="M3077" s="44" t="str"/>
      <x:c r="N3077" s="50" t="n">
        <x:v>41</x:v>
      </x:c>
      <x:c r="O3077" s="53" t="str">
        <x:v>Firehouse 51 welcomes back some familiar faces and says goodbye to Brett. Violet scrambles to decorate Brett's wedding venue. A call at the expo center takes a shocking turn.</x:v>
      </x:c>
      <x:c r="P3077" s="53" t="str">
        <x:v>Core One Chicago franchise</x:v>
      </x:c>
      <x:c r="Q3077" s="17" t="str">
        <x:v>11474537</x:v>
      </x:c>
      <x:c r="R3077" s="17" t="str">
        <x:v>tt31308589</x:v>
      </x:c>
      <x:c r="S3077" s="17" t="str"/>
    </x:row>
    <x:row r="3078">
      <x:c r="A3078" s="43" t="n">
        <x:v>3074</x:v>
      </x:c>
      <x:c r="B3078" s="44" t="str">
        <x:v>Not Started</x:v>
      </x:c>
      <x:c r="C3078" s="45" t="n">
        <x:v>45351</x:v>
      </x:c>
      <x:c r="D3078" s="33" t="str">
        <x:v>Law &amp; Order</x:v>
      </x:c>
      <x:c r="E3078" s="33" t="str">
        <x:v>Law &amp; Order</x:v>
      </x:c>
      <x:c r="F3078" s="33" t="str">
        <x:v>core</x:v>
      </x:c>
      <x:c r="G3078" s="50" t="n">
        <x:v>23</x:v>
      </x:c>
      <x:c r="H3078" s="50" t="n">
        <x:v>6</x:v>
      </x:c>
      <x:c r="I3078" s="44" t="str">
        <x:v>23.06</x:v>
      </x:c>
      <x:c r="J3078" s="33" t="str">
        <x:v>On the Ledge</x:v>
      </x:c>
      <x:c r="K3078" s="33" t="str"/>
      <x:c r="L3078" s="33" t="str"/>
      <x:c r="M3078" s="44" t="str"/>
      <x:c r="N3078" s="50" t="n">
        <x:v>43</x:v>
      </x:c>
      <x:c r="O3078" s="53" t="str">
        <x:v>When NYPD responds to the scene of an active shooter in a nearby hospital, Shaw is shocked at his connection to the suspect. Maroun and Price face a difficult trial when the defendant offers up an insanity plea.</x:v>
      </x:c>
      <x:c r="P3078" s="53" t="str">
        <x:v>Core Law &amp; Order franchise</x:v>
      </x:c>
      <x:c r="Q3078" s="17" t="str">
        <x:v>11334435</x:v>
      </x:c>
      <x:c r="R3078" s="17" t="str">
        <x:v>tt31314425</x:v>
      </x:c>
      <x:c r="S3078" s="17" t="str">
        <x:v>1640</x:v>
      </x:c>
    </x:row>
    <x:row r="3079">
      <x:c r="A3079" s="43" t="n">
        <x:v>3075</x:v>
      </x:c>
      <x:c r="B3079" s="44" t="str">
        <x:v>Not Started</x:v>
      </x:c>
      <x:c r="C3079" s="45" t="n">
        <x:v>45351</x:v>
      </x:c>
      <x:c r="D3079" s="33" t="str">
        <x:v>Law &amp; Order: Special Victims Unit</x:v>
      </x:c>
      <x:c r="E3079" s="33" t="str">
        <x:v>Law &amp; Order</x:v>
      </x:c>
      <x:c r="F3079" s="33" t="str">
        <x:v>core</x:v>
      </x:c>
      <x:c r="G3079" s="50" t="n">
        <x:v>25</x:v>
      </x:c>
      <x:c r="H3079" s="50" t="n">
        <x:v>6</x:v>
      </x:c>
      <x:c r="I3079" s="44" t="str">
        <x:v>25.06</x:v>
      </x:c>
      <x:c r="J3079" s="33" t="str">
        <x:v>Carousel</x:v>
      </x:c>
      <x:c r="K3079" s="33" t="str"/>
      <x:c r="L3079" s="33" t="str"/>
      <x:c r="M3079" s="44" t="str"/>
      <x:c r="N3079" s="50" t="n">
        <x:v>43</x:v>
      </x:c>
      <x:c r="O3079" s="53" t="str">
        <x:v>To identify a woman's attacker, the SVU must track down a mysterious suspect targeting tourists staying in hostels.</x:v>
      </x:c>
      <x:c r="P3079" s="53" t="str">
        <x:v>Core Law &amp; Order franchise</x:v>
      </x:c>
      <x:c r="Q3079" s="17" t="str">
        <x:v>11334431</x:v>
      </x:c>
      <x:c r="R3079" s="17" t="str">
        <x:v>tt31315641</x:v>
      </x:c>
      <x:c r="S3079" s="17" t="str">
        <x:v>1641</x:v>
      </x:c>
    </x:row>
    <x:row r="3080">
      <x:c r="A3080" s="43" t="n">
        <x:v>3076</x:v>
      </x:c>
      <x:c r="B3080" s="44" t="str">
        <x:v>Not Started</x:v>
      </x:c>
      <x:c r="C3080" s="45" t="n">
        <x:v>45354</x:v>
      </x:c>
      <x:c r="D3080" s="33" t="str">
        <x:v>Cold Justice</x:v>
      </x:c>
      <x:c r="E3080" s="33" t="str">
        <x:v>Crossover Adjacent</x:v>
      </x:c>
      <x:c r="F3080" s="33" t="str">
        <x:v>complete</x:v>
      </x:c>
      <x:c r="G3080" s="50" t="n">
        <x:v>7</x:v>
      </x:c>
      <x:c r="H3080" s="50" t="n">
        <x:v>2</x:v>
      </x:c>
      <x:c r="I3080" s="44" t="str">
        <x:v>07.02</x:v>
      </x:c>
      <x:c r="J3080" s="33" t="str">
        <x:v>Silenced</x:v>
      </x:c>
      <x:c r="K3080" s="33" t="str"/>
      <x:c r="L3080" s="33" t="str"/>
      <x:c r="M3080" s="44" t="str"/>
      <x:c r="N3080" s="50" t="n">
        <x:v>44</x:v>
      </x:c>
      <x:c r="O3080" s="53" t="str">
        <x:v>The Cold Justice team help the Abilene Police Department investigate the heartbreaking double homicide of a devoted mother and her young daughter strangled in their home. Can DNA evidence left at the scene identify their killer?</x:v>
      </x:c>
      <x:c r="P3080" s="53" t="str">
        <x:v>Wolf Entertainment unscripted true-crime series</x:v>
      </x:c>
      <x:c r="Q3080" s="17" t="str">
        <x:v>11470939</x:v>
      </x:c>
      <x:c r="R3080" s="17" t="str"/>
      <x:c r="S3080" s="17" t="str"/>
    </x:row>
    <x:row r="3081">
      <x:c r="A3081" s="43" t="n">
        <x:v>3077</x:v>
      </x:c>
      <x:c r="B3081" s="44" t="str">
        <x:v>Not Started</x:v>
      </x:c>
      <x:c r="C3081" s="45" t="n">
        <x:v>45358</x:v>
      </x:c>
      <x:c r="D3081" s="33" t="str">
        <x:v>Law &amp; Order Toronto: Criminal Intent</x:v>
      </x:c>
      <x:c r="E3081" s="33" t="str">
        <x:v>Law &amp; Order</x:v>
      </x:c>
      <x:c r="F3081" s="33" t="str">
        <x:v>core</x:v>
      </x:c>
      <x:c r="G3081" s="50" t="n">
        <x:v>1</x:v>
      </x:c>
      <x:c r="H3081" s="50" t="n">
        <x:v>3</x:v>
      </x:c>
      <x:c r="I3081" s="44" t="str">
        <x:v>01.03</x:v>
      </x:c>
      <x:c r="J3081" s="33" t="str">
        <x:v>The Real Eve</x:v>
      </x:c>
      <x:c r="K3081" s="33" t="str"/>
      <x:c r="L3081" s="33" t="str"/>
      <x:c r="M3081" s="44" t="str"/>
      <x:c r="N3081" s="50" t="n">
        <x:v>43</x:v>
      </x:c>
      <x:c r="O3081" s="53" t="str">
        <x:v>When a beloved art professor, Eve Kinwood, is killed, the team must use her art to find the Real Eve and her killer.</x:v>
      </x:c>
      <x:c r="P3081" s="53" t="str">
        <x:v>Law &amp; Order international franchise</x:v>
      </x:c>
      <x:c r="Q3081" s="17" t="str">
        <x:v>11302055</x:v>
      </x:c>
      <x:c r="R3081" s="17" t="str">
        <x:v>tt29144650</x:v>
      </x:c>
      <x:c r="S3081" s="17" t="str">
        <x:v>1643</x:v>
      </x:c>
    </x:row>
    <x:row r="3082">
      <x:c r="A3082" s="43" t="n">
        <x:v>3078</x:v>
      </x:c>
      <x:c r="B3082" s="44" t="str">
        <x:v>Not Started</x:v>
      </x:c>
      <x:c r="C3082" s="45" t="n">
        <x:v>45361</x:v>
      </x:c>
      <x:c r="D3082" s="33" t="str">
        <x:v>Cold Justice</x:v>
      </x:c>
      <x:c r="E3082" s="33" t="str">
        <x:v>Crossover Adjacent</x:v>
      </x:c>
      <x:c r="F3082" s="33" t="str">
        <x:v>complete</x:v>
      </x:c>
      <x:c r="G3082" s="50" t="n">
        <x:v>7</x:v>
      </x:c>
      <x:c r="H3082" s="50" t="n">
        <x:v>3</x:v>
      </x:c>
      <x:c r="I3082" s="44" t="str">
        <x:v>07.03</x:v>
      </x:c>
      <x:c r="J3082" s="33" t="str">
        <x:v>Killer at the Door</x:v>
      </x:c>
      <x:c r="K3082" s="33" t="str"/>
      <x:c r="L3082" s="33" t="str"/>
      <x:c r="M3082" s="44" t="str"/>
      <x:c r="N3082" s="50" t="n">
        <x:v>44</x:v>
      </x:c>
      <x:c r="O3082" s="53" t="str">
        <x:v>Kelly and Steve join the Kankakee Police Department to help a woman who just missed seeing her mother's killer at their front door when she was 11 years old. Decades later, can she recall any clues to help crack the case?</x:v>
      </x:c>
      <x:c r="P3082" s="53" t="str">
        <x:v>Wolf Entertainment unscripted true-crime series</x:v>
      </x:c>
      <x:c r="Q3082" s="17" t="str">
        <x:v>11504912</x:v>
      </x:c>
      <x:c r="R3082" s="17" t="str"/>
      <x:c r="S3082" s="17" t="str"/>
    </x:row>
    <x:row r="3083">
      <x:c r="A3083" s="43" t="n">
        <x:v>3079</x:v>
      </x:c>
      <x:c r="B3083" s="44" t="str">
        <x:v>Not Started</x:v>
      </x:c>
      <x:c r="C3083" s="45" t="n">
        <x:v>45364</x:v>
      </x:c>
      <x:c r="D3083" s="33" t="str">
        <x:v>FBI: International</x:v>
      </x:c>
      <x:c r="E3083" s="33" t="str">
        <x:v>FBI</x:v>
      </x:c>
      <x:c r="F3083" s="33" t="str">
        <x:v>core</x:v>
      </x:c>
      <x:c r="G3083" s="50" t="n">
        <x:v>3</x:v>
      </x:c>
      <x:c r="H3083" s="50" t="n">
        <x:v>4</x:v>
      </x:c>
      <x:c r="I3083" s="44" t="str">
        <x:v>03.04</x:v>
      </x:c>
      <x:c r="J3083" s="33" t="str">
        <x:v>Cowboy Behavior</x:v>
      </x:c>
      <x:c r="K3083" s="33" t="str"/>
      <x:c r="L3083" s="33" t="str"/>
      <x:c r="M3083" s="44" t="str"/>
      <x:c r="N3083" s="50" t="n">
        <x:v>42</x:v>
      </x:c>
      <x:c r="O3083" s="53" t="str">
        <x:v>The Fly Team heads to Bulgaria in search of a wanted criminal who is exploiting underage American girls. Meanwhile, Raines becomes curious when Forrester asks him to keep an eye on Powell.</x:v>
      </x:c>
      <x:c r="P3083" s="53" t="str">
        <x:v>Core FBI franchise</x:v>
      </x:c>
      <x:c r="Q3083" s="17" t="str">
        <x:v>11588003</x:v>
      </x:c>
      <x:c r="R3083" s="17" t="str">
        <x:v>tt31391040</x:v>
      </x:c>
      <x:c r="S3083" s="17" t="str"/>
    </x:row>
    <x:row r="3084">
      <x:c r="A3084" s="43" t="n">
        <x:v>3080</x:v>
      </x:c>
      <x:c r="B3084" s="44" t="str">
        <x:v>Not Started</x:v>
      </x:c>
      <x:c r="C3084" s="45" t="n">
        <x:v>45364</x:v>
      </x:c>
      <x:c r="D3084" s="33" t="str">
        <x:v>FBI: Most Wanted</x:v>
      </x:c>
      <x:c r="E3084" s="33" t="str">
        <x:v>FBI</x:v>
      </x:c>
      <x:c r="F3084" s="33" t="str">
        <x:v>core</x:v>
      </x:c>
      <x:c r="G3084" s="50" t="n">
        <x:v>5</x:v>
      </x:c>
      <x:c r="H3084" s="50" t="n">
        <x:v>4</x:v>
      </x:c>
      <x:c r="I3084" s="44" t="str">
        <x:v>05.04</x:v>
      </x:c>
      <x:c r="J3084" s="33" t="str">
        <x:v>Hollow</x:v>
      </x:c>
      <x:c r="K3084" s="33" t="str"/>
      <x:c r="L3084" s="33" t="str"/>
      <x:c r="M3084" s="44" t="str"/>
      <x:c r="N3084" s="50" t="n">
        <x:v>44</x:v>
      </x:c>
      <x:c r="O3084" s="53" t="str">
        <x:v>The Fugitive Task Force heads upstate to assist in a search for missing and murdered Indigenous women and hunt down the serial killer responsible. Meanwhile, Barnes struggles to find time to bond with her wife.</x:v>
      </x:c>
      <x:c r="P3084" s="53" t="str">
        <x:v>Core FBI franchise</x:v>
      </x:c>
      <x:c r="Q3084" s="17" t="str">
        <x:v>10892390</x:v>
      </x:c>
      <x:c r="R3084" s="17" t="str">
        <x:v>tt31313862</x:v>
      </x:c>
      <x:c r="S3084" s="17" t="str"/>
    </x:row>
    <x:row r="3085">
      <x:c r="A3085" s="43" t="n">
        <x:v>3081</x:v>
      </x:c>
      <x:c r="B3085" s="44" t="str">
        <x:v>Not Started</x:v>
      </x:c>
      <x:c r="C3085" s="45" t="n">
        <x:v>45364</x:v>
      </x:c>
      <x:c r="D3085" s="33" t="str">
        <x:v>FBI</x:v>
      </x:c>
      <x:c r="E3085" s="33" t="str">
        <x:v>FBI</x:v>
      </x:c>
      <x:c r="F3085" s="33" t="str">
        <x:v>core</x:v>
      </x:c>
      <x:c r="G3085" s="50" t="n">
        <x:v>6</x:v>
      </x:c>
      <x:c r="H3085" s="50" t="n">
        <x:v>4</x:v>
      </x:c>
      <x:c r="I3085" s="44" t="str">
        <x:v>06.04</x:v>
      </x:c>
      <x:c r="J3085" s="33" t="str">
        <x:v>Creating a Monster</x:v>
      </x:c>
      <x:c r="K3085" s="33" t="str"/>
      <x:c r="L3085" s="33" t="str"/>
      <x:c r="M3085" s="44" t="str"/>
      <x:c r="N3085" s="50" t="n">
        <x:v>44</x:v>
      </x:c>
      <x:c r="O3085" s="53" t="str">
        <x:v>When a federal judge is gunned down execution-style in broad daylight, the team is sent looking for a suspect with ties to a local Islamic center. Also, Maggie reunites with a former colleague while things become tense between OA and his girlfriend Gemma.</x:v>
      </x:c>
      <x:c r="P3085" s="53" t="str">
        <x:v>Core FBI franchise</x:v>
      </x:c>
      <x:c r="Q3085" s="17" t="str">
        <x:v>11587416</x:v>
      </x:c>
      <x:c r="R3085" s="17" t="str">
        <x:v>tt31122495</x:v>
      </x:c>
      <x:c r="S3085" s="17" t="str"/>
    </x:row>
    <x:row r="3086">
      <x:c r="A3086" s="43" t="n">
        <x:v>3082</x:v>
      </x:c>
      <x:c r="B3086" s="44" t="str">
        <x:v>Not Started</x:v>
      </x:c>
      <x:c r="C3086" s="45" t="n">
        <x:v>45365</x:v>
      </x:c>
      <x:c r="D3086" s="33" t="str">
        <x:v>Law &amp; Order Toronto: Criminal Intent</x:v>
      </x:c>
      <x:c r="E3086" s="33" t="str">
        <x:v>Law &amp; Order</x:v>
      </x:c>
      <x:c r="F3086" s="33" t="str">
        <x:v>core</x:v>
      </x:c>
      <x:c r="G3086" s="50" t="n">
        <x:v>1</x:v>
      </x:c>
      <x:c r="H3086" s="50" t="n">
        <x:v>4</x:v>
      </x:c>
      <x:c r="I3086" s="44" t="str">
        <x:v>01.04</x:v>
      </x:c>
      <x:c r="J3086" s="33" t="str">
        <x:v>Crack Reporter</x:v>
      </x:c>
      <x:c r="K3086" s="33" t="str"/>
      <x:c r="L3086" s="33" t="str"/>
      <x:c r="M3086" s="44" t="str"/>
      <x:c r="N3086" s="50" t="n">
        <x:v>44</x:v>
      </x:c>
      <x:c r="O3086" s="53" t="str">
        <x:v>A stabbing on a crowded transit walkway throws the detectives into the middle of a heated mayoral race as they investigate the murder of a local journalist.</x:v>
      </x:c>
      <x:c r="P3086" s="53" t="str">
        <x:v>Law &amp; Order international franchise</x:v>
      </x:c>
      <x:c r="Q3086" s="17" t="str">
        <x:v>11302057</x:v>
      </x:c>
      <x:c r="R3086" s="17" t="str">
        <x:v>tt29144652</x:v>
      </x:c>
      <x:c r="S3086" s="17" t="str">
        <x:v>1644</x:v>
      </x:c>
    </x:row>
    <x:row r="3087">
      <x:c r="A3087" s="43" t="n">
        <x:v>3083</x:v>
      </x:c>
      <x:c r="B3087" s="44" t="str">
        <x:v>Not Started</x:v>
      </x:c>
      <x:c r="C3087" s="45" t="n">
        <x:v>45365</x:v>
      </x:c>
      <x:c r="D3087" s="33" t="str">
        <x:v>Law &amp; Order: Organized Crime</x:v>
      </x:c>
      <x:c r="E3087" s="33" t="str">
        <x:v>Law &amp; Order</x:v>
      </x:c>
      <x:c r="F3087" s="33" t="str">
        <x:v>core</x:v>
      </x:c>
      <x:c r="G3087" s="50" t="n">
        <x:v>4</x:v>
      </x:c>
      <x:c r="H3087" s="50" t="n">
        <x:v>7</x:v>
      </x:c>
      <x:c r="I3087" s="44" t="str">
        <x:v>04.07</x:v>
      </x:c>
      <x:c r="J3087" s="33" t="str">
        <x:v>Original Sin</x:v>
      </x:c>
      <x:c r="K3087" s="33" t="str"/>
      <x:c r="L3087" s="33" t="str"/>
      <x:c r="M3087" s="44" t="str"/>
      <x:c r="N3087" s="50" t="n">
        <x:v>43</x:v>
      </x:c>
      <x:c r="O3087" s="53" t="str">
        <x:v>The squad backs up Stabler in pursuing a murder case outside of their jurisdiction as an unlikely ally provides a key piece of evidence. Bell works to find a way to get Stabler back on the job.</x:v>
      </x:c>
      <x:c r="P3087" s="53" t="str">
        <x:v>Core Law &amp; Order franchise</x:v>
      </x:c>
      <x:c r="Q3087" s="17" t="str">
        <x:v>11504850</x:v>
      </x:c>
      <x:c r="R3087" s="17" t="str">
        <x:v>tt31511253</x:v>
      </x:c>
      <x:c r="S3087" s="17" t="str">
        <x:v>1647</x:v>
      </x:c>
    </x:row>
    <x:row r="3088">
      <x:c r="A3088" s="43" t="n">
        <x:v>3084</x:v>
      </x:c>
      <x:c r="B3088" s="44" t="str">
        <x:v>Not Started</x:v>
      </x:c>
      <x:c r="C3088" s="45" t="n">
        <x:v>45365</x:v>
      </x:c>
      <x:c r="D3088" s="33" t="str">
        <x:v>Law &amp; Order</x:v>
      </x:c>
      <x:c r="E3088" s="33" t="str">
        <x:v>Law &amp; Order</x:v>
      </x:c>
      <x:c r="F3088" s="33" t="str">
        <x:v>core</x:v>
      </x:c>
      <x:c r="G3088" s="50" t="n">
        <x:v>23</x:v>
      </x:c>
      <x:c r="H3088" s="50" t="n">
        <x:v>7</x:v>
      </x:c>
      <x:c r="I3088" s="44" t="str">
        <x:v>23.07</x:v>
      </x:c>
      <x:c r="J3088" s="33" t="str">
        <x:v>Balance of Power</x:v>
      </x:c>
      <x:c r="K3088" s="33" t="str"/>
      <x:c r="L3088" s="33" t="str"/>
      <x:c r="M3088" s="44" t="str"/>
      <x:c r="N3088" s="50" t="n">
        <x:v>43</x:v>
      </x:c>
      <x:c r="O3088" s="53" t="str">
        <x:v>When a successful investor is murdered, Shaw and Riley dig into his life to identify his killer. DA Baxter puts pressure on Price and Maroun to make sure his first case in office is a success.</x:v>
      </x:c>
      <x:c r="P3088" s="53" t="str">
        <x:v>Core Law &amp; Order franchise</x:v>
      </x:c>
      <x:c r="Q3088" s="17" t="str">
        <x:v>11452651</x:v>
      </x:c>
      <x:c r="R3088" s="17" t="str">
        <x:v>tt31492646</x:v>
      </x:c>
      <x:c r="S3088" s="17" t="str">
        <x:v>1645</x:v>
      </x:c>
    </x:row>
    <x:row r="3089">
      <x:c r="A3089" s="43" t="n">
        <x:v>3085</x:v>
      </x:c>
      <x:c r="B3089" s="44" t="str">
        <x:v>Not Started</x:v>
      </x:c>
      <x:c r="C3089" s="45" t="n">
        <x:v>45365</x:v>
      </x:c>
      <x:c r="D3089" s="33" t="str">
        <x:v>Law &amp; Order: Special Victims Unit</x:v>
      </x:c>
      <x:c r="E3089" s="33" t="str">
        <x:v>Law &amp; Order</x:v>
      </x:c>
      <x:c r="F3089" s="33" t="str">
        <x:v>core</x:v>
      </x:c>
      <x:c r="G3089" s="50" t="n">
        <x:v>25</x:v>
      </x:c>
      <x:c r="H3089" s="50" t="n">
        <x:v>7</x:v>
      </x:c>
      <x:c r="I3089" s="44" t="str">
        <x:v>25.07</x:v>
      </x:c>
      <x:c r="J3089" s="33" t="str">
        <x:v>Probability of Doom</x:v>
      </x:c>
      <x:c r="K3089" s="33" t="str"/>
      <x:c r="L3089" s="33" t="str"/>
      <x:c r="M3089" s="44" t="str"/>
      <x:c r="N3089" s="50" t="n">
        <x:v>43</x:v>
      </x:c>
      <x:c r="O3089" s="53" t="str">
        <x:v>When a woman turns her husband in for possessing child pornography, the case is complicated by a sudden death. Benson tries to reconnect with a victim she saved.</x:v>
      </x:c>
      <x:c r="P3089" s="53" t="str">
        <x:v>Core Law &amp; Order franchise</x:v>
      </x:c>
      <x:c r="Q3089" s="17" t="str">
        <x:v>11501831</x:v>
      </x:c>
      <x:c r="R3089" s="17" t="str">
        <x:v>tt31322985</x:v>
      </x:c>
      <x:c r="S3089" s="17" t="str">
        <x:v>1646</x:v>
      </x:c>
    </x:row>
    <x:row r="3090">
      <x:c r="A3090" s="43" t="n">
        <x:v>3086</x:v>
      </x:c>
      <x:c r="B3090" s="44" t="str">
        <x:v>Not Started</x:v>
      </x:c>
      <x:c r="C3090" s="45" t="n">
        <x:v>45368</x:v>
      </x:c>
      <x:c r="D3090" s="33" t="str">
        <x:v>Cold Justice</x:v>
      </x:c>
      <x:c r="E3090" s="33" t="str">
        <x:v>Crossover Adjacent</x:v>
      </x:c>
      <x:c r="F3090" s="33" t="str">
        <x:v>complete</x:v>
      </x:c>
      <x:c r="G3090" s="50" t="n">
        <x:v>7</x:v>
      </x:c>
      <x:c r="H3090" s="50" t="n">
        <x:v>4</x:v>
      </x:c>
      <x:c r="I3090" s="44" t="str">
        <x:v>07.04</x:v>
      </x:c>
      <x:c r="J3090" s="33" t="str">
        <x:v>Enemy Next Door</x:v>
      </x:c>
      <x:c r="K3090" s="33" t="str"/>
      <x:c r="L3090" s="33" t="str"/>
      <x:c r="M3090" s="44" t="str"/>
      <x:c r="N3090" s="50" t="n">
        <x:v>44</x:v>
      </x:c>
      <x:c r="O3090" s="53" t="str">
        <x:v>Kelly and Steve extend their stay in Illinois to help the Kankakee Police Department look into another mysterious case – the unsolved homicide of a beautiful mother-to-be and her unborn child. Did a love triangle she was involved in turn deadly?</x:v>
      </x:c>
      <x:c r="P3090" s="53" t="str">
        <x:v>Wolf Entertainment unscripted true-crime series</x:v>
      </x:c>
      <x:c r="Q3090" s="17" t="str">
        <x:v>11543651</x:v>
      </x:c>
      <x:c r="R3090" s="17" t="str"/>
      <x:c r="S3090" s="17" t="str"/>
    </x:row>
    <x:row r="3091">
      <x:c r="A3091" s="43" t="n">
        <x:v>3087</x:v>
      </x:c>
      <x:c r="B3091" s="44" t="str">
        <x:v>Not Started</x:v>
      </x:c>
      <x:c r="C3091" s="45" t="n">
        <x:v>45371</x:v>
      </x:c>
      <x:c r="D3091" s="33" t="str">
        <x:v>FBI: International</x:v>
      </x:c>
      <x:c r="E3091" s="33" t="str">
        <x:v>FBI</x:v>
      </x:c>
      <x:c r="F3091" s="33" t="str">
        <x:v>core</x:v>
      </x:c>
      <x:c r="G3091" s="50" t="n">
        <x:v>3</x:v>
      </x:c>
      <x:c r="H3091" s="50" t="n">
        <x:v>5</x:v>
      </x:c>
      <x:c r="I3091" s="44" t="str">
        <x:v>03.05</x:v>
      </x:c>
      <x:c r="J3091" s="33" t="str">
        <x:v>Death by Inches</x:v>
      </x:c>
      <x:c r="K3091" s="33" t="str"/>
      <x:c r="L3091" s="33" t="str"/>
      <x:c r="M3091" s="44" t="str"/>
      <x:c r="N3091" s="50" t="n">
        <x:v>44</x:v>
      </x:c>
      <x:c r="O3091" s="53" t="str">
        <x:v>When a disgraced former U.S. cabinet member is arrested in Vienna, the Fly Team is sent to investigate whether he and his assistant were peddling classified government documents. Powell struggles as he is forced to stay behind on desk duty.</x:v>
      </x:c>
      <x:c r="P3091" s="53" t="str">
        <x:v>Core FBI franchise</x:v>
      </x:c>
      <x:c r="Q3091" s="17" t="str">
        <x:v>11588004</x:v>
      </x:c>
      <x:c r="R3091" s="17" t="str">
        <x:v>tt31391083</x:v>
      </x:c>
      <x:c r="S3091" s="17" t="str"/>
    </x:row>
    <x:row r="3092">
      <x:c r="A3092" s="43" t="n">
        <x:v>3088</x:v>
      </x:c>
      <x:c r="B3092" s="44" t="str">
        <x:v>Not Started</x:v>
      </x:c>
      <x:c r="C3092" s="45" t="n">
        <x:v>45371</x:v>
      </x:c>
      <x:c r="D3092" s="33" t="str">
        <x:v>FBI: Most Wanted</x:v>
      </x:c>
      <x:c r="E3092" s="33" t="str">
        <x:v>FBI</x:v>
      </x:c>
      <x:c r="F3092" s="33" t="str">
        <x:v>core</x:v>
      </x:c>
      <x:c r="G3092" s="50" t="n">
        <x:v>5</x:v>
      </x:c>
      <x:c r="H3092" s="50" t="n">
        <x:v>5</x:v>
      </x:c>
      <x:c r="I3092" s="44" t="str">
        <x:v>05.05</x:v>
      </x:c>
      <x:c r="J3092" s="33" t="str">
        <x:v>Desperate</x:v>
      </x:c>
      <x:c r="K3092" s="33" t="str"/>
      <x:c r="L3092" s="33" t="str"/>
      <x:c r="M3092" s="44" t="str"/>
      <x:c r="N3092" s="50" t="n">
        <x:v>42</x:v>
      </x:c>
      <x:c r="O3092" s="53" t="str">
        <x:v>When a high school debate team and their English teacher are kidnapped in rural Pennsylvania, the Fugitive Task Force rushes to the scene to find out who took them and what they want before it's too late. Also, Remy helps Corey out of a bind.</x:v>
      </x:c>
      <x:c r="P3092" s="53" t="str">
        <x:v>Core FBI franchise</x:v>
      </x:c>
      <x:c r="Q3092" s="17" t="str">
        <x:v>10892391</x:v>
      </x:c>
      <x:c r="R3092" s="17" t="str">
        <x:v>tt31313865</x:v>
      </x:c>
      <x:c r="S3092" s="17" t="str"/>
    </x:row>
    <x:row r="3093">
      <x:c r="A3093" s="43" t="n">
        <x:v>3089</x:v>
      </x:c>
      <x:c r="B3093" s="44" t="str">
        <x:v>Not Started</x:v>
      </x:c>
      <x:c r="C3093" s="45" t="n">
        <x:v>45371</x:v>
      </x:c>
      <x:c r="D3093" s="33" t="str">
        <x:v>FBI</x:v>
      </x:c>
      <x:c r="E3093" s="33" t="str">
        <x:v>FBI</x:v>
      </x:c>
      <x:c r="F3093" s="33" t="str">
        <x:v>core</x:v>
      </x:c>
      <x:c r="G3093" s="50" t="n">
        <x:v>6</x:v>
      </x:c>
      <x:c r="H3093" s="50" t="n">
        <x:v>5</x:v>
      </x:c>
      <x:c r="I3093" s="44" t="str">
        <x:v>06.05</x:v>
      </x:c>
      <x:c r="J3093" s="33" t="str">
        <x:v>Sacrifice</x:v>
      </x:c>
      <x:c r="K3093" s="33" t="str"/>
      <x:c r="L3093" s="33" t="str"/>
      <x:c r="M3093" s="44" t="str"/>
      <x:c r="N3093" s="50" t="n">
        <x:v>43</x:v>
      </x:c>
      <x:c r="O3093" s="53" t="str">
        <x:v>When the director of a Brooklyn migrant center is abducted and held hostage along with his wife, the team must work quickly to meet the demands of their kidnapper. Also, Maggie picks Jessica's brain about motherhood.</x:v>
      </x:c>
      <x:c r="P3093" s="53" t="str">
        <x:v>Core FBI franchise</x:v>
      </x:c>
      <x:c r="Q3093" s="17" t="str">
        <x:v>11587417</x:v>
      </x:c>
      <x:c r="R3093" s="17" t="str">
        <x:v>tt31122498</x:v>
      </x:c>
      <x:c r="S3093" s="17" t="str"/>
    </x:row>
    <x:row r="3094">
      <x:c r="A3094" s="43" t="n">
        <x:v>3090</x:v>
      </x:c>
      <x:c r="B3094" s="44" t="str">
        <x:v>Not Started</x:v>
      </x:c>
      <x:c r="C3094" s="45" t="n">
        <x:v>45372</x:v>
      </x:c>
      <x:c r="D3094" s="33" t="str">
        <x:v>Law &amp; Order Toronto: Criminal Intent</x:v>
      </x:c>
      <x:c r="E3094" s="33" t="str">
        <x:v>Law &amp; Order</x:v>
      </x:c>
      <x:c r="F3094" s="33" t="str">
        <x:v>core</x:v>
      </x:c>
      <x:c r="G3094" s="50" t="n">
        <x:v>1</x:v>
      </x:c>
      <x:c r="H3094" s="50" t="n">
        <x:v>5</x:v>
      </x:c>
      <x:c r="I3094" s="44" t="str">
        <x:v>01.05</x:v>
      </x:c>
      <x:c r="J3094" s="33" t="str">
        <x:v>Bleeding Heart</x:v>
      </x:c>
      <x:c r="K3094" s="33" t="str"/>
      <x:c r="L3094" s="33" t="str"/>
      <x:c r="M3094" s="44" t="str"/>
      <x:c r="N3094" s="50" t="n">
        <x:v>44</x:v>
      </x:c>
      <x:c r="O3094" s="53" t="str">
        <x:v>When a murder leads Graff and Bateman to a global crime syndicate, they must weave through a complex maze of criminals and victims to find the killer.</x:v>
      </x:c>
      <x:c r="P3094" s="53" t="str">
        <x:v>Law &amp; Order international franchise</x:v>
      </x:c>
      <x:c r="Q3094" s="17" t="str">
        <x:v>11302059</x:v>
      </x:c>
      <x:c r="R3094" s="17" t="str">
        <x:v>tt29144655</x:v>
      </x:c>
      <x:c r="S3094" s="17" t="str">
        <x:v>1648</x:v>
      </x:c>
    </x:row>
    <x:row r="3095">
      <x:c r="A3095" s="43" t="n">
        <x:v>3091</x:v>
      </x:c>
      <x:c r="B3095" s="44" t="str">
        <x:v>Not Started</x:v>
      </x:c>
      <x:c r="C3095" s="45" t="n">
        <x:v>45372</x:v>
      </x:c>
      <x:c r="D3095" s="33" t="str">
        <x:v>Law &amp; Order: Organized Crime</x:v>
      </x:c>
      <x:c r="E3095" s="33" t="str">
        <x:v>Law &amp; Order</x:v>
      </x:c>
      <x:c r="F3095" s="33" t="str">
        <x:v>core</x:v>
      </x:c>
      <x:c r="G3095" s="50" t="n">
        <x:v>4</x:v>
      </x:c>
      <x:c r="H3095" s="50" t="n">
        <x:v>8</x:v>
      </x:c>
      <x:c r="I3095" s="44" t="str">
        <x:v>04.08</x:v>
      </x:c>
      <x:c r="J3095" s="33" t="str">
        <x:v>Sins of Our Fathers</x:v>
      </x:c>
      <x:c r="K3095" s="33" t="str"/>
      <x:c r="L3095" s="33" t="str"/>
      <x:c r="M3095" s="44" t="str"/>
      <x:c r="N3095" s="50" t="n">
        <x:v>43</x:v>
      </x:c>
      <x:c r="O3095" s="53" t="str">
        <x:v>As Bell and the squad come up with a plan to bring the Westbrook case officially into their jurisdiction, Chief Bonner struggles with unanswered questions about her past and her beloved town. Stabler learns the outcome of his IAB investigation.</x:v>
      </x:c>
      <x:c r="P3095" s="53" t="str">
        <x:v>Core Law &amp; Order franchise</x:v>
      </x:c>
      <x:c r="Q3095" s="17" t="str">
        <x:v>11574322</x:v>
      </x:c>
      <x:c r="R3095" s="17" t="str">
        <x:v>tt31579863</x:v>
      </x:c>
      <x:c r="S3095" s="17" t="str">
        <x:v>1651</x:v>
      </x:c>
    </x:row>
    <x:row r="3096">
      <x:c r="A3096" s="43" t="n">
        <x:v>3092</x:v>
      </x:c>
      <x:c r="B3096" s="44" t="str">
        <x:v>Not Started</x:v>
      </x:c>
      <x:c r="C3096" s="45" t="n">
        <x:v>45372</x:v>
      </x:c>
      <x:c r="D3096" s="33" t="str">
        <x:v>Chicago Med</x:v>
      </x:c>
      <x:c r="E3096" s="33" t="str">
        <x:v>One Chicago</x:v>
      </x:c>
      <x:c r="F3096" s="33" t="str">
        <x:v>core</x:v>
      </x:c>
      <x:c r="G3096" s="50" t="n">
        <x:v>9</x:v>
      </x:c>
      <x:c r="H3096" s="50" t="n">
        <x:v>7</x:v>
      </x:c>
      <x:c r="I3096" s="44" t="str">
        <x:v>09.07</x:v>
      </x:c>
      <x:c r="J3096" s="33" t="str">
        <x:v>Step on a Crack and Break Your Mother's Back</x:v>
      </x:c>
      <x:c r="K3096" s="33" t="str"/>
      <x:c r="L3096" s="33" t="str"/>
      <x:c r="M3096" s="44" t="str"/>
      <x:c r="N3096" s="50" t="n">
        <x:v>42</x:v>
      </x:c>
      <x:c r="O3096" s="53" t="str">
        <x:v>Ripley and Charles treat a patient with OCD. Asher and Archer encounter a woman with a foreign object lodged in her heart. Marcel clashes with the chief of oncology.</x:v>
      </x:c>
      <x:c r="P3096" s="53" t="str">
        <x:v>Core One Chicago franchise</x:v>
      </x:c>
      <x:c r="Q3096" s="17" t="str">
        <x:v>11540787</x:v>
      </x:c>
      <x:c r="R3096" s="17" t="str">
        <x:v>tt31393010</x:v>
      </x:c>
      <x:c r="S3096" s="17" t="str"/>
    </x:row>
    <x:row r="3097">
      <x:c r="A3097" s="43" t="n">
        <x:v>3093</x:v>
      </x:c>
      <x:c r="B3097" s="44" t="str">
        <x:v>Not Started</x:v>
      </x:c>
      <x:c r="C3097" s="45" t="n">
        <x:v>45372</x:v>
      </x:c>
      <x:c r="D3097" s="33" t="str">
        <x:v>Chicago P.D.</x:v>
      </x:c>
      <x:c r="E3097" s="33" t="str">
        <x:v>One Chicago</x:v>
      </x:c>
      <x:c r="F3097" s="33" t="str">
        <x:v>core</x:v>
      </x:c>
      <x:c r="G3097" s="50" t="n">
        <x:v>11</x:v>
      </x:c>
      <x:c r="H3097" s="50" t="n">
        <x:v>7</x:v>
      </x:c>
      <x:c r="I3097" s="44" t="str">
        <x:v>11.07</x:v>
      </x:c>
      <x:c r="J3097" s="33" t="str">
        <x:v>The Living and the Dead</x:v>
      </x:c>
      <x:c r="K3097" s="33" t="str"/>
      <x:c r="L3097" s="33" t="str"/>
      <x:c r="M3097" s="44" t="str"/>
      <x:c r="N3097" s="50" t="n">
        <x:v>43</x:v>
      </x:c>
      <x:c r="O3097" s="53" t="str">
        <x:v>An ongoing case hits close to home for Voight as Intelligence teams up with an SVU detective to track down a prolific offender.</x:v>
      </x:c>
      <x:c r="P3097" s="53" t="str">
        <x:v>Core One Chicago franchise; crossovers with SVU/FBI</x:v>
      </x:c>
      <x:c r="Q3097" s="17" t="str">
        <x:v>11540786</x:v>
      </x:c>
      <x:c r="R3097" s="17" t="str">
        <x:v>tt31514570</x:v>
      </x:c>
      <x:c r="S3097" s="17" t="str"/>
    </x:row>
    <x:row r="3098">
      <x:c r="A3098" s="43" t="n">
        <x:v>3094</x:v>
      </x:c>
      <x:c r="B3098" s="44" t="str">
        <x:v>Not Started</x:v>
      </x:c>
      <x:c r="C3098" s="45" t="n">
        <x:v>45372</x:v>
      </x:c>
      <x:c r="D3098" s="33" t="str">
        <x:v>Chicago Fire</x:v>
      </x:c>
      <x:c r="E3098" s="33" t="str">
        <x:v>One Chicago</x:v>
      </x:c>
      <x:c r="F3098" s="33" t="str">
        <x:v>core</x:v>
      </x:c>
      <x:c r="G3098" s="50" t="n">
        <x:v>12</x:v>
      </x:c>
      <x:c r="H3098" s="50" t="n">
        <x:v>7</x:v>
      </x:c>
      <x:c r="I3098" s="44" t="str">
        <x:v>12.07</x:v>
      </x:c>
      <x:c r="J3098" s="33" t="str">
        <x:v>Red Flag</x:v>
      </x:c>
      <x:c r="K3098" s="33" t="str"/>
      <x:c r="L3098" s="33" t="str"/>
      <x:c r="M3098" s="44" t="str"/>
      <x:c r="N3098" s="50" t="n">
        <x:v>41</x:v>
      </x:c>
      <x:c r="O3098" s="53" t="str">
        <x:v>Violet clashes with her new partner. Severide discovers a hidden stash of money on a call and squares off against the cops working the case. Mouch gets a parking ticket.</x:v>
      </x:c>
      <x:c r="P3098" s="53" t="str">
        <x:v>Core One Chicago franchise</x:v>
      </x:c>
      <x:c r="Q3098" s="17" t="str">
        <x:v>11540784</x:v>
      </x:c>
      <x:c r="R3098" s="17" t="str">
        <x:v>tt31369112</x:v>
      </x:c>
      <x:c r="S3098" s="17" t="str"/>
    </x:row>
    <x:row r="3099">
      <x:c r="A3099" s="43" t="n">
        <x:v>3095</x:v>
      </x:c>
      <x:c r="B3099" s="44" t="str">
        <x:v>Not Started</x:v>
      </x:c>
      <x:c r="C3099" s="45" t="n">
        <x:v>45372</x:v>
      </x:c>
      <x:c r="D3099" s="33" t="str">
        <x:v>Law &amp; Order</x:v>
      </x:c>
      <x:c r="E3099" s="33" t="str">
        <x:v>Law &amp; Order</x:v>
      </x:c>
      <x:c r="F3099" s="33" t="str">
        <x:v>core</x:v>
      </x:c>
      <x:c r="G3099" s="50" t="n">
        <x:v>23</x:v>
      </x:c>
      <x:c r="H3099" s="50" t="n">
        <x:v>8</x:v>
      </x:c>
      <x:c r="I3099" s="44" t="str">
        <x:v>23.08</x:v>
      </x:c>
      <x:c r="J3099" s="33" t="str">
        <x:v>Facade</x:v>
      </x:c>
      <x:c r="K3099" s="33" t="str"/>
      <x:c r="L3099" s="33" t="str"/>
      <x:c r="M3099" s="44" t="str"/>
      <x:c r="N3099" s="50" t="n">
        <x:v>43</x:v>
      </x:c>
      <x:c r="O3099" s="53" t="str">
        <x:v>Shaw and Riley investigate the death of a comedian after a subway altercation. When a suspect is arrested, Baxter insists they increase the charges despite Price's apprehension. At trial, a new witness comes forward to throw the case into question.</x:v>
      </x:c>
      <x:c r="P3099" s="53" t="str">
        <x:v>Core Law &amp; Order franchise</x:v>
      </x:c>
      <x:c r="Q3099" s="17" t="str">
        <x:v>11579169</x:v>
      </x:c>
      <x:c r="R3099" s="17" t="str">
        <x:v>tt31609385</x:v>
      </x:c>
      <x:c r="S3099" s="17" t="str">
        <x:v>1649</x:v>
      </x:c>
    </x:row>
    <x:row r="3100">
      <x:c r="A3100" s="43" t="n">
        <x:v>3096</x:v>
      </x:c>
      <x:c r="B3100" s="44" t="str">
        <x:v>Not Started</x:v>
      </x:c>
      <x:c r="C3100" s="45" t="n">
        <x:v>45372</x:v>
      </x:c>
      <x:c r="D3100" s="33" t="str">
        <x:v>Law &amp; Order: Special Victims Unit</x:v>
      </x:c>
      <x:c r="E3100" s="33" t="str">
        <x:v>Law &amp; Order</x:v>
      </x:c>
      <x:c r="F3100" s="33" t="str">
        <x:v>core</x:v>
      </x:c>
      <x:c r="G3100" s="50" t="n">
        <x:v>25</x:v>
      </x:c>
      <x:c r="H3100" s="50" t="n">
        <x:v>8</x:v>
      </x:c>
      <x:c r="I3100" s="44" t="str">
        <x:v>25.08</x:v>
      </x:c>
      <x:c r="J3100" s="33" t="str">
        <x:v>Third Man Syndrome</x:v>
      </x:c>
      <x:c r="K3100" s="33" t="str"/>
      <x:c r="L3100" s="33" t="str"/>
      <x:c r="M3100" s="44" t="str"/>
      <x:c r="N3100" s="50" t="n">
        <x:v>43</x:v>
      </x:c>
      <x:c r="O3100" s="53" t="str">
        <x:v>A brutal assault in the street leads Carisi to pursue hate crime charges. Benson must support a homebound witness too scared to speak up.</x:v>
      </x:c>
      <x:c r="P3100" s="53" t="str">
        <x:v>Core Law &amp; Order franchise</x:v>
      </x:c>
      <x:c r="Q3100" s="17" t="str">
        <x:v>11504856</x:v>
      </x:c>
      <x:c r="R3100" s="17" t="str">
        <x:v>tt31579907</x:v>
      </x:c>
      <x:c r="S3100" s="17" t="str">
        <x:v>1650</x:v>
      </x:c>
    </x:row>
    <x:row r="3101">
      <x:c r="A3101" s="43" t="n">
        <x:v>3097</x:v>
      </x:c>
      <x:c r="B3101" s="44" t="str">
        <x:v>Not Started</x:v>
      </x:c>
      <x:c r="C3101" s="45" t="n">
        <x:v>45375</x:v>
      </x:c>
      <x:c r="D3101" s="33" t="str">
        <x:v>Cold Justice</x:v>
      </x:c>
      <x:c r="E3101" s="33" t="str">
        <x:v>Crossover Adjacent</x:v>
      </x:c>
      <x:c r="F3101" s="33" t="str">
        <x:v>complete</x:v>
      </x:c>
      <x:c r="G3101" s="50" t="n">
        <x:v>7</x:v>
      </x:c>
      <x:c r="H3101" s="50" t="n">
        <x:v>5</x:v>
      </x:c>
      <x:c r="I3101" s="44" t="str">
        <x:v>07.05</x:v>
      </x:c>
      <x:c r="J3101" s="33" t="str">
        <x:v>Some Kind of Monster</x:v>
      </x:c>
      <x:c r="K3101" s="33" t="str"/>
      <x:c r="L3101" s="33" t="str"/>
      <x:c r="M3101" s="44" t="str"/>
      <x:c r="N3101" s="50" t="n">
        <x:v>44</x:v>
      </x:c>
      <x:c r="O3101" s="53" t="str">
        <x:v>Kelly, Tonya and the Alcoa Police Department investigate the brutal 1990 rape and murder of a beloved 80-year-old grandmother. Was it a sadistic random intruder or a member of her own family?</x:v>
      </x:c>
      <x:c r="P3101" s="53" t="str">
        <x:v>Wolf Entertainment unscripted true-crime series</x:v>
      </x:c>
      <x:c r="Q3101" s="17" t="str">
        <x:v>11614885</x:v>
      </x:c>
      <x:c r="R3101" s="17" t="str"/>
      <x:c r="S3101" s="17" t="str"/>
    </x:row>
    <x:row r="3102">
      <x:c r="A3102" s="43" t="n">
        <x:v>3098</x:v>
      </x:c>
      <x:c r="B3102" s="44" t="str">
        <x:v>Not Started</x:v>
      </x:c>
      <x:c r="C3102" s="45" t="n">
        <x:v>45378</x:v>
      </x:c>
      <x:c r="D3102" s="33" t="str">
        <x:v>FBI: International</x:v>
      </x:c>
      <x:c r="E3102" s="33" t="str">
        <x:v>FBI</x:v>
      </x:c>
      <x:c r="F3102" s="33" t="str">
        <x:v>core</x:v>
      </x:c>
      <x:c r="G3102" s="50" t="n">
        <x:v>3</x:v>
      </x:c>
      <x:c r="H3102" s="50" t="n">
        <x:v>6</x:v>
      </x:c>
      <x:c r="I3102" s="44" t="str">
        <x:v>03.06</x:v>
      </x:c>
      <x:c r="J3102" s="33" t="str">
        <x:v>Fire Starter</x:v>
      </x:c>
      <x:c r="K3102" s="33" t="str"/>
      <x:c r="L3102" s="33" t="str"/>
      <x:c r="M3102" s="44" t="str"/>
      <x:c r="N3102" s="50" t="n">
        <x:v>42</x:v>
      </x:c>
      <x:c r="O3102" s="53" t="str">
        <x:v>The Fly Team is called in to investigate when an American college student is arrested at a hostel in Prague for showing aggression toward local police who were dismissive of her sexual abuse claims. Also, Vo makes use of her sexual assault advocacy experience from her army days as they work to ensure the victim gets justice.</x:v>
      </x:c>
      <x:c r="P3102" s="53" t="str">
        <x:v>Core FBI franchise</x:v>
      </x:c>
      <x:c r="Q3102" s="17" t="str">
        <x:v>11588005</x:v>
      </x:c>
      <x:c r="R3102" s="17" t="str">
        <x:v>tt31392173</x:v>
      </x:c>
      <x:c r="S3102" s="17" t="str"/>
    </x:row>
    <x:row r="3103">
      <x:c r="A3103" s="43" t="n">
        <x:v>3099</x:v>
      </x:c>
      <x:c r="B3103" s="44" t="str">
        <x:v>Not Started</x:v>
      </x:c>
      <x:c r="C3103" s="45" t="n">
        <x:v>45378</x:v>
      </x:c>
      <x:c r="D3103" s="33" t="str">
        <x:v>FBI: Most Wanted</x:v>
      </x:c>
      <x:c r="E3103" s="33" t="str">
        <x:v>FBI</x:v>
      </x:c>
      <x:c r="F3103" s="33" t="str">
        <x:v>core</x:v>
      </x:c>
      <x:c r="G3103" s="50" t="n">
        <x:v>5</x:v>
      </x:c>
      <x:c r="H3103" s="50" t="n">
        <x:v>6</x:v>
      </x:c>
      <x:c r="I3103" s="44" t="str">
        <x:v>05.06</x:v>
      </x:c>
      <x:c r="J3103" s="33" t="str">
        <x:v>Fouled Out</x:v>
      </x:c>
      <x:c r="K3103" s="33" t="str"/>
      <x:c r="L3103" s="33" t="str"/>
      <x:c r="M3103" s="44" t="str"/>
      <x:c r="N3103" s="50" t="n">
        <x:v>43</x:v>
      </x:c>
      <x:c r="O3103" s="53" t="str">
        <x:v>After the Fugitive Task Force mobilizes to help apprehend an active shooter on a college campus in Queens, they find themselves in the middle of the glitzy world of college basketball. Also, Barnes and Charlotte attempt to work on their relationship.</x:v>
      </x:c>
      <x:c r="P3103" s="53" t="str">
        <x:v>Core FBI franchise</x:v>
      </x:c>
      <x:c r="Q3103" s="17" t="str">
        <x:v>10892392</x:v>
      </x:c>
      <x:c r="R3103" s="17" t="str">
        <x:v>tt31313868</x:v>
      </x:c>
      <x:c r="S3103" s="17" t="str"/>
    </x:row>
    <x:row r="3104">
      <x:c r="A3104" s="43" t="n">
        <x:v>3100</x:v>
      </x:c>
      <x:c r="B3104" s="44" t="str">
        <x:v>Not Started</x:v>
      </x:c>
      <x:c r="C3104" s="45" t="n">
        <x:v>45378</x:v>
      </x:c>
      <x:c r="D3104" s="33" t="str">
        <x:v>FBI</x:v>
      </x:c>
      <x:c r="E3104" s="33" t="str">
        <x:v>FBI</x:v>
      </x:c>
      <x:c r="F3104" s="33" t="str">
        <x:v>core</x:v>
      </x:c>
      <x:c r="G3104" s="50" t="n">
        <x:v>6</x:v>
      </x:c>
      <x:c r="H3104" s="50" t="n">
        <x:v>6</x:v>
      </x:c>
      <x:c r="I3104" s="44" t="str">
        <x:v>06.06</x:v>
      </x:c>
      <x:c r="J3104" s="33" t="str">
        <x:v>Unforeseen</x:v>
      </x:c>
      <x:c r="K3104" s="33" t="str"/>
      <x:c r="L3104" s="33" t="str"/>
      <x:c r="M3104" s="44" t="str"/>
      <x:c r="N3104" s="50" t="n">
        <x:v>41</x:v>
      </x:c>
      <x:c r="O3104" s="53" t="str">
        <x:v>After multiple people are targeted and killed with a poisonous gas in broad daylight, the team races to find the killer, who they believe is tied to an eco-terrorist plot. Meanwhile, Maggie continues to explore motherhood.</x:v>
      </x:c>
      <x:c r="P3104" s="53" t="str">
        <x:v>Core FBI franchise</x:v>
      </x:c>
      <x:c r="Q3104" s="17" t="str">
        <x:v>11587418</x:v>
      </x:c>
      <x:c r="R3104" s="17" t="str">
        <x:v>tt31129997</x:v>
      </x:c>
      <x:c r="S3104" s="17" t="str"/>
    </x:row>
    <x:row r="3105">
      <x:c r="A3105" s="43" t="n">
        <x:v>3101</x:v>
      </x:c>
      <x:c r="B3105" s="44" t="str">
        <x:v>Not Started</x:v>
      </x:c>
      <x:c r="C3105" s="45" t="n">
        <x:v>45379</x:v>
      </x:c>
      <x:c r="D3105" s="33" t="str">
        <x:v>Chicago Med</x:v>
      </x:c>
      <x:c r="E3105" s="33" t="str">
        <x:v>One Chicago</x:v>
      </x:c>
      <x:c r="F3105" s="33" t="str">
        <x:v>core</x:v>
      </x:c>
      <x:c r="G3105" s="50" t="n">
        <x:v>9</x:v>
      </x:c>
      <x:c r="H3105" s="50" t="n">
        <x:v>8</x:v>
      </x:c>
      <x:c r="I3105" s="44" t="str">
        <x:v>09.08</x:v>
      </x:c>
      <x:c r="J3105" s="33" t="str">
        <x:v>A Penny for Your Thoughts, Dollar for Your Dreams</x:v>
      </x:c>
      <x:c r="K3105" s="33" t="str"/>
      <x:c r="L3105" s="33" t="str"/>
      <x:c r="M3105" s="44" t="str"/>
      <x:c r="N3105" s="50" t="n">
        <x:v>42</x:v>
      </x:c>
      <x:c r="O3105" s="53" t="str">
        <x:v>Archer, Asher and Charles encounter an expecting father who claims he's telepathic and receiving messages from his yet-to-be born son. Ahmad works to thaw out a frozen criminal.</x:v>
      </x:c>
      <x:c r="P3105" s="53" t="str">
        <x:v>Core One Chicago franchise</x:v>
      </x:c>
      <x:c r="Q3105" s="17" t="str">
        <x:v>11589761</x:v>
      </x:c>
      <x:c r="R3105" s="17" t="str">
        <x:v>tt31383239</x:v>
      </x:c>
      <x:c r="S3105" s="17" t="str"/>
    </x:row>
    <x:row r="3106">
      <x:c r="A3106" s="43" t="n">
        <x:v>3102</x:v>
      </x:c>
      <x:c r="B3106" s="44" t="str">
        <x:v>Not Started</x:v>
      </x:c>
      <x:c r="C3106" s="45" t="n">
        <x:v>45379</x:v>
      </x:c>
      <x:c r="D3106" s="33" t="str">
        <x:v>Chicago P.D.</x:v>
      </x:c>
      <x:c r="E3106" s="33" t="str">
        <x:v>One Chicago</x:v>
      </x:c>
      <x:c r="F3106" s="33" t="str">
        <x:v>core</x:v>
      </x:c>
      <x:c r="G3106" s="50" t="n">
        <x:v>11</x:v>
      </x:c>
      <x:c r="H3106" s="50" t="n">
        <x:v>8</x:v>
      </x:c>
      <x:c r="I3106" s="44" t="str">
        <x:v>11.08</x:v>
      </x:c>
      <x:c r="J3106" s="33" t="str">
        <x:v>On Paper</x:v>
      </x:c>
      <x:c r="K3106" s="33" t="str"/>
      <x:c r="L3106" s="33" t="str"/>
      <x:c r="M3106" s="44" t="str"/>
      <x:c r="N3106" s="50" t="n">
        <x:v>43</x:v>
      </x:c>
      <x:c r="O3106" s="53" t="str">
        <x:v>Upton brings SVU detective Petrovic back into the fold to help with the investigation of a tender-age kidnapping.</x:v>
      </x:c>
      <x:c r="P3106" s="53" t="str">
        <x:v>Core One Chicago franchise; crossovers with SVU/FBI</x:v>
      </x:c>
      <x:c r="Q3106" s="17" t="str">
        <x:v>11591977</x:v>
      </x:c>
      <x:c r="R3106" s="17" t="str">
        <x:v>tt31727472</x:v>
      </x:c>
      <x:c r="S3106" s="17" t="str"/>
    </x:row>
    <x:row r="3107">
      <x:c r="A3107" s="43" t="n">
        <x:v>3103</x:v>
      </x:c>
      <x:c r="B3107" s="44" t="str">
        <x:v>Not Started</x:v>
      </x:c>
      <x:c r="C3107" s="45" t="n">
        <x:v>45379</x:v>
      </x:c>
      <x:c r="D3107" s="33" t="str">
        <x:v>Chicago Fire</x:v>
      </x:c>
      <x:c r="E3107" s="33" t="str">
        <x:v>One Chicago</x:v>
      </x:c>
      <x:c r="F3107" s="33" t="str">
        <x:v>core</x:v>
      </x:c>
      <x:c r="G3107" s="50" t="n">
        <x:v>12</x:v>
      </x:c>
      <x:c r="H3107" s="50" t="n">
        <x:v>8</x:v>
      </x:c>
      <x:c r="I3107" s="44" t="str">
        <x:v>12.08</x:v>
      </x:c>
      <x:c r="J3107" s="33" t="str">
        <x:v>All the Dark</x:v>
      </x:c>
      <x:c r="K3107" s="33" t="str"/>
      <x:c r="L3107" s="33" t="str"/>
      <x:c r="M3107" s="44" t="str"/>
      <x:c r="N3107" s="50" t="n">
        <x:v>41</x:v>
      </x:c>
      <x:c r="O3107" s="53" t="str">
        <x:v>A hazmat call at a dialysis center leads to a shocking discovery. Boden clashes with Paramedic Chief Robinson. Carver notices a concerning change in Gibson's behavior.</x:v>
      </x:c>
      <x:c r="P3107" s="53" t="str">
        <x:v>Core One Chicago franchise</x:v>
      </x:c>
      <x:c r="Q3107" s="17" t="str">
        <x:v>11592043</x:v>
      </x:c>
      <x:c r="R3107" s="17" t="str">
        <x:v>tt31537550</x:v>
      </x:c>
      <x:c r="S3107" s="17" t="str"/>
    </x:row>
    <x:row r="3108">
      <x:c r="A3108" s="43" t="n">
        <x:v>3104</x:v>
      </x:c>
      <x:c r="B3108" s="44" t="str">
        <x:v>Not Started</x:v>
      </x:c>
      <x:c r="C3108" s="45" t="n">
        <x:v>45382</x:v>
      </x:c>
      <x:c r="D3108" s="33" t="str">
        <x:v>Cold Justice</x:v>
      </x:c>
      <x:c r="E3108" s="33" t="str">
        <x:v>Crossover Adjacent</x:v>
      </x:c>
      <x:c r="F3108" s="33" t="str">
        <x:v>complete</x:v>
      </x:c>
      <x:c r="G3108" s="50" t="n">
        <x:v>7</x:v>
      </x:c>
      <x:c r="H3108" s="50" t="n">
        <x:v>6</x:v>
      </x:c>
      <x:c r="I3108" s="44" t="str">
        <x:v>07.06</x:v>
      </x:c>
      <x:c r="J3108" s="33" t="str">
        <x:v>The Reporter</x:v>
      </x:c>
      <x:c r="K3108" s="33" t="str"/>
      <x:c r="L3108" s="33" t="str"/>
      <x:c r="M3108" s="44" t="str"/>
      <x:c r="N3108" s="50" t="n">
        <x:v>44</x:v>
      </x:c>
      <x:c r="O3108" s="53" t="str">
        <x:v>Jennifer Servo was a beautiful, ambitious reporter when she was shockingly murdered in 2002. Kelly and Steve are determined to help the Abilene Police Department catch her killer.</x:v>
      </x:c>
      <x:c r="P3108" s="53" t="str">
        <x:v>Wolf Entertainment unscripted true-crime series</x:v>
      </x:c>
      <x:c r="Q3108" s="17" t="str">
        <x:v>11642303</x:v>
      </x:c>
      <x:c r="R3108" s="17" t="str"/>
      <x:c r="S3108" s="17" t="str"/>
    </x:row>
    <x:row r="3109">
      <x:c r="A3109" s="43" t="n">
        <x:v>3105</x:v>
      </x:c>
      <x:c r="B3109" s="44" t="str">
        <x:v>Not Started</x:v>
      </x:c>
      <x:c r="C3109" s="45" t="n">
        <x:v>45385</x:v>
      </x:c>
      <x:c r="D3109" s="33" t="str">
        <x:v>FBI: International</x:v>
      </x:c>
      <x:c r="E3109" s="33" t="str">
        <x:v>FBI</x:v>
      </x:c>
      <x:c r="F3109" s="33" t="str">
        <x:v>core</x:v>
      </x:c>
      <x:c r="G3109" s="50" t="n">
        <x:v>3</x:v>
      </x:c>
      <x:c r="H3109" s="50" t="n">
        <x:v>7</x:v>
      </x:c>
      <x:c r="I3109" s="44" t="str">
        <x:v>03.07</x:v>
      </x:c>
      <x:c r="J3109" s="33" t="str">
        <x:v>Andiamo!</x:v>
      </x:c>
      <x:c r="K3109" s="33" t="str"/>
      <x:c r="L3109" s="33" t="str"/>
      <x:c r="M3109" s="44" t="str"/>
      <x:c r="N3109" s="50" t="n">
        <x:v>43</x:v>
      </x:c>
      <x:c r="O3109" s="53" t="str">
        <x:v>The Fly Team heads to the Tuscan countryside after an American couple's son is kidnapped right outside their new home. Concerns are heightened as fingers begin to point to the mafia.</x:v>
      </x:c>
      <x:c r="P3109" s="53" t="str">
        <x:v>Core FBI franchise</x:v>
      </x:c>
      <x:c r="Q3109" s="17" t="str">
        <x:v>11679068</x:v>
      </x:c>
      <x:c r="R3109" s="17" t="str">
        <x:v>tt31392175</x:v>
      </x:c>
      <x:c r="S3109" s="17" t="str"/>
    </x:row>
    <x:row r="3110">
      <x:c r="A3110" s="43" t="n">
        <x:v>3106</x:v>
      </x:c>
      <x:c r="B3110" s="44" t="str">
        <x:v>Not Started</x:v>
      </x:c>
      <x:c r="C3110" s="45" t="n">
        <x:v>45385</x:v>
      </x:c>
      <x:c r="D3110" s="33" t="str">
        <x:v>FBI: Most Wanted</x:v>
      </x:c>
      <x:c r="E3110" s="33" t="str">
        <x:v>FBI</x:v>
      </x:c>
      <x:c r="F3110" s="33" t="str">
        <x:v>core</x:v>
      </x:c>
      <x:c r="G3110" s="50" t="n">
        <x:v>5</x:v>
      </x:c>
      <x:c r="H3110" s="50" t="n">
        <x:v>7</x:v>
      </x:c>
      <x:c r="I3110" s="44" t="str">
        <x:v>05.07</x:v>
      </x:c>
      <x:c r="J3110" s="33" t="str">
        <x:v>Rendition</x:v>
      </x:c>
      <x:c r="K3110" s="33" t="str"/>
      <x:c r="L3110" s="33" t="str"/>
      <x:c r="M3110" s="44" t="str"/>
      <x:c r="N3110" s="50" t="n">
        <x:v>43</x:v>
      </x:c>
      <x:c r="O3110" s="53" t="str">
        <x:v>The Fugitive Task Force springs into action after four detectives are shot dead during a prisoner exchange outside of a diner in New Jersey. Meanwhile, Remy struggles with having Corey as a roommate.</x:v>
      </x:c>
      <x:c r="P3110" s="53" t="str">
        <x:v>Core FBI franchise</x:v>
      </x:c>
      <x:c r="Q3110" s="17" t="str">
        <x:v>10892393</x:v>
      </x:c>
      <x:c r="R3110" s="17" t="str">
        <x:v>tt31313869</x:v>
      </x:c>
      <x:c r="S3110" s="17" t="str"/>
    </x:row>
    <x:row r="3111">
      <x:c r="A3111" s="43" t="n">
        <x:v>3107</x:v>
      </x:c>
      <x:c r="B3111" s="44" t="str">
        <x:v>Not Started</x:v>
      </x:c>
      <x:c r="C3111" s="45" t="n">
        <x:v>45385</x:v>
      </x:c>
      <x:c r="D3111" s="33" t="str">
        <x:v>FBI</x:v>
      </x:c>
      <x:c r="E3111" s="33" t="str">
        <x:v>FBI</x:v>
      </x:c>
      <x:c r="F3111" s="33" t="str">
        <x:v>core</x:v>
      </x:c>
      <x:c r="G3111" s="50" t="n">
        <x:v>6</x:v>
      </x:c>
      <x:c r="H3111" s="50" t="n">
        <x:v>7</x:v>
      </x:c>
      <x:c r="I3111" s="44" t="str">
        <x:v>06.07</x:v>
      </x:c>
      <x:c r="J3111" s="33" t="str">
        <x:v>Behind the Veil</x:v>
      </x:c>
      <x:c r="K3111" s="33" t="str"/>
      <x:c r="L3111" s="33" t="str"/>
      <x:c r="M3111" s="44" t="str"/>
      <x:c r="N3111" s="50" t="n">
        <x:v>44</x:v>
      </x:c>
      <x:c r="O3111" s="53" t="str">
        <x:v>When a bombing at a local restaurant leaves several injured or dead, including a congresswoman and someone close to Isobel, the team races to apprehend the suspect before another explosive goes off.</x:v>
      </x:c>
      <x:c r="P3111" s="53" t="str">
        <x:v>Core FBI franchise</x:v>
      </x:c>
      <x:c r="Q3111" s="17" t="str">
        <x:v>11679075</x:v>
      </x:c>
      <x:c r="R3111" s="17" t="str">
        <x:v>tt31130000</x:v>
      </x:c>
      <x:c r="S3111" s="17" t="str"/>
    </x:row>
    <x:row r="3112">
      <x:c r="A3112" s="43" t="n">
        <x:v>3108</x:v>
      </x:c>
      <x:c r="B3112" s="44" t="str">
        <x:v>Not Started</x:v>
      </x:c>
      <x:c r="C3112" s="45" t="n">
        <x:v>45386</x:v>
      </x:c>
      <x:c r="D3112" s="33" t="str">
        <x:v>Chicago Med</x:v>
      </x:c>
      <x:c r="E3112" s="33" t="str">
        <x:v>One Chicago</x:v>
      </x:c>
      <x:c r="F3112" s="33" t="str">
        <x:v>core</x:v>
      </x:c>
      <x:c r="G3112" s="50" t="n">
        <x:v>9</x:v>
      </x:c>
      <x:c r="H3112" s="50" t="n">
        <x:v>9</x:v>
      </x:c>
      <x:c r="I3112" s="44" t="str">
        <x:v>09.09</x:v>
      </x:c>
      <x:c r="J3112" s="33" t="str">
        <x:v>Spin a Yarn, Get Stuck in Your Own String</x:v>
      </x:c>
      <x:c r="K3112" s="33" t="str"/>
      <x:c r="L3112" s="33" t="str"/>
      <x:c r="M3112" s="44" t="str"/>
      <x:c r="N3112" s="50" t="n">
        <x:v>43</x:v>
      </x:c>
      <x:c r="O3112" s="53" t="str">
        <x:v>Ripley and Charles treat members of a cult. Ahmad's suspension takes an unexpected toll on Marcel. Abrams' 5-month-old son lands in the E.D. under questionable circumstances.</x:v>
      </x:c>
      <x:c r="P3112" s="53" t="str">
        <x:v>Core One Chicago franchise</x:v>
      </x:c>
      <x:c r="Q3112" s="17" t="str">
        <x:v>11663246</x:v>
      </x:c>
      <x:c r="R3112" s="17" t="str">
        <x:v>tt31862832</x:v>
      </x:c>
      <x:c r="S3112" s="17" t="str"/>
    </x:row>
    <x:row r="3113">
      <x:c r="A3113" s="43" t="n">
        <x:v>3109</x:v>
      </x:c>
      <x:c r="B3113" s="44" t="str">
        <x:v>Not Started</x:v>
      </x:c>
      <x:c r="C3113" s="45" t="n">
        <x:v>45386</x:v>
      </x:c>
      <x:c r="D3113" s="33" t="str">
        <x:v>Chicago P.D.</x:v>
      </x:c>
      <x:c r="E3113" s="33" t="str">
        <x:v>One Chicago</x:v>
      </x:c>
      <x:c r="F3113" s="33" t="str">
        <x:v>core</x:v>
      </x:c>
      <x:c r="G3113" s="50" t="n">
        <x:v>11</x:v>
      </x:c>
      <x:c r="H3113" s="50" t="n">
        <x:v>9</x:v>
      </x:c>
      <x:c r="I3113" s="44" t="str">
        <x:v>11.09</x:v>
      </x:c>
      <x:c r="J3113" s="33" t="str">
        <x:v>Somos Uno</x:v>
      </x:c>
      <x:c r="K3113" s="33" t="str"/>
      <x:c r="L3113" s="33" t="str"/>
      <x:c r="M3113" s="44" t="str"/>
      <x:c r="N3113" s="50" t="n">
        <x:v>43</x:v>
      </x:c>
      <x:c r="O3113" s="53" t="str">
        <x:v>Torres' personal involvement with an informant jeopardizes his safety and threatens to expose an undercover operation.</x:v>
      </x:c>
      <x:c r="P3113" s="53" t="str">
        <x:v>Core One Chicago franchise; crossovers with SVU/FBI</x:v>
      </x:c>
      <x:c r="Q3113" s="17" t="str">
        <x:v>11660287</x:v>
      </x:c>
      <x:c r="R3113" s="17" t="str">
        <x:v>tt31862842</x:v>
      </x:c>
      <x:c r="S3113" s="17" t="str"/>
    </x:row>
    <x:row r="3114">
      <x:c r="A3114" s="43" t="n">
        <x:v>3110</x:v>
      </x:c>
      <x:c r="B3114" s="44" t="str">
        <x:v>Not Started</x:v>
      </x:c>
      <x:c r="C3114" s="45" t="n">
        <x:v>45386</x:v>
      </x:c>
      <x:c r="D3114" s="33" t="str">
        <x:v>Chicago Fire</x:v>
      </x:c>
      <x:c r="E3114" s="33" t="str">
        <x:v>One Chicago</x:v>
      </x:c>
      <x:c r="F3114" s="33" t="str">
        <x:v>core</x:v>
      </x:c>
      <x:c r="G3114" s="50" t="n">
        <x:v>12</x:v>
      </x:c>
      <x:c r="H3114" s="50" t="n">
        <x:v>9</x:v>
      </x:c>
      <x:c r="I3114" s="44" t="str">
        <x:v>12.09</x:v>
      </x:c>
      <x:c r="J3114" s="33" t="str">
        <x:v>Something About Her</x:v>
      </x:c>
      <x:c r="K3114" s="33" t="str"/>
      <x:c r="L3114" s="33" t="str"/>
      <x:c r="M3114" s="44" t="str"/>
      <x:c r="N3114" s="50" t="n">
        <x:v>41</x:v>
      </x:c>
      <x:c r="O3114" s="53" t="str">
        <x:v>Severide, Kidd and Van Meter investigate a fire at a recording studio. Kylie helps James keep a secret from Boden. Mouch struggles to maintain boundaries with a paramedicine client.</x:v>
      </x:c>
      <x:c r="P3114" s="53" t="str">
        <x:v>Core One Chicago franchise</x:v>
      </x:c>
      <x:c r="Q3114" s="17" t="str">
        <x:v>11663262</x:v>
      </x:c>
      <x:c r="R3114" s="17" t="str">
        <x:v>tt31862837</x:v>
      </x:c>
      <x:c r="S3114" s="17" t="str"/>
    </x:row>
    <x:row r="3115">
      <x:c r="A3115" s="43" t="n">
        <x:v>3111</x:v>
      </x:c>
      <x:c r="B3115" s="44" t="str">
        <x:v>Not Started</x:v>
      </x:c>
      <x:c r="C3115" s="45" t="n">
        <x:v>45389</x:v>
      </x:c>
      <x:c r="D3115" s="33" t="str">
        <x:v>Cold Justice</x:v>
      </x:c>
      <x:c r="E3115" s="33" t="str">
        <x:v>Crossover Adjacent</x:v>
      </x:c>
      <x:c r="F3115" s="33" t="str">
        <x:v>complete</x:v>
      </x:c>
      <x:c r="G3115" s="50" t="n">
        <x:v>7</x:v>
      </x:c>
      <x:c r="H3115" s="50" t="n">
        <x:v>7</x:v>
      </x:c>
      <x:c r="I3115" s="44" t="str">
        <x:v>07.07</x:v>
      </x:c>
      <x:c r="J3115" s="33" t="str">
        <x:v>Stolen Beauty</x:v>
      </x:c>
      <x:c r="K3115" s="33" t="str"/>
      <x:c r="L3115" s="33" t="str"/>
      <x:c r="M3115" s="44" t="str"/>
      <x:c r="N3115" s="50" t="n">
        <x:v>44</x:v>
      </x:c>
      <x:c r="O3115" s="53" t="str">
        <x:v>Kelly and Abbey help the Beaumont Police Department investigate the 1999 disappearance of a popular single mother. Did one of the men seeking her affection take their obsession too far?</x:v>
      </x:c>
      <x:c r="P3115" s="53" t="str">
        <x:v>Wolf Entertainment unscripted true-crime series</x:v>
      </x:c>
      <x:c r="Q3115" s="17" t="str">
        <x:v>11669272</x:v>
      </x:c>
      <x:c r="R3115" s="17" t="str"/>
      <x:c r="S3115" s="17" t="str"/>
    </x:row>
    <x:row r="3116">
      <x:c r="A3116" s="43" t="n">
        <x:v>3112</x:v>
      </x:c>
      <x:c r="B3116" s="44" t="str">
        <x:v>Not Started</x:v>
      </x:c>
      <x:c r="C3116" s="45" t="n">
        <x:v>45392</x:v>
      </x:c>
      <x:c r="D3116" s="33" t="str">
        <x:v>FBI: International</x:v>
      </x:c>
      <x:c r="E3116" s="33" t="str">
        <x:v>FBI</x:v>
      </x:c>
      <x:c r="F3116" s="33" t="str">
        <x:v>core</x:v>
      </x:c>
      <x:c r="G3116" s="50" t="n">
        <x:v>3</x:v>
      </x:c>
      <x:c r="H3116" s="50" t="n">
        <x:v>8</x:v>
      </x:c>
      <x:c r="I3116" s="44" t="str">
        <x:v>03.08</x:v>
      </x:c>
      <x:c r="J3116" s="33" t="str">
        <x:v>Remove the Compromise</x:v>
      </x:c>
      <x:c r="K3116" s="33" t="str"/>
      <x:c r="L3116" s="33" t="str"/>
      <x:c r="M3116" s="44" t="str"/>
      <x:c r="N3116" s="50" t="n">
        <x:v>43</x:v>
      </x:c>
      <x:c r="O3116" s="53" t="str">
        <x:v>Assistant Special Agent in Charge Jubal Valentine heads to Budapest to personally help the Fly Team and the CIA take down the cartel that murdered his former girlfriend and colleague. As part of the mission, Forrester poses as an undercover arms expert.</x:v>
      </x:c>
      <x:c r="P3116" s="53" t="str">
        <x:v>Core FBI franchise</x:v>
      </x:c>
      <x:c r="Q3116" s="17" t="str">
        <x:v>11679069</x:v>
      </x:c>
      <x:c r="R3116" s="17" t="str">
        <x:v>tt31392177</x:v>
      </x:c>
      <x:c r="S3116" s="17" t="str"/>
    </x:row>
    <x:row r="3117">
      <x:c r="A3117" s="43" t="n">
        <x:v>3113</x:v>
      </x:c>
      <x:c r="B3117" s="44" t="str">
        <x:v>Not Started</x:v>
      </x:c>
      <x:c r="C3117" s="45" t="n">
        <x:v>45392</x:v>
      </x:c>
      <x:c r="D3117" s="33" t="str">
        <x:v>FBI: Most Wanted</x:v>
      </x:c>
      <x:c r="E3117" s="33" t="str">
        <x:v>FBI</x:v>
      </x:c>
      <x:c r="F3117" s="33" t="str">
        <x:v>core</x:v>
      </x:c>
      <x:c r="G3117" s="50" t="n">
        <x:v>5</x:v>
      </x:c>
      <x:c r="H3117" s="50" t="n">
        <x:v>8</x:v>
      </x:c>
      <x:c r="I3117" s="44" t="str">
        <x:v>05.08</x:v>
      </x:c>
      <x:c r="J3117" s="33" t="str">
        <x:v>Supply Chain</x:v>
      </x:c>
      <x:c r="K3117" s="33" t="str"/>
      <x:c r="L3117" s="33" t="str"/>
      <x:c r="M3117" s="44" t="str"/>
      <x:c r="N3117" s="50" t="n">
        <x:v>43</x:v>
      </x:c>
      <x:c r="O3117" s="53" t="str">
        <x:v>A drug deal between two teens is interrupted when a middle-aged woman abducts them at gunpoint, sending the Fugitive Task Force on the hunt to rescue them. Also, Nina and Scola bump heads over parenting styles.</x:v>
      </x:c>
      <x:c r="P3117" s="53" t="str">
        <x:v>Core FBI franchise</x:v>
      </x:c>
      <x:c r="Q3117" s="17" t="str">
        <x:v>10892394</x:v>
      </x:c>
      <x:c r="R3117" s="17" t="str">
        <x:v>tt31314294</x:v>
      </x:c>
      <x:c r="S3117" s="17" t="str"/>
    </x:row>
    <x:row r="3118">
      <x:c r="A3118" s="43" t="n">
        <x:v>3114</x:v>
      </x:c>
      <x:c r="B3118" s="44" t="str">
        <x:v>Not Started</x:v>
      </x:c>
      <x:c r="C3118" s="45" t="n">
        <x:v>45392</x:v>
      </x:c>
      <x:c r="D3118" s="33" t="str">
        <x:v>FBI</x:v>
      </x:c>
      <x:c r="E3118" s="33" t="str">
        <x:v>FBI</x:v>
      </x:c>
      <x:c r="F3118" s="33" t="str">
        <x:v>core</x:v>
      </x:c>
      <x:c r="G3118" s="50" t="n">
        <x:v>6</x:v>
      </x:c>
      <x:c r="H3118" s="50" t="n">
        <x:v>8</x:v>
      </x:c>
      <x:c r="I3118" s="44" t="str">
        <x:v>06.08</x:v>
      </x:c>
      <x:c r="J3118" s="33" t="str">
        <x:v>Phantom</x:v>
      </x:c>
      <x:c r="K3118" s="33" t="str"/>
      <x:c r="L3118" s="33" t="str"/>
      <x:c r="M3118" s="44" t="str"/>
      <x:c r="N3118" s="50" t="n">
        <x:v>41</x:v>
      </x:c>
      <x:c r="O3118" s="53" t="str">
        <x:v>After an employee of the U.S. Army is shot in an industrial park, the team works to track down the killer who reveals a larger plot at play. Meanwhile, Tiffany continues to struggle with the guilt surrounding Hobbs' death.</x:v>
      </x:c>
      <x:c r="P3118" s="53" t="str">
        <x:v>Core FBI franchise</x:v>
      </x:c>
      <x:c r="Q3118" s="17" t="str">
        <x:v>11679076</x:v>
      </x:c>
      <x:c r="R3118" s="17" t="str">
        <x:v>tt31130005</x:v>
      </x:c>
      <x:c r="S3118" s="17" t="str"/>
    </x:row>
    <x:row r="3119">
      <x:c r="A3119" s="43" t="n">
        <x:v>3115</x:v>
      </x:c>
      <x:c r="B3119" s="44" t="str">
        <x:v>Not Started</x:v>
      </x:c>
      <x:c r="C3119" s="45" t="n">
        <x:v>45393</x:v>
      </x:c>
      <x:c r="D3119" s="33" t="str">
        <x:v>Law &amp; Order Toronto: Criminal Intent</x:v>
      </x:c>
      <x:c r="E3119" s="33" t="str">
        <x:v>Law &amp; Order</x:v>
      </x:c>
      <x:c r="F3119" s="33" t="str">
        <x:v>core</x:v>
      </x:c>
      <x:c r="G3119" s="50" t="n">
        <x:v>1</x:v>
      </x:c>
      <x:c r="H3119" s="50" t="n">
        <x:v>6</x:v>
      </x:c>
      <x:c r="I3119" s="44" t="str">
        <x:v>01.06</x:v>
      </x:c>
      <x:c r="J3119" s="33" t="str">
        <x:v>Minnow and the Shark</x:v>
      </x:c>
      <x:c r="K3119" s="33" t="str"/>
      <x:c r="L3119" s="33" t="str"/>
      <x:c r="M3119" s="44" t="str"/>
      <x:c r="N3119" s="50" t="n">
        <x:v>44</x:v>
      </x:c>
      <x:c r="O3119" s="53" t="str">
        <x:v>The death of an executive at a major grocery chain sends our detectives into the cutthroat business of selling food and corporate corruption.</x:v>
      </x:c>
      <x:c r="P3119" s="53" t="str">
        <x:v>Law &amp; Order international franchise</x:v>
      </x:c>
      <x:c r="Q3119" s="17" t="str">
        <x:v>11302061</x:v>
      </x:c>
      <x:c r="R3119" s="17" t="str">
        <x:v>tt29144656</x:v>
      </x:c>
      <x:c r="S3119" s="17" t="str">
        <x:v>1652</x:v>
      </x:c>
    </x:row>
    <x:row r="3120">
      <x:c r="A3120" s="43" t="n">
        <x:v>3116</x:v>
      </x:c>
      <x:c r="B3120" s="44" t="str">
        <x:v>Not Started</x:v>
      </x:c>
      <x:c r="C3120" s="45" t="n">
        <x:v>45393</x:v>
      </x:c>
      <x:c r="D3120" s="33" t="str">
        <x:v>Law &amp; Order: Organized Crime</x:v>
      </x:c>
      <x:c r="E3120" s="33" t="str">
        <x:v>Law &amp; Order</x:v>
      </x:c>
      <x:c r="F3120" s="33" t="str">
        <x:v>core</x:v>
      </x:c>
      <x:c r="G3120" s="50" t="n">
        <x:v>4</x:v>
      </x:c>
      <x:c r="H3120" s="50" t="n">
        <x:v>9</x:v>
      </x:c>
      <x:c r="I3120" s="44" t="str">
        <x:v>04.09</x:v>
      </x:c>
      <x:c r="J3120" s="33" t="str">
        <x:v>Semper Fi</x:v>
      </x:c>
      <x:c r="K3120" s="33" t="str"/>
      <x:c r="L3120" s="33" t="str"/>
      <x:c r="M3120" s="44" t="str"/>
      <x:c r="N3120" s="50" t="n">
        <x:v>43</x:v>
      </x:c>
      <x:c r="O3120" s="53" t="str">
        <x:v>Stabler leans into his military network to search for the source of a Middle Eastern heroin pipeline making its way to the U.S. Reyes returns to the squad.</x:v>
      </x:c>
      <x:c r="P3120" s="53" t="str">
        <x:v>Core Law &amp; Order franchise</x:v>
      </x:c>
      <x:c r="Q3120" s="17" t="str">
        <x:v>11583431</x:v>
      </x:c>
      <x:c r="R3120" s="17" t="str">
        <x:v>tt31868851</x:v>
      </x:c>
      <x:c r="S3120" s="17" t="str">
        <x:v>1655</x:v>
      </x:c>
    </x:row>
    <x:row r="3121">
      <x:c r="A3121" s="43" t="n">
        <x:v>3117</x:v>
      </x:c>
      <x:c r="B3121" s="44" t="str">
        <x:v>Not Started</x:v>
      </x:c>
      <x:c r="C3121" s="45" t="n">
        <x:v>45393</x:v>
      </x:c>
      <x:c r="D3121" s="33" t="str">
        <x:v>Law &amp; Order</x:v>
      </x:c>
      <x:c r="E3121" s="33" t="str">
        <x:v>Law &amp; Order</x:v>
      </x:c>
      <x:c r="F3121" s="33" t="str">
        <x:v>core</x:v>
      </x:c>
      <x:c r="G3121" s="50" t="n">
        <x:v>23</x:v>
      </x:c>
      <x:c r="H3121" s="50" t="n">
        <x:v>9</x:v>
      </x:c>
      <x:c r="I3121" s="44" t="str">
        <x:v>23.09</x:v>
      </x:c>
      <x:c r="J3121" s="33" t="str">
        <x:v>Family Ties</x:v>
      </x:c>
      <x:c r="K3121" s="33" t="str"/>
      <x:c r="L3121" s="33" t="str"/>
      <x:c r="M3121" s="44" t="str"/>
      <x:c r="N3121" s="50" t="n">
        <x:v>43</x:v>
      </x:c>
      <x:c r="O3121" s="53" t="str">
        <x:v>When a congressman's aide is found dead after testifying in a corruption case, Shaw and Riley discover the suspect may be someone close to home. As Price solidifies his case against the defendant, Baxter proposes they go after an accomplice as well.</x:v>
      </x:c>
      <x:c r="P3121" s="53" t="str">
        <x:v>Core Law &amp; Order franchise</x:v>
      </x:c>
      <x:c r="Q3121" s="17" t="str">
        <x:v>11583436</x:v>
      </x:c>
      <x:c r="R3121" s="17" t="str">
        <x:v>tt31628487</x:v>
      </x:c>
      <x:c r="S3121" s="17" t="str">
        <x:v>1653</x:v>
      </x:c>
    </x:row>
    <x:row r="3122">
      <x:c r="A3122" s="43" t="n">
        <x:v>3118</x:v>
      </x:c>
      <x:c r="B3122" s="44" t="str">
        <x:v>Not Started</x:v>
      </x:c>
      <x:c r="C3122" s="45" t="n">
        <x:v>45393</x:v>
      </x:c>
      <x:c r="D3122" s="33" t="str">
        <x:v>Law &amp; Order: Special Victims Unit</x:v>
      </x:c>
      <x:c r="E3122" s="33" t="str">
        <x:v>Law &amp; Order</x:v>
      </x:c>
      <x:c r="F3122" s="33" t="str">
        <x:v>core</x:v>
      </x:c>
      <x:c r="G3122" s="50" t="n">
        <x:v>25</x:v>
      </x:c>
      <x:c r="H3122" s="50" t="n">
        <x:v>9</x:v>
      </x:c>
      <x:c r="I3122" s="44" t="str">
        <x:v>25.09</x:v>
      </x:c>
      <x:c r="J3122" s="33" t="str">
        <x:v>Children of Wolves</x:v>
      </x:c>
      <x:c r="K3122" s="33" t="str"/>
      <x:c r="L3122" s="33" t="str"/>
      <x:c r="M3122" s="44" t="str"/>
      <x:c r="N3122" s="50" t="n">
        <x:v>43</x:v>
      </x:c>
      <x:c r="O3122" s="53" t="str">
        <x:v>A teenager found unconscious in the park leads to a missing persons investigation. Benson must help Noah come to terms with the past when he questions the origins of his birth.</x:v>
      </x:c>
      <x:c r="P3122" s="53" t="str">
        <x:v>Core Law &amp; Order franchise</x:v>
      </x:c>
      <x:c r="Q3122" s="17" t="str">
        <x:v>11578803</x:v>
      </x:c>
      <x:c r="R3122" s="17" t="str">
        <x:v>tt31565890</x:v>
      </x:c>
      <x:c r="S3122" s="17" t="str">
        <x:v>1654</x:v>
      </x:c>
    </x:row>
    <x:row r="3123">
      <x:c r="A3123" s="43" t="n">
        <x:v>3119</x:v>
      </x:c>
      <x:c r="B3123" s="44" t="str">
        <x:v>Not Started</x:v>
      </x:c>
      <x:c r="C3123" s="45" t="n">
        <x:v>45396</x:v>
      </x:c>
      <x:c r="D3123" s="33" t="str">
        <x:v>Cold Justice</x:v>
      </x:c>
      <x:c r="E3123" s="33" t="str">
        <x:v>Crossover Adjacent</x:v>
      </x:c>
      <x:c r="F3123" s="33" t="str">
        <x:v>complete</x:v>
      </x:c>
      <x:c r="G3123" s="50" t="n">
        <x:v>7</x:v>
      </x:c>
      <x:c r="H3123" s="50" t="n">
        <x:v>8</x:v>
      </x:c>
      <x:c r="I3123" s="44" t="str">
        <x:v>07.08</x:v>
      </x:c>
      <x:c r="J3123" s="33" t="str">
        <x:v>Stabbed in the Heart</x:v>
      </x:c>
      <x:c r="K3123" s="33" t="str"/>
      <x:c r="L3123" s="33" t="str"/>
      <x:c r="M3123" s="44" t="str"/>
      <x:c r="N3123" s="50" t="n">
        <x:v>44</x:v>
      </x:c>
      <x:c r="O3123" s="53" t="str">
        <x:v>On the morning of his graduation, a young man discovered his father dead on his front steps, stabbed in the heart. It's up to the Cold Justice team and Anderson County Sheriff's Office to put together the pieces and solve this shocking crime.</x:v>
      </x:c>
      <x:c r="P3123" s="53" t="str">
        <x:v>Wolf Entertainment unscripted true-crime series</x:v>
      </x:c>
      <x:c r="Q3123" s="17" t="str">
        <x:v>11698359</x:v>
      </x:c>
      <x:c r="R3123" s="17" t="str"/>
      <x:c r="S3123" s="17" t="str"/>
    </x:row>
    <x:row r="3124">
      <x:c r="A3124" s="43" t="n">
        <x:v>3120</x:v>
      </x:c>
      <x:c r="B3124" s="44" t="str">
        <x:v>Not Started</x:v>
      </x:c>
      <x:c r="C3124" s="45" t="n">
        <x:v>45399</x:v>
      </x:c>
      <x:c r="D3124" s="33" t="str">
        <x:v>FBI: International</x:v>
      </x:c>
      <x:c r="E3124" s="33" t="str">
        <x:v>FBI</x:v>
      </x:c>
      <x:c r="F3124" s="33" t="str">
        <x:v>core</x:v>
      </x:c>
      <x:c r="G3124" s="50" t="n">
        <x:v>3</x:v>
      </x:c>
      <x:c r="H3124" s="50" t="n">
        <x:v>9</x:v>
      </x:c>
      <x:c r="I3124" s="44" t="str">
        <x:v>03.09</x:v>
      </x:c>
      <x:c r="J3124" s="33" t="str">
        <x:v>Rules of Blackjack</x:v>
      </x:c>
      <x:c r="K3124" s="33" t="str"/>
      <x:c r="L3124" s="33" t="str"/>
      <x:c r="M3124" s="44" t="str"/>
      <x:c r="N3124" s="50" t="n">
        <x:v>40</x:v>
      </x:c>
      <x:c r="O3124" s="53" t="str">
        <x:v>When a U.S. mercenary claiming to fight child trafficking abroad is apprehended at a remote Romanian border police outpost after the U.S. DOJ suspects his crew of embezzlement, Tate and Raines attempt to get him to flip on the leader of the group. The mission takes a turn when the outpost is attacked as they work to secure evidence.</x:v>
      </x:c>
      <x:c r="P3124" s="53" t="str">
        <x:v>Core FBI franchise</x:v>
      </x:c>
      <x:c r="Q3124" s="17" t="str">
        <x:v>11679070</x:v>
      </x:c>
      <x:c r="R3124" s="17" t="str">
        <x:v>tt31391127</x:v>
      </x:c>
      <x:c r="S3124" s="17" t="str"/>
    </x:row>
    <x:row r="3125">
      <x:c r="A3125" s="43" t="n">
        <x:v>3121</x:v>
      </x:c>
      <x:c r="B3125" s="44" t="str">
        <x:v>Not Started</x:v>
      </x:c>
      <x:c r="C3125" s="45" t="n">
        <x:v>45399</x:v>
      </x:c>
      <x:c r="D3125" s="33" t="str">
        <x:v>FBI: Most Wanted</x:v>
      </x:c>
      <x:c r="E3125" s="33" t="str">
        <x:v>FBI</x:v>
      </x:c>
      <x:c r="F3125" s="33" t="str">
        <x:v>core</x:v>
      </x:c>
      <x:c r="G3125" s="50" t="n">
        <x:v>5</x:v>
      </x:c>
      <x:c r="H3125" s="50" t="n">
        <x:v>9</x:v>
      </x:c>
      <x:c r="I3125" s="44" t="str">
        <x:v>05.09</x:v>
      </x:c>
      <x:c r="J3125" s="33" t="str">
        <x:v>The Return</x:v>
      </x:c>
      <x:c r="K3125" s="33" t="str"/>
      <x:c r="L3125" s="33" t="str"/>
      <x:c r="M3125" s="44" t="str"/>
      <x:c r="N3125" s="50" t="n">
        <x:v>44</x:v>
      </x:c>
      <x:c r="O3125" s="53" t="str">
        <x:v>When two armed guards are gunned down while transporting millions of dollars' worth of Nigerian artifacts to a Brooklyn museum, the Fugitive Task Force races to catch the thieves. Also, Ray speaks to his father about taking his relationship with Cora to the next level.</x:v>
      </x:c>
      <x:c r="P3125" s="53" t="str">
        <x:v>Core FBI franchise</x:v>
      </x:c>
      <x:c r="Q3125" s="17" t="str">
        <x:v>10892395</x:v>
      </x:c>
      <x:c r="R3125" s="17" t="str">
        <x:v>tt31314299</x:v>
      </x:c>
      <x:c r="S3125" s="17" t="str"/>
    </x:row>
    <x:row r="3126">
      <x:c r="A3126" s="43" t="n">
        <x:v>3122</x:v>
      </x:c>
      <x:c r="B3126" s="44" t="str">
        <x:v>Not Started</x:v>
      </x:c>
      <x:c r="C3126" s="45" t="n">
        <x:v>45399</x:v>
      </x:c>
      <x:c r="D3126" s="33" t="str">
        <x:v>FBI</x:v>
      </x:c>
      <x:c r="E3126" s="33" t="str">
        <x:v>FBI</x:v>
      </x:c>
      <x:c r="F3126" s="33" t="str">
        <x:v>core</x:v>
      </x:c>
      <x:c r="G3126" s="50" t="n">
        <x:v>6</x:v>
      </x:c>
      <x:c r="H3126" s="50" t="n">
        <x:v>9</x:v>
      </x:c>
      <x:c r="I3126" s="44" t="str">
        <x:v>06.09</x:v>
      </x:c>
      <x:c r="J3126" s="33" t="str">
        <x:v>Best Laid Plans</x:v>
      </x:c>
      <x:c r="K3126" s="33" t="str"/>
      <x:c r="L3126" s="33" t="str"/>
      <x:c r="M3126" s="44" t="str"/>
      <x:c r="N3126" s="50" t="n">
        <x:v>43</x:v>
      </x:c>
      <x:c r="O3126" s="53" t="str">
        <x:v>When a retired FBI agent is tortured and killed while working a security job, Scola and Nina go undercover as a married couple deep in the diamond game as the team tries to find out who is responsible. During the course of his and Nina's dangerous assignment, Scola is plagued by the possibility that their son Doug could end up parentless.</x:v>
      </x:c>
      <x:c r="P3126" s="53" t="str">
        <x:v>Core FBI franchise</x:v>
      </x:c>
      <x:c r="Q3126" s="17" t="str">
        <x:v>11679077</x:v>
      </x:c>
      <x:c r="R3126" s="17" t="str">
        <x:v>tt31130006</x:v>
      </x:c>
      <x:c r="S3126" s="17" t="str"/>
    </x:row>
    <x:row r="3127">
      <x:c r="A3127" s="43" t="n">
        <x:v>3123</x:v>
      </x:c>
      <x:c r="B3127" s="44" t="str">
        <x:v>Not Started</x:v>
      </x:c>
      <x:c r="C3127" s="45" t="n">
        <x:v>45400</x:v>
      </x:c>
      <x:c r="D3127" s="33" t="str">
        <x:v>Law &amp; Order Toronto: Criminal Intent</x:v>
      </x:c>
      <x:c r="E3127" s="33" t="str">
        <x:v>Law &amp; Order</x:v>
      </x:c>
      <x:c r="F3127" s="33" t="str">
        <x:v>core</x:v>
      </x:c>
      <x:c r="G3127" s="50" t="n">
        <x:v>1</x:v>
      </x:c>
      <x:c r="H3127" s="50" t="n">
        <x:v>7</x:v>
      </x:c>
      <x:c r="I3127" s="44" t="str">
        <x:v>01.07</x:v>
      </x:c>
      <x:c r="J3127" s="33" t="str">
        <x:v>The Sound of Silence</x:v>
      </x:c>
      <x:c r="K3127" s="33" t="str"/>
      <x:c r="L3127" s="33" t="str"/>
      <x:c r="M3127" s="44" t="str"/>
      <x:c r="N3127" s="50" t="n">
        <x:v>44</x:v>
      </x:c>
      <x:c r="O3127" s="53" t="str">
        <x:v>The discovery of a young woman's remains leads our detectives to the toxic workplace from which she was wrongfully dismissed.</x:v>
      </x:c>
      <x:c r="P3127" s="53" t="str">
        <x:v>Law &amp; Order international franchise</x:v>
      </x:c>
      <x:c r="Q3127" s="17" t="str">
        <x:v>11302065</x:v>
      </x:c>
      <x:c r="R3127" s="17" t="str">
        <x:v>tt29144661</x:v>
      </x:c>
      <x:c r="S3127" s="17" t="str">
        <x:v>1656</x:v>
      </x:c>
    </x:row>
    <x:row r="3128">
      <x:c r="A3128" s="43" t="n">
        <x:v>3124</x:v>
      </x:c>
      <x:c r="B3128" s="44" t="str">
        <x:v>Not Started</x:v>
      </x:c>
      <x:c r="C3128" s="45" t="n">
        <x:v>45400</x:v>
      </x:c>
      <x:c r="D3128" s="33" t="str">
        <x:v>Law &amp; Order: Organized Crime</x:v>
      </x:c>
      <x:c r="E3128" s="33" t="str">
        <x:v>Law &amp; Order</x:v>
      </x:c>
      <x:c r="F3128" s="33" t="str">
        <x:v>core</x:v>
      </x:c>
      <x:c r="G3128" s="50" t="n">
        <x:v>4</x:v>
      </x:c>
      <x:c r="H3128" s="50" t="n">
        <x:v>10</x:v>
      </x:c>
      <x:c r="I3128" s="44" t="str">
        <x:v>04.10</x:v>
      </x:c>
      <x:c r="J3128" s="33" t="str">
        <x:v>Crossroads</x:v>
      </x:c>
      <x:c r="K3128" s="33" t="str"/>
      <x:c r="L3128" s="33" t="str"/>
      <x:c r="M3128" s="44" t="str"/>
      <x:c r="N3128" s="50" t="n">
        <x:v>43</x:v>
      </x:c>
      <x:c r="O3128" s="53" t="str">
        <x:v>The team works to take down a large-scale drug operation disguised as a local honey farm. In Stabler's absence, Randall searches for Joe Jr. on his own and ends up in a bind.</x:v>
      </x:c>
      <x:c r="P3128" s="53" t="str">
        <x:v>Core Law &amp; Order franchise</x:v>
      </x:c>
      <x:c r="Q3128" s="17" t="str">
        <x:v>11659730</x:v>
      </x:c>
      <x:c r="R3128" s="17" t="str">
        <x:v>tt31983201</x:v>
      </x:c>
      <x:c r="S3128" s="17" t="str">
        <x:v>1659</x:v>
      </x:c>
    </x:row>
    <x:row r="3129">
      <x:c r="A3129" s="43" t="n">
        <x:v>3125</x:v>
      </x:c>
      <x:c r="B3129" s="44" t="str">
        <x:v>Not Started</x:v>
      </x:c>
      <x:c r="C3129" s="45" t="n">
        <x:v>45400</x:v>
      </x:c>
      <x:c r="D3129" s="33" t="str">
        <x:v>Law &amp; Order</x:v>
      </x:c>
      <x:c r="E3129" s="33" t="str">
        <x:v>Law &amp; Order</x:v>
      </x:c>
      <x:c r="F3129" s="33" t="str">
        <x:v>core</x:v>
      </x:c>
      <x:c r="G3129" s="50" t="n">
        <x:v>23</x:v>
      </x:c>
      <x:c r="H3129" s="50" t="n">
        <x:v>10</x:v>
      </x:c>
      <x:c r="I3129" s="44" t="str">
        <x:v>23.10</x:v>
      </x:c>
      <x:c r="J3129" s="33" t="str">
        <x:v>Inconvenient Truth</x:v>
      </x:c>
      <x:c r="K3129" s="33" t="str"/>
      <x:c r="L3129" s="33" t="str"/>
      <x:c r="M3129" s="44" t="str"/>
      <x:c r="N3129" s="50" t="n">
        <x:v>42</x:v>
      </x:c>
      <x:c r="O3129" s="53" t="str">
        <x:v>Shaw and Riley investigate the death of a prominent chef when he's stabbed in his own restaurant. Price has hesitations about prosecuting the defendant after new evidence comes to light.</x:v>
      </x:c>
      <x:c r="P3129" s="53" t="str">
        <x:v>Core Law &amp; Order franchise</x:v>
      </x:c>
      <x:c r="Q3129" s="17" t="str">
        <x:v>11583437</x:v>
      </x:c>
      <x:c r="R3129" s="17" t="str">
        <x:v>tt31982980</x:v>
      </x:c>
      <x:c r="S3129" s="17" t="str">
        <x:v>1657</x:v>
      </x:c>
    </x:row>
    <x:row r="3130">
      <x:c r="A3130" s="43" t="n">
        <x:v>3126</x:v>
      </x:c>
      <x:c r="B3130" s="44" t="str">
        <x:v>Not Started</x:v>
      </x:c>
      <x:c r="C3130" s="45" t="n">
        <x:v>45400</x:v>
      </x:c>
      <x:c r="D3130" s="33" t="str">
        <x:v>Law &amp; Order: Special Victims Unit</x:v>
      </x:c>
      <x:c r="E3130" s="33" t="str">
        <x:v>Law &amp; Order</x:v>
      </x:c>
      <x:c r="F3130" s="33" t="str">
        <x:v>core</x:v>
      </x:c>
      <x:c r="G3130" s="50" t="n">
        <x:v>25</x:v>
      </x:c>
      <x:c r="H3130" s="50" t="n">
        <x:v>10</x:v>
      </x:c>
      <x:c r="I3130" s="44" t="str">
        <x:v>25.10</x:v>
      </x:c>
      <x:c r="J3130" s="33" t="str">
        <x:v>Combat Fatigue</x:v>
      </x:c>
      <x:c r="K3130" s="33" t="str"/>
      <x:c r="L3130" s="33" t="str"/>
      <x:c r="M3130" s="44" t="str"/>
      <x:c r="N3130" s="50" t="n">
        <x:v>43</x:v>
      </x:c>
      <x:c r="O3130" s="53" t="str">
        <x:v>The squad is on edge as Carisi waits for a verdict in Maddie's kidnapping case. Benson tries to help the Flynn family pick up the pieces of their broken life.</x:v>
      </x:c>
      <x:c r="P3130" s="53" t="str">
        <x:v>Core Law &amp; Order franchise</x:v>
      </x:c>
      <x:c r="Q3130" s="17" t="str">
        <x:v>11583426</x:v>
      </x:c>
      <x:c r="R3130" s="17" t="str">
        <x:v>tt31732244</x:v>
      </x:c>
      <x:c r="S3130" s="17" t="str">
        <x:v>1658</x:v>
      </x:c>
    </x:row>
    <x:row r="3131">
      <x:c r="A3131" s="43" t="n">
        <x:v>3127</x:v>
      </x:c>
      <x:c r="B3131" s="44" t="str">
        <x:v>Not Started</x:v>
      </x:c>
      <x:c r="C3131" s="45" t="n">
        <x:v>45403</x:v>
      </x:c>
      <x:c r="D3131" s="33" t="str">
        <x:v>Cold Justice</x:v>
      </x:c>
      <x:c r="E3131" s="33" t="str">
        <x:v>Crossover Adjacent</x:v>
      </x:c>
      <x:c r="F3131" s="33" t="str">
        <x:v>complete</x:v>
      </x:c>
      <x:c r="G3131" s="50" t="n">
        <x:v>7</x:v>
      </x:c>
      <x:c r="H3131" s="50" t="n">
        <x:v>9</x:v>
      </x:c>
      <x:c r="I3131" s="44" t="str">
        <x:v>07.09</x:v>
      </x:c>
      <x:c r="J3131" s="33" t="str">
        <x:v>Bound and Gagged</x:v>
      </x:c>
      <x:c r="K3131" s="33" t="str"/>
      <x:c r="L3131" s="33" t="str"/>
      <x:c r="M3131" s="44" t="str"/>
      <x:c r="N3131" s="50" t="n">
        <x:v>44</x:v>
      </x:c>
      <x:c r="O3131" s="53" t="str">
        <x:v>Kelly and Steve head to his home state to aid the Racine Police Department in solving the homicide of a young mother abducted from her job as a security guard and found bound and gagged in the trunk of her car.</x:v>
      </x:c>
      <x:c r="P3131" s="53" t="str">
        <x:v>Wolf Entertainment unscripted true-crime series</x:v>
      </x:c>
      <x:c r="Q3131" s="17" t="str">
        <x:v>11727800</x:v>
      </x:c>
      <x:c r="R3131" s="17" t="str"/>
      <x:c r="S3131" s="17" t="str"/>
    </x:row>
    <x:row r="3132">
      <x:c r="A3132" s="43" t="n">
        <x:v>3128</x:v>
      </x:c>
      <x:c r="B3132" s="44" t="str">
        <x:v>Not Started</x:v>
      </x:c>
      <x:c r="C3132" s="45" t="n">
        <x:v>45406</x:v>
      </x:c>
      <x:c r="D3132" s="33" t="str">
        <x:v>FBI: International</x:v>
      </x:c>
      <x:c r="E3132" s="33" t="str">
        <x:v>FBI</x:v>
      </x:c>
      <x:c r="F3132" s="33" t="str">
        <x:v>core</x:v>
      </x:c>
      <x:c r="G3132" s="50" t="n">
        <x:v>3</x:v>
      </x:c>
      <x:c r="H3132" s="50" t="n">
        <x:v>10</x:v>
      </x:c>
      <x:c r="I3132" s="44" t="str">
        <x:v>03.10</x:v>
      </x:c>
      <x:c r="J3132" s="33" t="str">
        <x:v>Red Light</x:v>
      </x:c>
      <x:c r="K3132" s="33" t="str"/>
      <x:c r="L3132" s="33" t="str"/>
      <x:c r="M3132" s="44" t="str"/>
      <x:c r="N3132" s="50" t="n">
        <x:v>41</x:v>
      </x:c>
      <x:c r="O3132" s="53" t="str">
        <x:v>When a wild night in Amsterdam for three ex-Navy men ends with one found dead in his hotel room, the Fly Team must dive into the red-light district to hunt down his killer. Meanwhile, Tate finds herself in a bind with her ex over custody of their daughter.</x:v>
      </x:c>
      <x:c r="P3132" s="53" t="str">
        <x:v>Core FBI franchise</x:v>
      </x:c>
      <x:c r="Q3132" s="17" t="str">
        <x:v>11679071</x:v>
      </x:c>
      <x:c r="R3132" s="17" t="str">
        <x:v>tt31391128</x:v>
      </x:c>
      <x:c r="S3132" s="17" t="str"/>
    </x:row>
    <x:row r="3133">
      <x:c r="A3133" s="43" t="n">
        <x:v>3129</x:v>
      </x:c>
      <x:c r="B3133" s="44" t="str">
        <x:v>Not Started</x:v>
      </x:c>
      <x:c r="C3133" s="45" t="n">
        <x:v>45406</x:v>
      </x:c>
      <x:c r="D3133" s="33" t="str">
        <x:v>FBI: Most Wanted</x:v>
      </x:c>
      <x:c r="E3133" s="33" t="str">
        <x:v>FBI</x:v>
      </x:c>
      <x:c r="F3133" s="33" t="str">
        <x:v>core</x:v>
      </x:c>
      <x:c r="G3133" s="50" t="n">
        <x:v>5</x:v>
      </x:c>
      <x:c r="H3133" s="50" t="n">
        <x:v>10</x:v>
      </x:c>
      <x:c r="I3133" s="44" t="str">
        <x:v>05.10</x:v>
      </x:c>
      <x:c r="J3133" s="33" t="str">
        <x:v>Bonne Terre</x:v>
      </x:c>
      <x:c r="K3133" s="33" t="str"/>
      <x:c r="L3133" s="33" t="str"/>
      <x:c r="M3133" s="44" t="str"/>
      <x:c r="N3133" s="50" t="n">
        <x:v>43</x:v>
      </x:c>
      <x:c r="O3133" s="53" t="str">
        <x:v>When a federal judge and his wife are shot dead in New York, the Fugitive Task Force goes on the hunt and finds a connection to a man who is hours away from being executed in Missouri. Meanwhile, Remy and Hana both grapple with being single and living alone.</x:v>
      </x:c>
      <x:c r="P3133" s="53" t="str">
        <x:v>Core FBI franchise</x:v>
      </x:c>
      <x:c r="Q3133" s="17" t="str">
        <x:v>10892396</x:v>
      </x:c>
      <x:c r="R3133" s="17" t="str">
        <x:v>tt31314301</x:v>
      </x:c>
      <x:c r="S3133" s="17" t="str"/>
    </x:row>
    <x:row r="3134">
      <x:c r="A3134" s="43" t="n">
        <x:v>3130</x:v>
      </x:c>
      <x:c r="B3134" s="44" t="str">
        <x:v>Not Started</x:v>
      </x:c>
      <x:c r="C3134" s="45" t="n">
        <x:v>45406</x:v>
      </x:c>
      <x:c r="D3134" s="33" t="str">
        <x:v>FBI</x:v>
      </x:c>
      <x:c r="E3134" s="33" t="str">
        <x:v>FBI</x:v>
      </x:c>
      <x:c r="F3134" s="33" t="str">
        <x:v>core</x:v>
      </x:c>
      <x:c r="G3134" s="50" t="n">
        <x:v>6</x:v>
      </x:c>
      <x:c r="H3134" s="50" t="n">
        <x:v>10</x:v>
      </x:c>
      <x:c r="I3134" s="44" t="str">
        <x:v>06.10</x:v>
      </x:c>
      <x:c r="J3134" s="33" t="str">
        <x:v>Family Affair</x:v>
      </x:c>
      <x:c r="K3134" s="33" t="str"/>
      <x:c r="L3134" s="33" t="str"/>
      <x:c r="M3134" s="44" t="str"/>
      <x:c r="N3134" s="50" t="n">
        <x:v>43</x:v>
      </x:c>
      <x:c r="O3134" s="53" t="str">
        <x:v>After an FDIC security guard is killed while tending to a pregnant woman in distress, the team works to locate the woman and the killer who took her hostage. Meanwhile, OA and Isobel worry about Maggie as she navigates taking care of Ella.</x:v>
      </x:c>
      <x:c r="P3134" s="53" t="str">
        <x:v>Core FBI franchise</x:v>
      </x:c>
      <x:c r="Q3134" s="17" t="str">
        <x:v>11679078</x:v>
      </x:c>
      <x:c r="R3134" s="17" t="str">
        <x:v>tt31130011</x:v>
      </x:c>
      <x:c r="S3134" s="17" t="str"/>
    </x:row>
    <x:row r="3135">
      <x:c r="A3135" s="43" t="n">
        <x:v>3131</x:v>
      </x:c>
      <x:c r="B3135" s="44" t="str">
        <x:v>Not Started</x:v>
      </x:c>
      <x:c r="C3135" s="45" t="n">
        <x:v>45410</x:v>
      </x:c>
      <x:c r="D3135" s="33" t="str">
        <x:v>Cold Justice</x:v>
      </x:c>
      <x:c r="E3135" s="33" t="str">
        <x:v>Crossover Adjacent</x:v>
      </x:c>
      <x:c r="F3135" s="33" t="str">
        <x:v>complete</x:v>
      </x:c>
      <x:c r="G3135" s="50" t="n">
        <x:v>7</x:v>
      </x:c>
      <x:c r="H3135" s="50" t="n">
        <x:v>10</x:v>
      </x:c>
      <x:c r="I3135" s="44" t="str">
        <x:v>07.10</x:v>
      </x:c>
      <x:c r="J3135" s="33" t="str">
        <x:v>House of Horrors (1)</x:v>
      </x:c>
      <x:c r="K3135" s="33" t="str"/>
      <x:c r="L3135" s="33" t="str"/>
      <x:c r="M3135" s="44" t="str"/>
      <x:c r="N3135" s="50" t="n">
        <x:v>44</x:v>
      </x:c>
      <x:c r="O3135" s="53" t="str">
        <x:v>Kelly and Steve team up with the Anderson County Sheriff's Office to solve the horrific quadruple homicide of a family on Halloween. Their investigation reveals a family feud, trail of stolen cash and bloody shoe print left by the killer.</x:v>
      </x:c>
      <x:c r="P3135" s="53" t="str">
        <x:v>Wolf Entertainment unscripted true-crime series</x:v>
      </x:c>
      <x:c r="Q3135" s="17" t="str">
        <x:v>11757382</x:v>
      </x:c>
      <x:c r="R3135" s="17" t="str"/>
      <x:c r="S3135" s="17" t="str"/>
    </x:row>
    <x:row r="3136">
      <x:c r="A3136" s="43" t="n">
        <x:v>3132</x:v>
      </x:c>
      <x:c r="B3136" s="44" t="str">
        <x:v>Not Started</x:v>
      </x:c>
      <x:c r="C3136" s="45" t="n">
        <x:v>45414</x:v>
      </x:c>
      <x:c r="D3136" s="33" t="str">
        <x:v>Law &amp; Order Toronto: Criminal Intent</x:v>
      </x:c>
      <x:c r="E3136" s="33" t="str">
        <x:v>Law &amp; Order</x:v>
      </x:c>
      <x:c r="F3136" s="33" t="str">
        <x:v>core</x:v>
      </x:c>
      <x:c r="G3136" s="50" t="n">
        <x:v>1</x:v>
      </x:c>
      <x:c r="H3136" s="50" t="n">
        <x:v>8</x:v>
      </x:c>
      <x:c r="I3136" s="44" t="str">
        <x:v>01.08</x:v>
      </x:c>
      <x:c r="J3136" s="33" t="str">
        <x:v>Boys Will Be Boys</x:v>
      </x:c>
      <x:c r="K3136" s="33" t="str"/>
      <x:c r="L3136" s="33" t="str"/>
      <x:c r="M3136" s="44" t="str"/>
      <x:c r="N3136" s="50" t="n">
        <x:v>44</x:v>
      </x:c>
      <x:c r="O3136" s="53" t="str">
        <x:v>When a local hockey star is found dead on the ice, Graff and Bateman must untangle a hazing scandal that led to the player's suspension days before his death.</x:v>
      </x:c>
      <x:c r="P3136" s="53" t="str">
        <x:v>Law &amp; Order international franchise</x:v>
      </x:c>
      <x:c r="Q3136" s="17" t="str">
        <x:v>11302069</x:v>
      </x:c>
      <x:c r="R3136" s="17" t="str">
        <x:v>tt29144666</x:v>
      </x:c>
      <x:c r="S3136" s="17" t="str">
        <x:v>1660</x:v>
      </x:c>
    </x:row>
    <x:row r="3137">
      <x:c r="A3137" s="43" t="n">
        <x:v>3133</x:v>
      </x:c>
      <x:c r="B3137" s="44" t="str">
        <x:v>Not Started</x:v>
      </x:c>
      <x:c r="C3137" s="45" t="n">
        <x:v>45414</x:v>
      </x:c>
      <x:c r="D3137" s="33" t="str">
        <x:v>Law &amp; Order: Organized Crime</x:v>
      </x:c>
      <x:c r="E3137" s="33" t="str">
        <x:v>Law &amp; Order</x:v>
      </x:c>
      <x:c r="F3137" s="33" t="str">
        <x:v>core</x:v>
      </x:c>
      <x:c r="G3137" s="50" t="n">
        <x:v>4</x:v>
      </x:c>
      <x:c r="H3137" s="50" t="n">
        <x:v>11</x:v>
      </x:c>
      <x:c r="I3137" s="44" t="str">
        <x:v>04.11</x:v>
      </x:c>
      <x:c r="J3137" s="33" t="str">
        <x:v>Redcoat</x:v>
      </x:c>
      <x:c r="K3137" s="33" t="str"/>
      <x:c r="L3137" s="33" t="str"/>
      <x:c r="M3137" s="44" t="str"/>
      <x:c r="N3137" s="50" t="n">
        <x:v>43</x:v>
      </x:c>
      <x:c r="O3137" s="53" t="str">
        <x:v>Stabler struggles to keep his rank as part of the farm's inner circle when his biggest ally is questioned. The team discovers the identity of their top target.</x:v>
      </x:c>
      <x:c r="P3137" s="53" t="str">
        <x:v>Core Law &amp; Order franchise</x:v>
      </x:c>
      <x:c r="Q3137" s="17" t="str">
        <x:v>11659731</x:v>
      </x:c>
      <x:c r="R3137" s="17" t="str">
        <x:v>tt32096923</x:v>
      </x:c>
      <x:c r="S3137" s="17" t="str">
        <x:v>1663</x:v>
      </x:c>
    </x:row>
    <x:row r="3138">
      <x:c r="A3138" s="43" t="n">
        <x:v>3134</x:v>
      </x:c>
      <x:c r="B3138" s="44" t="str">
        <x:v>Not Started</x:v>
      </x:c>
      <x:c r="C3138" s="45" t="n">
        <x:v>45414</x:v>
      </x:c>
      <x:c r="D3138" s="33" t="str">
        <x:v>Chicago Med</x:v>
      </x:c>
      <x:c r="E3138" s="33" t="str">
        <x:v>One Chicago</x:v>
      </x:c>
      <x:c r="F3138" s="33" t="str">
        <x:v>core</x:v>
      </x:c>
      <x:c r="G3138" s="50" t="n">
        <x:v>9</x:v>
      </x:c>
      <x:c r="H3138" s="50" t="n">
        <x:v>10</x:v>
      </x:c>
      <x:c r="I3138" s="44" t="str">
        <x:v>09.10</x:v>
      </x:c>
      <x:c r="J3138" s="33" t="str">
        <x:v>You Just Might Find You Get What You Need</x:v>
      </x:c>
      <x:c r="K3138" s="33" t="str"/>
      <x:c r="L3138" s="33" t="str"/>
      <x:c r="M3138" s="44" t="str"/>
      <x:c r="N3138" s="50" t="n">
        <x:v>42</x:v>
      </x:c>
      <x:c r="O3138" s="53" t="str">
        <x:v>Maggie's budding romance takes flight. After a woman's shocking suicide attempt, Charles searches for answers. Asher works to diagnose a patient who is new to the city and appears with mysterious symptoms.</x:v>
      </x:c>
      <x:c r="P3138" s="53" t="str">
        <x:v>Core One Chicago franchise</x:v>
      </x:c>
      <x:c r="Q3138" s="17" t="str">
        <x:v>11715589</x:v>
      </x:c>
      <x:c r="R3138" s="17" t="str">
        <x:v>tt31962062</x:v>
      </x:c>
      <x:c r="S3138" s="17" t="str"/>
    </x:row>
    <x:row r="3139">
      <x:c r="A3139" s="43" t="n">
        <x:v>3135</x:v>
      </x:c>
      <x:c r="B3139" s="44" t="str">
        <x:v>Not Started</x:v>
      </x:c>
      <x:c r="C3139" s="45" t="n">
        <x:v>45414</x:v>
      </x:c>
      <x:c r="D3139" s="33" t="str">
        <x:v>Chicago P.D.</x:v>
      </x:c>
      <x:c r="E3139" s="33" t="str">
        <x:v>One Chicago</x:v>
      </x:c>
      <x:c r="F3139" s="33" t="str">
        <x:v>core</x:v>
      </x:c>
      <x:c r="G3139" s="50" t="n">
        <x:v>11</x:v>
      </x:c>
      <x:c r="H3139" s="50" t="n">
        <x:v>10</x:v>
      </x:c>
      <x:c r="I3139" s="44" t="str">
        <x:v>11.10</x:v>
      </x:c>
      <x:c r="J3139" s="33" t="str">
        <x:v>Buried Pieces</x:v>
      </x:c>
      <x:c r="K3139" s="33" t="str"/>
      <x:c r="L3139" s="33" t="str"/>
      <x:c r="M3139" s="44" t="str"/>
      <x:c r="N3139" s="50" t="n">
        <x:v>43</x:v>
      </x:c>
      <x:c r="O3139" s="53" t="str">
        <x:v>Upton becomes consumed with a decades-old missing persons case linked to Petrovic after a young child shows up to the district seeking help.</x:v>
      </x:c>
      <x:c r="P3139" s="53" t="str">
        <x:v>Core One Chicago franchise; crossovers with SVU/FBI</x:v>
      </x:c>
      <x:c r="Q3139" s="17" t="str">
        <x:v>11689749</x:v>
      </x:c>
      <x:c r="R3139" s="17" t="str">
        <x:v>tt32020999</x:v>
      </x:c>
      <x:c r="S3139" s="17" t="str"/>
    </x:row>
    <x:row r="3140">
      <x:c r="A3140" s="43" t="n">
        <x:v>3136</x:v>
      </x:c>
      <x:c r="B3140" s="44" t="str">
        <x:v>Not Started</x:v>
      </x:c>
      <x:c r="C3140" s="45" t="n">
        <x:v>45414</x:v>
      </x:c>
      <x:c r="D3140" s="33" t="str">
        <x:v>Chicago Fire</x:v>
      </x:c>
      <x:c r="E3140" s="33" t="str">
        <x:v>One Chicago</x:v>
      </x:c>
      <x:c r="F3140" s="33" t="str">
        <x:v>core</x:v>
      </x:c>
      <x:c r="G3140" s="50" t="n">
        <x:v>12</x:v>
      </x:c>
      <x:c r="H3140" s="50" t="n">
        <x:v>10</x:v>
      </x:c>
      <x:c r="I3140" s="44" t="str">
        <x:v>12.10</x:v>
      </x:c>
      <x:c r="J3140" s="33" t="str">
        <x:v>The Wrong Guy</x:v>
      </x:c>
      <x:c r="K3140" s="33" t="str"/>
      <x:c r="L3140" s="33" t="str"/>
      <x:c r="M3140" s="44" t="str"/>
      <x:c r="N3140" s="50" t="n">
        <x:v>41</x:v>
      </x:c>
      <x:c r="O3140" s="53" t="str">
        <x:v>Severide steps in as ranking officer at 51. Kidd fights to save her Girls on Fire program. Cruz's family is threatened when someone from Javi's past resurfaces.</x:v>
      </x:c>
      <x:c r="P3140" s="53" t="str">
        <x:v>Core One Chicago franchise</x:v>
      </x:c>
      <x:c r="Q3140" s="17" t="str">
        <x:v>11689818</x:v>
      </x:c>
      <x:c r="R3140" s="17" t="str">
        <x:v>tt32020959</x:v>
      </x:c>
      <x:c r="S3140" s="17" t="str"/>
    </x:row>
    <x:row r="3141">
      <x:c r="A3141" s="43" t="n">
        <x:v>3137</x:v>
      </x:c>
      <x:c r="B3141" s="44" t="str">
        <x:v>Not Started</x:v>
      </x:c>
      <x:c r="C3141" s="45" t="n">
        <x:v>45414</x:v>
      </x:c>
      <x:c r="D3141" s="33" t="str">
        <x:v>Law &amp; Order</x:v>
      </x:c>
      <x:c r="E3141" s="33" t="str">
        <x:v>Law &amp; Order</x:v>
      </x:c>
      <x:c r="F3141" s="33" t="str">
        <x:v>core</x:v>
      </x:c>
      <x:c r="G3141" s="50" t="n">
        <x:v>23</x:v>
      </x:c>
      <x:c r="H3141" s="50" t="n">
        <x:v>11</x:v>
      </x:c>
      <x:c r="I3141" s="44" t="str">
        <x:v>23.11</x:v>
      </x:c>
      <x:c r="J3141" s="33" t="str">
        <x:v>Castle in the Sky</x:v>
      </x:c>
      <x:c r="K3141" s="33" t="str"/>
      <x:c r="L3141" s="33" t="str"/>
      <x:c r="M3141" s="44" t="str"/>
      <x:c r="N3141" s="50" t="n">
        <x:v>43</x:v>
      </x:c>
      <x:c r="O3141" s="53" t="str">
        <x:v>When a real estate developer is found dead in one of his buildings, Shaw and Riley sift through a long list of suspects. Dixon is concerned for the welfare of the defendant's young daughter.</x:v>
      </x:c>
      <x:c r="P3141" s="53" t="str">
        <x:v>Core Law &amp; Order franchise</x:v>
      </x:c>
      <x:c r="Q3141" s="17" t="str">
        <x:v>11583438</x:v>
      </x:c>
      <x:c r="R3141" s="17" t="str">
        <x:v>tt32096812</x:v>
      </x:c>
      <x:c r="S3141" s="17" t="str">
        <x:v>1661</x:v>
      </x:c>
    </x:row>
    <x:row r="3142">
      <x:c r="A3142" s="43" t="n">
        <x:v>3138</x:v>
      </x:c>
      <x:c r="B3142" s="44" t="str">
        <x:v>Not Started</x:v>
      </x:c>
      <x:c r="C3142" s="45" t="n">
        <x:v>45414</x:v>
      </x:c>
      <x:c r="D3142" s="33" t="str">
        <x:v>Law &amp; Order: Special Victims Unit</x:v>
      </x:c>
      <x:c r="E3142" s="33" t="str">
        <x:v>Law &amp; Order</x:v>
      </x:c>
      <x:c r="F3142" s="33" t="str">
        <x:v>core</x:v>
      </x:c>
      <x:c r="G3142" s="50" t="n">
        <x:v>25</x:v>
      </x:c>
      <x:c r="H3142" s="50" t="n">
        <x:v>11</x:v>
      </x:c>
      <x:c r="I3142" s="44" t="str">
        <x:v>25.11</x:v>
      </x:c>
      <x:c r="J3142" s="33" t="str">
        <x:v>Prima Nocta</x:v>
      </x:c>
      <x:c r="K3142" s="33" t="str"/>
      <x:c r="L3142" s="33" t="str"/>
      <x:c r="M3142" s="44" t="str"/>
      <x:c r="N3142" s="50" t="n">
        <x:v>43</x:v>
      </x:c>
      <x:c r="O3142" s="53" t="str">
        <x:v>A runaway bride calls the SVU for help on the day of her wedding. Rollins pitches in on her day off.</x:v>
      </x:c>
      <x:c r="P3142" s="53" t="str">
        <x:v>Core Law &amp; Order franchise</x:v>
      </x:c>
      <x:c r="Q3142" s="17" t="str">
        <x:v>11583427</x:v>
      </x:c>
      <x:c r="R3142" s="17" t="str">
        <x:v>tt31732435</x:v>
      </x:c>
      <x:c r="S3142" s="17" t="str">
        <x:v>1662</x:v>
      </x:c>
    </x:row>
    <x:row r="3143">
      <x:c r="A3143" s="43" t="n">
        <x:v>3139</x:v>
      </x:c>
      <x:c r="B3143" s="44" t="str">
        <x:v>Not Started</x:v>
      </x:c>
      <x:c r="C3143" s="45" t="n">
        <x:v>45417</x:v>
      </x:c>
      <x:c r="D3143" s="33" t="str">
        <x:v>Cold Justice</x:v>
      </x:c>
      <x:c r="E3143" s="33" t="str">
        <x:v>Crossover Adjacent</x:v>
      </x:c>
      <x:c r="F3143" s="33" t="str">
        <x:v>complete</x:v>
      </x:c>
      <x:c r="G3143" s="50" t="n">
        <x:v>7</x:v>
      </x:c>
      <x:c r="H3143" s="50" t="n">
        <x:v>11</x:v>
      </x:c>
      <x:c r="I3143" s="44" t="str">
        <x:v>07.11</x:v>
      </x:c>
      <x:c r="J3143" s="33" t="str">
        <x:v>House of Horrors (2)</x:v>
      </x:c>
      <x:c r="K3143" s="33" t="str"/>
      <x:c r="L3143" s="33" t="str"/>
      <x:c r="M3143" s="44" t="str"/>
      <x:c r="N3143" s="50" t="n">
        <x:v>44</x:v>
      </x:c>
      <x:c r="O3143" s="53" t="str">
        <x:v>The Cold Justice team and the Anderson County Sheriff's Office continue their investigation into the quadruple homicide of a family of four. Will they be able to finally give answers and justice to their grieving family and community?</x:v>
      </x:c>
      <x:c r="P3143" s="53" t="str">
        <x:v>Wolf Entertainment unscripted true-crime series</x:v>
      </x:c>
      <x:c r="Q3143" s="17" t="str">
        <x:v>11780150</x:v>
      </x:c>
      <x:c r="R3143" s="17" t="str"/>
      <x:c r="S3143" s="17" t="str"/>
    </x:row>
    <x:row r="3144">
      <x:c r="A3144" s="43" t="n">
        <x:v>3140</x:v>
      </x:c>
      <x:c r="B3144" s="44" t="str">
        <x:v>Not Started</x:v>
      </x:c>
      <x:c r="C3144" s="45" t="n">
        <x:v>45420</x:v>
      </x:c>
      <x:c r="D3144" s="33" t="str">
        <x:v>FBI: International</x:v>
      </x:c>
      <x:c r="E3144" s="33" t="str">
        <x:v>FBI</x:v>
      </x:c>
      <x:c r="F3144" s="33" t="str">
        <x:v>core</x:v>
      </x:c>
      <x:c r="G3144" s="50" t="n">
        <x:v>3</x:v>
      </x:c>
      <x:c r="H3144" s="50" t="n">
        <x:v>11</x:v>
      </x:c>
      <x:c r="I3144" s="44" t="str">
        <x:v>03.11</x:v>
      </x:c>
      <x:c r="J3144" s="33" t="str">
        <x:v>Touts</x:v>
      </x:c>
      <x:c r="K3144" s="33" t="str"/>
      <x:c r="L3144" s="33" t="str"/>
      <x:c r="M3144" s="44" t="str"/>
      <x:c r="N3144" s="50" t="n">
        <x:v>43</x:v>
      </x:c>
      <x:c r="O3144" s="53" t="str">
        <x:v>When a former member of the Irish Republican Army turned U.S. citizen is shot while in London with his son touring youth football academies, Smitty and the Fly Team work to hunt down the people responsible as the group becomes increasingly violent. While in London, Smitty pays a visit to her mother who she believes can help the team locate an old family friend who may have a connection to the case.</x:v>
      </x:c>
      <x:c r="P3144" s="53" t="str">
        <x:v>Core FBI franchise</x:v>
      </x:c>
      <x:c r="Q3144" s="17" t="str">
        <x:v>11679072</x:v>
      </x:c>
      <x:c r="R3144" s="17" t="str">
        <x:v>tt31391129</x:v>
      </x:c>
      <x:c r="S3144" s="17" t="str"/>
    </x:row>
    <x:row r="3145">
      <x:c r="A3145" s="43" t="n">
        <x:v>3141</x:v>
      </x:c>
      <x:c r="B3145" s="44" t="str">
        <x:v>Not Started</x:v>
      </x:c>
      <x:c r="C3145" s="45" t="n">
        <x:v>45420</x:v>
      </x:c>
      <x:c r="D3145" s="33" t="str">
        <x:v>FBI: Most Wanted</x:v>
      </x:c>
      <x:c r="E3145" s="33" t="str">
        <x:v>FBI</x:v>
      </x:c>
      <x:c r="F3145" s="33" t="str">
        <x:v>core</x:v>
      </x:c>
      <x:c r="G3145" s="50" t="n">
        <x:v>5</x:v>
      </x:c>
      <x:c r="H3145" s="50" t="n">
        <x:v>11</x:v>
      </x:c>
      <x:c r="I3145" s="44" t="str">
        <x:v>05.11</x:v>
      </x:c>
      <x:c r="J3145" s="33" t="str">
        <x:v>Radio Silence</x:v>
      </x:c>
      <x:c r="K3145" s="33" t="str"/>
      <x:c r="L3145" s="33" t="str"/>
      <x:c r="M3145" s="44" t="str"/>
      <x:c r="N3145" s="50" t="n">
        <x:v>42</x:v>
      </x:c>
      <x:c r="O3145" s="53" t="str">
        <x:v>When two NYPD officers are gunned down by a mystery assailant while responding to a robbery, the Fugitive Task Force must act quickly to catch the culprit before more officers are targeted. Meanwhile, Barnes struggles when Charlotte wants to proceed with a divorce and threatens to relocate with the kids.</x:v>
      </x:c>
      <x:c r="P3145" s="53" t="str">
        <x:v>Core FBI franchise</x:v>
      </x:c>
      <x:c r="Q3145" s="17" t="str">
        <x:v>11742426</x:v>
      </x:c>
      <x:c r="R3145" s="17" t="str">
        <x:v>tt31314304</x:v>
      </x:c>
      <x:c r="S3145" s="17" t="str"/>
    </x:row>
    <x:row r="3146">
      <x:c r="A3146" s="43" t="n">
        <x:v>3142</x:v>
      </x:c>
      <x:c r="B3146" s="44" t="str">
        <x:v>Not Started</x:v>
      </x:c>
      <x:c r="C3146" s="45" t="n">
        <x:v>45420</x:v>
      </x:c>
      <x:c r="D3146" s="33" t="str">
        <x:v>FBI</x:v>
      </x:c>
      <x:c r="E3146" s="33" t="str">
        <x:v>FBI</x:v>
      </x:c>
      <x:c r="F3146" s="33" t="str">
        <x:v>core</x:v>
      </x:c>
      <x:c r="G3146" s="50" t="n">
        <x:v>6</x:v>
      </x:c>
      <x:c r="H3146" s="50" t="n">
        <x:v>11</x:v>
      </x:c>
      <x:c r="I3146" s="44" t="str">
        <x:v>06.11</x:v>
      </x:c>
      <x:c r="J3146" s="33" t="str">
        <x:v>No One Left Behind</x:v>
      </x:c>
      <x:c r="K3146" s="33" t="str"/>
      <x:c r="L3146" s="33" t="str"/>
      <x:c r="M3146" s="44" t="str"/>
      <x:c r="N3146" s="50" t="n">
        <x:v>43</x:v>
      </x:c>
      <x:c r="O3146" s="53" t="str">
        <x:v>The team is thrown into a highly political case after four members of the Taliban are shot and one is kidnapped in New York with no record of their entrance into the country. Having served in the U.S. Army, this case hits close to home for OA, who struggles to open up to Gemma about his past in Afghanistan.</x:v>
      </x:c>
      <x:c r="P3146" s="53" t="str">
        <x:v>Core FBI franchise</x:v>
      </x:c>
      <x:c r="Q3146" s="17" t="str">
        <x:v>11679079</x:v>
      </x:c>
      <x:c r="R3146" s="17" t="str">
        <x:v>tt31130012</x:v>
      </x:c>
      <x:c r="S3146" s="17" t="str"/>
    </x:row>
    <x:row r="3147">
      <x:c r="A3147" s="43" t="n">
        <x:v>3143</x:v>
      </x:c>
      <x:c r="B3147" s="44" t="str">
        <x:v>Not Started</x:v>
      </x:c>
      <x:c r="C3147" s="45" t="n">
        <x:v>45421</x:v>
      </x:c>
      <x:c r="D3147" s="33" t="str">
        <x:v>Law &amp; Order Toronto: Criminal Intent</x:v>
      </x:c>
      <x:c r="E3147" s="33" t="str">
        <x:v>Law &amp; Order</x:v>
      </x:c>
      <x:c r="F3147" s="33" t="str">
        <x:v>core</x:v>
      </x:c>
      <x:c r="G3147" s="50" t="n">
        <x:v>1</x:v>
      </x:c>
      <x:c r="H3147" s="50" t="n">
        <x:v>9</x:v>
      </x:c>
      <x:c r="I3147" s="44" t="str">
        <x:v>01.09</x:v>
      </x:c>
      <x:c r="J3147" s="33" t="str">
        <x:v>Three Points</x:v>
      </x:c>
      <x:c r="K3147" s="33" t="str"/>
      <x:c r="L3147" s="33" t="str"/>
      <x:c r="M3147" s="44" t="str"/>
      <x:c r="N3147" s="50" t="n">
        <x:v>44</x:v>
      </x:c>
      <x:c r="O3147" s="53" t="str">
        <x:v>The death of a prominent rapper-turned-producer sends Graff and Bateman on the tail of a frenzied serial killer at large in the city.</x:v>
      </x:c>
      <x:c r="P3147" s="53" t="str">
        <x:v>Law &amp; Order international franchise</x:v>
      </x:c>
      <x:c r="Q3147" s="17" t="str">
        <x:v>11302071</x:v>
      </x:c>
      <x:c r="R3147" s="17" t="str">
        <x:v>tt29144662</x:v>
      </x:c>
      <x:c r="S3147" s="17" t="str">
        <x:v>1664</x:v>
      </x:c>
    </x:row>
    <x:row r="3148">
      <x:c r="A3148" s="43" t="n">
        <x:v>3144</x:v>
      </x:c>
      <x:c r="B3148" s="44" t="str">
        <x:v>Not Started</x:v>
      </x:c>
      <x:c r="C3148" s="45" t="n">
        <x:v>45421</x:v>
      </x:c>
      <x:c r="D3148" s="33" t="str">
        <x:v>Law &amp; Order: Organized Crime</x:v>
      </x:c>
      <x:c r="E3148" s="33" t="str">
        <x:v>Law &amp; Order</x:v>
      </x:c>
      <x:c r="F3148" s="33" t="str">
        <x:v>core</x:v>
      </x:c>
      <x:c r="G3148" s="50" t="n">
        <x:v>4</x:v>
      </x:c>
      <x:c r="H3148" s="50" t="n">
        <x:v>12</x:v>
      </x:c>
      <x:c r="I3148" s="44" t="str">
        <x:v>04.12</x:v>
      </x:c>
      <x:c r="J3148" s="33" t="str">
        <x:v>Goodnight</x:v>
      </x:c>
      <x:c r="K3148" s="33" t="str"/>
      <x:c r="L3148" s="33" t="str"/>
      <x:c r="M3148" s="44" t="str"/>
      <x:c r="N3148" s="50" t="n">
        <x:v>43</x:v>
      </x:c>
      <x:c r="O3148" s="53" t="str">
        <x:v>Stabler and Randall give Joe Jr. the choice to get clean or go to prison. Vargas and Jet's plan to cut off Emery's smuggling routes leads to a dangerous rescue attempt.</x:v>
      </x:c>
      <x:c r="P3148" s="53" t="str">
        <x:v>Core Law &amp; Order franchise</x:v>
      </x:c>
      <x:c r="Q3148" s="17" t="str">
        <x:v>11740452</x:v>
      </x:c>
      <x:c r="R3148" s="17" t="str">
        <x:v>tt32096924</x:v>
      </x:c>
      <x:c r="S3148" s="17" t="str">
        <x:v>1667</x:v>
      </x:c>
    </x:row>
    <x:row r="3149">
      <x:c r="A3149" s="43" t="n">
        <x:v>3145</x:v>
      </x:c>
      <x:c r="B3149" s="44" t="str">
        <x:v>Not Started</x:v>
      </x:c>
      <x:c r="C3149" s="45" t="n">
        <x:v>45421</x:v>
      </x:c>
      <x:c r="D3149" s="33" t="str">
        <x:v>Chicago Med</x:v>
      </x:c>
      <x:c r="E3149" s="33" t="str">
        <x:v>One Chicago</x:v>
      </x:c>
      <x:c r="F3149" s="33" t="str">
        <x:v>core</x:v>
      </x:c>
      <x:c r="G3149" s="50" t="n">
        <x:v>9</x:v>
      </x:c>
      <x:c r="H3149" s="50" t="n">
        <x:v>11</x:v>
      </x:c>
      <x:c r="I3149" s="44" t="str">
        <x:v>09.11</x:v>
      </x:c>
      <x:c r="J3149" s="33" t="str">
        <x:v>I Think There Is Something You're Not Telling Me</x:v>
      </x:c>
      <x:c r="K3149" s="33" t="str"/>
      <x:c r="L3149" s="33" t="str"/>
      <x:c r="M3149" s="44" t="str"/>
      <x:c r="N3149" s="50" t="n">
        <x:v>43</x:v>
      </x:c>
      <x:c r="O3149" s="53" t="str">
        <x:v>Ripley struggles to keep Sully's diagnosis a secret when the latter's pregnant girlfriend comes to Med for help. Johnson works to earn a spot in Med's trauma fellowship. Charles and a medical student treat a bipolar artist.</x:v>
      </x:c>
      <x:c r="P3149" s="53" t="str">
        <x:v>Core One Chicago franchise</x:v>
      </x:c>
      <x:c r="Q3149" s="17" t="str">
        <x:v>11715590</x:v>
      </x:c>
      <x:c r="R3149" s="17" t="str">
        <x:v>tt32031920</x:v>
      </x:c>
      <x:c r="S3149" s="17" t="str"/>
    </x:row>
    <x:row r="3150">
      <x:c r="A3150" s="43" t="n">
        <x:v>3146</x:v>
      </x:c>
      <x:c r="B3150" s="44" t="str">
        <x:v>Not Started</x:v>
      </x:c>
      <x:c r="C3150" s="45" t="n">
        <x:v>45421</x:v>
      </x:c>
      <x:c r="D3150" s="33" t="str">
        <x:v>Chicago P.D.</x:v>
      </x:c>
      <x:c r="E3150" s="33" t="str">
        <x:v>One Chicago</x:v>
      </x:c>
      <x:c r="F3150" s="33" t="str">
        <x:v>core</x:v>
      </x:c>
      <x:c r="G3150" s="50" t="n">
        <x:v>11</x:v>
      </x:c>
      <x:c r="H3150" s="50" t="n">
        <x:v>11</x:v>
      </x:c>
      <x:c r="I3150" s="44" t="str">
        <x:v>11.11</x:v>
      </x:c>
      <x:c r="J3150" s="33" t="str">
        <x:v>The Water Line</x:v>
      </x:c>
      <x:c r="K3150" s="33" t="str"/>
      <x:c r="L3150" s="33" t="str"/>
      <x:c r="M3150" s="44" t="str"/>
      <x:c r="N3150" s="50" t="n">
        <x:v>43</x:v>
      </x:c>
      <x:c r="O3150" s="53" t="str">
        <x:v>As Atwater finds himself distracted by a past case, a CI from his past resurfaces with a tip on a string of armed robberies that are raising concerns.</x:v>
      </x:c>
      <x:c r="P3150" s="53" t="str">
        <x:v>Core One Chicago franchise; crossovers with SVU/FBI</x:v>
      </x:c>
      <x:c r="Q3150" s="17" t="str">
        <x:v>11773405</x:v>
      </x:c>
      <x:c r="R3150" s="17" t="str">
        <x:v>tt32096798</x:v>
      </x:c>
      <x:c r="S3150" s="17" t="str"/>
    </x:row>
    <x:row r="3151">
      <x:c r="A3151" s="43" t="n">
        <x:v>3147</x:v>
      </x:c>
      <x:c r="B3151" s="44" t="str">
        <x:v>Not Started</x:v>
      </x:c>
      <x:c r="C3151" s="45" t="n">
        <x:v>45421</x:v>
      </x:c>
      <x:c r="D3151" s="33" t="str">
        <x:v>Chicago Fire</x:v>
      </x:c>
      <x:c r="E3151" s="33" t="str">
        <x:v>One Chicago</x:v>
      </x:c>
      <x:c r="F3151" s="33" t="str">
        <x:v>core</x:v>
      </x:c>
      <x:c r="G3151" s="50" t="n">
        <x:v>12</x:v>
      </x:c>
      <x:c r="H3151" s="50" t="n">
        <x:v>11</x:v>
      </x:c>
      <x:c r="I3151" s="44" t="str">
        <x:v>12.11</x:v>
      </x:c>
      <x:c r="J3151" s="33" t="str">
        <x:v>Inside Man</x:v>
      </x:c>
      <x:c r="K3151" s="33" t="str"/>
      <x:c r="L3151" s="33" t="str"/>
      <x:c r="M3151" s="44" t="str"/>
      <x:c r="N3151" s="50" t="n">
        <x:v>41</x:v>
      </x:c>
      <x:c r="O3151" s="53" t="str">
        <x:v>Severide goes for an unexpected ride on Truck 81. Ritter's worlds collide when his secret cop boyfriend helps 51 track down Severide and the missing rig.</x:v>
      </x:c>
      <x:c r="P3151" s="53" t="str">
        <x:v>Core One Chicago franchise</x:v>
      </x:c>
      <x:c r="Q3151" s="17" t="str">
        <x:v>11773402</x:v>
      </x:c>
      <x:c r="R3151" s="17" t="str">
        <x:v>tt32096784</x:v>
      </x:c>
      <x:c r="S3151" s="17" t="str"/>
    </x:row>
    <x:row r="3152">
      <x:c r="A3152" s="43" t="n">
        <x:v>3148</x:v>
      </x:c>
      <x:c r="B3152" s="44" t="str">
        <x:v>Not Started</x:v>
      </x:c>
      <x:c r="C3152" s="45" t="n">
        <x:v>45421</x:v>
      </x:c>
      <x:c r="D3152" s="33" t="str">
        <x:v>Law &amp; Order</x:v>
      </x:c>
      <x:c r="E3152" s="33" t="str">
        <x:v>Law &amp; Order</x:v>
      </x:c>
      <x:c r="F3152" s="33" t="str">
        <x:v>core</x:v>
      </x:c>
      <x:c r="G3152" s="50" t="n">
        <x:v>23</x:v>
      </x:c>
      <x:c r="H3152" s="50" t="n">
        <x:v>12</x:v>
      </x:c>
      <x:c r="I3152" s="44" t="str">
        <x:v>23.12</x:v>
      </x:c>
      <x:c r="J3152" s="33" t="str">
        <x:v>No Good Deed</x:v>
      </x:c>
      <x:c r="K3152" s="33" t="str"/>
      <x:c r="L3152" s="33" t="str"/>
      <x:c r="M3152" s="44" t="str"/>
      <x:c r="N3152" s="50" t="n">
        <x:v>43</x:v>
      </x:c>
      <x:c r="O3152" s="53" t="str">
        <x:v>Shaw and Riley investigate the death of a therapist with a long list of troubled clients. Baxter takes over Price's chair when a disturbing connection to the defendant is discovered.</x:v>
      </x:c>
      <x:c r="P3152" s="53" t="str">
        <x:v>Core Law &amp; Order franchise</x:v>
      </x:c>
      <x:c r="Q3152" s="17" t="str">
        <x:v>11583439</x:v>
      </x:c>
      <x:c r="R3152" s="17" t="str">
        <x:v>tt32096814</x:v>
      </x:c>
      <x:c r="S3152" s="17" t="str">
        <x:v>1665</x:v>
      </x:c>
    </x:row>
    <x:row r="3153">
      <x:c r="A3153" s="43" t="n">
        <x:v>3149</x:v>
      </x:c>
      <x:c r="B3153" s="44" t="str">
        <x:v>Not Started</x:v>
      </x:c>
      <x:c r="C3153" s="45" t="n">
        <x:v>45421</x:v>
      </x:c>
      <x:c r="D3153" s="33" t="str">
        <x:v>Law &amp; Order: Special Victims Unit</x:v>
      </x:c>
      <x:c r="E3153" s="33" t="str">
        <x:v>Law &amp; Order</x:v>
      </x:c>
      <x:c r="F3153" s="33" t="str">
        <x:v>core</x:v>
      </x:c>
      <x:c r="G3153" s="50" t="n">
        <x:v>25</x:v>
      </x:c>
      <x:c r="H3153" s="50" t="n">
        <x:v>12</x:v>
      </x:c>
      <x:c r="I3153" s="44" t="str">
        <x:v>25.12</x:v>
      </x:c>
      <x:c r="J3153" s="33" t="str">
        <x:v>Marauder</x:v>
      </x:c>
      <x:c r="K3153" s="33" t="str"/>
      <x:c r="L3153" s="33" t="str"/>
      <x:c r="M3153" s="44" t="str"/>
      <x:c r="N3153" s="50" t="n">
        <x:v>42</x:v>
      </x:c>
      <x:c r="O3153" s="53" t="str">
        <x:v>Agent Sykes struggles to cope on the anniversary of her sister's disappearance. Benson suspects a cold case from Manhattan could help her get closure.</x:v>
      </x:c>
      <x:c r="P3153" s="53" t="str">
        <x:v>Core Law &amp; Order franchise</x:v>
      </x:c>
      <x:c r="Q3153" s="17" t="str">
        <x:v>11583428</x:v>
      </x:c>
      <x:c r="R3153" s="17" t="str">
        <x:v>tt32096910</x:v>
      </x:c>
      <x:c r="S3153" s="17" t="str">
        <x:v>1666</x:v>
      </x:c>
    </x:row>
    <x:row r="3154">
      <x:c r="A3154" s="43" t="n">
        <x:v>3150</x:v>
      </x:c>
      <x:c r="B3154" s="44" t="str">
        <x:v>Not Started</x:v>
      </x:c>
      <x:c r="C3154" s="45" t="n">
        <x:v>45424</x:v>
      </x:c>
      <x:c r="D3154" s="33" t="str">
        <x:v>Cold Justice</x:v>
      </x:c>
      <x:c r="E3154" s="33" t="str">
        <x:v>Crossover Adjacent</x:v>
      </x:c>
      <x:c r="F3154" s="33" t="str">
        <x:v>complete</x:v>
      </x:c>
      <x:c r="G3154" s="50" t="n">
        <x:v>7</x:v>
      </x:c>
      <x:c r="H3154" s="50" t="n">
        <x:v>12</x:v>
      </x:c>
      <x:c r="I3154" s="44" t="str">
        <x:v>07.12</x:v>
      </x:c>
      <x:c r="J3154" s="33" t="str">
        <x:v>From Loss to Light: A Cold Justice Update Special</x:v>
      </x:c>
      <x:c r="K3154" s="33" t="str"/>
      <x:c r="L3154" s="33" t="str"/>
      <x:c r="M3154" s="44" t="str"/>
      <x:c r="N3154" s="50" t="n">
        <x:v>42</x:v>
      </x:c>
      <x:c r="O3154" s="53" t="str">
        <x:v>Kelly shares exclusive updates on past cases, answers most-asked questions, and catches up with family members and fan-favorite cops.</x:v>
      </x:c>
      <x:c r="P3154" s="53" t="str">
        <x:v>Wolf Entertainment unscripted true-crime series</x:v>
      </x:c>
      <x:c r="Q3154" s="17" t="str">
        <x:v>11780151</x:v>
      </x:c>
      <x:c r="R3154" s="17" t="str"/>
      <x:c r="S3154" s="17" t="str"/>
    </x:row>
    <x:row r="3155">
      <x:c r="A3155" s="43" t="n">
        <x:v>3151</x:v>
      </x:c>
      <x:c r="B3155" s="44" t="str">
        <x:v>Not Started</x:v>
      </x:c>
      <x:c r="C3155" s="45" t="n">
        <x:v>45427</x:v>
      </x:c>
      <x:c r="D3155" s="33" t="str">
        <x:v>FBI: International</x:v>
      </x:c>
      <x:c r="E3155" s="33" t="str">
        <x:v>FBI</x:v>
      </x:c>
      <x:c r="F3155" s="33" t="str">
        <x:v>core</x:v>
      </x:c>
      <x:c r="G3155" s="50" t="n">
        <x:v>3</x:v>
      </x:c>
      <x:c r="H3155" s="50" t="n">
        <x:v>12</x:v>
      </x:c>
      <x:c r="I3155" s="44" t="str">
        <x:v>03.12</x:v>
      </x:c>
      <x:c r="J3155" s="33" t="str">
        <x:v>Gift</x:v>
      </x:c>
      <x:c r="K3155" s="33" t="str"/>
      <x:c r="L3155" s="33" t="str"/>
      <x:c r="M3155" s="44" t="str"/>
      <x:c r="N3155" s="50" t="n">
        <x:v>44</x:v>
      </x:c>
      <x:c r="O3155" s="53" t="str">
        <x:v>When the owner of a prominent cyber security company is murdered in Copenhagen, mass amounts of data are leaked, sending the NSA to the Fly Team for assistance, including the Bureau's liaison to the NSA.</x:v>
      </x:c>
      <x:c r="P3155" s="53" t="str">
        <x:v>Core FBI franchise</x:v>
      </x:c>
      <x:c r="Q3155" s="17" t="str">
        <x:v>11679073</x:v>
      </x:c>
      <x:c r="R3155" s="17" t="str">
        <x:v>tt31391131</x:v>
      </x:c>
      <x:c r="S3155" s="17" t="str"/>
    </x:row>
    <x:row r="3156">
      <x:c r="A3156" s="43" t="n">
        <x:v>3152</x:v>
      </x:c>
      <x:c r="B3156" s="44" t="str">
        <x:v>Not Started</x:v>
      </x:c>
      <x:c r="C3156" s="45" t="n">
        <x:v>45427</x:v>
      </x:c>
      <x:c r="D3156" s="33" t="str">
        <x:v>FBI: Most Wanted</x:v>
      </x:c>
      <x:c r="E3156" s="33" t="str">
        <x:v>FBI</x:v>
      </x:c>
      <x:c r="F3156" s="33" t="str">
        <x:v>core</x:v>
      </x:c>
      <x:c r="G3156" s="50" t="n">
        <x:v>5</x:v>
      </x:c>
      <x:c r="H3156" s="50" t="n">
        <x:v>12</x:v>
      </x:c>
      <x:c r="I3156" s="44" t="str">
        <x:v>05.12</x:v>
      </x:c>
      <x:c r="J3156" s="33" t="str">
        <x:v>Derby Day</x:v>
      </x:c>
      <x:c r="K3156" s="33" t="str"/>
      <x:c r="L3156" s="33" t="str"/>
      <x:c r="M3156" s="44" t="str"/>
      <x:c r="N3156" s="50" t="n">
        <x:v>43</x:v>
      </x:c>
      <x:c r="O3156" s="53" t="str">
        <x:v>When a mob-connected police informant is found murdered before a major crime boss is being indicted on federal charges, the Fugitive Task Force goes on a hunt for the killers. Meanwhile, Hana grows closer to Ethan.</x:v>
      </x:c>
      <x:c r="P3156" s="53" t="str">
        <x:v>Core FBI franchise</x:v>
      </x:c>
      <x:c r="Q3156" s="17" t="str">
        <x:v>11742427</x:v>
      </x:c>
      <x:c r="R3156" s="17" t="str">
        <x:v>tt31314305</x:v>
      </x:c>
      <x:c r="S3156" s="17" t="str"/>
    </x:row>
    <x:row r="3157">
      <x:c r="A3157" s="43" t="n">
        <x:v>3153</x:v>
      </x:c>
      <x:c r="B3157" s="44" t="str">
        <x:v>Not Started</x:v>
      </x:c>
      <x:c r="C3157" s="45" t="n">
        <x:v>45427</x:v>
      </x:c>
      <x:c r="D3157" s="33" t="str">
        <x:v>FBI</x:v>
      </x:c>
      <x:c r="E3157" s="33" t="str">
        <x:v>FBI</x:v>
      </x:c>
      <x:c r="F3157" s="33" t="str">
        <x:v>core</x:v>
      </x:c>
      <x:c r="G3157" s="50" t="n">
        <x:v>6</x:v>
      </x:c>
      <x:c r="H3157" s="50" t="n">
        <x:v>12</x:v>
      </x:c>
      <x:c r="I3157" s="44" t="str">
        <x:v>06.12</x:v>
      </x:c>
      <x:c r="J3157" s="33" t="str">
        <x:v>Consequences</x:v>
      </x:c>
      <x:c r="K3157" s="33" t="str"/>
      <x:c r="L3157" s="33" t="str"/>
      <x:c r="M3157" s="44" t="str"/>
      <x:c r="N3157" s="50" t="n">
        <x:v>42</x:v>
      </x:c>
      <x:c r="O3157" s="53" t="str">
        <x:v>When a truck driver is murdered and the drug he was transporting goes missing, the team hunts for those behind the remaining batch that is already wreaking havoc on the streets of New York.</x:v>
      </x:c>
      <x:c r="P3157" s="53" t="str">
        <x:v>Core FBI franchise</x:v>
      </x:c>
      <x:c r="Q3157" s="17" t="str">
        <x:v>11679080</x:v>
      </x:c>
      <x:c r="R3157" s="17" t="str">
        <x:v>tt31130015</x:v>
      </x:c>
      <x:c r="S3157" s="17" t="str"/>
    </x:row>
    <x:row r="3158">
      <x:c r="A3158" s="43" t="n">
        <x:v>3154</x:v>
      </x:c>
      <x:c r="B3158" s="44" t="str">
        <x:v>Not Started</x:v>
      </x:c>
      <x:c r="C3158" s="45" t="n">
        <x:v>45428</x:v>
      </x:c>
      <x:c r="D3158" s="33" t="str">
        <x:v>Law &amp; Order Toronto: Criminal Intent</x:v>
      </x:c>
      <x:c r="E3158" s="33" t="str">
        <x:v>Law &amp; Order</x:v>
      </x:c>
      <x:c r="F3158" s="33" t="str">
        <x:v>core</x:v>
      </x:c>
      <x:c r="G3158" s="50" t="n">
        <x:v>1</x:v>
      </x:c>
      <x:c r="H3158" s="50" t="n">
        <x:v>10</x:v>
      </x:c>
      <x:c r="I3158" s="44" t="str">
        <x:v>01.10</x:v>
      </x:c>
      <x:c r="J3158" s="33" t="str">
        <x:v>Cul-de-Sac</x:v>
      </x:c>
      <x:c r="K3158" s="33" t="str"/>
      <x:c r="L3158" s="33" t="str"/>
      <x:c r="M3158" s="44" t="str"/>
      <x:c r="N3158" s="50" t="n">
        <x:v>44</x:v>
      </x:c>
      <x:c r="O3158" s="53" t="str">
        <x:v>The neighbours of a respected defence attorney become the prime suspects in her murder.</x:v>
      </x:c>
      <x:c r="P3158" s="53" t="str">
        <x:v>Law &amp; Order international franchise</x:v>
      </x:c>
      <x:c r="Q3158" s="17" t="str">
        <x:v>11302073</x:v>
      </x:c>
      <x:c r="R3158" s="17" t="str">
        <x:v>tt29144667</x:v>
      </x:c>
      <x:c r="S3158" s="17" t="str">
        <x:v>1668</x:v>
      </x:c>
    </x:row>
    <x:row r="3159">
      <x:c r="A3159" s="43" t="n">
        <x:v>3155</x:v>
      </x:c>
      <x:c r="B3159" s="44" t="str">
        <x:v>Not Started</x:v>
      </x:c>
      <x:c r="C3159" s="45" t="n">
        <x:v>45428</x:v>
      </x:c>
      <x:c r="D3159" s="33" t="str">
        <x:v>Law &amp; Order: Organized Crime</x:v>
      </x:c>
      <x:c r="E3159" s="33" t="str">
        <x:v>Law &amp; Order</x:v>
      </x:c>
      <x:c r="F3159" s="33" t="str">
        <x:v>core</x:v>
      </x:c>
      <x:c r="G3159" s="50" t="n">
        <x:v>4</x:v>
      </x:c>
      <x:c r="H3159" s="50" t="n">
        <x:v>13</x:v>
      </x:c>
      <x:c r="I3159" s="44" t="str">
        <x:v>04.13</x:v>
      </x:c>
      <x:c r="J3159" s="33" t="str">
        <x:v>Stabler's Lament</x:v>
      </x:c>
      <x:c r="K3159" s="33" t="str"/>
      <x:c r="L3159" s="33" t="str"/>
      <x:c r="M3159" s="44" t="str"/>
      <x:c r="N3159" s="50" t="n">
        <x:v>43</x:v>
      </x:c>
      <x:c r="O3159" s="53" t="str">
        <x:v>When the ATF Bureau plans a raid of Redcoat's warehouse, Trisha promises to help Stabler keep Joe Jr. safe. Bell comes face to face with the man who killed Sam. Another Stabler family dinner causes tensions to run high.</x:v>
      </x:c>
      <x:c r="P3159" s="53" t="str">
        <x:v>Core Law &amp; Order franchise</x:v>
      </x:c>
      <x:c r="Q3159" s="17" t="str">
        <x:v>11740453</x:v>
      </x:c>
      <x:c r="R3159" s="17" t="str">
        <x:v>tt32096932</x:v>
      </x:c>
      <x:c r="S3159" s="17" t="str">
        <x:v>1671</x:v>
      </x:c>
    </x:row>
    <x:row r="3160">
      <x:c r="A3160" s="43" t="n">
        <x:v>3156</x:v>
      </x:c>
      <x:c r="B3160" s="44" t="str">
        <x:v>Not Started</x:v>
      </x:c>
      <x:c r="C3160" s="45" t="n">
        <x:v>45428</x:v>
      </x:c>
      <x:c r="D3160" s="33" t="str">
        <x:v>Chicago Med</x:v>
      </x:c>
      <x:c r="E3160" s="33" t="str">
        <x:v>One Chicago</x:v>
      </x:c>
      <x:c r="F3160" s="33" t="str">
        <x:v>core</x:v>
      </x:c>
      <x:c r="G3160" s="50" t="n">
        <x:v>9</x:v>
      </x:c>
      <x:c r="H3160" s="50" t="n">
        <x:v>12</x:v>
      </x:c>
      <x:c r="I3160" s="44" t="str">
        <x:v>09.12</x:v>
      </x:c>
      <x:c r="J3160" s="33" t="str">
        <x:v>Get By with a Little Help from My Friends</x:v>
      </x:c>
      <x:c r="K3160" s="33" t="str"/>
      <x:c r="L3160" s="33" t="str"/>
      <x:c r="M3160" s="44" t="str"/>
      <x:c r="N3160" s="50" t="n">
        <x:v>43</x:v>
      </x:c>
      <x:c r="O3160" s="53" t="str">
        <x:v>An infection threatens Marcel's risky liver transplant. Maggie and Charles help a struggling burn unit nurse. Goodwin is forced to make a tough decision about Bert's future.</x:v>
      </x:c>
      <x:c r="P3160" s="53" t="str">
        <x:v>Core One Chicago franchise</x:v>
      </x:c>
      <x:c r="Q3160" s="17" t="str">
        <x:v>11778349</x:v>
      </x:c>
      <x:c r="R3160" s="17" t="str">
        <x:v>tt32096777</x:v>
      </x:c>
      <x:c r="S3160" s="17" t="str"/>
    </x:row>
    <x:row r="3161">
      <x:c r="A3161" s="43" t="n">
        <x:v>3157</x:v>
      </x:c>
      <x:c r="B3161" s="44" t="str">
        <x:v>Not Started</x:v>
      </x:c>
      <x:c r="C3161" s="45" t="n">
        <x:v>45428</x:v>
      </x:c>
      <x:c r="D3161" s="33" t="str">
        <x:v>Chicago P.D.</x:v>
      </x:c>
      <x:c r="E3161" s="33" t="str">
        <x:v>One Chicago</x:v>
      </x:c>
      <x:c r="F3161" s="33" t="str">
        <x:v>core</x:v>
      </x:c>
      <x:c r="G3161" s="50" t="n">
        <x:v>11</x:v>
      </x:c>
      <x:c r="H3161" s="50" t="n">
        <x:v>12</x:v>
      </x:c>
      <x:c r="I3161" s="44" t="str">
        <x:v>11.12</x:v>
      </x:c>
      <x:c r="J3161" s="33" t="str">
        <x:v>Inventory</x:v>
      </x:c>
      <x:c r="K3161" s="33" t="str"/>
      <x:c r="L3161" s="33" t="str"/>
      <x:c r="M3161" s="44" t="str"/>
      <x:c r="N3161" s="50" t="n">
        <x:v>42</x:v>
      </x:c>
      <x:c r="O3161" s="53" t="str">
        <x:v>Intelligence chases down a lead in the ongoing serial killer investigation as news of the case reaches the public.</x:v>
      </x:c>
      <x:c r="P3161" s="53" t="str">
        <x:v>Core One Chicago franchise; crossovers with SVU/FBI</x:v>
      </x:c>
      <x:c r="Q3161" s="17" t="str">
        <x:v>11773406</x:v>
      </x:c>
      <x:c r="R3161" s="17" t="str">
        <x:v>tt32096802</x:v>
      </x:c>
      <x:c r="S3161" s="17" t="str"/>
    </x:row>
    <x:row r="3162">
      <x:c r="A3162" s="43" t="n">
        <x:v>3158</x:v>
      </x:c>
      <x:c r="B3162" s="44" t="str">
        <x:v>Not Started</x:v>
      </x:c>
      <x:c r="C3162" s="45" t="n">
        <x:v>45428</x:v>
      </x:c>
      <x:c r="D3162" s="33" t="str">
        <x:v>Chicago Fire</x:v>
      </x:c>
      <x:c r="E3162" s="33" t="str">
        <x:v>One Chicago</x:v>
      </x:c>
      <x:c r="F3162" s="33" t="str">
        <x:v>core</x:v>
      </x:c>
      <x:c r="G3162" s="50" t="n">
        <x:v>12</x:v>
      </x:c>
      <x:c r="H3162" s="50" t="n">
        <x:v>12</x:v>
      </x:c>
      <x:c r="I3162" s="44" t="str">
        <x:v>12.12</x:v>
      </x:c>
      <x:c r="J3162" s="33" t="str">
        <x:v>Under Pressure</x:v>
      </x:c>
      <x:c r="K3162" s="33" t="str"/>
      <x:c r="L3162" s="33" t="str"/>
      <x:c r="M3162" s="44" t="str"/>
      <x:c r="N3162" s="50" t="n">
        <x:v>41</x:v>
      </x:c>
      <x:c r="O3162" s="53" t="str">
        <x:v>Severide and Violet risk clashing with Paramedic Chief Robinson after Lennox makes a dangerous decision on a call. Capp and Tony attempt to break a world record.</x:v>
      </x:c>
      <x:c r="P3162" s="53" t="str">
        <x:v>Core One Chicago franchise</x:v>
      </x:c>
      <x:c r="Q3162" s="17" t="str">
        <x:v>11773403</x:v>
      </x:c>
      <x:c r="R3162" s="17" t="str">
        <x:v>tt32096787</x:v>
      </x:c>
      <x:c r="S3162" s="17" t="str"/>
    </x:row>
    <x:row r="3163">
      <x:c r="A3163" s="43" t="n">
        <x:v>3159</x:v>
      </x:c>
      <x:c r="B3163" s="44" t="str">
        <x:v>Not Started</x:v>
      </x:c>
      <x:c r="C3163" s="45" t="n">
        <x:v>45428</x:v>
      </x:c>
      <x:c r="D3163" s="33" t="str">
        <x:v>Law &amp; Order</x:v>
      </x:c>
      <x:c r="E3163" s="33" t="str">
        <x:v>Law &amp; Order</x:v>
      </x:c>
      <x:c r="F3163" s="33" t="str">
        <x:v>core</x:v>
      </x:c>
      <x:c r="G3163" s="50" t="n">
        <x:v>23</x:v>
      </x:c>
      <x:c r="H3163" s="50" t="n">
        <x:v>13</x:v>
      </x:c>
      <x:c r="I3163" s="44" t="str">
        <x:v>23.13</x:v>
      </x:c>
      <x:c r="J3163" s="33" t="str">
        <x:v>In Harm's Way</x:v>
      </x:c>
      <x:c r="K3163" s="33" t="str"/>
      <x:c r="L3163" s="33" t="str"/>
      <x:c r="M3163" s="44" t="str"/>
      <x:c r="N3163" s="50" t="n">
        <x:v>43</x:v>
      </x:c>
      <x:c r="O3163" s="53" t="str">
        <x:v>When a sports star is killed, Shaw and Riley suspect the shooter missed their intended target. Baxter's daughter comes forward as a witness, but her testimony could impact his campaign.</x:v>
      </x:c>
      <x:c r="P3163" s="53" t="str">
        <x:v>Core Law &amp; Order franchise</x:v>
      </x:c>
      <x:c r="Q3163" s="17" t="str">
        <x:v>11583440</x:v>
      </x:c>
      <x:c r="R3163" s="17" t="str">
        <x:v>tt32096816</x:v>
      </x:c>
      <x:c r="S3163" s="17" t="str">
        <x:v>1669</x:v>
      </x:c>
    </x:row>
    <x:row r="3164">
      <x:c r="A3164" s="43" t="n">
        <x:v>3160</x:v>
      </x:c>
      <x:c r="B3164" s="44" t="str">
        <x:v>Not Started</x:v>
      </x:c>
      <x:c r="C3164" s="45" t="n">
        <x:v>45428</x:v>
      </x:c>
      <x:c r="D3164" s="33" t="str">
        <x:v>Law &amp; Order: Special Victims Unit</x:v>
      </x:c>
      <x:c r="E3164" s="33" t="str">
        <x:v>Law &amp; Order</x:v>
      </x:c>
      <x:c r="F3164" s="33" t="str">
        <x:v>core</x:v>
      </x:c>
      <x:c r="G3164" s="50" t="n">
        <x:v>25</x:v>
      </x:c>
      <x:c r="H3164" s="50" t="n">
        <x:v>13</x:v>
      </x:c>
      <x:c r="I3164" s="44" t="str">
        <x:v>25.13</x:v>
      </x:c>
      <x:c r="J3164" s="33" t="str">
        <x:v>Duty to Hope</x:v>
      </x:c>
      <x:c r="K3164" s="33" t="str"/>
      <x:c r="L3164" s="33" t="str"/>
      <x:c r="M3164" s="44" t="str"/>
      <x:c r="N3164" s="50" t="n">
        <x:v>43</x:v>
      </x:c>
      <x:c r="O3164" s="53" t="str">
        <x:v>The SVU searches for a pattern assailant before his crimes escalate to murder. Fin must contend with a suspect's aggrieved son. Carisi is pressured to close the case quickly to ease public concern.</x:v>
      </x:c>
      <x:c r="P3164" s="53" t="str">
        <x:v>Core Law &amp; Order franchise</x:v>
      </x:c>
      <x:c r="Q3164" s="17" t="str">
        <x:v>11583429</x:v>
      </x:c>
      <x:c r="R3164" s="17" t="str">
        <x:v>tt32096915</x:v>
      </x:c>
      <x:c r="S3164" s="17" t="str">
        <x:v>1670</x:v>
      </x:c>
    </x:row>
    <x:row r="3165">
      <x:c r="A3165" s="43" t="n">
        <x:v>3161</x:v>
      </x:c>
      <x:c r="B3165" s="44" t="str">
        <x:v>Not Started</x:v>
      </x:c>
      <x:c r="C3165" s="45" t="n">
        <x:v>45434</x:v>
      </x:c>
      <x:c r="D3165" s="33" t="str">
        <x:v>FBI: International</x:v>
      </x:c>
      <x:c r="E3165" s="33" t="str">
        <x:v>FBI</x:v>
      </x:c>
      <x:c r="F3165" s="33" t="str">
        <x:v>core</x:v>
      </x:c>
      <x:c r="G3165" s="50" t="n">
        <x:v>3</x:v>
      </x:c>
      <x:c r="H3165" s="50" t="n">
        <x:v>13</x:v>
      </x:c>
      <x:c r="I3165" s="44" t="str">
        <x:v>03.13</x:v>
      </x:c>
      <x:c r="J3165" s="33" t="str">
        <x:v>Tuxhorn</x:v>
      </x:c>
      <x:c r="K3165" s="33" t="str"/>
      <x:c r="L3165" s="33" t="str"/>
      <x:c r="M3165" s="44" t="str"/>
      <x:c r="N3165" s="50" t="n">
        <x:v>43</x:v>
      </x:c>
      <x:c r="O3165" s="53" t="str">
        <x:v>The Fly Team heads to Oslo when they are tipped off that two Norwegian prisoners are being held in Russia.</x:v>
      </x:c>
      <x:c r="P3165" s="53" t="str">
        <x:v>Core FBI franchise</x:v>
      </x:c>
      <x:c r="Q3165" s="17" t="str">
        <x:v>11679074</x:v>
      </x:c>
      <x:c r="R3165" s="17" t="str">
        <x:v>tt31391134</x:v>
      </x:c>
      <x:c r="S3165" s="17" t="str"/>
    </x:row>
    <x:row r="3166">
      <x:c r="A3166" s="43" t="n">
        <x:v>3162</x:v>
      </x:c>
      <x:c r="B3166" s="44" t="str">
        <x:v>Not Started</x:v>
      </x:c>
      <x:c r="C3166" s="45" t="n">
        <x:v>45434</x:v>
      </x:c>
      <x:c r="D3166" s="33" t="str">
        <x:v>FBI: Most Wanted</x:v>
      </x:c>
      <x:c r="E3166" s="33" t="str">
        <x:v>FBI</x:v>
      </x:c>
      <x:c r="F3166" s="33" t="str">
        <x:v>core</x:v>
      </x:c>
      <x:c r="G3166" s="50" t="n">
        <x:v>5</x:v>
      </x:c>
      <x:c r="H3166" s="50" t="n">
        <x:v>13</x:v>
      </x:c>
      <x:c r="I3166" s="44" t="str">
        <x:v>05.13</x:v>
      </x:c>
      <x:c r="J3166" s="33" t="str">
        <x:v>Powderfinger</x:v>
      </x:c>
      <x:c r="K3166" s="33" t="str"/>
      <x:c r="L3166" s="33" t="str"/>
      <x:c r="M3166" s="44" t="str"/>
      <x:c r="N3166" s="50" t="n">
        <x:v>43</x:v>
      </x:c>
      <x:c r="O3166" s="53" t="str">
        <x:v>The Fugitive Task Force races to catch the culprit threatening Manhattan with a dirty bomb. Meanwhile, Ray prepares to celebrate a major life milestone as his wedding to Cora approaches.</x:v>
      </x:c>
      <x:c r="P3166" s="53" t="str">
        <x:v>Core FBI franchise</x:v>
      </x:c>
      <x:c r="Q3166" s="17" t="str">
        <x:v>11742428</x:v>
      </x:c>
      <x:c r="R3166" s="17" t="str">
        <x:v>tt31314306</x:v>
      </x:c>
      <x:c r="S3166" s="17" t="str"/>
    </x:row>
    <x:row r="3167">
      <x:c r="A3167" s="43" t="n">
        <x:v>3163</x:v>
      </x:c>
      <x:c r="B3167" s="44" t="str">
        <x:v>Not Started</x:v>
      </x:c>
      <x:c r="C3167" s="45" t="n">
        <x:v>45434</x:v>
      </x:c>
      <x:c r="D3167" s="33" t="str">
        <x:v>FBI</x:v>
      </x:c>
      <x:c r="E3167" s="33" t="str">
        <x:v>FBI</x:v>
      </x:c>
      <x:c r="F3167" s="33" t="str">
        <x:v>core</x:v>
      </x:c>
      <x:c r="G3167" s="50" t="n">
        <x:v>6</x:v>
      </x:c>
      <x:c r="H3167" s="50" t="n">
        <x:v>13</x:v>
      </x:c>
      <x:c r="I3167" s="44" t="str">
        <x:v>06.13</x:v>
      </x:c>
      <x:c r="J3167" s="33" t="str">
        <x:v>Ring of Fire</x:v>
      </x:c>
      <x:c r="K3167" s="33" t="str"/>
      <x:c r="L3167" s="33" t="str"/>
      <x:c r="M3167" s="44" t="str"/>
      <x:c r="N3167" s="50" t="n">
        <x:v>43</x:v>
      </x:c>
      <x:c r="O3167" s="53" t="str">
        <x:v>The Somalian terrorist group behind the death of Agent Hobbs resurfaces, sending the team on a chase to take them down for good.</x:v>
      </x:c>
      <x:c r="P3167" s="53" t="str">
        <x:v>Core FBI franchise</x:v>
      </x:c>
      <x:c r="Q3167" s="17" t="str">
        <x:v>11679081</x:v>
      </x:c>
      <x:c r="R3167" s="17" t="str">
        <x:v>tt31130017</x:v>
      </x:c>
      <x:c r="S3167" s="17" t="str"/>
    </x:row>
    <x:row r="3168">
      <x:c r="A3168" s="43" t="n">
        <x:v>3164</x:v>
      </x:c>
      <x:c r="B3168" s="44" t="str">
        <x:v>Not Started</x:v>
      </x:c>
      <x:c r="C3168" s="45" t="n">
        <x:v>45435</x:v>
      </x:c>
      <x:c r="D3168" s="33" t="str">
        <x:v>Chicago Med</x:v>
      </x:c>
      <x:c r="E3168" s="33" t="str">
        <x:v>One Chicago</x:v>
      </x:c>
      <x:c r="F3168" s="33" t="str">
        <x:v>core</x:v>
      </x:c>
      <x:c r="G3168" s="50" t="n">
        <x:v>9</x:v>
      </x:c>
      <x:c r="H3168" s="50" t="n">
        <x:v>13</x:v>
      </x:c>
      <x:c r="I3168" s="44" t="str">
        <x:v>09.13</x:v>
      </x:c>
      <x:c r="J3168" s="33" t="str">
        <x:v>I Think I Know You, But Do I Really?</x:v>
      </x:c>
      <x:c r="K3168" s="33" t="str"/>
      <x:c r="L3168" s="33" t="str"/>
      <x:c r="M3168" s="44" t="str"/>
      <x:c r="N3168" s="50" t="n">
        <x:v>43</x:v>
      </x:c>
      <x:c r="O3168" s="53" t="str">
        <x:v>Ripley and Charles treat a high-risk prisoner who may have dementia. Archer and Sean clash when a resident from Margo's facility lands in the E.D. Marcel receives shocking news.</x:v>
      </x:c>
      <x:c r="P3168" s="53" t="str">
        <x:v>Core One Chicago franchise</x:v>
      </x:c>
      <x:c r="Q3168" s="17" t="str">
        <x:v>11778350</x:v>
      </x:c>
      <x:c r="R3168" s="17" t="str">
        <x:v>tt32096778</x:v>
      </x:c>
      <x:c r="S3168" s="17" t="str"/>
    </x:row>
    <x:row r="3169">
      <x:c r="A3169" s="43" t="n">
        <x:v>3165</x:v>
      </x:c>
      <x:c r="B3169" s="44" t="str">
        <x:v>Not Started</x:v>
      </x:c>
      <x:c r="C3169" s="45" t="n">
        <x:v>45435</x:v>
      </x:c>
      <x:c r="D3169" s="33" t="str">
        <x:v>Chicago P.D.</x:v>
      </x:c>
      <x:c r="E3169" s="33" t="str">
        <x:v>One Chicago</x:v>
      </x:c>
      <x:c r="F3169" s="33" t="str">
        <x:v>core</x:v>
      </x:c>
      <x:c r="G3169" s="50" t="n">
        <x:v>11</x:v>
      </x:c>
      <x:c r="H3169" s="50" t="n">
        <x:v>13</x:v>
      </x:c>
      <x:c r="I3169" s="44" t="str">
        <x:v>11.13</x:v>
      </x:c>
      <x:c r="J3169" s="33" t="str">
        <x:v>More</x:v>
      </x:c>
      <x:c r="K3169" s="33" t="str"/>
      <x:c r="L3169" s="33" t="str"/>
      <x:c r="M3169" s="44" t="str"/>
      <x:c r="N3169" s="50" t="n">
        <x:v>43</x:v>
      </x:c>
      <x:c r="O3169" s="53" t="str">
        <x:v>As the monthslong investigation into the serial killer reaches its close, Voight must outsmart the offender in a race against the clock. Upton must make a vital decision.</x:v>
      </x:c>
      <x:c r="P3169" s="53" t="str">
        <x:v>Core One Chicago franchise; crossovers with SVU/FBI</x:v>
      </x:c>
      <x:c r="Q3169" s="17" t="str">
        <x:v>11807600</x:v>
      </x:c>
      <x:c r="R3169" s="17" t="str">
        <x:v>tt32096803</x:v>
      </x:c>
      <x:c r="S3169" s="17" t="str"/>
    </x:row>
    <x:row r="3170">
      <x:c r="A3170" s="43" t="n">
        <x:v>3166</x:v>
      </x:c>
      <x:c r="B3170" s="44" t="str">
        <x:v>Not Started</x:v>
      </x:c>
      <x:c r="C3170" s="45" t="n">
        <x:v>45435</x:v>
      </x:c>
      <x:c r="D3170" s="33" t="str">
        <x:v>Chicago Fire</x:v>
      </x:c>
      <x:c r="E3170" s="33" t="str">
        <x:v>One Chicago</x:v>
      </x:c>
      <x:c r="F3170" s="33" t="str">
        <x:v>core</x:v>
      </x:c>
      <x:c r="G3170" s="50" t="n">
        <x:v>12</x:v>
      </x:c>
      <x:c r="H3170" s="50" t="n">
        <x:v>13</x:v>
      </x:c>
      <x:c r="I3170" s="44" t="str">
        <x:v>12.13</x:v>
      </x:c>
      <x:c r="J3170" s="33" t="str">
        <x:v>Never Say Goodbye</x:v>
      </x:c>
      <x:c r="K3170" s="33" t="str"/>
      <x:c r="L3170" s="33" t="str"/>
      <x:c r="M3170" s="44" t="str"/>
      <x:c r="N3170" s="50" t="n">
        <x:v>41</x:v>
      </x:c>
      <x:c r="O3170" s="53" t="str">
        <x:v>Boden makes a decision that impacts the race for deputy commissioner. A tense call brings up painful memories for Carver and Damon. Mouch struggles to adjust to the new truck.</x:v>
      </x:c>
      <x:c r="P3170" s="53" t="str">
        <x:v>Core One Chicago franchise</x:v>
      </x:c>
      <x:c r="Q3170" s="17" t="str">
        <x:v>11807601</x:v>
      </x:c>
      <x:c r="R3170" s="17" t="str">
        <x:v>tt32096792</x:v>
      </x:c>
      <x:c r="S3170" s="17" t="str"/>
    </x:row>
    <x:row r="3171">
      <x:c r="A3171" s="43" t="n">
        <x:v>3167</x:v>
      </x:c>
      <x:c r="B3171" s="44" t="str">
        <x:v>Not Started</x:v>
      </x:c>
      <x:c r="C3171" s="45" t="n">
        <x:v>45561</x:v>
      </x:c>
      <x:c r="D3171" s="33" t="str">
        <x:v>Chicago Med</x:v>
      </x:c>
      <x:c r="E3171" s="33" t="str">
        <x:v>One Chicago</x:v>
      </x:c>
      <x:c r="F3171" s="33" t="str">
        <x:v>core</x:v>
      </x:c>
      <x:c r="G3171" s="50" t="n">
        <x:v>10</x:v>
      </x:c>
      <x:c r="H3171" s="50" t="n">
        <x:v>1</x:v>
      </x:c>
      <x:c r="I3171" s="44" t="str">
        <x:v>10.01</x:v>
      </x:c>
      <x:c r="J3171" s="33" t="str">
        <x:v>Sink or Swim</x:v>
      </x:c>
      <x:c r="K3171" s="33" t="str"/>
      <x:c r="L3171" s="33" t="str"/>
      <x:c r="M3171" s="44" t="str"/>
      <x:c r="N3171" s="50" t="n">
        <x:v>43</x:v>
      </x:c>
      <x:c r="O3171" s="53" t="str">
        <x:v>When a commuter ship capsizes, the ED finds itself under water as the staff struggles to treat the influx of new patients and deal with bold new employees taking charge.</x:v>
      </x:c>
      <x:c r="P3171" s="53" t="str">
        <x:v>Core One Chicago franchise</x:v>
      </x:c>
      <x:c r="Q3171" s="17" t="str">
        <x:v>12100039</x:v>
      </x:c>
      <x:c r="R3171" s="17" t="str">
        <x:v>tt32096781</x:v>
      </x:c>
      <x:c r="S3171" s="17" t="str"/>
    </x:row>
    <x:row r="3172">
      <x:c r="A3172" s="43" t="n">
        <x:v>3168</x:v>
      </x:c>
      <x:c r="B3172" s="44" t="str">
        <x:v>Not Started</x:v>
      </x:c>
      <x:c r="C3172" s="45" t="n">
        <x:v>45561</x:v>
      </x:c>
      <x:c r="D3172" s="33" t="str">
        <x:v>Chicago P.D.</x:v>
      </x:c>
      <x:c r="E3172" s="33" t="str">
        <x:v>One Chicago</x:v>
      </x:c>
      <x:c r="F3172" s="33" t="str">
        <x:v>core</x:v>
      </x:c>
      <x:c r="G3172" s="50" t="n">
        <x:v>12</x:v>
      </x:c>
      <x:c r="H3172" s="50" t="n">
        <x:v>1</x:v>
      </x:c>
      <x:c r="I3172" s="44" t="str">
        <x:v>12.01</x:v>
      </x:c>
      <x:c r="J3172" s="33" t="str">
        <x:v>Ten Ninety-Nine (1)</x:v>
      </x:c>
      <x:c r="K3172" s="33" t="str"/>
      <x:c r="L3172" s="33" t="str"/>
      <x:c r="M3172" s="44" t="str"/>
      <x:c r="N3172" s="50" t="n">
        <x:v>43</x:v>
      </x:c>
      <x:c r="O3172" s="53" t="str">
        <x:v>A month after Voight's close brush with death, Intelligence is overwhelmed with cases as they catch a high-stakes drug bust.</x:v>
      </x:c>
      <x:c r="P3172" s="53" t="str">
        <x:v>Core One Chicago franchise; crossovers with SVU/FBI</x:v>
      </x:c>
      <x:c r="Q3172" s="17" t="str">
        <x:v>12100025</x:v>
      </x:c>
      <x:c r="R3172" s="17" t="str">
        <x:v>tt32096807</x:v>
      </x:c>
      <x:c r="S3172" s="17" t="str"/>
    </x:row>
    <x:row r="3173">
      <x:c r="A3173" s="43" t="n">
        <x:v>3169</x:v>
      </x:c>
      <x:c r="B3173" s="44" t="str">
        <x:v>Not Started</x:v>
      </x:c>
      <x:c r="C3173" s="45" t="n">
        <x:v>45561</x:v>
      </x:c>
      <x:c r="D3173" s="33" t="str">
        <x:v>Chicago Fire</x:v>
      </x:c>
      <x:c r="E3173" s="33" t="str">
        <x:v>One Chicago</x:v>
      </x:c>
      <x:c r="F3173" s="33" t="str">
        <x:v>core</x:v>
      </x:c>
      <x:c r="G3173" s="50" t="n">
        <x:v>13</x:v>
      </x:c>
      <x:c r="H3173" s="50" t="n">
        <x:v>1</x:v>
      </x:c>
      <x:c r="I3173" s="44" t="str">
        <x:v>13.01</x:v>
      </x:c>
      <x:c r="J3173" s="33" t="str">
        <x:v>A Monster in the Field</x:v>
      </x:c>
      <x:c r="K3173" s="33" t="str"/>
      <x:c r="L3173" s="33" t="str"/>
      <x:c r="M3173" s="44" t="str"/>
      <x:c r="N3173" s="50" t="n">
        <x:v>42</x:v>
      </x:c>
      <x:c r="O3173" s="53" t="str">
        <x:v>A new chief shakes things up at Firehouse 51. Violet and Novak work to uncover the truth behind a car crash. Cruz keeps a watchful eye on Severide and Damon's growing bond.</x:v>
      </x:c>
      <x:c r="P3173" s="53" t="str">
        <x:v>Core One Chicago franchise</x:v>
      </x:c>
      <x:c r="Q3173" s="17" t="str">
        <x:v>12100027</x:v>
      </x:c>
      <x:c r="R3173" s="17" t="str">
        <x:v>tt32096793</x:v>
      </x:c>
      <x:c r="S3173" s="17" t="str"/>
    </x:row>
    <x:row r="3174">
      <x:c r="A3174" s="43" t="n">
        <x:v>3170</x:v>
      </x:c>
      <x:c r="B3174" s="44" t="str">
        <x:v>Not Started</x:v>
      </x:c>
      <x:c r="C3174" s="45" t="n">
        <x:v>45568</x:v>
      </x:c>
      <x:c r="D3174" s="33" t="str">
        <x:v>Chicago Med</x:v>
      </x:c>
      <x:c r="E3174" s="33" t="str">
        <x:v>One Chicago</x:v>
      </x:c>
      <x:c r="F3174" s="33" t="str">
        <x:v>core</x:v>
      </x:c>
      <x:c r="G3174" s="50" t="n">
        <x:v>10</x:v>
      </x:c>
      <x:c r="H3174" s="50" t="n">
        <x:v>2</x:v>
      </x:c>
      <x:c r="I3174" s="44" t="str">
        <x:v>10.02</x:v>
      </x:c>
      <x:c r="J3174" s="33" t="str">
        <x:v>Bite Your Tongue</x:v>
      </x:c>
      <x:c r="K3174" s="33" t="str"/>
      <x:c r="L3174" s="33" t="str"/>
      <x:c r="M3174" s="44" t="str"/>
      <x:c r="N3174" s="50" t="n">
        <x:v>43</x:v>
      </x:c>
      <x:c r="O3174" s="53" t="str">
        <x:v>Lenox continues to rankle Archer as the two tackle their new roles. Ripley faces possible suspension over what really happened to Pawel. Goodwin is forced to make layoffs.</x:v>
      </x:c>
      <x:c r="P3174" s="53" t="str">
        <x:v>Core One Chicago franchise</x:v>
      </x:c>
      <x:c r="Q3174" s="17" t="str">
        <x:v>12263785</x:v>
      </x:c>
      <x:c r="R3174" s="17" t="str">
        <x:v>tt33434083</x:v>
      </x:c>
      <x:c r="S3174" s="17" t="str"/>
    </x:row>
    <x:row r="3175">
      <x:c r="A3175" s="43" t="n">
        <x:v>3171</x:v>
      </x:c>
      <x:c r="B3175" s="44" t="str">
        <x:v>Not Started</x:v>
      </x:c>
      <x:c r="C3175" s="45" t="n">
        <x:v>45568</x:v>
      </x:c>
      <x:c r="D3175" s="33" t="str">
        <x:v>Chicago P.D.</x:v>
      </x:c>
      <x:c r="E3175" s="33" t="str">
        <x:v>One Chicago</x:v>
      </x:c>
      <x:c r="F3175" s="33" t="str">
        <x:v>core</x:v>
      </x:c>
      <x:c r="G3175" s="50" t="n">
        <x:v>12</x:v>
      </x:c>
      <x:c r="H3175" s="50" t="n">
        <x:v>2</x:v>
      </x:c>
      <x:c r="I3175" s="44" t="str">
        <x:v>12.02</x:v>
      </x:c>
      <x:c r="J3175" s="33" t="str">
        <x:v>Blood Bleeds Blue (2)</x:v>
      </x:c>
      <x:c r="K3175" s="33" t="str"/>
      <x:c r="L3175" s="33" t="str"/>
      <x:c r="M3175" s="44" t="str"/>
      <x:c r="N3175" s="50" t="n">
        <x:v>42</x:v>
      </x:c>
      <x:c r="O3175" s="53" t="str">
        <x:v>After tragedy strikes Intelligence, the unit must persevere during an adrenalized manhunt across the city.</x:v>
      </x:c>
      <x:c r="P3175" s="53" t="str">
        <x:v>Core One Chicago franchise; crossovers with SVU/FBI</x:v>
      </x:c>
      <x:c r="Q3175" s="17" t="str">
        <x:v>12263784</x:v>
      </x:c>
      <x:c r="R3175" s="17" t="str">
        <x:v>tt33396208</x:v>
      </x:c>
      <x:c r="S3175" s="17" t="str"/>
    </x:row>
    <x:row r="3176">
      <x:c r="A3176" s="43" t="n">
        <x:v>3172</x:v>
      </x:c>
      <x:c r="B3176" s="44" t="str">
        <x:v>Not Started</x:v>
      </x:c>
      <x:c r="C3176" s="45" t="n">
        <x:v>45568</x:v>
      </x:c>
      <x:c r="D3176" s="33" t="str">
        <x:v>Chicago Fire</x:v>
      </x:c>
      <x:c r="E3176" s="33" t="str">
        <x:v>One Chicago</x:v>
      </x:c>
      <x:c r="F3176" s="33" t="str">
        <x:v>core</x:v>
      </x:c>
      <x:c r="G3176" s="50" t="n">
        <x:v>13</x:v>
      </x:c>
      <x:c r="H3176" s="50" t="n">
        <x:v>2</x:v>
      </x:c>
      <x:c r="I3176" s="44" t="str">
        <x:v>13.02</x:v>
      </x:c>
      <x:c r="J3176" s="33" t="str">
        <x:v>Ride the Blade</x:v>
      </x:c>
      <x:c r="K3176" s="33" t="str"/>
      <x:c r="L3176" s="33" t="str"/>
      <x:c r="M3176" s="44" t="str"/>
      <x:c r="N3176" s="50" t="n">
        <x:v>43</x:v>
      </x:c>
      <x:c r="O3176" s="53" t="str">
        <x:v>After Damon disobeys Kidd's orders on a call, he turns to Severide to protect him. Herrmann searches for the perfect scent to spice things up with Cindy.</x:v>
      </x:c>
      <x:c r="P3176" s="53" t="str">
        <x:v>Core One Chicago franchise</x:v>
      </x:c>
      <x:c r="Q3176" s="17" t="str">
        <x:v>12263786</x:v>
      </x:c>
      <x:c r="R3176" s="17" t="str">
        <x:v>tt33369151</x:v>
      </x:c>
      <x:c r="S3176" s="17" t="str"/>
    </x:row>
    <x:row r="3177">
      <x:c r="A3177" s="43" t="n">
        <x:v>3173</x:v>
      </x:c>
      <x:c r="B3177" s="44" t="str">
        <x:v>Not Started</x:v>
      </x:c>
      <x:c r="C3177" s="45" t="n">
        <x:v>45568</x:v>
      </x:c>
      <x:c r="D3177" s="33" t="str">
        <x:v>Law &amp; Order</x:v>
      </x:c>
      <x:c r="E3177" s="33" t="str">
        <x:v>Law &amp; Order</x:v>
      </x:c>
      <x:c r="F3177" s="33" t="str">
        <x:v>core</x:v>
      </x:c>
      <x:c r="G3177" s="50" t="n">
        <x:v>24</x:v>
      </x:c>
      <x:c r="H3177" s="50" t="n">
        <x:v>1</x:v>
      </x:c>
      <x:c r="I3177" s="44" t="str">
        <x:v>24.01</x:v>
      </x:c>
      <x:c r="J3177" s="33" t="str">
        <x:v>Catch and Kill</x:v>
      </x:c>
      <x:c r="K3177" s="33" t="str"/>
      <x:c r="L3177" s="33" t="str"/>
      <x:c r="M3177" s="44" t="str"/>
      <x:c r="N3177" s="50" t="n">
        <x:v>43</x:v>
      </x:c>
      <x:c r="O3177" s="53" t="str">
        <x:v>When a Brooklyn prosecutor is found slain in her apartment, Maroun takes drastic action to convince an eyewitness to come forward. Riley struggles to adjust to the new lieutenant in charge.</x:v>
      </x:c>
      <x:c r="P3177" s="53" t="str">
        <x:v>Core Law &amp; Order franchise</x:v>
      </x:c>
      <x:c r="Q3177" s="17" t="str">
        <x:v>12100030</x:v>
      </x:c>
      <x:c r="R3177" s="17" t="str">
        <x:v>tt31859239</x:v>
      </x:c>
      <x:c r="S3177" s="17" t="str">
        <x:v>1672</x:v>
      </x:c>
    </x:row>
    <x:row r="3178">
      <x:c r="A3178" s="43" t="n">
        <x:v>3174</x:v>
      </x:c>
      <x:c r="B3178" s="44" t="str">
        <x:v>Not Started</x:v>
      </x:c>
      <x:c r="C3178" s="45" t="n">
        <x:v>45568</x:v>
      </x:c>
      <x:c r="D3178" s="33" t="str">
        <x:v>Law &amp; Order: Special Victims Unit</x:v>
      </x:c>
      <x:c r="E3178" s="33" t="str">
        <x:v>Law &amp; Order</x:v>
      </x:c>
      <x:c r="F3178" s="33" t="str">
        <x:v>core</x:v>
      </x:c>
      <x:c r="G3178" s="50" t="n">
        <x:v>26</x:v>
      </x:c>
      <x:c r="H3178" s="50" t="n">
        <x:v>1</x:v>
      </x:c>
      <x:c r="I3178" s="44" t="str">
        <x:v>26.01</x:v>
      </x:c>
      <x:c r="J3178" s="33" t="str">
        <x:v>Fractured</x:v>
      </x:c>
      <x:c r="K3178" s="33" t="str"/>
      <x:c r="L3178" s="33" t="str"/>
      <x:c r="M3178" s="44" t="str"/>
      <x:c r="N3178" s="50" t="n">
        <x:v>43</x:v>
      </x:c>
      <x:c r="O3178" s="53" t="str">
        <x:v>The SVU investigates a brutal attack on a group of law students. Benson hopes the discovery of a hidden camera will crack the case open. Carisi's best chance at conviction is catching the defendant in a lie.</x:v>
      </x:c>
      <x:c r="P3178" s="53" t="str">
        <x:v>Core Law &amp; Order franchise</x:v>
      </x:c>
      <x:c r="Q3178" s="17" t="str">
        <x:v>12100041</x:v>
      </x:c>
      <x:c r="R3178" s="17" t="str">
        <x:v>tt31859254</x:v>
      </x:c>
      <x:c r="S3178" s="17" t="str">
        <x:v>1673</x:v>
      </x:c>
    </x:row>
    <x:row r="3179">
      <x:c r="A3179" s="43" t="n">
        <x:v>3175</x:v>
      </x:c>
      <x:c r="B3179" s="44" t="str">
        <x:v>Not Started</x:v>
      </x:c>
      <x:c r="C3179" s="45" t="n">
        <x:v>45575</x:v>
      </x:c>
      <x:c r="D3179" s="33" t="str">
        <x:v>Chicago Med</x:v>
      </x:c>
      <x:c r="E3179" s="33" t="str">
        <x:v>One Chicago</x:v>
      </x:c>
      <x:c r="F3179" s="33" t="str">
        <x:v>core</x:v>
      </x:c>
      <x:c r="G3179" s="50" t="n">
        <x:v>10</x:v>
      </x:c>
      <x:c r="H3179" s="50" t="n">
        <x:v>3</x:v>
      </x:c>
      <x:c r="I3179" s="44" t="str">
        <x:v>10.03</x:v>
      </x:c>
      <x:c r="J3179" s="33" t="str">
        <x:v>Trust Fall</x:v>
      </x:c>
      <x:c r="K3179" s="33" t="str"/>
      <x:c r="L3179" s="33" t="str"/>
      <x:c r="M3179" s="44" t="str"/>
      <x:c r="N3179" s="50" t="n">
        <x:v>43</x:v>
      </x:c>
      <x:c r="O3179" s="53" t="str">
        <x:v>Asher treats a woman whose undiagnosed condition threatens the lives of both her and her unborn child. Goodwin receives a chilling message while battling the hospital higher-ups.</x:v>
      </x:c>
      <x:c r="P3179" s="53" t="str">
        <x:v>Core One Chicago franchise</x:v>
      </x:c>
      <x:c r="Q3179" s="17" t="str">
        <x:v>12314522</x:v>
      </x:c>
      <x:c r="R3179" s="17" t="str">
        <x:v>tt33452253</x:v>
      </x:c>
      <x:c r="S3179" s="17" t="str"/>
    </x:row>
    <x:row r="3180">
      <x:c r="A3180" s="43" t="n">
        <x:v>3176</x:v>
      </x:c>
      <x:c r="B3180" s="44" t="str">
        <x:v>Not Started</x:v>
      </x:c>
      <x:c r="C3180" s="45" t="n">
        <x:v>45575</x:v>
      </x:c>
      <x:c r="D3180" s="33" t="str">
        <x:v>Chicago P.D.</x:v>
      </x:c>
      <x:c r="E3180" s="33" t="str">
        <x:v>One Chicago</x:v>
      </x:c>
      <x:c r="F3180" s="33" t="str">
        <x:v>core</x:v>
      </x:c>
      <x:c r="G3180" s="50" t="n">
        <x:v>12</x:v>
      </x:c>
      <x:c r="H3180" s="50" t="n">
        <x:v>3</x:v>
      </x:c>
      <x:c r="I3180" s="44" t="str">
        <x:v>12.03</x:v>
      </x:c>
      <x:c r="J3180" s="33" t="str">
        <x:v>Off Switch</x:v>
      </x:c>
      <x:c r="K3180" s="33" t="str"/>
      <x:c r="L3180" s="33" t="str"/>
      <x:c r="M3180" s="44" t="str"/>
      <x:c r="N3180" s="50" t="n">
        <x:v>43</x:v>
      </x:c>
      <x:c r="O3180" s="53" t="str">
        <x:v>Atwater struggles to find balance as he teams up with a forensic psychologist on an armed robbery case.</x:v>
      </x:c>
      <x:c r="P3180" s="53" t="str">
        <x:v>Core One Chicago franchise; crossovers with SVU/FBI</x:v>
      </x:c>
      <x:c r="Q3180" s="17" t="str">
        <x:v>12314531</x:v>
      </x:c>
      <x:c r="R3180" s="17" t="str">
        <x:v>tt33396209</x:v>
      </x:c>
      <x:c r="S3180" s="17" t="str"/>
    </x:row>
    <x:row r="3181">
      <x:c r="A3181" s="43" t="n">
        <x:v>3177</x:v>
      </x:c>
      <x:c r="B3181" s="44" t="str">
        <x:v>Not Started</x:v>
      </x:c>
      <x:c r="C3181" s="45" t="n">
        <x:v>45575</x:v>
      </x:c>
      <x:c r="D3181" s="33" t="str">
        <x:v>Chicago Fire</x:v>
      </x:c>
      <x:c r="E3181" s="33" t="str">
        <x:v>One Chicago</x:v>
      </x:c>
      <x:c r="F3181" s="33" t="str">
        <x:v>core</x:v>
      </x:c>
      <x:c r="G3181" s="50" t="n">
        <x:v>13</x:v>
      </x:c>
      <x:c r="H3181" s="50" t="n">
        <x:v>3</x:v>
      </x:c>
      <x:c r="I3181" s="44" t="str">
        <x:v>13.03</x:v>
      </x:c>
      <x:c r="J3181" s="33" t="str">
        <x:v>All Kinds of Crazy</x:v>
      </x:c>
      <x:c r="K3181" s="33" t="str"/>
      <x:c r="L3181" s="33" t="str"/>
      <x:c r="M3181" s="44" t="str"/>
      <x:c r="N3181" s="50" t="n">
        <x:v>43</x:v>
      </x:c>
      <x:c r="O3181" s="53" t="str">
        <x:v>Severide and Van Meter investigate a fire at a family-owned restaurant. Pascal questions Kidd's leadership.</x:v>
      </x:c>
      <x:c r="P3181" s="53" t="str">
        <x:v>Core One Chicago franchise</x:v>
      </x:c>
      <x:c r="Q3181" s="17" t="str">
        <x:v>12314532</x:v>
      </x:c>
      <x:c r="R3181" s="17" t="str">
        <x:v>tt33369161</x:v>
      </x:c>
      <x:c r="S3181" s="17" t="str"/>
    </x:row>
    <x:row r="3182">
      <x:c r="A3182" s="43" t="n">
        <x:v>3178</x:v>
      </x:c>
      <x:c r="B3182" s="44" t="str">
        <x:v>Not Started</x:v>
      </x:c>
      <x:c r="C3182" s="45" t="n">
        <x:v>45575</x:v>
      </x:c>
      <x:c r="D3182" s="33" t="str">
        <x:v>Law &amp; Order</x:v>
      </x:c>
      <x:c r="E3182" s="33" t="str">
        <x:v>Law &amp; Order</x:v>
      </x:c>
      <x:c r="F3182" s="33" t="str">
        <x:v>core</x:v>
      </x:c>
      <x:c r="G3182" s="50" t="n">
        <x:v>24</x:v>
      </x:c>
      <x:c r="H3182" s="50" t="n">
        <x:v>2</x:v>
      </x:c>
      <x:c r="I3182" s="44" t="str">
        <x:v>24.02</x:v>
      </x:c>
      <x:c r="J3182" s="33" t="str">
        <x:v>The Perfect Man</x:v>
      </x:c>
      <x:c r="K3182" s="33" t="str"/>
      <x:c r="L3182" s="33" t="str"/>
      <x:c r="M3182" s="44" t="str"/>
      <x:c r="N3182" s="50" t="n">
        <x:v>43</x:v>
      </x:c>
      <x:c r="O3182" s="53" t="str">
        <x:v>When the founder of an AI-infused dating app is murdered, Shaw and Riley delve into who would want the love-obsessed man dead. Capt. Benson surprises Price and Maroun when she becomes a witness for the defense.</x:v>
      </x:c>
      <x:c r="P3182" s="53" t="str">
        <x:v>Core Law &amp; Order franchise</x:v>
      </x:c>
      <x:c r="Q3182" s="17" t="str">
        <x:v>12100031</x:v>
      </x:c>
      <x:c r="R3182" s="17" t="str">
        <x:v>tt33348047</x:v>
      </x:c>
      <x:c r="S3182" s="17" t="str">
        <x:v>1674</x:v>
      </x:c>
    </x:row>
    <x:row r="3183">
      <x:c r="A3183" s="43" t="n">
        <x:v>3179</x:v>
      </x:c>
      <x:c r="B3183" s="44" t="str">
        <x:v>Not Started</x:v>
      </x:c>
      <x:c r="C3183" s="45" t="n">
        <x:v>45575</x:v>
      </x:c>
      <x:c r="D3183" s="33" t="str">
        <x:v>Law &amp; Order: Special Victims Unit</x:v>
      </x:c>
      <x:c r="E3183" s="33" t="str">
        <x:v>Law &amp; Order</x:v>
      </x:c>
      <x:c r="F3183" s="33" t="str">
        <x:v>core</x:v>
      </x:c>
      <x:c r="G3183" s="50" t="n">
        <x:v>26</x:v>
      </x:c>
      <x:c r="H3183" s="50" t="n">
        <x:v>2</x:v>
      </x:c>
      <x:c r="I3183" s="44" t="str">
        <x:v>26.02</x:v>
      </x:c>
      <x:c r="J3183" s="33" t="str">
        <x:v>Excavation</x:v>
      </x:c>
      <x:c r="K3183" s="33" t="str"/>
      <x:c r="L3183" s="33" t="str"/>
      <x:c r="M3183" s="44" t="str"/>
      <x:c r="N3183" s="50" t="n">
        <x:v>43</x:v>
      </x:c>
      <x:c r="O3183" s="53" t="str">
        <x:v>Devastating repressed memories come back to a woman when she finds an old notebook in her family home. Bringing charges in a decades-old crime proves even more difficult for Carisi when a powerful judge stalls the case.</x:v>
      </x:c>
      <x:c r="P3183" s="53" t="str">
        <x:v>Core Law &amp; Order franchise</x:v>
      </x:c>
      <x:c r="Q3183" s="17" t="str">
        <x:v>12100042</x:v>
      </x:c>
      <x:c r="R3183" s="17" t="str">
        <x:v>tt33371564</x:v>
      </x:c>
      <x:c r="S3183" s="17" t="str">
        <x:v>1675</x:v>
      </x:c>
    </x:row>
    <x:row r="3184">
      <x:c r="A3184" s="43" t="n">
        <x:v>3180</x:v>
      </x:c>
      <x:c r="B3184" s="44" t="str">
        <x:v>Not Started</x:v>
      </x:c>
      <x:c r="C3184" s="45" t="n">
        <x:v>45581</x:v>
      </x:c>
      <x:c r="D3184" s="33" t="str">
        <x:v>FBI: International</x:v>
      </x:c>
      <x:c r="E3184" s="33" t="str">
        <x:v>FBI</x:v>
      </x:c>
      <x:c r="F3184" s="33" t="str">
        <x:v>core</x:v>
      </x:c>
      <x:c r="G3184" s="50" t="n">
        <x:v>4</x:v>
      </x:c>
      <x:c r="H3184" s="50" t="n">
        <x:v>1</x:v>
      </x:c>
      <x:c r="I3184" s="44" t="str">
        <x:v>04.01</x:v>
      </x:c>
      <x:c r="J3184" s="33" t="str">
        <x:v>A Leader, Not a Tourist</x:v>
      </x:c>
      <x:c r="K3184" s="33" t="str"/>
      <x:c r="L3184" s="33" t="str"/>
      <x:c r="M3184" s="44" t="str"/>
      <x:c r="N3184" s="50" t="n">
        <x:v>41</x:v>
      </x:c>
      <x:c r="O3184" s="53" t="str">
        <x:v>The Fly Team meets Supervisory Special Agent Wesley "Wes" Mitchell when his partner is shot in LA and the suspects flee to Budapest, sending Mitchell overseas.</x:v>
      </x:c>
      <x:c r="P3184" s="53" t="str">
        <x:v>Core FBI franchise</x:v>
      </x:c>
      <x:c r="Q3184" s="17" t="str">
        <x:v>12111596</x:v>
      </x:c>
      <x:c r="R3184" s="17" t="str">
        <x:v>tt31968819</x:v>
      </x:c>
      <x:c r="S3184" s="17" t="str"/>
    </x:row>
    <x:row r="3185">
      <x:c r="A3185" s="43" t="n">
        <x:v>3181</x:v>
      </x:c>
      <x:c r="B3185" s="44" t="str">
        <x:v>Not Started</x:v>
      </x:c>
      <x:c r="C3185" s="45" t="n">
        <x:v>45581</x:v>
      </x:c>
      <x:c r="D3185" s="33" t="str">
        <x:v>FBI: Most Wanted</x:v>
      </x:c>
      <x:c r="E3185" s="33" t="str">
        <x:v>FBI</x:v>
      </x:c>
      <x:c r="F3185" s="33" t="str">
        <x:v>core</x:v>
      </x:c>
      <x:c r="G3185" s="50" t="n">
        <x:v>6</x:v>
      </x:c>
      <x:c r="H3185" s="50" t="n">
        <x:v>1</x:v>
      </x:c>
      <x:c r="I3185" s="44" t="str">
        <x:v>06.01</x:v>
      </x:c>
      <x:c r="J3185" s="33" t="str">
        <x:v>Aquarium Drinker</x:v>
      </x:c>
      <x:c r="K3185" s="33" t="str"/>
      <x:c r="L3185" s="33" t="str"/>
      <x:c r="M3185" s="44" t="str"/>
      <x:c r="N3185" s="50" t="n">
        <x:v>43</x:v>
      </x:c>
      <x:c r="O3185" s="53" t="str">
        <x:v>When a detective is brutally murdered, the Fugitive Task Force investigates a string of gruesome killings. Meanwhile, Remy and Abby's relationship grows stronger.</x:v>
      </x:c>
      <x:c r="P3185" s="53" t="str">
        <x:v>Core FBI franchise</x:v>
      </x:c>
      <x:c r="Q3185" s="17" t="str">
        <x:v>12111595</x:v>
      </x:c>
      <x:c r="R3185" s="17" t="str">
        <x:v>tt32150075</x:v>
      </x:c>
      <x:c r="S3185" s="17" t="str"/>
    </x:row>
    <x:row r="3186">
      <x:c r="A3186" s="43" t="n">
        <x:v>3182</x:v>
      </x:c>
      <x:c r="B3186" s="44" t="str">
        <x:v>Not Started</x:v>
      </x:c>
      <x:c r="C3186" s="45" t="n">
        <x:v>45581</x:v>
      </x:c>
      <x:c r="D3186" s="33" t="str">
        <x:v>FBI</x:v>
      </x:c>
      <x:c r="E3186" s="33" t="str">
        <x:v>FBI</x:v>
      </x:c>
      <x:c r="F3186" s="33" t="str">
        <x:v>core</x:v>
      </x:c>
      <x:c r="G3186" s="50" t="n">
        <x:v>7</x:v>
      </x:c>
      <x:c r="H3186" s="50" t="n">
        <x:v>1</x:v>
      </x:c>
      <x:c r="I3186" s="44" t="str">
        <x:v>07.01</x:v>
      </x:c>
      <x:c r="J3186" s="33" t="str">
        <x:v>Abandoned</x:v>
      </x:c>
      <x:c r="K3186" s="33" t="str"/>
      <x:c r="L3186" s="33" t="str"/>
      <x:c r="M3186" s="44" t="str"/>
      <x:c r="N3186" s="50" t="n">
        <x:v>42</x:v>
      </x:c>
      <x:c r="O3186" s="53" t="str">
        <x:v>The assassination of a seemingly ordinary Brooklyn plumber launches the team into a globe-spanning investigation that ruffles feathers with the CIA.</x:v>
      </x:c>
      <x:c r="P3186" s="53" t="str">
        <x:v>Core FBI franchise</x:v>
      </x:c>
      <x:c r="Q3186" s="17" t="str">
        <x:v>12111631</x:v>
      </x:c>
      <x:c r="R3186" s="17" t="str">
        <x:v>tt29951823</x:v>
      </x:c>
      <x:c r="S3186" s="17" t="str"/>
    </x:row>
    <x:row r="3187">
      <x:c r="A3187" s="43" t="n">
        <x:v>3183</x:v>
      </x:c>
      <x:c r="B3187" s="44" t="str">
        <x:v>Not Started</x:v>
      </x:c>
      <x:c r="C3187" s="45" t="n">
        <x:v>45582</x:v>
      </x:c>
      <x:c r="D3187" s="33" t="str">
        <x:v>Chicago Med</x:v>
      </x:c>
      <x:c r="E3187" s="33" t="str">
        <x:v>One Chicago</x:v>
      </x:c>
      <x:c r="F3187" s="33" t="str">
        <x:v>core</x:v>
      </x:c>
      <x:c r="G3187" s="50" t="n">
        <x:v>10</x:v>
      </x:c>
      <x:c r="H3187" s="50" t="n">
        <x:v>4</x:v>
      </x:c>
      <x:c r="I3187" s="44" t="str">
        <x:v>10.04</x:v>
      </x:c>
      <x:c r="J3187" s="33" t="str">
        <x:v>Blurred Lines</x:v>
      </x:c>
      <x:c r="K3187" s="33" t="str"/>
      <x:c r="L3187" s="33" t="str"/>
      <x:c r="M3187" s="44" t="str"/>
      <x:c r="N3187" s="50" t="n">
        <x:v>43</x:v>
      </x:c>
      <x:c r="O3187" s="53" t="str">
        <x:v>A familiar face returns to the ED. Ripley and Charles treat a woman with a rare disorder. Frost suspects that his patient's father is lying about his daughter's condition.</x:v>
      </x:c>
      <x:c r="P3187" s="53" t="str">
        <x:v>Core One Chicago franchise</x:v>
      </x:c>
      <x:c r="Q3187" s="17" t="str">
        <x:v>12337938</x:v>
      </x:c>
      <x:c r="R3187" s="17" t="str">
        <x:v>tt33472099</x:v>
      </x:c>
      <x:c r="S3187" s="17" t="str"/>
    </x:row>
    <x:row r="3188">
      <x:c r="A3188" s="43" t="n">
        <x:v>3184</x:v>
      </x:c>
      <x:c r="B3188" s="44" t="str">
        <x:v>Not Started</x:v>
      </x:c>
      <x:c r="C3188" s="45" t="n">
        <x:v>45582</x:v>
      </x:c>
      <x:c r="D3188" s="33" t="str">
        <x:v>Chicago P.D.</x:v>
      </x:c>
      <x:c r="E3188" s="33" t="str">
        <x:v>One Chicago</x:v>
      </x:c>
      <x:c r="F3188" s="33" t="str">
        <x:v>core</x:v>
      </x:c>
      <x:c r="G3188" s="50" t="n">
        <x:v>12</x:v>
      </x:c>
      <x:c r="H3188" s="50" t="n">
        <x:v>4</x:v>
      </x:c>
      <x:c r="I3188" s="44" t="str">
        <x:v>12.04</x:v>
      </x:c>
      <x:c r="J3188" s="33" t="str">
        <x:v>The After</x:v>
      </x:c>
      <x:c r="K3188" s="33" t="str"/>
      <x:c r="L3188" s="33" t="str"/>
      <x:c r="M3188" s="44" t="str"/>
      <x:c r="N3188" s="50" t="n">
        <x:v>42</x:v>
      </x:c>
      <x:c r="O3188" s="53" t="str">
        <x:v>Assistant State's Attorney Chapman assists Intelligence with a sensitive investigation that drudges up painful memories for Voight.</x:v>
      </x:c>
      <x:c r="P3188" s="53" t="str">
        <x:v>Core One Chicago franchise; crossovers with SVU/FBI</x:v>
      </x:c>
      <x:c r="Q3188" s="17" t="str">
        <x:v>12335932</x:v>
      </x:c>
      <x:c r="R3188" s="17" t="str">
        <x:v>tt33612864</x:v>
      </x:c>
      <x:c r="S3188" s="17" t="str"/>
    </x:row>
    <x:row r="3189">
      <x:c r="A3189" s="43" t="n">
        <x:v>3185</x:v>
      </x:c>
      <x:c r="B3189" s="44" t="str">
        <x:v>Not Started</x:v>
      </x:c>
      <x:c r="C3189" s="45" t="n">
        <x:v>45582</x:v>
      </x:c>
      <x:c r="D3189" s="33" t="str">
        <x:v>Chicago Fire</x:v>
      </x:c>
      <x:c r="E3189" s="33" t="str">
        <x:v>One Chicago</x:v>
      </x:c>
      <x:c r="F3189" s="33" t="str">
        <x:v>core</x:v>
      </x:c>
      <x:c r="G3189" s="50" t="n">
        <x:v>13</x:v>
      </x:c>
      <x:c r="H3189" s="50" t="n">
        <x:v>4</x:v>
      </x:c>
      <x:c r="I3189" s="44" t="str">
        <x:v>13.04</x:v>
      </x:c>
      <x:c r="J3189" s="33" t="str">
        <x:v>Through the Skin</x:v>
      </x:c>
      <x:c r="K3189" s="33" t="str"/>
      <x:c r="L3189" s="33" t="str"/>
      <x:c r="M3189" s="44" t="str"/>
      <x:c r="N3189" s="50" t="n">
        <x:v>42</x:v>
      </x:c>
      <x:c r="O3189" s="53" t="str">
        <x:v>Violet risks her job to deliver a baby on a tragic call. Mouch, Capp and Tony help Cruz track down Javi's stolen bike. Damon's departure weighs on Severide.</x:v>
      </x:c>
      <x:c r="P3189" s="53" t="str">
        <x:v>Core One Chicago franchise</x:v>
      </x:c>
      <x:c r="Q3189" s="17" t="str">
        <x:v>12337939</x:v>
      </x:c>
      <x:c r="R3189" s="17" t="str">
        <x:v>tt33503415</x:v>
      </x:c>
      <x:c r="S3189" s="17" t="str"/>
    </x:row>
    <x:row r="3190">
      <x:c r="A3190" s="43" t="n">
        <x:v>3186</x:v>
      </x:c>
      <x:c r="B3190" s="44" t="str">
        <x:v>Not Started</x:v>
      </x:c>
      <x:c r="C3190" s="45" t="n">
        <x:v>45582</x:v>
      </x:c>
      <x:c r="D3190" s="33" t="str">
        <x:v>Law &amp; Order</x:v>
      </x:c>
      <x:c r="E3190" s="33" t="str">
        <x:v>Law &amp; Order</x:v>
      </x:c>
      <x:c r="F3190" s="33" t="str">
        <x:v>core</x:v>
      </x:c>
      <x:c r="G3190" s="50" t="n">
        <x:v>24</x:v>
      </x:c>
      <x:c r="H3190" s="50" t="n">
        <x:v>3</x:v>
      </x:c>
      <x:c r="I3190" s="44" t="str">
        <x:v>24.03</x:v>
      </x:c>
      <x:c r="J3190" s="33" t="str">
        <x:v>Big Brother</x:v>
      </x:c>
      <x:c r="K3190" s="33" t="str"/>
      <x:c r="L3190" s="33" t="str"/>
      <x:c r="M3190" s="44" t="str"/>
      <x:c r="N3190" s="50" t="n">
        <x:v>43</x:v>
      </x:c>
      <x:c r="O3190" s="53" t="str">
        <x:v>Riley's personal and professional lives clash when his brother is connected to a murder investigation. Price takes a chance on a witness who can testify to a hidden motive.</x:v>
      </x:c>
      <x:c r="P3190" s="53" t="str">
        <x:v>Core Law &amp; Order franchise</x:v>
      </x:c>
      <x:c r="Q3190" s="17" t="str">
        <x:v>12346069</x:v>
      </x:c>
      <x:c r="R3190" s="17" t="str">
        <x:v>tt33376556</x:v>
      </x:c>
      <x:c r="S3190" s="17" t="str">
        <x:v>1676</x:v>
      </x:c>
    </x:row>
    <x:row r="3191">
      <x:c r="A3191" s="43" t="n">
        <x:v>3187</x:v>
      </x:c>
      <x:c r="B3191" s="44" t="str">
        <x:v>Not Started</x:v>
      </x:c>
      <x:c r="C3191" s="45" t="n">
        <x:v>45582</x:v>
      </x:c>
      <x:c r="D3191" s="33" t="str">
        <x:v>Law &amp; Order: Special Victims Unit</x:v>
      </x:c>
      <x:c r="E3191" s="33" t="str">
        <x:v>Law &amp; Order</x:v>
      </x:c>
      <x:c r="F3191" s="33" t="str">
        <x:v>core</x:v>
      </x:c>
      <x:c r="G3191" s="50" t="n">
        <x:v>26</x:v>
      </x:c>
      <x:c r="H3191" s="50" t="n">
        <x:v>3</x:v>
      </x:c>
      <x:c r="I3191" s="44" t="str">
        <x:v>26.03</x:v>
      </x:c>
      <x:c r="J3191" s="33" t="str">
        <x:v>Divide &amp; Conquer</x:v>
      </x:c>
      <x:c r="K3191" s="33" t="str"/>
      <x:c r="L3191" s="33" t="str"/>
      <x:c r="M3191" s="44" t="str"/>
      <x:c r="N3191" s="50" t="n">
        <x:v>42</x:v>
      </x:c>
      <x:c r="O3191" s="53" t="str">
        <x:v>A couple's dinner party ends with a violent home invasion and assault by masked men. Sgt. Rollins suspects the crime is linked to her Intelligence investigation of an international gang of thieves.</x:v>
      </x:c>
      <x:c r="P3191" s="53" t="str">
        <x:v>Core Law &amp; Order franchise</x:v>
      </x:c>
      <x:c r="Q3191" s="17" t="str">
        <x:v>12290258</x:v>
      </x:c>
      <x:c r="R3191" s="17" t="str">
        <x:v>tt33806661</x:v>
      </x:c>
      <x:c r="S3191" s="17" t="str">
        <x:v>1677</x:v>
      </x:c>
    </x:row>
    <x:row r="3192">
      <x:c r="A3192" s="43" t="n">
        <x:v>3188</x:v>
      </x:c>
      <x:c r="B3192" s="44" t="str">
        <x:v>Not Started</x:v>
      </x:c>
      <x:c r="C3192" s="45" t="n">
        <x:v>45588</x:v>
      </x:c>
      <x:c r="D3192" s="33" t="str">
        <x:v>FBI: International</x:v>
      </x:c>
      <x:c r="E3192" s="33" t="str">
        <x:v>FBI</x:v>
      </x:c>
      <x:c r="F3192" s="33" t="str">
        <x:v>core</x:v>
      </x:c>
      <x:c r="G3192" s="50" t="n">
        <x:v>4</x:v>
      </x:c>
      <x:c r="H3192" s="50" t="n">
        <x:v>2</x:v>
      </x:c>
      <x:c r="I3192" s="44" t="str">
        <x:v>04.02</x:v>
      </x:c>
      <x:c r="J3192" s="33" t="str">
        <x:v>The Other Hard Part</x:v>
      </x:c>
      <x:c r="K3192" s="33" t="str"/>
      <x:c r="L3192" s="33" t="str"/>
      <x:c r="M3192" s="44" t="str"/>
      <x:c r="N3192" s="50" t="n">
        <x:v>41</x:v>
      </x:c>
      <x:c r="O3192" s="53" t="str">
        <x:v>When a U.S. ambassador is taken hostage at a TV station in the Netherlands alongside 70 civilians, the Fly Team is forced to work quickly to find out who they're up against. Meanwhile, Wes works to earn the respect of his new team.</x:v>
      </x:c>
      <x:c r="P3192" s="53" t="str">
        <x:v>Core FBI franchise</x:v>
      </x:c>
      <x:c r="Q3192" s="17" t="str">
        <x:v>12326716</x:v>
      </x:c>
      <x:c r="R3192" s="17" t="str">
        <x:v>tt33309744</x:v>
      </x:c>
      <x:c r="S3192" s="17" t="str"/>
    </x:row>
    <x:row r="3193">
      <x:c r="A3193" s="43" t="n">
        <x:v>3189</x:v>
      </x:c>
      <x:c r="B3193" s="44" t="str">
        <x:v>Not Started</x:v>
      </x:c>
      <x:c r="C3193" s="45" t="n">
        <x:v>45588</x:v>
      </x:c>
      <x:c r="D3193" s="33" t="str">
        <x:v>FBI: Most Wanted</x:v>
      </x:c>
      <x:c r="E3193" s="33" t="str">
        <x:v>FBI</x:v>
      </x:c>
      <x:c r="F3193" s="33" t="str">
        <x:v>core</x:v>
      </x:c>
      <x:c r="G3193" s="50" t="n">
        <x:v>6</x:v>
      </x:c>
      <x:c r="H3193" s="50" t="n">
        <x:v>2</x:v>
      </x:c>
      <x:c r="I3193" s="44" t="str">
        <x:v>06.02</x:v>
      </x:c>
      <x:c r="J3193" s="33" t="str">
        <x:v>Varsity Blues</x:v>
      </x:c>
      <x:c r="K3193" s="33" t="str"/>
      <x:c r="L3193" s="33" t="str"/>
      <x:c r="M3193" s="44" t="str"/>
      <x:c r="N3193" s="50" t="n">
        <x:v>43</x:v>
      </x:c>
      <x:c r="O3193" s="53" t="str">
        <x:v>The Fugitive Task Force is called in to hunt down a missing teen from New Jersey who has a connection to a classmate's recent suicide. Meanwhile, Cora feels Ray and his father are putting too much pressure on Caleb.</x:v>
      </x:c>
      <x:c r="P3193" s="53" t="str">
        <x:v>Core FBI franchise</x:v>
      </x:c>
      <x:c r="Q3193" s="17" t="str">
        <x:v>12356044</x:v>
      </x:c>
      <x:c r="R3193" s="17" t="str">
        <x:v>tt33376534</x:v>
      </x:c>
      <x:c r="S3193" s="17" t="str"/>
    </x:row>
    <x:row r="3194">
      <x:c r="A3194" s="43" t="n">
        <x:v>3190</x:v>
      </x:c>
      <x:c r="B3194" s="44" t="str">
        <x:v>Not Started</x:v>
      </x:c>
      <x:c r="C3194" s="45" t="n">
        <x:v>45588</x:v>
      </x:c>
      <x:c r="D3194" s="33" t="str">
        <x:v>FBI</x:v>
      </x:c>
      <x:c r="E3194" s="33" t="str">
        <x:v>FBI</x:v>
      </x:c>
      <x:c r="F3194" s="33" t="str">
        <x:v>core</x:v>
      </x:c>
      <x:c r="G3194" s="50" t="n">
        <x:v>7</x:v>
      </x:c>
      <x:c r="H3194" s="50" t="n">
        <x:v>2</x:v>
      </x:c>
      <x:c r="I3194" s="44" t="str">
        <x:v>07.02</x:v>
      </x:c>
      <x:c r="J3194" s="33" t="str">
        <x:v>Trusted</x:v>
      </x:c>
      <x:c r="K3194" s="33" t="str"/>
      <x:c r="L3194" s="33" t="str"/>
      <x:c r="M3194" s="44" t="str"/>
      <x:c r="N3194" s="50" t="n">
        <x:v>42</x:v>
      </x:c>
      <x:c r="O3194" s="53" t="str">
        <x:v>The team is on the case when a suburban couple is murdered and all forensic evidence points to the home's previous owner, who is currently serving 10 years in federal prison.</x:v>
      </x:c>
      <x:c r="P3194" s="53" t="str">
        <x:v>Core FBI franchise</x:v>
      </x:c>
      <x:c r="Q3194" s="17" t="str">
        <x:v>12371433</x:v>
      </x:c>
      <x:c r="R3194" s="17" t="str">
        <x:v>tt33985474</x:v>
      </x:c>
      <x:c r="S3194" s="17" t="str"/>
    </x:row>
    <x:row r="3195">
      <x:c r="A3195" s="43" t="n">
        <x:v>3191</x:v>
      </x:c>
      <x:c r="B3195" s="44" t="str">
        <x:v>Not Started</x:v>
      </x:c>
      <x:c r="C3195" s="45" t="n">
        <x:v>45589</x:v>
      </x:c>
      <x:c r="D3195" s="33" t="str">
        <x:v>Chicago Med</x:v>
      </x:c>
      <x:c r="E3195" s="33" t="str">
        <x:v>One Chicago</x:v>
      </x:c>
      <x:c r="F3195" s="33" t="str">
        <x:v>core</x:v>
      </x:c>
      <x:c r="G3195" s="50" t="n">
        <x:v>10</x:v>
      </x:c>
      <x:c r="H3195" s="50" t="n">
        <x:v>5</x:v>
      </x:c>
      <x:c r="I3195" s="44" t="str">
        <x:v>10.05</x:v>
      </x:c>
      <x:c r="J3195" s="33" t="str">
        <x:v>Bad Habits</x:v>
      </x:c>
      <x:c r="K3195" s="33" t="str"/>
      <x:c r="L3195" s="33" t="str"/>
      <x:c r="M3195" s="44" t="str"/>
      <x:c r="N3195" s="50" t="n">
        <x:v>43</x:v>
      </x:c>
      <x:c r="O3195" s="53" t="str">
        <x:v>Halloween chaos takes over the ED. Asher helps a pregnant woman with an autistic son. Charles clashes with Nurse Jackie on a psych case.</x:v>
      </x:c>
      <x:c r="P3195" s="53" t="str">
        <x:v>Core One Chicago franchise</x:v>
      </x:c>
      <x:c r="Q3195" s="17" t="str">
        <x:v>12343871</x:v>
      </x:c>
      <x:c r="R3195" s="17" t="str">
        <x:v>tt33477756</x:v>
      </x:c>
      <x:c r="S3195" s="17" t="str"/>
    </x:row>
    <x:row r="3196">
      <x:c r="A3196" s="43" t="n">
        <x:v>3192</x:v>
      </x:c>
      <x:c r="B3196" s="44" t="str">
        <x:v>Not Started</x:v>
      </x:c>
      <x:c r="C3196" s="45" t="n">
        <x:v>45589</x:v>
      </x:c>
      <x:c r="D3196" s="33" t="str">
        <x:v>Chicago P.D.</x:v>
      </x:c>
      <x:c r="E3196" s="33" t="str">
        <x:v>One Chicago</x:v>
      </x:c>
      <x:c r="F3196" s="33" t="str">
        <x:v>core</x:v>
      </x:c>
      <x:c r="G3196" s="50" t="n">
        <x:v>12</x:v>
      </x:c>
      <x:c r="H3196" s="50" t="n">
        <x:v>5</x:v>
      </x:c>
      <x:c r="I3196" s="44" t="str">
        <x:v>12.05</x:v>
      </x:c>
      <x:c r="J3196" s="33" t="str">
        <x:v>Water and Honey</x:v>
      </x:c>
      <x:c r="K3196" s="33" t="str"/>
      <x:c r="L3196" s="33" t="str"/>
      <x:c r="M3196" s="44" t="str"/>
      <x:c r="N3196" s="50" t="n">
        <x:v>43</x:v>
      </x:c>
      <x:c r="O3196" s="53" t="str">
        <x:v>In the midst of a momentous rainstorm, Intelligence lends support to Officer Cook when she and her partner disagree about an investigation.</x:v>
      </x:c>
      <x:c r="P3196" s="53" t="str">
        <x:v>Core One Chicago franchise; crossovers with SVU/FBI</x:v>
      </x:c>
      <x:c r="Q3196" s="17" t="str">
        <x:v>12343872</x:v>
      </x:c>
      <x:c r="R3196" s="17" t="str">
        <x:v>tt33835407</x:v>
      </x:c>
      <x:c r="S3196" s="17" t="str"/>
    </x:row>
    <x:row r="3197">
      <x:c r="A3197" s="43" t="n">
        <x:v>3193</x:v>
      </x:c>
      <x:c r="B3197" s="44" t="str">
        <x:v>Not Started</x:v>
      </x:c>
      <x:c r="C3197" s="45" t="n">
        <x:v>45589</x:v>
      </x:c>
      <x:c r="D3197" s="33" t="str">
        <x:v>Chicago Fire</x:v>
      </x:c>
      <x:c r="E3197" s="33" t="str">
        <x:v>One Chicago</x:v>
      </x:c>
      <x:c r="F3197" s="33" t="str">
        <x:v>core</x:v>
      </x:c>
      <x:c r="G3197" s="50" t="n">
        <x:v>13</x:v>
      </x:c>
      <x:c r="H3197" s="50" t="n">
        <x:v>5</x:v>
      </x:c>
      <x:c r="I3197" s="44" t="str">
        <x:v>13.05</x:v>
      </x:c>
      <x:c r="J3197" s="33" t="str">
        <x:v>Down the Rabbit Hole</x:v>
      </x:c>
      <x:c r="K3197" s="33" t="str"/>
      <x:c r="L3197" s="33" t="str"/>
      <x:c r="M3197" s="44" t="str"/>
      <x:c r="N3197" s="50" t="n">
        <x:v>42</x:v>
      </x:c>
      <x:c r="O3197" s="53" t="str">
        <x:v>Kidd and Severide investigate a trucking company responsible for a string of accidents. Herrmann recruits Kylie to help get new radios. Firehouse 51 celebrates Violet's birthday. Carver's allegiances are torn.</x:v>
      </x:c>
      <x:c r="P3197" s="53" t="str">
        <x:v>Core One Chicago franchise</x:v>
      </x:c>
      <x:c r="Q3197" s="17" t="str">
        <x:v>12343870</x:v>
      </x:c>
      <x:c r="R3197" s="17" t="str">
        <x:v>tt33835405</x:v>
      </x:c>
      <x:c r="S3197" s="17" t="str"/>
    </x:row>
    <x:row r="3198">
      <x:c r="A3198" s="43" t="n">
        <x:v>3194</x:v>
      </x:c>
      <x:c r="B3198" s="44" t="str">
        <x:v>Not Started</x:v>
      </x:c>
      <x:c r="C3198" s="45" t="n">
        <x:v>45589</x:v>
      </x:c>
      <x:c r="D3198" s="33" t="str">
        <x:v>Law &amp; Order</x:v>
      </x:c>
      <x:c r="E3198" s="33" t="str">
        <x:v>Law &amp; Order</x:v>
      </x:c>
      <x:c r="F3198" s="33" t="str">
        <x:v>core</x:v>
      </x:c>
      <x:c r="G3198" s="50" t="n">
        <x:v>24</x:v>
      </x:c>
      <x:c r="H3198" s="50" t="n">
        <x:v>4</x:v>
      </x:c>
      <x:c r="I3198" s="44" t="str">
        <x:v>24.04</x:v>
      </x:c>
      <x:c r="J3198" s="33" t="str">
        <x:v>The Meaning of Life</x:v>
      </x:c>
      <x:c r="K3198" s="33" t="str"/>
      <x:c r="L3198" s="33" t="str"/>
      <x:c r="M3198" s="44" t="str"/>
      <x:c r="N3198" s="50" t="n">
        <x:v>43</x:v>
      </x:c>
      <x:c r="O3198" s="53" t="str">
        <x:v>When a bomb goes off in a brownstone, Shaw and Riley must determine which of its inhabitants - an author or fertility doctor - was the target. Price and Maroun try to bring murder charges against the suspect, even though the victim is still alive.</x:v>
      </x:c>
      <x:c r="P3198" s="53" t="str">
        <x:v>Core Law &amp; Order franchise</x:v>
      </x:c>
      <x:c r="Q3198" s="17" t="str">
        <x:v>12358870</x:v>
      </x:c>
      <x:c r="R3198" s="17" t="str">
        <x:v>tt33376559</x:v>
      </x:c>
      <x:c r="S3198" s="17" t="str">
        <x:v>1678</x:v>
      </x:c>
    </x:row>
    <x:row r="3199">
      <x:c r="A3199" s="43" t="n">
        <x:v>3195</x:v>
      </x:c>
      <x:c r="B3199" s="44" t="str">
        <x:v>Not Started</x:v>
      </x:c>
      <x:c r="C3199" s="45" t="n">
        <x:v>45589</x:v>
      </x:c>
      <x:c r="D3199" s="33" t="str">
        <x:v>Law &amp; Order: Special Victims Unit</x:v>
      </x:c>
      <x:c r="E3199" s="33" t="str">
        <x:v>Law &amp; Order</x:v>
      </x:c>
      <x:c r="F3199" s="33" t="str">
        <x:v>core</x:v>
      </x:c>
      <x:c r="G3199" s="50" t="n">
        <x:v>26</x:v>
      </x:c>
      <x:c r="H3199" s="50" t="n">
        <x:v>4</x:v>
      </x:c>
      <x:c r="I3199" s="44" t="str">
        <x:v>26.04</x:v>
      </x:c>
      <x:c r="J3199" s="33" t="str">
        <x:v>Constricted</x:v>
      </x:c>
      <x:c r="K3199" s="33" t="str"/>
      <x:c r="L3199" s="33" t="str"/>
      <x:c r="M3199" s="44" t="str"/>
      <x:c r="N3199" s="50" t="n">
        <x:v>43</x:v>
      </x:c>
      <x:c r="O3199" s="53" t="str">
        <x:v>A romantic date ends with a teenager fighting for her life in the hospital. Carisi can't help bringing the case home with him as he envisions the dangers ahead for his growing daughters.</x:v>
      </x:c>
      <x:c r="P3199" s="53" t="str">
        <x:v>Core Law &amp; Order franchise</x:v>
      </x:c>
      <x:c r="Q3199" s="17" t="str">
        <x:v>12290259</x:v>
      </x:c>
      <x:c r="R3199" s="17" t="str">
        <x:v>tt33368756</x:v>
      </x:c>
      <x:c r="S3199" s="17" t="str">
        <x:v>1679</x:v>
      </x:c>
    </x:row>
    <x:row r="3200">
      <x:c r="A3200" s="43" t="n">
        <x:v>3196</x:v>
      </x:c>
      <x:c r="B3200" s="44" t="str">
        <x:v>Not Started</x:v>
      </x:c>
      <x:c r="C3200" s="45" t="n">
        <x:v>45595</x:v>
      </x:c>
      <x:c r="D3200" s="33" t="str">
        <x:v>FBI: International</x:v>
      </x:c>
      <x:c r="E3200" s="33" t="str">
        <x:v>FBI</x:v>
      </x:c>
      <x:c r="F3200" s="33" t="str">
        <x:v>core</x:v>
      </x:c>
      <x:c r="G3200" s="50" t="n">
        <x:v>4</x:v>
      </x:c>
      <x:c r="H3200" s="50" t="n">
        <x:v>3</x:v>
      </x:c>
      <x:c r="I3200" s="44" t="str">
        <x:v>04.03</x:v>
      </x:c>
      <x:c r="J3200" s="33" t="str">
        <x:v>Nothing Sudden About It</x:v>
      </x:c>
      <x:c r="K3200" s="33" t="str"/>
      <x:c r="L3200" s="33" t="str"/>
      <x:c r="M3200" s="44" t="str"/>
      <x:c r="N3200" s="50" t="n">
        <x:v>42</x:v>
      </x:c>
      <x:c r="O3200" s="53" t="str">
        <x:v>When an American teenager disappears from a beach party during her senior year trip to Portugal, the Fly Team heads up the search, which is further complicated by the missing teen's parents' differing opinions.</x:v>
      </x:c>
      <x:c r="P3200" s="53" t="str">
        <x:v>Core FBI franchise</x:v>
      </x:c>
      <x:c r="Q3200" s="17" t="str">
        <x:v>12330571</x:v>
      </x:c>
      <x:c r="R3200" s="17" t="str">
        <x:v>tt33309760</x:v>
      </x:c>
      <x:c r="S3200" s="17" t="str"/>
    </x:row>
    <x:row r="3201">
      <x:c r="A3201" s="43" t="n">
        <x:v>3197</x:v>
      </x:c>
      <x:c r="B3201" s="44" t="str">
        <x:v>Not Started</x:v>
      </x:c>
      <x:c r="C3201" s="45" t="n">
        <x:v>45595</x:v>
      </x:c>
      <x:c r="D3201" s="33" t="str">
        <x:v>FBI: Most Wanted</x:v>
      </x:c>
      <x:c r="E3201" s="33" t="str">
        <x:v>FBI</x:v>
      </x:c>
      <x:c r="F3201" s="33" t="str">
        <x:v>core</x:v>
      </x:c>
      <x:c r="G3201" s="50" t="n">
        <x:v>6</x:v>
      </x:c>
      <x:c r="H3201" s="50" t="n">
        <x:v>3</x:v>
      </x:c>
      <x:c r="I3201" s="44" t="str">
        <x:v>06.03</x:v>
      </x:c>
      <x:c r="J3201" s="33" t="str">
        <x:v>White Buffalo</x:v>
      </x:c>
      <x:c r="K3201" s="33" t="str"/>
      <x:c r="L3201" s="33" t="str"/>
      <x:c r="M3201" s="44" t="str"/>
      <x:c r="N3201" s="50" t="n">
        <x:v>43</x:v>
      </x:c>
      <x:c r="O3201" s="53" t="str">
        <x:v>After a simple act of defiance by a couple of young climate activists goes south, the Fugitive Task Force works to hunt them down before their plans take a devastating turn. Meanwhile, Nina and Scola face family drama when they host her father and sister after they come to town.</x:v>
      </x:c>
      <x:c r="P3201" s="53" t="str">
        <x:v>Core FBI franchise</x:v>
      </x:c>
      <x:c r="Q3201" s="17" t="str">
        <x:v>12398269</x:v>
      </x:c>
      <x:c r="R3201" s="17" t="str">
        <x:v>tt33376532</x:v>
      </x:c>
      <x:c r="S3201" s="17" t="str"/>
    </x:row>
    <x:row r="3202">
      <x:c r="A3202" s="43" t="n">
        <x:v>3198</x:v>
      </x:c>
      <x:c r="B3202" s="44" t="str">
        <x:v>Not Started</x:v>
      </x:c>
      <x:c r="C3202" s="45" t="n">
        <x:v>45595</x:v>
      </x:c>
      <x:c r="D3202" s="33" t="str">
        <x:v>FBI</x:v>
      </x:c>
      <x:c r="E3202" s="33" t="str">
        <x:v>FBI</x:v>
      </x:c>
      <x:c r="F3202" s="33" t="str">
        <x:v>core</x:v>
      </x:c>
      <x:c r="G3202" s="50" t="n">
        <x:v>7</x:v>
      </x:c>
      <x:c r="H3202" s="50" t="n">
        <x:v>3</x:v>
      </x:c>
      <x:c r="I3202" s="44" t="str">
        <x:v>07.03</x:v>
      </x:c>
      <x:c r="J3202" s="33" t="str">
        <x:v>Détente</x:v>
      </x:c>
      <x:c r="K3202" s="33" t="str"/>
      <x:c r="L3202" s="33" t="str"/>
      <x:c r="M3202" s="44" t="str"/>
      <x:c r="N3202" s="50" t="n">
        <x:v>41</x:v>
      </x:c>
      <x:c r="O3202" s="53" t="str">
        <x:v>After a series of targeted bombings in Queens, the team fears a citywide gang war is imminent – until a tip from OA's old Army buddy, Clay, directs their attention to an unexpected and powerful foe. Meanwhile, Scola continues to struggle to find a new partner.</x:v>
      </x:c>
      <x:c r="P3202" s="53" t="str">
        <x:v>Core FBI franchise</x:v>
      </x:c>
      <x:c r="Q3202" s="17" t="str">
        <x:v>12398273</x:v>
      </x:c>
      <x:c r="R3202" s="17" t="str">
        <x:v>tt33985475</x:v>
      </x:c>
      <x:c r="S3202" s="17" t="str"/>
    </x:row>
    <x:row r="3203">
      <x:c r="A3203" s="43" t="n">
        <x:v>3199</x:v>
      </x:c>
      <x:c r="B3203" s="44" t="str">
        <x:v>Not Started</x:v>
      </x:c>
      <x:c r="C3203" s="45" t="n">
        <x:v>45596</x:v>
      </x:c>
      <x:c r="D3203" s="33" t="str">
        <x:v>Law &amp; Order</x:v>
      </x:c>
      <x:c r="E3203" s="33" t="str">
        <x:v>Law &amp; Order</x:v>
      </x:c>
      <x:c r="F3203" s="33" t="str">
        <x:v>core</x:v>
      </x:c>
      <x:c r="G3203" s="50" t="n">
        <x:v>24</x:v>
      </x:c>
      <x:c r="H3203" s="50" t="n">
        <x:v>5</x:v>
      </x:c>
      <x:c r="I3203" s="44" t="str">
        <x:v>24.05</x:v>
      </x:c>
      <x:c r="J3203" s="33" t="str">
        <x:v>Report Card</x:v>
      </x:c>
      <x:c r="K3203" s="33" t="str"/>
      <x:c r="L3203" s="33" t="str"/>
      <x:c r="M3203" s="44" t="str"/>
      <x:c r="N3203" s="50" t="n">
        <x:v>42</x:v>
      </x:c>
      <x:c r="O3203" s="53" t="str">
        <x:v>A student is accused of killing his teacher. When the suspect's age puts the case in limbo, Price and Maroun put the school's policies on trial. Shaw's attempts to connect with the suspect backfire.</x:v>
      </x:c>
      <x:c r="P3203" s="53" t="str">
        <x:v>Core Law &amp; Order franchise</x:v>
      </x:c>
      <x:c r="Q3203" s="17" t="str">
        <x:v>12389702</x:v>
      </x:c>
      <x:c r="R3203" s="17" t="str">
        <x:v>tt33376557</x:v>
      </x:c>
      <x:c r="S3203" s="17" t="str">
        <x:v>1680</x:v>
      </x:c>
    </x:row>
    <x:row r="3204">
      <x:c r="A3204" s="43" t="n">
        <x:v>3200</x:v>
      </x:c>
      <x:c r="B3204" s="44" t="str">
        <x:v>Not Started</x:v>
      </x:c>
      <x:c r="C3204" s="45" t="n">
        <x:v>45596</x:v>
      </x:c>
      <x:c r="D3204" s="33" t="str">
        <x:v>Law &amp; Order: Special Victims Unit</x:v>
      </x:c>
      <x:c r="E3204" s="33" t="str">
        <x:v>Law &amp; Order</x:v>
      </x:c>
      <x:c r="F3204" s="33" t="str">
        <x:v>core</x:v>
      </x:c>
      <x:c r="G3204" s="50" t="n">
        <x:v>26</x:v>
      </x:c>
      <x:c r="H3204" s="50" t="n">
        <x:v>5</x:v>
      </x:c>
      <x:c r="I3204" s="44" t="str">
        <x:v>26.05</x:v>
      </x:c>
      <x:c r="J3204" s="33" t="str">
        <x:v>Economics of Shame</x:v>
      </x:c>
      <x:c r="K3204" s="33" t="str"/>
      <x:c r="L3204" s="33" t="str"/>
      <x:c r="M3204" s="44" t="str"/>
      <x:c r="N3204" s="50" t="n">
        <x:v>43</x:v>
      </x:c>
      <x:c r="O3204" s="53" t="str">
        <x:v>When a TV reporter becomes the victim of sextortion that could ruin her career, Benson helps her take back control while Velasco goes undercover as a potential rich target.</x:v>
      </x:c>
      <x:c r="P3204" s="53" t="str">
        <x:v>Core Law &amp; Order franchise</x:v>
      </x:c>
      <x:c r="Q3204" s="17" t="str">
        <x:v>12346070</x:v>
      </x:c>
      <x:c r="R3204" s="17" t="str">
        <x:v>tt33995825</x:v>
      </x:c>
      <x:c r="S3204" s="17" t="str">
        <x:v>1681</x:v>
      </x:c>
    </x:row>
    <x:row r="3205">
      <x:c r="A3205" s="43" t="n">
        <x:v>3201</x:v>
      </x:c>
      <x:c r="B3205" s="44" t="str">
        <x:v>Not Started</x:v>
      </x:c>
      <x:c r="C3205" s="45" t="n">
        <x:v>45603</x:v>
      </x:c>
      <x:c r="D3205" s="33" t="str">
        <x:v>Chicago Med</x:v>
      </x:c>
      <x:c r="E3205" s="33" t="str">
        <x:v>One Chicago</x:v>
      </x:c>
      <x:c r="F3205" s="33" t="str">
        <x:v>core</x:v>
      </x:c>
      <x:c r="G3205" s="50" t="n">
        <x:v>10</x:v>
      </x:c>
      <x:c r="H3205" s="50" t="n">
        <x:v>6</x:v>
      </x:c>
      <x:c r="I3205" s="44" t="str">
        <x:v>10.06</x:v>
      </x:c>
      <x:c r="J3205" s="33" t="str">
        <x:v>Forget Me Not</x:v>
      </x:c>
      <x:c r="K3205" s="33" t="str"/>
      <x:c r="L3205" s="33" t="str"/>
      <x:c r="M3205" s="44" t="str"/>
      <x:c r="N3205" s="50" t="n">
        <x:v>43</x:v>
      </x:c>
      <x:c r="O3205" s="53" t="str">
        <x:v>Chicago P.D. steps up Goodwin's security after she's threatened online by a former employee. Archer and Frost treat victims from a disciplinary camp injured during a rockslide. Maggie gets roped into delivering a high schooler's baby.</x:v>
      </x:c>
      <x:c r="P3205" s="53" t="str">
        <x:v>Core One Chicago franchise</x:v>
      </x:c>
      <x:c r="Q3205" s="17" t="str">
        <x:v>12393850</x:v>
      </x:c>
      <x:c r="R3205" s="17" t="str">
        <x:v>tt34115587</x:v>
      </x:c>
      <x:c r="S3205" s="17" t="str"/>
    </x:row>
    <x:row r="3206">
      <x:c r="A3206" s="43" t="n">
        <x:v>3202</x:v>
      </x:c>
      <x:c r="B3206" s="44" t="str">
        <x:v>Not Started</x:v>
      </x:c>
      <x:c r="C3206" s="45" t="n">
        <x:v>45603</x:v>
      </x:c>
      <x:c r="D3206" s="33" t="str">
        <x:v>Chicago P.D.</x:v>
      </x:c>
      <x:c r="E3206" s="33" t="str">
        <x:v>One Chicago</x:v>
      </x:c>
      <x:c r="F3206" s="33" t="str">
        <x:v>core</x:v>
      </x:c>
      <x:c r="G3206" s="50" t="n">
        <x:v>12</x:v>
      </x:c>
      <x:c r="H3206" s="50" t="n">
        <x:v>6</x:v>
      </x:c>
      <x:c r="I3206" s="44" t="str">
        <x:v>12.06</x:v>
      </x:c>
      <x:c r="J3206" s="33" t="str">
        <x:v>Pawns</x:v>
      </x:c>
      <x:c r="K3206" s="33" t="str"/>
      <x:c r="L3206" s="33" t="str"/>
      <x:c r="M3206" s="44" t="str"/>
      <x:c r="N3206" s="50" t="n">
        <x:v>43</x:v>
      </x:c>
      <x:c r="O3206" s="53" t="str">
        <x:v>Burgess is put to the test as she looks to make an advancement in her career.</x:v>
      </x:c>
      <x:c r="P3206" s="53" t="str">
        <x:v>Core One Chicago franchise; crossovers with SVU/FBI</x:v>
      </x:c>
      <x:c r="Q3206" s="17" t="str">
        <x:v>12393886</x:v>
      </x:c>
      <x:c r="R3206" s="17" t="str">
        <x:v>tt34198535</x:v>
      </x:c>
      <x:c r="S3206" s="17" t="str"/>
    </x:row>
    <x:row r="3207">
      <x:c r="A3207" s="43" t="n">
        <x:v>3203</x:v>
      </x:c>
      <x:c r="B3207" s="44" t="str">
        <x:v>Not Started</x:v>
      </x:c>
      <x:c r="C3207" s="45" t="n">
        <x:v>45603</x:v>
      </x:c>
      <x:c r="D3207" s="33" t="str">
        <x:v>Chicago Fire</x:v>
      </x:c>
      <x:c r="E3207" s="33" t="str">
        <x:v>One Chicago</x:v>
      </x:c>
      <x:c r="F3207" s="33" t="str">
        <x:v>core</x:v>
      </x:c>
      <x:c r="G3207" s="50" t="n">
        <x:v>13</x:v>
      </x:c>
      <x:c r="H3207" s="50" t="n">
        <x:v>6</x:v>
      </x:c>
      <x:c r="I3207" s="44" t="str">
        <x:v>13.06</x:v>
      </x:c>
      <x:c r="J3207" s="33" t="str">
        <x:v>Birds of Prey</x:v>
      </x:c>
      <x:c r="K3207" s="33" t="str"/>
      <x:c r="L3207" s="33" t="str"/>
      <x:c r="M3207" s="44" t="str"/>
      <x:c r="N3207" s="50" t="n">
        <x:v>43</x:v>
      </x:c>
      <x:c r="O3207" s="53" t="str">
        <x:v>Severide gets wrapped up in an Illinois State Police investigation after discovering illegal guns on a call. A bird harasses Mouch on the apparatus floor. Kidd keeps an eye on Carver.</x:v>
      </x:c>
      <x:c r="P3207" s="53" t="str">
        <x:v>Core One Chicago franchise</x:v>
      </x:c>
      <x:c r="Q3207" s="17" t="str">
        <x:v>12393859</x:v>
      </x:c>
      <x:c r="R3207" s="17" t="str">
        <x:v>tt34197823</x:v>
      </x:c>
      <x:c r="S3207" s="17" t="str"/>
    </x:row>
    <x:row r="3208">
      <x:c r="A3208" s="43" t="n">
        <x:v>3204</x:v>
      </x:c>
      <x:c r="B3208" s="44" t="str">
        <x:v>Not Started</x:v>
      </x:c>
      <x:c r="C3208" s="45" t="n">
        <x:v>45603</x:v>
      </x:c>
      <x:c r="D3208" s="33" t="str">
        <x:v>Law &amp; Order</x:v>
      </x:c>
      <x:c r="E3208" s="33" t="str">
        <x:v>Law &amp; Order</x:v>
      </x:c>
      <x:c r="F3208" s="33" t="str">
        <x:v>core</x:v>
      </x:c>
      <x:c r="G3208" s="50" t="n">
        <x:v>24</x:v>
      </x:c>
      <x:c r="H3208" s="50" t="n">
        <x:v>6</x:v>
      </x:c>
      <x:c r="I3208" s="44" t="str">
        <x:v>24.06</x:v>
      </x:c>
      <x:c r="J3208" s="33" t="str">
        <x:v>Time Will Tell</x:v>
      </x:c>
      <x:c r="K3208" s="33" t="str"/>
      <x:c r="L3208" s="33" t="str"/>
      <x:c r="M3208" s="44" t="str"/>
      <x:c r="N3208" s="50" t="n">
        <x:v>43</x:v>
      </x:c>
      <x:c r="O3208" s="53" t="str">
        <x:v>When the dean of a swanky prep school is murdered, Shaw and Riley must dig into the toxic system of pressure on the students to succeed. Brady's son asks for a favor.</x:v>
      </x:c>
      <x:c r="P3208" s="53" t="str">
        <x:v>Core Law &amp; Order franchise</x:v>
      </x:c>
      <x:c r="Q3208" s="17" t="str">
        <x:v>12416020</x:v>
      </x:c>
      <x:c r="R3208" s="17" t="str">
        <x:v>tt34199412</x:v>
      </x:c>
      <x:c r="S3208" s="17" t="str">
        <x:v>1682</x:v>
      </x:c>
    </x:row>
    <x:row r="3209">
      <x:c r="A3209" s="43" t="n">
        <x:v>3205</x:v>
      </x:c>
      <x:c r="B3209" s="44" t="str">
        <x:v>Not Started</x:v>
      </x:c>
      <x:c r="C3209" s="45" t="n">
        <x:v>45603</x:v>
      </x:c>
      <x:c r="D3209" s="33" t="str">
        <x:v>Law &amp; Order: Special Victims Unit</x:v>
      </x:c>
      <x:c r="E3209" s="33" t="str">
        <x:v>Law &amp; Order</x:v>
      </x:c>
      <x:c r="F3209" s="33" t="str">
        <x:v>core</x:v>
      </x:c>
      <x:c r="G3209" s="50" t="n">
        <x:v>26</x:v>
      </x:c>
      <x:c r="H3209" s="50" t="n">
        <x:v>6</x:v>
      </x:c>
      <x:c r="I3209" s="44" t="str">
        <x:v>26.06</x:v>
      </x:c>
      <x:c r="J3209" s="33" t="str">
        <x:v>Rorschach</x:v>
      </x:c>
      <x:c r="K3209" s="33" t="str"/>
      <x:c r="L3209" s="33" t="str"/>
      <x:c r="M3209" s="44" t="str"/>
      <x:c r="N3209" s="50" t="n">
        <x:v>43</x:v>
      </x:c>
      <x:c r="O3209" s="53" t="str">
        <x:v>Agent Clay consults with Benson when a woman is found gravely injured at a remote campground and the suspect could be anywhere along the Eastern Seaboard. Bruno and Silva take a chance on an odd hunch to see if it becomes a lead.</x:v>
      </x:c>
      <x:c r="P3209" s="53" t="str">
        <x:v>Core Law &amp; Order franchise</x:v>
      </x:c>
      <x:c r="Q3209" s="17" t="str">
        <x:v>12395308</x:v>
      </x:c>
      <x:c r="R3209" s="17" t="str">
        <x:v>tt34199430</x:v>
      </x:c>
      <x:c r="S3209" s="17" t="str">
        <x:v>1683</x:v>
      </x:c>
    </x:row>
    <x:row r="3210">
      <x:c r="A3210" s="43" t="n">
        <x:v>3206</x:v>
      </x:c>
      <x:c r="B3210" s="44" t="str">
        <x:v>Not Started</x:v>
      </x:c>
      <x:c r="C3210" s="45" t="n">
        <x:v>45609</x:v>
      </x:c>
      <x:c r="D3210" s="33" t="str">
        <x:v>FBI: International</x:v>
      </x:c>
      <x:c r="E3210" s="33" t="str">
        <x:v>FBI</x:v>
      </x:c>
      <x:c r="F3210" s="33" t="str">
        <x:v>core</x:v>
      </x:c>
      <x:c r="G3210" s="50" t="n">
        <x:v>4</x:v>
      </x:c>
      <x:c r="H3210" s="50" t="n">
        <x:v>4</x:v>
      </x:c>
      <x:c r="I3210" s="44" t="str">
        <x:v>04.04</x:v>
      </x:c>
      <x:c r="J3210" s="33" t="str">
        <x:v>The Unwinnable War</x:v>
      </x:c>
      <x:c r="K3210" s="33" t="str"/>
      <x:c r="L3210" s="33" t="str"/>
      <x:c r="M3210" s="44" t="str"/>
      <x:c r="N3210" s="50" t="n">
        <x:v>43</x:v>
      </x:c>
      <x:c r="O3210" s="53" t="str">
        <x:v>The deputy inspector general calls on Tate, who is fluent in Spanish, to take on her first undercover field mission, joining Wes and the team in Spain as they investigate a seemingly dirty U.S. Drug Enforcement Administration special agent working out of Madrid.</x:v>
      </x:c>
      <x:c r="P3210" s="53" t="str">
        <x:v>Core FBI franchise</x:v>
      </x:c>
      <x:c r="Q3210" s="17" t="str">
        <x:v>12330572</x:v>
      </x:c>
      <x:c r="R3210" s="17" t="str">
        <x:v>tt33337836</x:v>
      </x:c>
      <x:c r="S3210" s="17" t="str"/>
    </x:row>
    <x:row r="3211">
      <x:c r="A3211" s="43" t="n">
        <x:v>3207</x:v>
      </x:c>
      <x:c r="B3211" s="44" t="str">
        <x:v>Not Started</x:v>
      </x:c>
      <x:c r="C3211" s="45" t="n">
        <x:v>45609</x:v>
      </x:c>
      <x:c r="D3211" s="33" t="str">
        <x:v>FBI: Most Wanted</x:v>
      </x:c>
      <x:c r="E3211" s="33" t="str">
        <x:v>FBI</x:v>
      </x:c>
      <x:c r="F3211" s="33" t="str">
        <x:v>core</x:v>
      </x:c>
      <x:c r="G3211" s="50" t="n">
        <x:v>6</x:v>
      </x:c>
      <x:c r="H3211" s="50" t="n">
        <x:v>4</x:v>
      </x:c>
      <x:c r="I3211" s="44" t="str">
        <x:v>06.04</x:v>
      </x:c>
      <x:c r="J3211" s="33" t="str">
        <x:v>Pig Butchering</x:v>
      </x:c>
      <x:c r="K3211" s="33" t="str"/>
      <x:c r="L3211" s="33" t="str"/>
      <x:c r="M3211" s="44" t="str"/>
      <x:c r="N3211" s="50" t="n">
        <x:v>43</x:v>
      </x:c>
      <x:c r="O3211" s="53" t="str">
        <x:v>As Barnes adjusts to living without her children full time, she and Remy butt heads when she disregards his direct orders and investigates a scam call center from where she received a distressing call from a young girl.</x:v>
      </x:c>
      <x:c r="P3211" s="53" t="str">
        <x:v>Core FBI franchise</x:v>
      </x:c>
      <x:c r="Q3211" s="17" t="str">
        <x:v>12398270</x:v>
      </x:c>
      <x:c r="R3211" s="17" t="str">
        <x:v>tt34196740</x:v>
      </x:c>
      <x:c r="S3211" s="17" t="str"/>
    </x:row>
    <x:row r="3212">
      <x:c r="A3212" s="43" t="n">
        <x:v>3208</x:v>
      </x:c>
      <x:c r="B3212" s="44" t="str">
        <x:v>Not Started</x:v>
      </x:c>
      <x:c r="C3212" s="45" t="n">
        <x:v>45609</x:v>
      </x:c>
      <x:c r="D3212" s="33" t="str">
        <x:v>FBI</x:v>
      </x:c>
      <x:c r="E3212" s="33" t="str">
        <x:v>FBI</x:v>
      </x:c>
      <x:c r="F3212" s="33" t="str">
        <x:v>core</x:v>
      </x:c>
      <x:c r="G3212" s="50" t="n">
        <x:v>7</x:v>
      </x:c>
      <x:c r="H3212" s="50" t="n">
        <x:v>4</x:v>
      </x:c>
      <x:c r="I3212" s="44" t="str">
        <x:v>07.04</x:v>
      </x:c>
      <x:c r="J3212" s="33" t="str">
        <x:v>Doubted</x:v>
      </x:c>
      <x:c r="K3212" s="33" t="str"/>
      <x:c r="L3212" s="33" t="str"/>
      <x:c r="M3212" s="44" t="str"/>
      <x:c r="N3212" s="50" t="n">
        <x:v>41</x:v>
      </x:c>
      <x:c r="O3212" s="53" t="str">
        <x:v>When the sister of Sydney Ortiz is the victim of an attempted kidnapping and sexual assault, Sydney seeks help from Isobel and the team in tracking down a meticulous serial offender who leaves no evidence behind.</x:v>
      </x:c>
      <x:c r="P3212" s="53" t="str">
        <x:v>Core FBI franchise</x:v>
      </x:c>
      <x:c r="Q3212" s="17" t="str">
        <x:v>12398274</x:v>
      </x:c>
      <x:c r="R3212" s="17" t="str">
        <x:v>tt34196730</x:v>
      </x:c>
      <x:c r="S3212" s="17" t="str"/>
    </x:row>
    <x:row r="3213">
      <x:c r="A3213" s="43" t="n">
        <x:v>3209</x:v>
      </x:c>
      <x:c r="B3213" s="44" t="str">
        <x:v>Not Started</x:v>
      </x:c>
      <x:c r="C3213" s="45" t="n">
        <x:v>45610</x:v>
      </x:c>
      <x:c r="D3213" s="33" t="str">
        <x:v>Chicago Med</x:v>
      </x:c>
      <x:c r="E3213" s="33" t="str">
        <x:v>One Chicago</x:v>
      </x:c>
      <x:c r="F3213" s="33" t="str">
        <x:v>core</x:v>
      </x:c>
      <x:c r="G3213" s="50" t="n">
        <x:v>10</x:v>
      </x:c>
      <x:c r="H3213" s="50" t="n">
        <x:v>7</x:v>
      </x:c>
      <x:c r="I3213" s="44" t="str">
        <x:v>10.07</x:v>
      </x:c>
      <x:c r="J3213" s="33" t="str">
        <x:v>Family Matters</x:v>
      </x:c>
      <x:c r="K3213" s="33" t="str"/>
      <x:c r="L3213" s="33" t="str"/>
      <x:c r="M3213" s="44" t="str"/>
      <x:c r="N3213" s="50" t="n">
        <x:v>43</x:v>
      </x:c>
      <x:c r="O3213" s="53" t="str">
        <x:v>Ripley and Frost uncover shocking information that conflicts with their patient's DNR. Asher facilitates an unexpected reunion. The tension between Archer and Lenox comes to a head.</x:v>
      </x:c>
      <x:c r="P3213" s="53" t="str">
        <x:v>Core One Chicago franchise</x:v>
      </x:c>
      <x:c r="Q3213" s="17" t="str">
        <x:v>12399756</x:v>
      </x:c>
      <x:c r="R3213" s="17" t="str">
        <x:v>tt34164544</x:v>
      </x:c>
      <x:c r="S3213" s="17" t="str"/>
    </x:row>
    <x:row r="3214">
      <x:c r="A3214" s="43" t="n">
        <x:v>3210</x:v>
      </x:c>
      <x:c r="B3214" s="44" t="str">
        <x:v>Not Started</x:v>
      </x:c>
      <x:c r="C3214" s="45" t="n">
        <x:v>45610</x:v>
      </x:c>
      <x:c r="D3214" s="33" t="str">
        <x:v>Chicago P.D.</x:v>
      </x:c>
      <x:c r="E3214" s="33" t="str">
        <x:v>One Chicago</x:v>
      </x:c>
      <x:c r="F3214" s="33" t="str">
        <x:v>core</x:v>
      </x:c>
      <x:c r="G3214" s="50" t="n">
        <x:v>12</x:v>
      </x:c>
      <x:c r="H3214" s="50" t="n">
        <x:v>7</x:v>
      </x:c>
      <x:c r="I3214" s="44" t="str">
        <x:v>12.07</x:v>
      </x:c>
      <x:c r="J3214" s="33" t="str">
        <x:v>Contrition (1)</x:v>
      </x:c>
      <x:c r="K3214" s="33" t="str"/>
      <x:c r="L3214" s="33" t="str"/>
      <x:c r="M3214" s="44" t="str"/>
      <x:c r="N3214" s="50" t="n">
        <x:v>43</x:v>
      </x:c>
      <x:c r="O3214" s="53" t="str">
        <x:v>Torres is haunted by his previous transgressions as Cook takes on a tense undercover assignment.</x:v>
      </x:c>
      <x:c r="P3214" s="53" t="str">
        <x:v>Core One Chicago franchise; crossovers with SVU/FBI</x:v>
      </x:c>
      <x:c r="Q3214" s="17" t="str">
        <x:v>12399765</x:v>
      </x:c>
      <x:c r="R3214" s="17" t="str">
        <x:v>tt34198637</x:v>
      </x:c>
      <x:c r="S3214" s="17" t="str"/>
    </x:row>
    <x:row r="3215">
      <x:c r="A3215" s="43" t="n">
        <x:v>3211</x:v>
      </x:c>
      <x:c r="B3215" s="44" t="str">
        <x:v>Not Started</x:v>
      </x:c>
      <x:c r="C3215" s="45" t="n">
        <x:v>45610</x:v>
      </x:c>
      <x:c r="D3215" s="33" t="str">
        <x:v>Chicago Fire</x:v>
      </x:c>
      <x:c r="E3215" s="33" t="str">
        <x:v>One Chicago</x:v>
      </x:c>
      <x:c r="F3215" s="33" t="str">
        <x:v>core</x:v>
      </x:c>
      <x:c r="G3215" s="50" t="n">
        <x:v>13</x:v>
      </x:c>
      <x:c r="H3215" s="50" t="n">
        <x:v>7</x:v>
      </x:c>
      <x:c r="I3215" s="44" t="str">
        <x:v>13.07</x:v>
      </x:c>
      <x:c r="J3215" s="33" t="str">
        <x:v>Untouchable</x:v>
      </x:c>
      <x:c r="K3215" s="33" t="str"/>
      <x:c r="L3215" s="33" t="str"/>
      <x:c r="M3215" s="44" t="str"/>
      <x:c r="N3215" s="50" t="n">
        <x:v>43</x:v>
      </x:c>
      <x:c r="O3215" s="53" t="str">
        <x:v>Pascal and Severide revisit the storage facility fire in hopes of uncovering new evidence. Cruz helps Mouch take his studying to the next level. Novak prepares a proposal for Chief Robinson for a whole blood program.</x:v>
      </x:c>
      <x:c r="P3215" s="53" t="str">
        <x:v>Core One Chicago franchise</x:v>
      </x:c>
      <x:c r="Q3215" s="17" t="str">
        <x:v>12399773</x:v>
      </x:c>
      <x:c r="R3215" s="17" t="str">
        <x:v>tt34197923</x:v>
      </x:c>
      <x:c r="S3215" s="17" t="str"/>
    </x:row>
    <x:row r="3216">
      <x:c r="A3216" s="43" t="n">
        <x:v>3212</x:v>
      </x:c>
      <x:c r="B3216" s="44" t="str">
        <x:v>Not Started</x:v>
      </x:c>
      <x:c r="C3216" s="45" t="n">
        <x:v>45610</x:v>
      </x:c>
      <x:c r="D3216" s="33" t="str">
        <x:v>Law &amp; Order</x:v>
      </x:c>
      <x:c r="E3216" s="33" t="str">
        <x:v>Law &amp; Order</x:v>
      </x:c>
      <x:c r="F3216" s="33" t="str">
        <x:v>core</x:v>
      </x:c>
      <x:c r="G3216" s="50" t="n">
        <x:v>24</x:v>
      </x:c>
      <x:c r="H3216" s="50" t="n">
        <x:v>7</x:v>
      </x:c>
      <x:c r="I3216" s="44" t="str">
        <x:v>24.07</x:v>
      </x:c>
      <x:c r="J3216" s="33" t="str">
        <x:v>Truth and Consequences</x:v>
      </x:c>
      <x:c r="K3216" s="33" t="str"/>
      <x:c r="L3216" s="33" t="str"/>
      <x:c r="M3216" s="44" t="str"/>
      <x:c r="N3216" s="50" t="n">
        <x:v>42</x:v>
      </x:c>
      <x:c r="O3216" s="53" t="str">
        <x:v>When tragedy strikes the family of a prominent judge, Brady must determine if the murder is connected to any of the judge's rulings. Baxter steps in when a key witness refuses to testify. Maroun tries to protect another witness's privacy.</x:v>
      </x:c>
      <x:c r="P3216" s="53" t="str">
        <x:v>Core Law &amp; Order franchise</x:v>
      </x:c>
      <x:c r="Q3216" s="17" t="str">
        <x:v>12444771</x:v>
      </x:c>
      <x:c r="R3216" s="17" t="str">
        <x:v>tt34199414</x:v>
      </x:c>
      <x:c r="S3216" s="17" t="str">
        <x:v>1684</x:v>
      </x:c>
    </x:row>
    <x:row r="3217">
      <x:c r="A3217" s="43" t="n">
        <x:v>3213</x:v>
      </x:c>
      <x:c r="B3217" s="44" t="str">
        <x:v>Not Started</x:v>
      </x:c>
      <x:c r="C3217" s="45" t="n">
        <x:v>45610</x:v>
      </x:c>
      <x:c r="D3217" s="33" t="str">
        <x:v>Law &amp; Order: Special Victims Unit</x:v>
      </x:c>
      <x:c r="E3217" s="33" t="str">
        <x:v>Law &amp; Order</x:v>
      </x:c>
      <x:c r="F3217" s="33" t="str">
        <x:v>core</x:v>
      </x:c>
      <x:c r="G3217" s="50" t="n">
        <x:v>26</x:v>
      </x:c>
      <x:c r="H3217" s="50" t="n">
        <x:v>7</x:v>
      </x:c>
      <x:c r="I3217" s="44" t="str">
        <x:v>26.07</x:v>
      </x:c>
      <x:c r="J3217" s="33" t="str">
        <x:v>Tenfold</x:v>
      </x:c>
      <x:c r="K3217" s="33" t="str"/>
      <x:c r="L3217" s="33" t="str"/>
      <x:c r="M3217" s="44" t="str"/>
      <x:c r="N3217" s="50" t="n">
        <x:v>43</x:v>
      </x:c>
      <x:c r="O3217" s="53" t="str">
        <x:v>Bruno must get to the center of a victim's incomplete story to track down a serial rapist. Carisi is helpless to stop a crime he suspects is about to be committed.</x:v>
      </x:c>
      <x:c r="P3217" s="53" t="str">
        <x:v>Core Law &amp; Order franchise</x:v>
      </x:c>
      <x:c r="Q3217" s="17" t="str">
        <x:v>12404581</x:v>
      </x:c>
      <x:c r="R3217" s="17" t="str">
        <x:v>tt34199431</x:v>
      </x:c>
      <x:c r="S3217" s="17" t="str">
        <x:v>1685</x:v>
      </x:c>
    </x:row>
    <x:row r="3218">
      <x:c r="A3218" s="43" t="n">
        <x:v>3214</x:v>
      </x:c>
      <x:c r="B3218" s="44" t="str">
        <x:v>Not Started</x:v>
      </x:c>
      <x:c r="C3218" s="45" t="n">
        <x:v>45616</x:v>
      </x:c>
      <x:c r="D3218" s="33" t="str">
        <x:v>FBI: International</x:v>
      </x:c>
      <x:c r="E3218" s="33" t="str">
        <x:v>FBI</x:v>
      </x:c>
      <x:c r="F3218" s="33" t="str">
        <x:v>core</x:v>
      </x:c>
      <x:c r="G3218" s="50" t="n">
        <x:v>4</x:v>
      </x:c>
      <x:c r="H3218" s="50" t="n">
        <x:v>5</x:v>
      </x:c>
      <x:c r="I3218" s="44" t="str">
        <x:v>04.05</x:v>
      </x:c>
      <x:c r="J3218" s="33" t="str">
        <x:v>The Future's Looking Bright</x:v>
      </x:c>
      <x:c r="K3218" s="33" t="str"/>
      <x:c r="L3218" s="33" t="str"/>
      <x:c r="M3218" s="44" t="str"/>
      <x:c r="N3218" s="50" t="n">
        <x:v>42</x:v>
      </x:c>
      <x:c r="O3218" s="53" t="str">
        <x:v>When an American man is kidnapped in Warsaw alongside a Ukrainian woman he met on a dating site, the Fly Team heads to Poland to track down the mastermind behind the site.</x:v>
      </x:c>
      <x:c r="P3218" s="53" t="str">
        <x:v>Core FBI franchise</x:v>
      </x:c>
      <x:c r="Q3218" s="17" t="str">
        <x:v>12398267</x:v>
      </x:c>
      <x:c r="R3218" s="17" t="str">
        <x:v>tt34571208</x:v>
      </x:c>
      <x:c r="S3218" s="17" t="str"/>
    </x:row>
    <x:row r="3219">
      <x:c r="A3219" s="43" t="n">
        <x:v>3215</x:v>
      </x:c>
      <x:c r="B3219" s="44" t="str">
        <x:v>Not Started</x:v>
      </x:c>
      <x:c r="C3219" s="45" t="n">
        <x:v>45616</x:v>
      </x:c>
      <x:c r="D3219" s="33" t="str">
        <x:v>FBI: Most Wanted</x:v>
      </x:c>
      <x:c r="E3219" s="33" t="str">
        <x:v>FBI</x:v>
      </x:c>
      <x:c r="F3219" s="33" t="str">
        <x:v>core</x:v>
      </x:c>
      <x:c r="G3219" s="50" t="n">
        <x:v>6</x:v>
      </x:c>
      <x:c r="H3219" s="50" t="n">
        <x:v>5</x:v>
      </x:c>
      <x:c r="I3219" s="44" t="str">
        <x:v>06.05</x:v>
      </x:c>
      <x:c r="J3219" s="33" t="str">
        <x:v>Money Moves</x:v>
      </x:c>
      <x:c r="K3219" s="33" t="str"/>
      <x:c r="L3219" s="33" t="str"/>
      <x:c r="M3219" s="44" t="str"/>
      <x:c r="N3219" s="50" t="n">
        <x:v>43</x:v>
      </x:c>
      <x:c r="O3219" s="53" t="str">
        <x:v>When a privately owned security corporation warehouse is robbed, the Fugitive Task Force is called in for assistance as the sophisticated team of thieves plan their next heist. Meanwhile, Ray and Cora wrestle with Caleb’s sudden desire to spend time with his biological father.</x:v>
      </x:c>
      <x:c r="P3219" s="53" t="str">
        <x:v>Core FBI franchise</x:v>
      </x:c>
      <x:c r="Q3219" s="17" t="str">
        <x:v>12398271</x:v>
      </x:c>
      <x:c r="R3219" s="17" t="str">
        <x:v>tt34481409</x:v>
      </x:c>
      <x:c r="S3219" s="17" t="str"/>
    </x:row>
    <x:row r="3220">
      <x:c r="A3220" s="43" t="n">
        <x:v>3216</x:v>
      </x:c>
      <x:c r="B3220" s="44" t="str">
        <x:v>Not Started</x:v>
      </x:c>
      <x:c r="C3220" s="45" t="n">
        <x:v>45616</x:v>
      </x:c>
      <x:c r="D3220" s="33" t="str">
        <x:v>FBI</x:v>
      </x:c>
      <x:c r="E3220" s="33" t="str">
        <x:v>FBI</x:v>
      </x:c>
      <x:c r="F3220" s="33" t="str">
        <x:v>core</x:v>
      </x:c>
      <x:c r="G3220" s="50" t="n">
        <x:v>7</x:v>
      </x:c>
      <x:c r="H3220" s="50" t="n">
        <x:v>5</x:v>
      </x:c>
      <x:c r="I3220" s="44" t="str">
        <x:v>07.05</x:v>
      </x:c>
      <x:c r="J3220" s="33" t="str">
        <x:v>Pledges</x:v>
      </x:c>
      <x:c r="K3220" s="33" t="str"/>
      <x:c r="L3220" s="33" t="str"/>
      <x:c r="M3220" s="44" t="str"/>
      <x:c r="N3220" s="50" t="n">
        <x:v>43</x:v>
      </x:c>
      <x:c r="O3220" s="53" t="str">
        <x:v>When a chaotic campus protest turns deadly, the team is called in to help quell the mayhem and track down the murderer. Meanwhile, Jubal is concerned when Tyler is detained along with a group of student protestors.</x:v>
      </x:c>
      <x:c r="P3220" s="53" t="str">
        <x:v>Core FBI franchise</x:v>
      </x:c>
      <x:c r="Q3220" s="17" t="str">
        <x:v>12398275</x:v>
      </x:c>
      <x:c r="R3220" s="17" t="str">
        <x:v>tt34571197</x:v>
      </x:c>
      <x:c r="S3220" s="17" t="str"/>
    </x:row>
    <x:row r="3221">
      <x:c r="A3221" s="43" t="n">
        <x:v>3217</x:v>
      </x:c>
      <x:c r="B3221" s="44" t="str">
        <x:v>Not Started</x:v>
      </x:c>
      <x:c r="C3221" s="45" t="n">
        <x:v>45617</x:v>
      </x:c>
      <x:c r="D3221" s="33" t="str">
        <x:v>Chicago Med</x:v>
      </x:c>
      <x:c r="E3221" s="33" t="str">
        <x:v>One Chicago</x:v>
      </x:c>
      <x:c r="F3221" s="33" t="str">
        <x:v>core</x:v>
      </x:c>
      <x:c r="G3221" s="50" t="n">
        <x:v>10</x:v>
      </x:c>
      <x:c r="H3221" s="50" t="n">
        <x:v>8</x:v>
      </x:c>
      <x:c r="I3221" s="44" t="str">
        <x:v>10.08</x:v>
      </x:c>
      <x:c r="J3221" s="33" t="str">
        <x:v>Love Will Tear Us Apart</x:v>
      </x:c>
      <x:c r="K3221" s="33" t="str"/>
      <x:c r="L3221" s="33" t="str"/>
      <x:c r="M3221" s="44" t="str"/>
      <x:c r="N3221" s="50" t="n">
        <x:v>42</x:v>
      </x:c>
      <x:c r="O3221" s="53" t="str">
        <x:v>Goodwin's troubles persist. Charles clashes with his former resident over a depressed patient. Lenox and Ripley treat a car accident victim who recently reunited with his college sweetheart.</x:v>
      </x:c>
      <x:c r="P3221" s="53" t="str">
        <x:v>Core One Chicago franchise</x:v>
      </x:c>
      <x:c r="Q3221" s="17" t="str">
        <x:v>12399757</x:v>
      </x:c>
      <x:c r="R3221" s="17" t="str">
        <x:v>tt34198228</x:v>
      </x:c>
      <x:c r="S3221" s="17" t="str"/>
    </x:row>
    <x:row r="3222">
      <x:c r="A3222" s="43" t="n">
        <x:v>3218</x:v>
      </x:c>
      <x:c r="B3222" s="44" t="str">
        <x:v>Not Started</x:v>
      </x:c>
      <x:c r="C3222" s="45" t="n">
        <x:v>45617</x:v>
      </x:c>
      <x:c r="D3222" s="33" t="str">
        <x:v>Chicago P.D.</x:v>
      </x:c>
      <x:c r="E3222" s="33" t="str">
        <x:v>One Chicago</x:v>
      </x:c>
      <x:c r="F3222" s="33" t="str">
        <x:v>core</x:v>
      </x:c>
      <x:c r="G3222" s="50" t="n">
        <x:v>12</x:v>
      </x:c>
      <x:c r="H3222" s="50" t="n">
        <x:v>8</x:v>
      </x:c>
      <x:c r="I3222" s="44" t="str">
        <x:v>12.08</x:v>
      </x:c>
      <x:c r="J3222" s="33" t="str">
        <x:v>Penance (2)</x:v>
      </x:c>
      <x:c r="K3222" s="33" t="str"/>
      <x:c r="L3222" s="33" t="str"/>
      <x:c r="M3222" s="44" t="str"/>
      <x:c r="N3222" s="50" t="n">
        <x:v>43</x:v>
      </x:c>
      <x:c r="O3222" s="53" t="str">
        <x:v>The unit learns the truth about a secret Torres has been keeping, as Deputy Chief Charlie Reid puts a focus on Intelligence.</x:v>
      </x:c>
      <x:c r="P3222" s="53" t="str">
        <x:v>Core One Chicago franchise; crossovers with SVU/FBI</x:v>
      </x:c>
      <x:c r="Q3222" s="17" t="str">
        <x:v>12399766</x:v>
      </x:c>
      <x:c r="R3222" s="17" t="str">
        <x:v>tt34198705</x:v>
      </x:c>
      <x:c r="S3222" s="17" t="str"/>
    </x:row>
    <x:row r="3223">
      <x:c r="A3223" s="43" t="n">
        <x:v>3219</x:v>
      </x:c>
      <x:c r="B3223" s="44" t="str">
        <x:v>Not Started</x:v>
      </x:c>
      <x:c r="C3223" s="45" t="n">
        <x:v>45617</x:v>
      </x:c>
      <x:c r="D3223" s="33" t="str">
        <x:v>Chicago Fire</x:v>
      </x:c>
      <x:c r="E3223" s="33" t="str">
        <x:v>One Chicago</x:v>
      </x:c>
      <x:c r="F3223" s="33" t="str">
        <x:v>core</x:v>
      </x:c>
      <x:c r="G3223" s="50" t="n">
        <x:v>13</x:v>
      </x:c>
      <x:c r="H3223" s="50" t="n">
        <x:v>8</x:v>
      </x:c>
      <x:c r="I3223" s="44" t="str">
        <x:v>13.08</x:v>
      </x:c>
      <x:c r="J3223" s="33" t="str">
        <x:v>Quicksand</x:v>
      </x:c>
      <x:c r="K3223" s="33" t="str"/>
      <x:c r="L3223" s="33" t="str"/>
      <x:c r="M3223" s="44" t="str"/>
      <x:c r="N3223" s="50" t="n">
        <x:v>42</x:v>
      </x:c>
      <x:c r="O3223" s="53" t="str">
        <x:v>Herrmann and Mouch prepare to take their officer exams. Cruz receives a chilling omen. Carver takes care of a dog after its owner is injured on a call.</x:v>
      </x:c>
      <x:c r="P3223" s="53" t="str">
        <x:v>Core One Chicago franchise</x:v>
      </x:c>
      <x:c r="Q3223" s="17" t="str">
        <x:v>12399774</x:v>
      </x:c>
      <x:c r="R3223" s="17" t="str">
        <x:v>tt34198019</x:v>
      </x:c>
      <x:c r="S3223" s="17" t="str"/>
    </x:row>
    <x:row r="3224">
      <x:c r="A3224" s="43" t="n">
        <x:v>3220</x:v>
      </x:c>
      <x:c r="B3224" s="44" t="str">
        <x:v>Not Started</x:v>
      </x:c>
      <x:c r="C3224" s="45" t="n">
        <x:v>45617</x:v>
      </x:c>
      <x:c r="D3224" s="33" t="str">
        <x:v>Law &amp; Order</x:v>
      </x:c>
      <x:c r="E3224" s="33" t="str">
        <x:v>Law &amp; Order</x:v>
      </x:c>
      <x:c r="F3224" s="33" t="str">
        <x:v>core</x:v>
      </x:c>
      <x:c r="G3224" s="50" t="n">
        <x:v>24</x:v>
      </x:c>
      <x:c r="H3224" s="50" t="n">
        <x:v>8</x:v>
      </x:c>
      <x:c r="I3224" s="44" t="str">
        <x:v>24.08</x:v>
      </x:c>
      <x:c r="J3224" s="33" t="str">
        <x:v>Bad Apple</x:v>
      </x:c>
      <x:c r="K3224" s="33" t="str"/>
      <x:c r="L3224" s="33" t="str"/>
      <x:c r="M3224" s="44" t="str"/>
      <x:c r="N3224" s="50" t="n">
        <x:v>43</x:v>
      </x:c>
      <x:c r="O3224" s="53" t="str">
        <x:v>After a narcotics officer is shot in the back, Brady returns to her old precinct to investigate the murder. When the suspect's story doesn't add up, she enlists Shaw and Riley to discover the truth.</x:v>
      </x:c>
      <x:c r="P3224" s="53" t="str">
        <x:v>Core Law &amp; Order franchise</x:v>
      </x:c>
      <x:c r="Q3224" s="17" t="str">
        <x:v>12472092</x:v>
      </x:c>
      <x:c r="R3224" s="17" t="str">
        <x:v>tt34199419</x:v>
      </x:c>
      <x:c r="S3224" s="17" t="str">
        <x:v>1686</x:v>
      </x:c>
    </x:row>
    <x:row r="3225">
      <x:c r="A3225" s="43" t="n">
        <x:v>3221</x:v>
      </x:c>
      <x:c r="B3225" s="44" t="str">
        <x:v>Not Started</x:v>
      </x:c>
      <x:c r="C3225" s="45" t="n">
        <x:v>45617</x:v>
      </x:c>
      <x:c r="D3225" s="33" t="str">
        <x:v>Law &amp; Order: Special Victims Unit</x:v>
      </x:c>
      <x:c r="E3225" s="33" t="str">
        <x:v>Law &amp; Order</x:v>
      </x:c>
      <x:c r="F3225" s="33" t="str">
        <x:v>core</x:v>
      </x:c>
      <x:c r="G3225" s="50" t="n">
        <x:v>26</x:v>
      </x:c>
      <x:c r="H3225" s="50" t="n">
        <x:v>8</x:v>
      </x:c>
      <x:c r="I3225" s="44" t="str">
        <x:v>26.08</x:v>
      </x:c>
      <x:c r="J3225" s="33" t="str">
        <x:v>Cornered</x:v>
      </x:c>
      <x:c r="K3225" s="33" t="str"/>
      <x:c r="L3225" s="33" t="str"/>
      <x:c r="M3225" s="44" t="str"/>
      <x:c r="N3225" s="50" t="n">
        <x:v>43</x:v>
      </x:c>
      <x:c r="O3225" s="53" t="str">
        <x:v>Carisi tries to protect two women taken hostage in a tense standoff between police and a violent thief. Benson and Rollins devise a risky plan to get everyone to safety.</x:v>
      </x:c>
      <x:c r="P3225" s="53" t="str">
        <x:v>Core Law &amp; Order franchise</x:v>
      </x:c>
      <x:c r="Q3225" s="17" t="str">
        <x:v>12404582</x:v>
      </x:c>
      <x:c r="R3225" s="17" t="str">
        <x:v>tt34199437</x:v>
      </x:c>
      <x:c r="S3225" s="17" t="str">
        <x:v>1687</x:v>
      </x:c>
    </x:row>
    <x:row r="3226">
      <x:c r="A3226" s="43" t="n">
        <x:v>3222</x:v>
      </x:c>
      <x:c r="B3226" s="44" t="str">
        <x:v>Not Started</x:v>
      </x:c>
      <x:c r="C3226" s="45" t="n">
        <x:v>45630</x:v>
      </x:c>
      <x:c r="D3226" s="33" t="str">
        <x:v>FBI: International</x:v>
      </x:c>
      <x:c r="E3226" s="33" t="str">
        <x:v>FBI</x:v>
      </x:c>
      <x:c r="F3226" s="33" t="str">
        <x:v>core</x:v>
      </x:c>
      <x:c r="G3226" s="50" t="n">
        <x:v>4</x:v>
      </x:c>
      <x:c r="H3226" s="50" t="n">
        <x:v>6</x:v>
      </x:c>
      <x:c r="I3226" s="44" t="str">
        <x:v>04.06</x:v>
      </x:c>
      <x:c r="J3226" s="33" t="str">
        <x:v>They Paid More</x:v>
      </x:c>
      <x:c r="K3226" s="33" t="str"/>
      <x:c r="L3226" s="33" t="str"/>
      <x:c r="M3226" s="44" t="str"/>
      <x:c r="N3226" s="50" t="n">
        <x:v>43</x:v>
      </x:c>
      <x:c r="O3226" s="53" t="str">
        <x:v>When a bus full of American volunteers is hijacked in a dangerous section of Morocco, the Fly Team works to locate the missing aid workers and the people who kidnapped them.</x:v>
      </x:c>
      <x:c r="P3226" s="53" t="str">
        <x:v>Core FBI franchise</x:v>
      </x:c>
      <x:c r="Q3226" s="17" t="str">
        <x:v>12398268</x:v>
      </x:c>
      <x:c r="R3226" s="17" t="str">
        <x:v>tt34571210</x:v>
      </x:c>
      <x:c r="S3226" s="17" t="str"/>
    </x:row>
    <x:row r="3227">
      <x:c r="A3227" s="43" t="n">
        <x:v>3223</x:v>
      </x:c>
      <x:c r="B3227" s="44" t="str">
        <x:v>Not Started</x:v>
      </x:c>
      <x:c r="C3227" s="45" t="n">
        <x:v>45630</x:v>
      </x:c>
      <x:c r="D3227" s="33" t="str">
        <x:v>FBI: Most Wanted</x:v>
      </x:c>
      <x:c r="E3227" s="33" t="str">
        <x:v>FBI</x:v>
      </x:c>
      <x:c r="F3227" s="33" t="str">
        <x:v>core</x:v>
      </x:c>
      <x:c r="G3227" s="50" t="n">
        <x:v>6</x:v>
      </x:c>
      <x:c r="H3227" s="50" t="n">
        <x:v>6</x:v>
      </x:c>
      <x:c r="I3227" s="44" t="str">
        <x:v>06.06</x:v>
      </x:c>
      <x:c r="J3227" s="33" t="str">
        <x:v>Pageantry</x:v>
      </x:c>
      <x:c r="K3227" s="33" t="str"/>
      <x:c r="L3227" s="33" t="str"/>
      <x:c r="M3227" s="44" t="str"/>
      <x:c r="N3227" s="50" t="n">
        <x:v>41</x:v>
      </x:c>
      <x:c r="O3227" s="53" t="str">
        <x:v>When an international beauty queen is killed on live television, the Fugitive Task Force heads to Philadelphia to hunt down the killer. Meanwhile, Hana senses that Ethan is hiding something.</x:v>
      </x:c>
      <x:c r="P3227" s="53" t="str">
        <x:v>Core FBI franchise</x:v>
      </x:c>
      <x:c r="Q3227" s="17" t="str">
        <x:v>12398272</x:v>
      </x:c>
      <x:c r="R3227" s="17" t="str">
        <x:v>tt34571216</x:v>
      </x:c>
      <x:c r="S3227" s="17" t="str"/>
    </x:row>
    <x:row r="3228">
      <x:c r="A3228" s="43" t="n">
        <x:v>3224</x:v>
      </x:c>
      <x:c r="B3228" s="44" t="str">
        <x:v>Not Started</x:v>
      </x:c>
      <x:c r="C3228" s="45" t="n">
        <x:v>45630</x:v>
      </x:c>
      <x:c r="D3228" s="33" t="str">
        <x:v>FBI</x:v>
      </x:c>
      <x:c r="E3228" s="33" t="str">
        <x:v>FBI</x:v>
      </x:c>
      <x:c r="F3228" s="33" t="str">
        <x:v>core</x:v>
      </x:c>
      <x:c r="G3228" s="50" t="n">
        <x:v>7</x:v>
      </x:c>
      <x:c r="H3228" s="50" t="n">
        <x:v>6</x:v>
      </x:c>
      <x:c r="I3228" s="44" t="str">
        <x:v>07.06</x:v>
      </x:c>
      <x:c r="J3228" s="33" t="str">
        <x:v>Perfect</x:v>
      </x:c>
      <x:c r="K3228" s="33" t="str"/>
      <x:c r="L3228" s="33" t="str"/>
      <x:c r="M3228" s="44" t="str"/>
      <x:c r="N3228" s="50" t="n">
        <x:v>41</x:v>
      </x:c>
      <x:c r="O3228" s="53" t="str">
        <x:v>The team is called in to track down a serial killer after the bodies of multiple women with the same physical description are found scattered across the city. Meanwhile, Maggie juggles her roles as a guardian to Ella and an FBI agent.</x:v>
      </x:c>
      <x:c r="P3228" s="53" t="str">
        <x:v>Core FBI franchise</x:v>
      </x:c>
      <x:c r="Q3228" s="17" t="str">
        <x:v>12398276</x:v>
      </x:c>
      <x:c r="R3228" s="17" t="str">
        <x:v>tt34571201</x:v>
      </x:c>
      <x:c r="S3228" s="17" t="str"/>
    </x:row>
    <x:row r="3229">
      <x:c r="A3229" s="43" t="n">
        <x:v>3225</x:v>
      </x:c>
      <x:c r="B3229" s="44" t="str">
        <x:v>Not Started</x:v>
      </x:c>
      <x:c r="C3229" s="45" t="n">
        <x:v>45637</x:v>
      </x:c>
      <x:c r="D3229" s="33" t="str">
        <x:v>FBI: International</x:v>
      </x:c>
      <x:c r="E3229" s="33" t="str">
        <x:v>FBI</x:v>
      </x:c>
      <x:c r="F3229" s="33" t="str">
        <x:v>core</x:v>
      </x:c>
      <x:c r="G3229" s="50" t="n">
        <x:v>4</x:v>
      </x:c>
      <x:c r="H3229" s="50" t="n">
        <x:v>7</x:v>
      </x:c>
      <x:c r="I3229" s="44" t="str">
        <x:v>04.07</x:v>
      </x:c>
      <x:c r="J3229" s="33" t="str">
        <x:v>Keen as a Bean</x:v>
      </x:c>
      <x:c r="K3229" s="33" t="str"/>
      <x:c r="L3229" s="33" t="str"/>
      <x:c r="M3229" s="44" t="str"/>
      <x:c r="N3229" s="50" t="n">
        <x:v>43</x:v>
      </x:c>
      <x:c r="O3229" s="53" t="str">
        <x:v>Wes' former colleague, U.S.-based agent Tyler Booth, enlists the Fly Team's assistance in helping him capture an American on the FBI's "Most Wanted" list by luring him out of Russia with the help of the perp's conflicted ex-wife.</x:v>
      </x:c>
      <x:c r="P3229" s="53" t="str">
        <x:v>Core FBI franchise</x:v>
      </x:c>
      <x:c r="Q3229" s="17" t="str">
        <x:v>12506550</x:v>
      </x:c>
      <x:c r="R3229" s="17" t="str">
        <x:v>tt34699004</x:v>
      </x:c>
      <x:c r="S3229" s="17" t="str"/>
    </x:row>
    <x:row r="3230">
      <x:c r="A3230" s="43" t="n">
        <x:v>3226</x:v>
      </x:c>
      <x:c r="B3230" s="44" t="str">
        <x:v>Not Started</x:v>
      </x:c>
      <x:c r="C3230" s="45" t="n">
        <x:v>45637</x:v>
      </x:c>
      <x:c r="D3230" s="33" t="str">
        <x:v>FBI: Most Wanted</x:v>
      </x:c>
      <x:c r="E3230" s="33" t="str">
        <x:v>FBI</x:v>
      </x:c>
      <x:c r="F3230" s="33" t="str">
        <x:v>core</x:v>
      </x:c>
      <x:c r="G3230" s="50" t="n">
        <x:v>6</x:v>
      </x:c>
      <x:c r="H3230" s="50" t="n">
        <x:v>7</x:v>
      </x:c>
      <x:c r="I3230" s="44" t="str">
        <x:v>06.07</x:v>
      </x:c>
      <x:c r="J3230" s="33" t="str">
        <x:v>Highway to Hell</x:v>
      </x:c>
      <x:c r="K3230" s="33" t="str"/>
      <x:c r="L3230" s="33" t="str"/>
      <x:c r="M3230" s="44" t="str"/>
      <x:c r="N3230" s="50" t="n">
        <x:v>43</x:v>
      </x:c>
      <x:c r="O3230" s="53" t="str">
        <x:v>After a Queens district attorney and her husband are executed, the Fugitive Task Force uncovers a money laundering scheme connecting a violent biker gang to Wall Street. Meanwhile, Remy decides to take his relationship with Abby to a new level after he reconnects with an old friend.</x:v>
      </x:c>
      <x:c r="P3230" s="53" t="str">
        <x:v>Core FBI franchise</x:v>
      </x:c>
      <x:c r="Q3230" s="17" t="str">
        <x:v>12497236</x:v>
      </x:c>
      <x:c r="R3230" s="17" t="str">
        <x:v>tt34699010</x:v>
      </x:c>
      <x:c r="S3230" s="17" t="str"/>
    </x:row>
    <x:row r="3231">
      <x:c r="A3231" s="43" t="n">
        <x:v>3227</x:v>
      </x:c>
      <x:c r="B3231" s="44" t="str">
        <x:v>Not Started</x:v>
      </x:c>
      <x:c r="C3231" s="45" t="n">
        <x:v>45637</x:v>
      </x:c>
      <x:c r="D3231" s="33" t="str">
        <x:v>FBI</x:v>
      </x:c>
      <x:c r="E3231" s="33" t="str">
        <x:v>FBI</x:v>
      </x:c>
      <x:c r="F3231" s="33" t="str">
        <x:v>core</x:v>
      </x:c>
      <x:c r="G3231" s="50" t="n">
        <x:v>7</x:v>
      </x:c>
      <x:c r="H3231" s="50" t="n">
        <x:v>7</x:v>
      </x:c>
      <x:c r="I3231" s="44" t="str">
        <x:v>07.07</x:v>
      </x:c>
      <x:c r="J3231" s="33" t="str">
        <x:v>Monumental</x:v>
      </x:c>
      <x:c r="K3231" s="33" t="str"/>
      <x:c r="L3231" s="33" t="str"/>
      <x:c r="M3231" s="44" t="str"/>
      <x:c r="N3231" s="50" t="n">
        <x:v>41</x:v>
      </x:c>
      <x:c r="O3231" s="53" t="str">
        <x:v>After a park ranger is shot dead by a masked assailant on Governors Island, the team discovers a string of connected crimes that leads them to their toughest roadblock yet: an online conspiracy theory community.</x:v>
      </x:c>
      <x:c r="P3231" s="53" t="str">
        <x:v>Core FBI franchise</x:v>
      </x:c>
      <x:c r="Q3231" s="17" t="str">
        <x:v>12555578</x:v>
      </x:c>
      <x:c r="R3231" s="17" t="str">
        <x:v>tt34746195</x:v>
      </x:c>
      <x:c r="S3231" s="17" t="str"/>
    </x:row>
    <x:row r="3232">
      <x:c r="A3232" s="43" t="n">
        <x:v>3228</x:v>
      </x:c>
      <x:c r="B3232" s="44" t="str">
        <x:v>Not Started</x:v>
      </x:c>
      <x:c r="C3232" s="45" t="n">
        <x:v>45644</x:v>
      </x:c>
      <x:c r="D3232" s="33" t="str">
        <x:v>FBI: International</x:v>
      </x:c>
      <x:c r="E3232" s="33" t="str">
        <x:v>FBI</x:v>
      </x:c>
      <x:c r="F3232" s="33" t="str">
        <x:v>core</x:v>
      </x:c>
      <x:c r="G3232" s="50" t="n">
        <x:v>4</x:v>
      </x:c>
      <x:c r="H3232" s="50" t="n">
        <x:v>8</x:v>
      </x:c>
      <x:c r="I3232" s="44" t="str">
        <x:v>04.08</x:v>
      </x:c>
      <x:c r="J3232" s="33" t="str">
        <x:v>You'll Never See It Coming</x:v>
      </x:c>
      <x:c r="K3232" s="33" t="str"/>
      <x:c r="L3232" s="33" t="str"/>
      <x:c r="M3232" s="44" t="str"/>
      <x:c r="N3232" s="50" t="n">
        <x:v>40</x:v>
      </x:c>
      <x:c r="O3232" s="53" t="str">
        <x:v>When the star witness in the case against Greg Csonka, the man responsible for the death of Wes' former partner, is beaten to death in a Budapest prison before he can testify, the Fly Team attempts to salvage the case to secure Csonka's conviction.</x:v>
      </x:c>
      <x:c r="P3232" s="53" t="str">
        <x:v>Core FBI franchise</x:v>
      </x:c>
      <x:c r="Q3232" s="17" t="str">
        <x:v>12524643</x:v>
      </x:c>
      <x:c r="R3232" s="17" t="str">
        <x:v>tt34771206</x:v>
      </x:c>
      <x:c r="S3232" s="17" t="str"/>
    </x:row>
    <x:row r="3233">
      <x:c r="A3233" s="43" t="n">
        <x:v>3229</x:v>
      </x:c>
      <x:c r="B3233" s="44" t="str">
        <x:v>Not Started</x:v>
      </x:c>
      <x:c r="C3233" s="45" t="n">
        <x:v>45644</x:v>
      </x:c>
      <x:c r="D3233" s="33" t="str">
        <x:v>FBI: Most Wanted</x:v>
      </x:c>
      <x:c r="E3233" s="33" t="str">
        <x:v>FBI</x:v>
      </x:c>
      <x:c r="F3233" s="33" t="str">
        <x:v>core</x:v>
      </x:c>
      <x:c r="G3233" s="50" t="n">
        <x:v>6</x:v>
      </x:c>
      <x:c r="H3233" s="50" t="n">
        <x:v>8</x:v>
      </x:c>
      <x:c r="I3233" s="44" t="str">
        <x:v>06.08</x:v>
      </x:c>
      <x:c r="J3233" s="33" t="str">
        <x:v>The Electric Company</x:v>
      </x:c>
      <x:c r="K3233" s="33" t="str"/>
      <x:c r="L3233" s="33" t="str"/>
      <x:c r="M3233" s="44" t="str"/>
      <x:c r="N3233" s="50" t="n">
        <x:v>43</x:v>
      </x:c>
      <x:c r="O3233" s="53" t="str">
        <x:v>The Fugitive Task Force clashes with local law enforcement in Virginia while investigating a suspected serial killer in the area. Meanwhile, Remy pushes Abby to take the next step.</x:v>
      </x:c>
      <x:c r="P3233" s="53" t="str">
        <x:v>Core FBI franchise</x:v>
      </x:c>
      <x:c r="Q3233" s="17" t="str">
        <x:v>12555677</x:v>
      </x:c>
      <x:c r="R3233" s="17" t="str">
        <x:v>tt34871897</x:v>
      </x:c>
      <x:c r="S3233" s="17" t="str"/>
    </x:row>
    <x:row r="3234">
      <x:c r="A3234" s="43" t="n">
        <x:v>3230</x:v>
      </x:c>
      <x:c r="B3234" s="44" t="str">
        <x:v>Not Started</x:v>
      </x:c>
      <x:c r="C3234" s="45" t="n">
        <x:v>45644</x:v>
      </x:c>
      <x:c r="D3234" s="33" t="str">
        <x:v>FBI</x:v>
      </x:c>
      <x:c r="E3234" s="33" t="str">
        <x:v>FBI</x:v>
      </x:c>
      <x:c r="F3234" s="33" t="str">
        <x:v>core</x:v>
      </x:c>
      <x:c r="G3234" s="50" t="n">
        <x:v>7</x:v>
      </x:c>
      <x:c r="H3234" s="50" t="n">
        <x:v>8</x:v>
      </x:c>
      <x:c r="I3234" s="44" t="str">
        <x:v>07.08</x:v>
      </x:c>
      <x:c r="J3234" s="33" t="str">
        <x:v>Riptide</x:v>
      </x:c>
      <x:c r="K3234" s="33" t="str"/>
      <x:c r="L3234" s="33" t="str"/>
      <x:c r="M3234" s="44" t="str"/>
      <x:c r="N3234" s="50" t="n">
        <x:v>42</x:v>
      </x:c>
      <x:c r="O3234" s="53" t="str">
        <x:v>After three customs officers are shot dead in a cargo heist, the team entrusts OA's old army buddy Clay to help determine if it was an inside job.</x:v>
      </x:c>
      <x:c r="P3234" s="53" t="str">
        <x:v>Core FBI franchise</x:v>
      </x:c>
      <x:c r="Q3234" s="17" t="str">
        <x:v>12558807</x:v>
      </x:c>
      <x:c r="R3234" s="17" t="str">
        <x:v>tt34809890</x:v>
      </x:c>
      <x:c r="S3234" s="17" t="str"/>
    </x:row>
    <x:row r="3235">
      <x:c r="A3235" s="43" t="n">
        <x:v>3231</x:v>
      </x:c>
      <x:c r="B3235" s="44" t="str">
        <x:v>Not Started</x:v>
      </x:c>
      <x:c r="C3235" s="45" t="n">
        <x:v>45666</x:v>
      </x:c>
      <x:c r="D3235" s="33" t="str">
        <x:v>On Call</x:v>
      </x:c>
      <x:c r="E3235" s="33" t="str">
        <x:v>Crossover Adjacent</x:v>
      </x:c>
      <x:c r="F3235" s="33" t="str">
        <x:v>connected</x:v>
      </x:c>
      <x:c r="G3235" s="50" t="n">
        <x:v>1</x:v>
      </x:c>
      <x:c r="H3235" s="50" t="n">
        <x:v>1</x:v>
      </x:c>
      <x:c r="I3235" s="44" t="str">
        <x:v>01.01</x:v>
      </x:c>
      <x:c r="J3235" s="33" t="str">
        <x:v>Pilot</x:v>
      </x:c>
      <x:c r="K3235" s="33" t="str"/>
      <x:c r="L3235" s="33" t="str"/>
      <x:c r="M3235" s="44" t="str"/>
      <x:c r="N3235" s="50" t="n">
        <x:v>32</x:v>
      </x:c>
      <x:c r="O3235" s="53" t="str">
        <x:v>In the wake of tragedy, LBPD training officer Traci Harmon takes on new trainee, Alex Diaz who on day one is already learning the job is harder than he imagined.</x:v>
      </x:c>
      <x:c r="P3235" s="53" t="str">
        <x:v>Wolf Entertainment scripted police series; created by Elliot Wolf/Tim Walsh, executive produced by Dick Wolf</x:v>
      </x:c>
      <x:c r="Q3235" s="17" t="str">
        <x:v>11212657</x:v>
      </x:c>
      <x:c r="R3235" s="17" t="str">
        <x:v>tt27840520</x:v>
      </x:c>
      <x:c r="S3235" s="17" t="str"/>
    </x:row>
    <x:row r="3236">
      <x:c r="A3236" s="43" t="n">
        <x:v>3232</x:v>
      </x:c>
      <x:c r="B3236" s="44" t="str">
        <x:v>Not Started</x:v>
      </x:c>
      <x:c r="C3236" s="45" t="n">
        <x:v>45666</x:v>
      </x:c>
      <x:c r="D3236" s="33" t="str">
        <x:v>On Call</x:v>
      </x:c>
      <x:c r="E3236" s="33" t="str">
        <x:v>Crossover Adjacent</x:v>
      </x:c>
      <x:c r="F3236" s="33" t="str">
        <x:v>connected</x:v>
      </x:c>
      <x:c r="G3236" s="50" t="n">
        <x:v>1</x:v>
      </x:c>
      <x:c r="H3236" s="50" t="n">
        <x:v>2</x:v>
      </x:c>
      <x:c r="I3236" s="44" t="str">
        <x:v>01.02</x:v>
      </x:c>
      <x:c r="J3236" s="33" t="str">
        <x:v>Laws of the Universe</x:v>
      </x:c>
      <x:c r="K3236" s="33" t="str"/>
      <x:c r="L3236" s="33" t="str"/>
      <x:c r="M3236" s="44" t="str"/>
      <x:c r="N3236" s="50" t="n">
        <x:v>29</x:v>
      </x:c>
      <x:c r="O3236" s="53" t="str">
        <x:v>A chaotic street takeover finds our officers grossly outnumbered, revealing philosophical rifts inside West Division.</x:v>
      </x:c>
      <x:c r="P3236" s="53" t="str">
        <x:v>Wolf Entertainment scripted police series; created by Elliot Wolf/Tim Walsh, executive produced by Dick Wolf</x:v>
      </x:c>
      <x:c r="Q3236" s="17" t="str">
        <x:v>12433067</x:v>
      </x:c>
      <x:c r="R3236" s="17" t="str">
        <x:v>tt27840523</x:v>
      </x:c>
      <x:c r="S3236" s="17" t="str"/>
    </x:row>
    <x:row r="3237">
      <x:c r="A3237" s="43" t="n">
        <x:v>3233</x:v>
      </x:c>
      <x:c r="B3237" s="44" t="str">
        <x:v>Not Started</x:v>
      </x:c>
      <x:c r="C3237" s="45" t="n">
        <x:v>45666</x:v>
      </x:c>
      <x:c r="D3237" s="33" t="str">
        <x:v>On Call</x:v>
      </x:c>
      <x:c r="E3237" s="33" t="str">
        <x:v>Crossover Adjacent</x:v>
      </x:c>
      <x:c r="F3237" s="33" t="str">
        <x:v>connected</x:v>
      </x:c>
      <x:c r="G3237" s="50" t="n">
        <x:v>1</x:v>
      </x:c>
      <x:c r="H3237" s="50" t="n">
        <x:v>3</x:v>
      </x:c>
      <x:c r="I3237" s="44" t="str">
        <x:v>01.03</x:v>
      </x:c>
      <x:c r="J3237" s="33" t="str">
        <x:v>South of Heaven</x:v>
      </x:c>
      <x:c r="K3237" s="33" t="str"/>
      <x:c r="L3237" s="33" t="str"/>
      <x:c r="M3237" s="44" t="str"/>
      <x:c r="N3237" s="50" t="n">
        <x:v>27</x:v>
      </x:c>
      <x:c r="O3237" s="53" t="str">
        <x:v>Diaz learns that Harmon has enemies within West Division, and begins to fear she cannot be trusted.</x:v>
      </x:c>
      <x:c r="P3237" s="53" t="str">
        <x:v>Wolf Entertainment scripted police series; created by Elliot Wolf/Tim Walsh, executive produced by Dick Wolf</x:v>
      </x:c>
      <x:c r="Q3237" s="17" t="str">
        <x:v>12433068</x:v>
      </x:c>
      <x:c r="R3237" s="17" t="str">
        <x:v>tt27787850</x:v>
      </x:c>
      <x:c r="S3237" s="17" t="str"/>
    </x:row>
    <x:row r="3238">
      <x:c r="A3238" s="43" t="n">
        <x:v>3234</x:v>
      </x:c>
      <x:c r="B3238" s="44" t="str">
        <x:v>Not Started</x:v>
      </x:c>
      <x:c r="C3238" s="45" t="n">
        <x:v>45666</x:v>
      </x:c>
      <x:c r="D3238" s="33" t="str">
        <x:v>On Call</x:v>
      </x:c>
      <x:c r="E3238" s="33" t="str">
        <x:v>Crossover Adjacent</x:v>
      </x:c>
      <x:c r="F3238" s="33" t="str">
        <x:v>connected</x:v>
      </x:c>
      <x:c r="G3238" s="50" t="n">
        <x:v>1</x:v>
      </x:c>
      <x:c r="H3238" s="50" t="n">
        <x:v>4</x:v>
      </x:c>
      <x:c r="I3238" s="44" t="str">
        <x:v>01.04</x:v>
      </x:c>
      <x:c r="J3238" s="33" t="str">
        <x:v>Unsung</x:v>
      </x:c>
      <x:c r="K3238" s="33" t="str"/>
      <x:c r="L3238" s="33" t="str"/>
      <x:c r="M3238" s="44" t="str"/>
      <x:c r="N3238" s="50" t="n">
        <x:v>29</x:v>
      </x:c>
      <x:c r="O3238" s="53" t="str">
        <x:v>Desperate for a lead, Harmon goes off book resulting in a major breakthrough and a deadly showdown.</x:v>
      </x:c>
      <x:c r="P3238" s="53" t="str">
        <x:v>Wolf Entertainment scripted police series; created by Elliot Wolf/Tim Walsh, executive produced by Dick Wolf</x:v>
      </x:c>
      <x:c r="Q3238" s="17" t="str">
        <x:v>12433069</x:v>
      </x:c>
      <x:c r="R3238" s="17" t="str">
        <x:v>tt30441106</x:v>
      </x:c>
      <x:c r="S3238" s="17" t="str"/>
    </x:row>
    <x:row r="3239">
      <x:c r="A3239" s="43" t="n">
        <x:v>3235</x:v>
      </x:c>
      <x:c r="B3239" s="44" t="str">
        <x:v>Not Started</x:v>
      </x:c>
      <x:c r="C3239" s="45" t="n">
        <x:v>45666</x:v>
      </x:c>
      <x:c r="D3239" s="33" t="str">
        <x:v>On Call</x:v>
      </x:c>
      <x:c r="E3239" s="33" t="str">
        <x:v>Crossover Adjacent</x:v>
      </x:c>
      <x:c r="F3239" s="33" t="str">
        <x:v>connected</x:v>
      </x:c>
      <x:c r="G3239" s="50" t="n">
        <x:v>1</x:v>
      </x:c>
      <x:c r="H3239" s="50" t="n">
        <x:v>5</x:v>
      </x:c>
      <x:c r="I3239" s="44" t="str">
        <x:v>01.05</x:v>
      </x:c>
      <x:c r="J3239" s="33" t="str">
        <x:v>Not Your Savior</x:v>
      </x:c>
      <x:c r="K3239" s="33" t="str"/>
      <x:c r="L3239" s="33" t="str"/>
      <x:c r="M3239" s="44" t="str"/>
      <x:c r="N3239" s="50" t="n">
        <x:v>30</x:v>
      </x:c>
      <x:c r="O3239" s="53" t="str">
        <x:v>Back on patrol, the rift between Harmon and Diaz comes to a head.</x:v>
      </x:c>
      <x:c r="P3239" s="53" t="str">
        <x:v>Wolf Entertainment scripted police series; created by Elliot Wolf/Tim Walsh, executive produced by Dick Wolf</x:v>
      </x:c>
      <x:c r="Q3239" s="17" t="str">
        <x:v>12433070</x:v>
      </x:c>
      <x:c r="R3239" s="17" t="str">
        <x:v>tt30893773</x:v>
      </x:c>
      <x:c r="S3239" s="17" t="str"/>
    </x:row>
    <x:row r="3240">
      <x:c r="A3240" s="43" t="n">
        <x:v>3236</x:v>
      </x:c>
      <x:c r="B3240" s="44" t="str">
        <x:v>Not Started</x:v>
      </x:c>
      <x:c r="C3240" s="45" t="n">
        <x:v>45666</x:v>
      </x:c>
      <x:c r="D3240" s="33" t="str">
        <x:v>On Call</x:v>
      </x:c>
      <x:c r="E3240" s="33" t="str">
        <x:v>Crossover Adjacent</x:v>
      </x:c>
      <x:c r="F3240" s="33" t="str">
        <x:v>connected</x:v>
      </x:c>
      <x:c r="G3240" s="50" t="n">
        <x:v>1</x:v>
      </x:c>
      <x:c r="H3240" s="50" t="n">
        <x:v>6</x:v>
      </x:c>
      <x:c r="I3240" s="44" t="str">
        <x:v>01.06</x:v>
      </x:c>
      <x:c r="J3240" s="33" t="str">
        <x:v>L.A. Woman</x:v>
      </x:c>
      <x:c r="K3240" s="33" t="str"/>
      <x:c r="L3240" s="33" t="str"/>
      <x:c r="M3240" s="44" t="str"/>
      <x:c r="N3240" s="50" t="n">
        <x:v>29</x:v>
      </x:c>
      <x:c r="O3240" s="53" t="str">
        <x:v>When Diaz's family is threatened, Harmon realizes she must break her own rules to fix it.</x:v>
      </x:c>
      <x:c r="P3240" s="53" t="str">
        <x:v>Wolf Entertainment scripted police series; created by Elliot Wolf/Tim Walsh, executive produced by Dick Wolf</x:v>
      </x:c>
      <x:c r="Q3240" s="17" t="str">
        <x:v>12433071</x:v>
      </x:c>
      <x:c r="R3240" s="17" t="str">
        <x:v>tt30893791</x:v>
      </x:c>
      <x:c r="S3240" s="17" t="str"/>
    </x:row>
    <x:row r="3241">
      <x:c r="A3241" s="43" t="n">
        <x:v>3237</x:v>
      </x:c>
      <x:c r="B3241" s="44" t="str">
        <x:v>Not Started</x:v>
      </x:c>
      <x:c r="C3241" s="45" t="n">
        <x:v>45666</x:v>
      </x:c>
      <x:c r="D3241" s="33" t="str">
        <x:v>On Call</x:v>
      </x:c>
      <x:c r="E3241" s="33" t="str">
        <x:v>Crossover Adjacent</x:v>
      </x:c>
      <x:c r="F3241" s="33" t="str">
        <x:v>connected</x:v>
      </x:c>
      <x:c r="G3241" s="50" t="n">
        <x:v>1</x:v>
      </x:c>
      <x:c r="H3241" s="50" t="n">
        <x:v>7</x:v>
      </x:c>
      <x:c r="I3241" s="44" t="str">
        <x:v>01.07</x:v>
      </x:c>
      <x:c r="J3241" s="33" t="str">
        <x:v>War Machine</x:v>
      </x:c>
      <x:c r="K3241" s="33" t="str"/>
      <x:c r="L3241" s="33" t="str"/>
      <x:c r="M3241" s="44" t="str"/>
      <x:c r="N3241" s="50" t="n">
        <x:v>29</x:v>
      </x:c>
      <x:c r="O3241" s="53" t="str">
        <x:v>A shot caller's revenge mission results in West Division going head to head with an entire gang.</x:v>
      </x:c>
      <x:c r="P3241" s="53" t="str">
        <x:v>Wolf Entertainment scripted police series; created by Elliot Wolf/Tim Walsh, executive produced by Dick Wolf</x:v>
      </x:c>
      <x:c r="Q3241" s="17" t="str">
        <x:v>12433072</x:v>
      </x:c>
      <x:c r="R3241" s="17" t="str">
        <x:v>tt31091107</x:v>
      </x:c>
      <x:c r="S3241" s="17" t="str"/>
    </x:row>
    <x:row r="3242">
      <x:c r="A3242" s="43" t="n">
        <x:v>3238</x:v>
      </x:c>
      <x:c r="B3242" s="44" t="str">
        <x:v>Not Started</x:v>
      </x:c>
      <x:c r="C3242" s="45" t="n">
        <x:v>45666</x:v>
      </x:c>
      <x:c r="D3242" s="33" t="str">
        <x:v>On Call</x:v>
      </x:c>
      <x:c r="E3242" s="33" t="str">
        <x:v>Crossover Adjacent</x:v>
      </x:c>
      <x:c r="F3242" s="33" t="str">
        <x:v>connected</x:v>
      </x:c>
      <x:c r="G3242" s="50" t="n">
        <x:v>1</x:v>
      </x:c>
      <x:c r="H3242" s="50" t="n">
        <x:v>8</x:v>
      </x:c>
      <x:c r="I3242" s="44" t="str">
        <x:v>01.08</x:v>
      </x:c>
      <x:c r="J3242" s="33" t="str">
        <x:v>How the West Was Won</x:v>
      </x:c>
      <x:c r="K3242" s="33" t="str"/>
      <x:c r="L3242" s="33" t="str"/>
      <x:c r="M3242" s="44" t="str"/>
      <x:c r="N3242" s="50" t="n">
        <x:v>32</x:v>
      </x:c>
      <x:c r="O3242" s="53" t="str">
        <x:v>Harmon and Diaz join forces with an elite squad to intercept a major drug shipment.</x:v>
      </x:c>
      <x:c r="P3242" s="53" t="str">
        <x:v>Wolf Entertainment scripted police series; created by Elliot Wolf/Tim Walsh, executive produced by Dick Wolf</x:v>
      </x:c>
      <x:c r="Q3242" s="17" t="str">
        <x:v>12433073</x:v>
      </x:c>
      <x:c r="R3242" s="17" t="str">
        <x:v>tt31091166</x:v>
      </x:c>
      <x:c r="S3242" s="17" t="str"/>
    </x:row>
    <x:row r="3243">
      <x:c r="A3243" s="43" t="n">
        <x:v>3239</x:v>
      </x:c>
      <x:c r="B3243" s="44" t="str">
        <x:v>Not Started</x:v>
      </x:c>
      <x:c r="C3243" s="45" t="n">
        <x:v>45666</x:v>
      </x:c>
      <x:c r="D3243" s="33" t="str">
        <x:v>Chicago Med</x:v>
      </x:c>
      <x:c r="E3243" s="33" t="str">
        <x:v>One Chicago</x:v>
      </x:c>
      <x:c r="F3243" s="33" t="str">
        <x:v>core</x:v>
      </x:c>
      <x:c r="G3243" s="50" t="n">
        <x:v>10</x:v>
      </x:c>
      <x:c r="H3243" s="50" t="n">
        <x:v>9</x:v>
      </x:c>
      <x:c r="I3243" s="44" t="str">
        <x:v>10.09</x:v>
      </x:c>
      <x:c r="J3243" s="33" t="str">
        <x:v>No Love Lost</x:v>
      </x:c>
      <x:c r="K3243" s="33" t="str"/>
      <x:c r="L3243" s="33" t="str"/>
      <x:c r="M3243" s="44" t="str"/>
      <x:c r="N3243" s="50" t="n">
        <x:v>42</x:v>
      </x:c>
      <x:c r="O3243" s="53" t="str">
        <x:v>The team fights to save the life of one of their own. Frost and Abrams butt heads with their patient. Asher helps a religious young woman with an ectopic pregnancy.</x:v>
      </x:c>
      <x:c r="P3243" s="53" t="str">
        <x:v>Core One Chicago franchise</x:v>
      </x:c>
      <x:c r="Q3243" s="17" t="str">
        <x:v>12399762</x:v>
      </x:c>
      <x:c r="R3243" s="17" t="str">
        <x:v>tt34429891</x:v>
      </x:c>
      <x:c r="S3243" s="17" t="str"/>
    </x:row>
    <x:row r="3244">
      <x:c r="A3244" s="43" t="n">
        <x:v>3240</x:v>
      </x:c>
      <x:c r="B3244" s="44" t="str">
        <x:v>Not Started</x:v>
      </x:c>
      <x:c r="C3244" s="45" t="n">
        <x:v>45666</x:v>
      </x:c>
      <x:c r="D3244" s="33" t="str">
        <x:v>Chicago P.D.</x:v>
      </x:c>
      <x:c r="E3244" s="33" t="str">
        <x:v>One Chicago</x:v>
      </x:c>
      <x:c r="F3244" s="33" t="str">
        <x:v>core</x:v>
      </x:c>
      <x:c r="G3244" s="50" t="n">
        <x:v>12</x:v>
      </x:c>
      <x:c r="H3244" s="50" t="n">
        <x:v>9</x:v>
      </x:c>
      <x:c r="I3244" s="44" t="str">
        <x:v>12.09</x:v>
      </x:c>
      <x:c r="J3244" s="33" t="str">
        <x:v>Friends and Family</x:v>
      </x:c>
      <x:c r="K3244" s="33" t="str"/>
      <x:c r="L3244" s="33" t="str"/>
      <x:c r="M3244" s="44" t="str"/>
      <x:c r="N3244" s="50" t="n">
        <x:v>42</x:v>
      </x:c>
      <x:c r="O3244" s="53" t="str">
        <x:v>Cook turns to her family when Intelligence faces administrative roadblocks that threaten a kidnapping investigation.</x:v>
      </x:c>
      <x:c r="P3244" s="53" t="str">
        <x:v>Core One Chicago franchise; crossovers with SVU/FBI</x:v>
      </x:c>
      <x:c r="Q3244" s="17" t="str">
        <x:v>12399767</x:v>
      </x:c>
      <x:c r="R3244" s="17" t="str">
        <x:v>tt34716770</x:v>
      </x:c>
      <x:c r="S3244" s="17" t="str"/>
    </x:row>
    <x:row r="3245">
      <x:c r="A3245" s="43" t="n">
        <x:v>3241</x:v>
      </x:c>
      <x:c r="B3245" s="44" t="str">
        <x:v>Not Started</x:v>
      </x:c>
      <x:c r="C3245" s="45" t="n">
        <x:v>45666</x:v>
      </x:c>
      <x:c r="D3245" s="33" t="str">
        <x:v>Chicago Fire</x:v>
      </x:c>
      <x:c r="E3245" s="33" t="str">
        <x:v>One Chicago</x:v>
      </x:c>
      <x:c r="F3245" s="33" t="str">
        <x:v>core</x:v>
      </x:c>
      <x:c r="G3245" s="50" t="n">
        <x:v>13</x:v>
      </x:c>
      <x:c r="H3245" s="50" t="n">
        <x:v>9</x:v>
      </x:c>
      <x:c r="I3245" s="44" t="str">
        <x:v>13.09</x:v>
      </x:c>
      <x:c r="J3245" s="33" t="str">
        <x:v>A Favor</x:v>
      </x:c>
      <x:c r="K3245" s="33" t="str"/>
      <x:c r="L3245" s="33" t="str"/>
      <x:c r="M3245" s="44" t="str"/>
      <x:c r="N3245" s="50" t="n">
        <x:v>42</x:v>
      </x:c>
      <x:c r="O3245" s="53" t="str">
        <x:v>Cruz's past comes back to haunt him. Severide prepares to teach an arson class at the academy. Mouch searches for a victim's next of kin.</x:v>
      </x:c>
      <x:c r="P3245" s="53" t="str">
        <x:v>Core One Chicago franchise</x:v>
      </x:c>
      <x:c r="Q3245" s="17" t="str">
        <x:v>12509995</x:v>
      </x:c>
      <x:c r="R3245" s="17" t="str">
        <x:v>tt34668667</x:v>
      </x:c>
      <x:c r="S3245" s="17" t="str"/>
    </x:row>
    <x:row r="3246">
      <x:c r="A3246" s="43" t="n">
        <x:v>3242</x:v>
      </x:c>
      <x:c r="B3246" s="44" t="str">
        <x:v>Not Started</x:v>
      </x:c>
      <x:c r="C3246" s="45" t="n">
        <x:v>45673</x:v>
      </x:c>
      <x:c r="D3246" s="33" t="str">
        <x:v>Law &amp; Order</x:v>
      </x:c>
      <x:c r="E3246" s="33" t="str">
        <x:v>Law &amp; Order</x:v>
      </x:c>
      <x:c r="F3246" s="33" t="str">
        <x:v>core</x:v>
      </x:c>
      <x:c r="G3246" s="50" t="n">
        <x:v>24</x:v>
      </x:c>
      <x:c r="H3246" s="50" t="n">
        <x:v>9</x:v>
      </x:c>
      <x:c r="I3246" s="44" t="str">
        <x:v>24.09</x:v>
      </x:c>
      <x:c r="J3246" s="33" t="str">
        <x:v>Enemy of the State</x:v>
      </x:c>
      <x:c r="K3246" s="33" t="str"/>
      <x:c r="L3246" s="33" t="str"/>
      <x:c r="M3246" s="44" t="str"/>
      <x:c r="N3246" s="50" t="n">
        <x:v>43</x:v>
      </x:c>
      <x:c r="O3246" s="53" t="str">
        <x:v>Shaw and Riley discover a shocking motive after a young man is pushed in front of a train. When the trial hinges on a piece of legislation Baxter wrote, Price must convince Baxter to testify.</x:v>
      </x:c>
      <x:c r="P3246" s="53" t="str">
        <x:v>Core Law &amp; Order franchise</x:v>
      </x:c>
      <x:c r="Q3246" s="17" t="str">
        <x:v>12509109</x:v>
      </x:c>
      <x:c r="R3246" s="17" t="str">
        <x:v>tt34727323</x:v>
      </x:c>
      <x:c r="S3246" s="17" t="str">
        <x:v>1688</x:v>
      </x:c>
    </x:row>
    <x:row r="3247">
      <x:c r="A3247" s="43" t="n">
        <x:v>3243</x:v>
      </x:c>
      <x:c r="B3247" s="44" t="str">
        <x:v>Not Started</x:v>
      </x:c>
      <x:c r="C3247" s="45" t="n">
        <x:v>45673</x:v>
      </x:c>
      <x:c r="D3247" s="33" t="str">
        <x:v>Law &amp; Order: Special Victims Unit</x:v>
      </x:c>
      <x:c r="E3247" s="33" t="str">
        <x:v>Law &amp; Order</x:v>
      </x:c>
      <x:c r="F3247" s="33" t="str">
        <x:v>core</x:v>
      </x:c>
      <x:c r="G3247" s="50" t="n">
        <x:v>26</x:v>
      </x:c>
      <x:c r="H3247" s="50" t="n">
        <x:v>9</x:v>
      </x:c>
      <x:c r="I3247" s="44" t="str">
        <x:v>26.09</x:v>
      </x:c>
      <x:c r="J3247" s="33" t="str">
        <x:v>First Light</x:v>
      </x:c>
      <x:c r="K3247" s="33" t="str"/>
      <x:c r="L3247" s="33" t="str"/>
      <x:c r="M3247" s="44" t="str"/>
      <x:c r="N3247" s="50" t="n">
        <x:v>42</x:v>
      </x:c>
      <x:c r="O3247" s="53" t="str">
        <x:v>An abhorrent web of lies and betrayal is uncovered when a woman is confronted with video of a night she can't remember. Carisi struggles to move on from his ordeal when the suspect changes his plea.</x:v>
      </x:c>
      <x:c r="P3247" s="53" t="str">
        <x:v>Core Law &amp; Order franchise</x:v>
      </x:c>
      <x:c r="Q3247" s="17" t="str">
        <x:v>12509108</x:v>
      </x:c>
      <x:c r="R3247" s="17" t="str">
        <x:v>tt34727834</x:v>
      </x:c>
      <x:c r="S3247" s="17" t="str">
        <x:v>1689</x:v>
      </x:c>
    </x:row>
    <x:row r="3248">
      <x:c r="A3248" s="43" t="n">
        <x:v>3244</x:v>
      </x:c>
      <x:c r="B3248" s="44" t="str">
        <x:v>Not Started</x:v>
      </x:c>
      <x:c r="C3248" s="45" t="n">
        <x:v>45676</x:v>
      </x:c>
      <x:c r="D3248" s="33" t="str">
        <x:v>Cold Justice</x:v>
      </x:c>
      <x:c r="E3248" s="33" t="str">
        <x:v>Crossover Adjacent</x:v>
      </x:c>
      <x:c r="F3248" s="33" t="str">
        <x:v>complete</x:v>
      </x:c>
      <x:c r="G3248" s="50" t="n">
        <x:v>7</x:v>
      </x:c>
      <x:c r="H3248" s="50" t="n">
        <x:v>13</x:v>
      </x:c>
      <x:c r="I3248" s="44" t="str">
        <x:v>07.13</x:v>
      </x:c>
      <x:c r="J3248" s="33" t="str">
        <x:v>Inside the Episode 703 'Killer at the Door'</x:v>
      </x:c>
      <x:c r="K3248" s="33" t="str"/>
      <x:c r="L3248" s="33" t="str"/>
      <x:c r="M3248" s="44" t="str"/>
      <x:c r="N3248" s="50" t="n">
        <x:v>42</x:v>
      </x:c>
      <x:c r="O3248" s="53" t="str">
        <x:v>Two top-notch female investigators dig into murder cases that have gone for years without answers.</x:v>
      </x:c>
      <x:c r="P3248" s="53" t="str">
        <x:v>Wolf Entertainment unscripted true-crime series</x:v>
      </x:c>
      <x:c r="Q3248" s="17" t="str">
        <x:v>12729756</x:v>
      </x:c>
      <x:c r="R3248" s="17" t="str"/>
      <x:c r="S3248" s="17" t="str"/>
    </x:row>
    <x:row r="3249">
      <x:c r="A3249" s="43" t="n">
        <x:v>3245</x:v>
      </x:c>
      <x:c r="B3249" s="44" t="str">
        <x:v>Not Started</x:v>
      </x:c>
      <x:c r="C3249" s="45" t="n">
        <x:v>45680</x:v>
      </x:c>
      <x:c r="D3249" s="33" t="str">
        <x:v>Chicago Med</x:v>
      </x:c>
      <x:c r="E3249" s="33" t="str">
        <x:v>One Chicago</x:v>
      </x:c>
      <x:c r="F3249" s="33" t="str">
        <x:v>core</x:v>
      </x:c>
      <x:c r="G3249" s="50" t="n">
        <x:v>10</x:v>
      </x:c>
      <x:c r="H3249" s="50" t="n">
        <x:v>10</x:v>
      </x:c>
      <x:c r="I3249" s="44" t="str">
        <x:v>10.10</x:v>
      </x:c>
      <x:c r="J3249" s="33" t="str">
        <x:v>Broken Hearts</x:v>
      </x:c>
      <x:c r="K3249" s="33" t="str"/>
      <x:c r="L3249" s="33" t="str"/>
      <x:c r="M3249" s="44" t="str"/>
      <x:c r="N3249" s="50" t="n">
        <x:v>43</x:v>
      </x:c>
      <x:c r="O3249" s="53" t="str">
        <x:v>An army of surgeons prepares to separate conjoined twins. Asher reconnects with someone from her past. Archer treats a tyrannical boss with a heart problem.</x:v>
      </x:c>
      <x:c r="P3249" s="53" t="str">
        <x:v>Core One Chicago franchise</x:v>
      </x:c>
      <x:c r="Q3249" s="17" t="str">
        <x:v>12668421</x:v>
      </x:c>
      <x:c r="R3249" s="17" t="str">
        <x:v>tt34935251</x:v>
      </x:c>
      <x:c r="S3249" s="17" t="str"/>
    </x:row>
    <x:row r="3250">
      <x:c r="A3250" s="43" t="n">
        <x:v>3246</x:v>
      </x:c>
      <x:c r="B3250" s="44" t="str">
        <x:v>Not Started</x:v>
      </x:c>
      <x:c r="C3250" s="45" t="n">
        <x:v>45680</x:v>
      </x:c>
      <x:c r="D3250" s="33" t="str">
        <x:v>Chicago P.D.</x:v>
      </x:c>
      <x:c r="E3250" s="33" t="str">
        <x:v>One Chicago</x:v>
      </x:c>
      <x:c r="F3250" s="33" t="str">
        <x:v>core</x:v>
      </x:c>
      <x:c r="G3250" s="50" t="n">
        <x:v>12</x:v>
      </x:c>
      <x:c r="H3250" s="50" t="n">
        <x:v>10</x:v>
      </x:c>
      <x:c r="I3250" s="44" t="str">
        <x:v>12.10</x:v>
      </x:c>
      <x:c r="J3250" s="33" t="str">
        <x:v>Zoe</x:v>
      </x:c>
      <x:c r="K3250" s="33" t="str"/>
      <x:c r="L3250" s="33" t="str"/>
      <x:c r="M3250" s="44" t="str"/>
      <x:c r="N3250" s="50" t="n">
        <x:v>43</x:v>
      </x:c>
      <x:c r="O3250" s="53" t="str">
        <x:v>An unexpected visitor causes disruption for Ruzek and Burgess amidst an emotional investigation involving an unidentified young girl.</x:v>
      </x:c>
      <x:c r="P3250" s="53" t="str">
        <x:v>Core One Chicago franchise; crossovers with SVU/FBI</x:v>
      </x:c>
      <x:c r="Q3250" s="17" t="str">
        <x:v>12666366</x:v>
      </x:c>
      <x:c r="R3250" s="17" t="str">
        <x:v>tt35018898</x:v>
      </x:c>
      <x:c r="S3250" s="17" t="str"/>
    </x:row>
    <x:row r="3251">
      <x:c r="A3251" s="43" t="n">
        <x:v>3247</x:v>
      </x:c>
      <x:c r="B3251" s="44" t="str">
        <x:v>Not Started</x:v>
      </x:c>
      <x:c r="C3251" s="45" t="n">
        <x:v>45680</x:v>
      </x:c>
      <x:c r="D3251" s="33" t="str">
        <x:v>Chicago Fire</x:v>
      </x:c>
      <x:c r="E3251" s="33" t="str">
        <x:v>One Chicago</x:v>
      </x:c>
      <x:c r="F3251" s="33" t="str">
        <x:v>core</x:v>
      </x:c>
      <x:c r="G3251" s="50" t="n">
        <x:v>13</x:v>
      </x:c>
      <x:c r="H3251" s="50" t="n">
        <x:v>10</x:v>
      </x:c>
      <x:c r="I3251" s="44" t="str">
        <x:v>13.10</x:v>
      </x:c>
      <x:c r="J3251" s="33" t="str">
        <x:v>Chaos Theory</x:v>
      </x:c>
      <x:c r="K3251" s="33" t="str"/>
      <x:c r="L3251" s="33" t="str"/>
      <x:c r="M3251" s="44" t="str"/>
      <x:c r="N3251" s="50" t="n">
        <x:v>43</x:v>
      </x:c>
      <x:c r="O3251" s="53" t="str">
        <x:v>The team responds to a crisis at a community center. Severide is forced to investigate one of his own squad members. Kidd helps a teacher going through a post-incident spin-out.</x:v>
      </x:c>
      <x:c r="P3251" s="53" t="str">
        <x:v>Core One Chicago franchise</x:v>
      </x:c>
      <x:c r="Q3251" s="17" t="str">
        <x:v>12666387</x:v>
      </x:c>
      <x:c r="R3251" s="17" t="str">
        <x:v>tt34668835</x:v>
      </x:c>
      <x:c r="S3251" s="17" t="str"/>
    </x:row>
    <x:row r="3252">
      <x:c r="A3252" s="43" t="n">
        <x:v>3248</x:v>
      </x:c>
      <x:c r="B3252" s="44" t="str">
        <x:v>Not Started</x:v>
      </x:c>
      <x:c r="C3252" s="45" t="n">
        <x:v>45680</x:v>
      </x:c>
      <x:c r="D3252" s="33" t="str">
        <x:v>Law &amp; Order</x:v>
      </x:c>
      <x:c r="E3252" s="33" t="str">
        <x:v>Law &amp; Order</x:v>
      </x:c>
      <x:c r="F3252" s="33" t="str">
        <x:v>core</x:v>
      </x:c>
      <x:c r="G3252" s="50" t="n">
        <x:v>24</x:v>
      </x:c>
      <x:c r="H3252" s="50" t="n">
        <x:v>10</x:v>
      </x:c>
      <x:c r="I3252" s="44" t="str">
        <x:v>24.10</x:v>
      </x:c>
      <x:c r="J3252" s="33" t="str">
        <x:v>Greater Good</x:v>
      </x:c>
      <x:c r="K3252" s="33" t="str"/>
      <x:c r="L3252" s="33" t="str"/>
      <x:c r="M3252" s="44" t="str"/>
      <x:c r="N3252" s="50" t="n">
        <x:v>43</x:v>
      </x:c>
      <x:c r="O3252" s="53" t="str">
        <x:v>When a music mogul is found dead, Shaw and Riley clash with an undercover officer unwilling to cooperate. Price and Baxter disagree on whether the victim's reputation could help or hinder the jury's decision in the case.</x:v>
      </x:c>
      <x:c r="P3252" s="53" t="str">
        <x:v>Core Law &amp; Order franchise</x:v>
      </x:c>
      <x:c r="Q3252" s="17" t="str">
        <x:v>12684727</x:v>
      </x:c>
      <x:c r="R3252" s="17" t="str">
        <x:v>tt35331122</x:v>
      </x:c>
      <x:c r="S3252" s="17" t="str">
        <x:v>1690</x:v>
      </x:c>
    </x:row>
    <x:row r="3253">
      <x:c r="A3253" s="43" t="n">
        <x:v>3249</x:v>
      </x:c>
      <x:c r="B3253" s="44" t="str">
        <x:v>Not Started</x:v>
      </x:c>
      <x:c r="C3253" s="45" t="n">
        <x:v>45680</x:v>
      </x:c>
      <x:c r="D3253" s="33" t="str">
        <x:v>Law &amp; Order: Special Victims Unit</x:v>
      </x:c>
      <x:c r="E3253" s="33" t="str">
        <x:v>Law &amp; Order</x:v>
      </x:c>
      <x:c r="F3253" s="33" t="str">
        <x:v>core</x:v>
      </x:c>
      <x:c r="G3253" s="50" t="n">
        <x:v>26</x:v>
      </x:c>
      <x:c r="H3253" s="50" t="n">
        <x:v>10</x:v>
      </x:c>
      <x:c r="I3253" s="44" t="str">
        <x:v>26.10</x:v>
      </x:c>
      <x:c r="J3253" s="33" t="str">
        <x:v>Master Key</x:v>
      </x:c>
      <x:c r="K3253" s="33" t="str"/>
      <x:c r="L3253" s="33" t="str"/>
      <x:c r="M3253" s="44" t="str"/>
      <x:c r="N3253" s="50" t="n">
        <x:v>42</x:v>
      </x:c>
      <x:c r="O3253" s="53" t="str">
        <x:v>When a teen from a group home goes missing, the squad has only minutes to determine if he ran away or was abducted. Velasco suspects the system at large is to blame for letting children slip through the cracks.</x:v>
      </x:c>
      <x:c r="P3253" s="53" t="str">
        <x:v>Core Law &amp; Order franchise</x:v>
      </x:c>
      <x:c r="Q3253" s="17" t="str">
        <x:v>12630716</x:v>
      </x:c>
      <x:c r="R3253" s="17" t="str">
        <x:v>tt35301577</x:v>
      </x:c>
      <x:c r="S3253" s="17" t="str">
        <x:v>1691</x:v>
      </x:c>
    </x:row>
    <x:row r="3254">
      <x:c r="A3254" s="43" t="n">
        <x:v>3250</x:v>
      </x:c>
      <x:c r="B3254" s="44" t="str">
        <x:v>Not Started</x:v>
      </x:c>
      <x:c r="C3254" s="45" t="n">
        <x:v>45683</x:v>
      </x:c>
      <x:c r="D3254" s="33" t="str">
        <x:v>Cold Justice</x:v>
      </x:c>
      <x:c r="E3254" s="33" t="str">
        <x:v>Crossover Adjacent</x:v>
      </x:c>
      <x:c r="F3254" s="33" t="str">
        <x:v>complete</x:v>
      </x:c>
      <x:c r="G3254" s="50" t="n">
        <x:v>7</x:v>
      </x:c>
      <x:c r="H3254" s="50" t="n">
        <x:v>54</x:v>
      </x:c>
      <x:c r="I3254" s="44" t="str">
        <x:v>07.54</x:v>
      </x:c>
      <x:c r="J3254" s="33" t="str">
        <x:v>Inside the Episode 704 'Enemy Next Door'</x:v>
      </x:c>
      <x:c r="K3254" s="33" t="str"/>
      <x:c r="L3254" s="33" t="str"/>
      <x:c r="M3254" s="44" t="str"/>
      <x:c r="N3254" s="50" t="n">
        <x:v>42</x:v>
      </x:c>
      <x:c r="O3254" s="53" t="str">
        <x:v>Two top-notch female investigators dig into murder cases that have gone for years without answers.</x:v>
      </x:c>
      <x:c r="P3254" s="53" t="str">
        <x:v>Wolf Entertainment unscripted true-crime series</x:v>
      </x:c>
      <x:c r="Q3254" s="17" t="str">
        <x:v>12729757</x:v>
      </x:c>
      <x:c r="R3254" s="17" t="str"/>
      <x:c r="S3254" s="17" t="str"/>
    </x:row>
    <x:row r="3255">
      <x:c r="A3255" s="43" t="n">
        <x:v>3251</x:v>
      </x:c>
      <x:c r="B3255" s="44" t="str">
        <x:v>Not Started</x:v>
      </x:c>
      <x:c r="C3255" s="45" t="n">
        <x:v>45686</x:v>
      </x:c>
      <x:c r="D3255" s="33" t="str">
        <x:v>FBI: International</x:v>
      </x:c>
      <x:c r="E3255" s="33" t="str">
        <x:v>FBI</x:v>
      </x:c>
      <x:c r="F3255" s="33" t="str">
        <x:v>core</x:v>
      </x:c>
      <x:c r="G3255" s="50" t="n">
        <x:v>4</x:v>
      </x:c>
      <x:c r="H3255" s="50" t="n">
        <x:v>9</x:v>
      </x:c>
      <x:c r="I3255" s="44" t="str">
        <x:v>04.09</x:v>
      </x:c>
      <x:c r="J3255" s="33" t="str">
        <x:v>The Kill Floor</x:v>
      </x:c>
      <x:c r="K3255" s="33" t="str"/>
      <x:c r="L3255" s="33" t="str"/>
      <x:c r="M3255" s="44" t="str"/>
      <x:c r="N3255" s="50" t="n">
        <x:v>41</x:v>
      </x:c>
      <x:c r="O3255" s="53" t="str">
        <x:v>A member of the Fly Team goes missing as the hunt for Greg Csonka continues in Paris. Meanwhile, Vo’s life hangs in the balance after being shot.</x:v>
      </x:c>
      <x:c r="P3255" s="53" t="str">
        <x:v>Core FBI franchise</x:v>
      </x:c>
      <x:c r="Q3255" s="17" t="str">
        <x:v>12528385</x:v>
      </x:c>
      <x:c r="R3255" s="17" t="str">
        <x:v>tt35052476</x:v>
      </x:c>
      <x:c r="S3255" s="17" t="str"/>
    </x:row>
    <x:row r="3256">
      <x:c r="A3256" s="43" t="n">
        <x:v>3252</x:v>
      </x:c>
      <x:c r="B3256" s="44" t="str">
        <x:v>Not Started</x:v>
      </x:c>
      <x:c r="C3256" s="45" t="n">
        <x:v>45686</x:v>
      </x:c>
      <x:c r="D3256" s="33" t="str">
        <x:v>FBI: Most Wanted</x:v>
      </x:c>
      <x:c r="E3256" s="33" t="str">
        <x:v>FBI</x:v>
      </x:c>
      <x:c r="F3256" s="33" t="str">
        <x:v>core</x:v>
      </x:c>
      <x:c r="G3256" s="50" t="n">
        <x:v>6</x:v>
      </x:c>
      <x:c r="H3256" s="50" t="n">
        <x:v>9</x:v>
      </x:c>
      <x:c r="I3256" s="44" t="str">
        <x:v>06.09</x:v>
      </x:c>
      <x:c r="J3256" s="33" t="str">
        <x:v>Moving On</x:v>
      </x:c>
      <x:c r="K3256" s="33" t="str"/>
      <x:c r="L3256" s="33" t="str"/>
      <x:c r="M3256" s="44" t="str"/>
      <x:c r="N3256" s="50" t="n">
        <x:v>42</x:v>
      </x:c>
      <x:c r="O3256" s="53" t="str">
        <x:v>The Fugitive Task Force investigates a series of deadly fires involving the descendants of those who caused the infamous 1985 MOVE bombing in Philadelphia. Meanwhile, Nina's sister turns to her in a time of need.</x:v>
      </x:c>
      <x:c r="P3256" s="53" t="str">
        <x:v>Core FBI franchise</x:v>
      </x:c>
      <x:c r="Q3256" s="17" t="str">
        <x:v>12555678</x:v>
      </x:c>
      <x:c r="R3256" s="17" t="str">
        <x:v>tt35052457</x:v>
      </x:c>
      <x:c r="S3256" s="17" t="str"/>
    </x:row>
    <x:row r="3257">
      <x:c r="A3257" s="43" t="n">
        <x:v>3253</x:v>
      </x:c>
      <x:c r="B3257" s="44" t="str">
        <x:v>Not Started</x:v>
      </x:c>
      <x:c r="C3257" s="45" t="n">
        <x:v>45686</x:v>
      </x:c>
      <x:c r="D3257" s="33" t="str">
        <x:v>FBI</x:v>
      </x:c>
      <x:c r="E3257" s="33" t="str">
        <x:v>FBI</x:v>
      </x:c>
      <x:c r="F3257" s="33" t="str">
        <x:v>core</x:v>
      </x:c>
      <x:c r="G3257" s="50" t="n">
        <x:v>7</x:v>
      </x:c>
      <x:c r="H3257" s="50" t="n">
        <x:v>9</x:v>
      </x:c>
      <x:c r="I3257" s="44" t="str">
        <x:v>07.09</x:v>
      </x:c>
      <x:c r="J3257" s="33" t="str">
        <x:v>Descent</x:v>
      </x:c>
      <x:c r="K3257" s="33" t="str"/>
      <x:c r="L3257" s="33" t="str"/>
      <x:c r="M3257" s="44" t="str"/>
      <x:c r="N3257" s="50" t="n">
        <x:v>42</x:v>
      </x:c>
      <x:c r="O3257" s="53" t="str">
        <x:v>The investigation into an assistant U.S. attorney’s death leads the team to a related airline whistleblower scandal and the chilling discovery that they don’t have much time to thwart terrorists from crashing numerous in-flight commercial airplanes. Dealing with the memory of his brother, who was a 9/11 victim, the case pushes Scola hard to prevent another catastrophe.</x:v>
      </x:c>
      <x:c r="P3257" s="53" t="str">
        <x:v>Core FBI franchise</x:v>
      </x:c>
      <x:c r="Q3257" s="17" t="str">
        <x:v>12558808</x:v>
      </x:c>
      <x:c r="R3257" s="17" t="str">
        <x:v>tt34809911</x:v>
      </x:c>
      <x:c r="S3257" s="17" t="str"/>
    </x:row>
    <x:row r="3258">
      <x:c r="A3258" s="43" t="n">
        <x:v>3254</x:v>
      </x:c>
      <x:c r="B3258" s="44" t="str">
        <x:v>Not Started</x:v>
      </x:c>
      <x:c r="C3258" s="45" t="n">
        <x:v>45687</x:v>
      </x:c>
      <x:c r="D3258" s="33" t="str">
        <x:v>Chicago Med</x:v>
      </x:c>
      <x:c r="E3258" s="33" t="str">
        <x:v>One Chicago</x:v>
      </x:c>
      <x:c r="F3258" s="33" t="str">
        <x:v>core</x:v>
      </x:c>
      <x:c r="G3258" s="50" t="n">
        <x:v>10</x:v>
      </x:c>
      <x:c r="H3258" s="50" t="n">
        <x:v>11</x:v>
      </x:c>
      <x:c r="I3258" s="44" t="str">
        <x:v>10.11</x:v>
      </x:c>
      <x:c r="J3258" s="33" t="str">
        <x:v>In the Trenches (II)</x:v>
      </x:c>
      <x:c r="K3258" s="33" t="str">
        <x:v>Crossover</x:v>
      </x:c>
      <x:c r="L3258" s="33" t="str">
        <x:v>In the Trenches</x:v>
      </x:c>
      <x:c r="M3258" s="44" t="str">
        <x:v>2/3</x:v>
      </x:c>
      <x:c r="N3258" s="50" t="n">
        <x:v>43</x:v>
      </x:c>
      <x:c r="O3258" s="53" t="str">
        <x:v>Following the subway tunnel collapse, Ruzek and Kidd treat injured passengers and track down the missing offender. Archer and Frost perform a life-saving amputation.
The crossover starts on Chicago Fire S13E11 In the Trenches (I). It continues on Chicago P.D. S12E11 In the Trenches (III).</x:v>
      </x:c>
      <x:c r="P3258" s="53" t="str">
        <x:v>Core One Chicago franchise</x:v>
      </x:c>
      <x:c r="Q3258" s="17" t="str">
        <x:v>12706513</x:v>
      </x:c>
      <x:c r="R3258" s="17" t="str">
        <x:v>tt34984921</x:v>
      </x:c>
      <x:c r="S3258" s="17" t="str">
        <x:v>https://one-chicago-fbi.fandom.com/wiki/Crossovers_and_Milestones</x:v>
      </x:c>
    </x:row>
    <x:row r="3259">
      <x:c r="A3259" s="43" t="n">
        <x:v>3255</x:v>
      </x:c>
      <x:c r="B3259" s="44" t="str">
        <x:v>Not Started</x:v>
      </x:c>
      <x:c r="C3259" s="45" t="n">
        <x:v>45687</x:v>
      </x:c>
      <x:c r="D3259" s="33" t="str">
        <x:v>Chicago P.D.</x:v>
      </x:c>
      <x:c r="E3259" s="33" t="str">
        <x:v>One Chicago</x:v>
      </x:c>
      <x:c r="F3259" s="33" t="str">
        <x:v>core</x:v>
      </x:c>
      <x:c r="G3259" s="50" t="n">
        <x:v>12</x:v>
      </x:c>
      <x:c r="H3259" s="50" t="n">
        <x:v>11</x:v>
      </x:c>
      <x:c r="I3259" s="44" t="str">
        <x:v>12.11</x:v>
      </x:c>
      <x:c r="J3259" s="33" t="str">
        <x:v>In the Trenches (III)</x:v>
      </x:c>
      <x:c r="K3259" s="33" t="str">
        <x:v>Crossover</x:v>
      </x:c>
      <x:c r="L3259" s="33" t="str">
        <x:v>In the Trenches</x:v>
      </x:c>
      <x:c r="M3259" s="44" t="str">
        <x:v>3/3</x:v>
      </x:c>
      <x:c r="N3259" s="50" t="n">
        <x:v>43</x:v>
      </x:c>
      <x:c r="O3259" s="53" t="str">
        <x:v>With the suspects still at large and conditions worsening underground, first responders race to reach the trapped victims, while the investigation into the assailants comes into focus.
The crossover starts on Chicago Fire S13E11 In the Trenches (I) and Chicago Med S10E11 In the Trenches (II).</x:v>
      </x:c>
      <x:c r="P3259" s="53" t="str">
        <x:v>Core One Chicago franchise; crossovers with SVU/FBI</x:v>
      </x:c>
      <x:c r="Q3259" s="17" t="str">
        <x:v>12706515</x:v>
      </x:c>
      <x:c r="R3259" s="17" t="str">
        <x:v>tt35073630</x:v>
      </x:c>
      <x:c r="S3259" s="17" t="str">
        <x:v>https://one-chicago-fbi.fandom.com/wiki/Crossovers_and_Milestones</x:v>
      </x:c>
    </x:row>
    <x:row r="3260">
      <x:c r="A3260" s="43" t="n">
        <x:v>3256</x:v>
      </x:c>
      <x:c r="B3260" s="44" t="str">
        <x:v>Not Started</x:v>
      </x:c>
      <x:c r="C3260" s="45" t="n">
        <x:v>45687</x:v>
      </x:c>
      <x:c r="D3260" s="33" t="str">
        <x:v>Chicago Fire</x:v>
      </x:c>
      <x:c r="E3260" s="33" t="str">
        <x:v>One Chicago</x:v>
      </x:c>
      <x:c r="F3260" s="33" t="str">
        <x:v>core</x:v>
      </x:c>
      <x:c r="G3260" s="50" t="n">
        <x:v>13</x:v>
      </x:c>
      <x:c r="H3260" s="50" t="n">
        <x:v>11</x:v>
      </x:c>
      <x:c r="I3260" s="44" t="str">
        <x:v>13.11</x:v>
      </x:c>
      <x:c r="J3260" s="33" t="str">
        <x:v>In the Trenches (I)</x:v>
      </x:c>
      <x:c r="K3260" s="33" t="str">
        <x:v>Crossover</x:v>
      </x:c>
      <x:c r="L3260" s="33" t="str">
        <x:v>In the Trenches</x:v>
      </x:c>
      <x:c r="M3260" s="44" t="str">
        <x:v>1/3</x:v>
      </x:c>
      <x:c r="N3260" s="50" t="n">
        <x:v>42</x:v>
      </x:c>
      <x:c r="O3260" s="53" t="str">
        <x:v>Chicago's first responders unite in the wake of a catastrophic gas explosion and fire that threaten a city government building. Herrmann reluctantly shadows Pascal while Violet, Novak and Dr. Frost take charge of triage efforts on site.
The crossover continues on Chicago Med S10E11 In the Trenches (II) and Chicago P.D. S12E11 In the Trenches (III).</x:v>
      </x:c>
      <x:c r="P3260" s="53" t="str">
        <x:v>Core One Chicago franchise</x:v>
      </x:c>
      <x:c r="Q3260" s="17" t="str">
        <x:v>12706516</x:v>
      </x:c>
      <x:c r="R3260" s="17" t="str">
        <x:v>tt34668880</x:v>
      </x:c>
      <x:c r="S3260" s="17" t="str">
        <x:v>https://one-chicago-fbi.fandom.com/wiki/Crossovers_and_Milestones</x:v>
      </x:c>
    </x:row>
    <x:row r="3261">
      <x:c r="A3261" s="43" t="n">
        <x:v>3257</x:v>
      </x:c>
      <x:c r="B3261" s="44" t="str">
        <x:v>Not Started</x:v>
      </x:c>
      <x:c r="C3261" s="45" t="n">
        <x:v>45687</x:v>
      </x:c>
      <x:c r="D3261" s="33" t="str">
        <x:v>Law &amp; Order</x:v>
      </x:c>
      <x:c r="E3261" s="33" t="str">
        <x:v>Law &amp; Order</x:v>
      </x:c>
      <x:c r="F3261" s="33" t="str">
        <x:v>core</x:v>
      </x:c>
      <x:c r="G3261" s="50" t="n">
        <x:v>24</x:v>
      </x:c>
      <x:c r="H3261" s="50" t="n">
        <x:v>11</x:v>
      </x:c>
      <x:c r="I3261" s="44" t="str">
        <x:v>24.11</x:v>
      </x:c>
      <x:c r="J3261" s="33" t="str">
        <x:v>The Hardest Thing</x:v>
      </x:c>
      <x:c r="K3261" s="33" t="str"/>
      <x:c r="L3261" s="33" t="str"/>
      <x:c r="M3261" s="44" t="str"/>
      <x:c r="N3261" s="50" t="n">
        <x:v>43</x:v>
      </x:c>
      <x:c r="O3261" s="53" t="str">
        <x:v>When a wealthy man is executed in his home, Shaw and Riley aim to determine who was greedy enough to want him dead. Price must try a difficult case amidst his father's failing health.</x:v>
      </x:c>
      <x:c r="P3261" s="53" t="str">
        <x:v>Core Law &amp; Order franchise</x:v>
      </x:c>
      <x:c r="Q3261" s="17" t="str">
        <x:v>12729890</x:v>
      </x:c>
      <x:c r="R3261" s="17" t="str">
        <x:v>tt35463315</x:v>
      </x:c>
      <x:c r="S3261" s="17" t="str">
        <x:v>1692</x:v>
      </x:c>
    </x:row>
    <x:row r="3262">
      <x:c r="A3262" s="43" t="n">
        <x:v>3258</x:v>
      </x:c>
      <x:c r="B3262" s="44" t="str">
        <x:v>Not Started</x:v>
      </x:c>
      <x:c r="C3262" s="45" t="n">
        <x:v>45687</x:v>
      </x:c>
      <x:c r="D3262" s="33" t="str">
        <x:v>Law &amp; Order: Special Victims Unit</x:v>
      </x:c>
      <x:c r="E3262" s="33" t="str">
        <x:v>Law &amp; Order</x:v>
      </x:c>
      <x:c r="F3262" s="33" t="str">
        <x:v>core</x:v>
      </x:c>
      <x:c r="G3262" s="50" t="n">
        <x:v>26</x:v>
      </x:c>
      <x:c r="H3262" s="50" t="n">
        <x:v>11</x:v>
      </x:c>
      <x:c r="I3262" s="44" t="str">
        <x:v>26.11</x:v>
      </x:c>
      <x:c r="J3262" s="33" t="str">
        <x:v>Deductible</x:v>
      </x:c>
      <x:c r="K3262" s="33" t="str"/>
      <x:c r="L3262" s="33" t="str"/>
      <x:c r="M3262" s="44" t="str"/>
      <x:c r="N3262" s="50" t="n">
        <x:v>42</x:v>
      </x:c>
      <x:c r="O3262" s="53" t="str">
        <x:v>A young boy seeks help when his sister doesn't come home from work. Benson and Carisi suspect a woman's assault was prearranged by a third party.</x:v>
      </x:c>
      <x:c r="P3262" s="53" t="str">
        <x:v>Core Law &amp; Order franchise</x:v>
      </x:c>
      <x:c r="Q3262" s="17" t="str">
        <x:v>12630717</x:v>
      </x:c>
      <x:c r="R3262" s="17" t="str">
        <x:v>tt35380956</x:v>
      </x:c>
      <x:c r="S3262" s="17" t="str">
        <x:v>1693</x:v>
      </x:c>
    </x:row>
    <x:row r="3263">
      <x:c r="A3263" s="43" t="n">
        <x:v>3259</x:v>
      </x:c>
      <x:c r="B3263" s="44" t="str">
        <x:v>Not Started</x:v>
      </x:c>
      <x:c r="C3263" s="45" t="n">
        <x:v>45693</x:v>
      </x:c>
      <x:c r="D3263" s="33" t="str">
        <x:v>FBI: International</x:v>
      </x:c>
      <x:c r="E3263" s="33" t="str">
        <x:v>FBI</x:v>
      </x:c>
      <x:c r="F3263" s="33" t="str">
        <x:v>core</x:v>
      </x:c>
      <x:c r="G3263" s="50" t="n">
        <x:v>4</x:v>
      </x:c>
      <x:c r="H3263" s="50" t="n">
        <x:v>10</x:v>
      </x:c>
      <x:c r="I3263" s="44" t="str">
        <x:v>04.10</x:v>
      </x:c>
      <x:c r="J3263" s="33" t="str">
        <x:v>Keep Calm and Deliver the Biotoxin</x:v>
      </x:c>
      <x:c r="K3263" s="33" t="str"/>
      <x:c r="L3263" s="33" t="str"/>
      <x:c r="M3263" s="44" t="str"/>
      <x:c r="N3263" s="50" t="n">
        <x:v>43</x:v>
      </x:c>
      <x:c r="O3263" s="53" t="str">
        <x:v>When a Russian biochemist is assassinated for trying to defect with his highly sensitive biotoxins research, the Fly Team springs into action to protect his daughter, whose father’s last wish was that she get his research to a trusted American microbiologist. Meanwhile, Mitchell stays behind to help Vo during her recovery, and Booth clashes with Smitty when he finds out she could jeopardize his promotion.</x:v>
      </x:c>
      <x:c r="P3263" s="53" t="str">
        <x:v>Core FBI franchise</x:v>
      </x:c>
      <x:c r="Q3263" s="17" t="str">
        <x:v>12702763</x:v>
      </x:c>
      <x:c r="R3263" s="17" t="str">
        <x:v>tt35502072</x:v>
      </x:c>
      <x:c r="S3263" s="17" t="str"/>
    </x:row>
    <x:row r="3264">
      <x:c r="A3264" s="43" t="n">
        <x:v>3260</x:v>
      </x:c>
      <x:c r="B3264" s="44" t="str">
        <x:v>Not Started</x:v>
      </x:c>
      <x:c r="C3264" s="45" t="n">
        <x:v>45693</x:v>
      </x:c>
      <x:c r="D3264" s="33" t="str">
        <x:v>FBI: Most Wanted</x:v>
      </x:c>
      <x:c r="E3264" s="33" t="str">
        <x:v>FBI</x:v>
      </x:c>
      <x:c r="F3264" s="33" t="str">
        <x:v>core</x:v>
      </x:c>
      <x:c r="G3264" s="50" t="n">
        <x:v>6</x:v>
      </x:c>
      <x:c r="H3264" s="50" t="n">
        <x:v>10</x:v>
      </x:c>
      <x:c r="I3264" s="44" t="str">
        <x:v>06.10</x:v>
      </x:c>
      <x:c r="J3264" s="33" t="str">
        <x:v>Ars Moriendi</x:v>
      </x:c>
      <x:c r="K3264" s="33" t="str"/>
      <x:c r="L3264" s="33" t="str"/>
      <x:c r="M3264" s="44" t="str"/>
      <x:c r="N3264" s="50" t="n">
        <x:v>42</x:v>
      </x:c>
      <x:c r="O3264" s="53" t="str">
        <x:v>After witnessing a murder in broad daylight, the Fugitive Task Force must hunt down a team of killers competing in a twisted online game. Meanwhile, Remy and Abby struggle to get on the same page.</x:v>
      </x:c>
      <x:c r="P3264" s="53" t="str">
        <x:v>Core FBI franchise</x:v>
      </x:c>
      <x:c r="Q3264" s="17" t="str">
        <x:v>12725135</x:v>
      </x:c>
      <x:c r="R3264" s="17" t="str">
        <x:v>tt35502086</x:v>
      </x:c>
      <x:c r="S3264" s="17" t="str"/>
    </x:row>
    <x:row r="3265">
      <x:c r="A3265" s="43" t="n">
        <x:v>3261</x:v>
      </x:c>
      <x:c r="B3265" s="44" t="str">
        <x:v>Not Started</x:v>
      </x:c>
      <x:c r="C3265" s="45" t="n">
        <x:v>45693</x:v>
      </x:c>
      <x:c r="D3265" s="33" t="str">
        <x:v>FBI</x:v>
      </x:c>
      <x:c r="E3265" s="33" t="str">
        <x:v>FBI</x:v>
      </x:c>
      <x:c r="F3265" s="33" t="str">
        <x:v>core</x:v>
      </x:c>
      <x:c r="G3265" s="50" t="n">
        <x:v>7</x:v>
      </x:c>
      <x:c r="H3265" s="50" t="n">
        <x:v>10</x:v>
      </x:c>
      <x:c r="I3265" s="44" t="str">
        <x:v>07.10</x:v>
      </x:c>
      <x:c r="J3265" s="33" t="str">
        <x:v>Redoubt</x:v>
      </x:c>
      <x:c r="K3265" s="33" t="str"/>
      <x:c r="L3265" s="33" t="str"/>
      <x:c r="M3265" s="44" t="str"/>
      <x:c r="N3265" s="50" t="n">
        <x:v>42</x:v>
      </x:c>
      <x:c r="O3265" s="53" t="str">
        <x:v>Jubal's longtime confidential informant brings intel of an impending large-scale terror attack to the team, but when the details don't add up, Jubal must sift out the truth from a man who's known him at his worst.</x:v>
      </x:c>
      <x:c r="P3265" s="53" t="str">
        <x:v>Core FBI franchise</x:v>
      </x:c>
      <x:c r="Q3265" s="17" t="str">
        <x:v>12761835</x:v>
      </x:c>
      <x:c r="R3265" s="17" t="str">
        <x:v>tt34820752</x:v>
      </x:c>
      <x:c r="S3265" s="17" t="str"/>
    </x:row>
    <x:row r="3266">
      <x:c r="A3266" s="43" t="n">
        <x:v>3262</x:v>
      </x:c>
      <x:c r="B3266" s="44" t="str">
        <x:v>Not Started</x:v>
      </x:c>
      <x:c r="C3266" s="45" t="n">
        <x:v>45694</x:v>
      </x:c>
      <x:c r="D3266" s="33" t="str">
        <x:v>Chicago Med</x:v>
      </x:c>
      <x:c r="E3266" s="33" t="str">
        <x:v>One Chicago</x:v>
      </x:c>
      <x:c r="F3266" s="33" t="str">
        <x:v>core</x:v>
      </x:c>
      <x:c r="G3266" s="50" t="n">
        <x:v>10</x:v>
      </x:c>
      <x:c r="H3266" s="50" t="n">
        <x:v>12</x:v>
      </x:c>
      <x:c r="I3266" s="44" t="str">
        <x:v>10.12</x:v>
      </x:c>
      <x:c r="J3266" s="33" t="str">
        <x:v>In the Wake</x:v>
      </x:c>
      <x:c r="K3266" s="33" t="str"/>
      <x:c r="L3266" s="33" t="str"/>
      <x:c r="M3266" s="44" t="str"/>
      <x:c r="N3266" s="50" t="n">
        <x:v>43</x:v>
      </x:c>
      <x:c r="O3266" s="53" t="str">
        <x:v>Goodwin struggles with the psychological aftermath of her attack. Ripley treats a patient with helicopter parents. An ED staffer makes a mistake that may cost them their job.</x:v>
      </x:c>
      <x:c r="P3266" s="53" t="str">
        <x:v>Core One Chicago franchise</x:v>
      </x:c>
      <x:c r="Q3266" s="17" t="str">
        <x:v>12729893</x:v>
      </x:c>
      <x:c r="R3266" s="17" t="str">
        <x:v>tt34924026</x:v>
      </x:c>
      <x:c r="S3266" s="17" t="str"/>
    </x:row>
    <x:row r="3267">
      <x:c r="A3267" s="43" t="n">
        <x:v>3263</x:v>
      </x:c>
      <x:c r="B3267" s="44" t="str">
        <x:v>Not Started</x:v>
      </x:c>
      <x:c r="C3267" s="45" t="n">
        <x:v>45694</x:v>
      </x:c>
      <x:c r="D3267" s="33" t="str">
        <x:v>Chicago P.D.</x:v>
      </x:c>
      <x:c r="E3267" s="33" t="str">
        <x:v>One Chicago</x:v>
      </x:c>
      <x:c r="F3267" s="33" t="str">
        <x:v>core</x:v>
      </x:c>
      <x:c r="G3267" s="50" t="n">
        <x:v>12</x:v>
      </x:c>
      <x:c r="H3267" s="50" t="n">
        <x:v>12</x:v>
      </x:c>
      <x:c r="I3267" s="44" t="str">
        <x:v>12.12</x:v>
      </x:c>
      <x:c r="J3267" s="33" t="str">
        <x:v>The Good Shepherd</x:v>
      </x:c>
      <x:c r="K3267" s="33" t="str"/>
      <x:c r="L3267" s="33" t="str"/>
      <x:c r="M3267" s="44" t="str"/>
      <x:c r="N3267" s="50" t="n">
        <x:v>42</x:v>
      </x:c>
      <x:c r="O3267" s="53" t="str">
        <x:v>Intelligence makes a gruesome discovery that leads Torres to go undercover at the juvenile detention center where he served time as a teen.</x:v>
      </x:c>
      <x:c r="P3267" s="53" t="str">
        <x:v>Core One Chicago franchise; crossovers with SVU/FBI</x:v>
      </x:c>
      <x:c r="Q3267" s="17" t="str">
        <x:v>12729981</x:v>
      </x:c>
      <x:c r="R3267" s="17" t="str">
        <x:v>tt35331151</x:v>
      </x:c>
      <x:c r="S3267" s="17" t="str"/>
    </x:row>
    <x:row r="3268">
      <x:c r="A3268" s="43" t="n">
        <x:v>3264</x:v>
      </x:c>
      <x:c r="B3268" s="44" t="str">
        <x:v>Not Started</x:v>
      </x:c>
      <x:c r="C3268" s="45" t="n">
        <x:v>45694</x:v>
      </x:c>
      <x:c r="D3268" s="33" t="str">
        <x:v>Chicago Fire</x:v>
      </x:c>
      <x:c r="E3268" s="33" t="str">
        <x:v>One Chicago</x:v>
      </x:c>
      <x:c r="F3268" s="33" t="str">
        <x:v>core</x:v>
      </x:c>
      <x:c r="G3268" s="50" t="n">
        <x:v>13</x:v>
      </x:c>
      <x:c r="H3268" s="50" t="n">
        <x:v>12</x:v>
      </x:c>
      <x:c r="I3268" s="44" t="str">
        <x:v>13.12</x:v>
      </x:c>
      <x:c r="J3268" s="33" t="str">
        <x:v>Relief Cut</x:v>
      </x:c>
      <x:c r="K3268" s="33" t="str"/>
      <x:c r="L3268" s="33" t="str"/>
      <x:c r="M3268" s="44" t="str"/>
      <x:c r="N3268" s="50" t="n">
        <x:v>42</x:v>
      </x:c>
      <x:c r="O3268" s="53" t="str">
        <x:v>Herrmann investigates the rise in missing fire hydrants and teams up with Kylie to track them down. Kidd's cousin comes to town, revealing surprising family history. Violet and Novak treat the victim of a birthday cake smash gone awry.</x:v>
      </x:c>
      <x:c r="P3268" s="53" t="str">
        <x:v>Core One Chicago franchise</x:v>
      </x:c>
      <x:c r="Q3268" s="17" t="str">
        <x:v>12729894</x:v>
      </x:c>
      <x:c r="R3268" s="17" t="str">
        <x:v>tt34668883</x:v>
      </x:c>
      <x:c r="S3268" s="17" t="str"/>
    </x:row>
    <x:row r="3269">
      <x:c r="A3269" s="43" t="n">
        <x:v>3265</x:v>
      </x:c>
      <x:c r="B3269" s="44" t="str">
        <x:v>Not Started</x:v>
      </x:c>
      <x:c r="C3269" s="45" t="n">
        <x:v>45697</x:v>
      </x:c>
      <x:c r="D3269" s="33" t="str">
        <x:v>Cold Justice</x:v>
      </x:c>
      <x:c r="E3269" s="33" t="str">
        <x:v>Crossover Adjacent</x:v>
      </x:c>
      <x:c r="F3269" s="33" t="str">
        <x:v>complete</x:v>
      </x:c>
      <x:c r="G3269" s="50" t="n">
        <x:v>7</x:v>
      </x:c>
      <x:c r="H3269" s="50" t="n">
        <x:v>56</x:v>
      </x:c>
      <x:c r="I3269" s="44" t="str">
        <x:v>07.56</x:v>
      </x:c>
      <x:c r="J3269" s="33" t="str">
        <x:v>Inside the Episode 706 'The Reporter'</x:v>
      </x:c>
      <x:c r="K3269" s="33" t="str"/>
      <x:c r="L3269" s="33" t="str"/>
      <x:c r="M3269" s="44" t="str"/>
      <x:c r="N3269" s="50" t="n">
        <x:v>42</x:v>
      </x:c>
      <x:c r="O3269" s="53" t="str">
        <x:v>Two top-notch female investigators dig into murder cases that have gone for years without answers.</x:v>
      </x:c>
      <x:c r="P3269" s="53" t="str">
        <x:v>Wolf Entertainment unscripted true-crime series</x:v>
      </x:c>
      <x:c r="Q3269" s="17" t="str">
        <x:v>12729758</x:v>
      </x:c>
      <x:c r="R3269" s="17" t="str"/>
      <x:c r="S3269" s="17" t="str"/>
    </x:row>
    <x:row r="3270">
      <x:c r="A3270" s="43" t="n">
        <x:v>3266</x:v>
      </x:c>
      <x:c r="B3270" s="44" t="str">
        <x:v>Not Started</x:v>
      </x:c>
      <x:c r="C3270" s="45" t="n">
        <x:v>45700</x:v>
      </x:c>
      <x:c r="D3270" s="33" t="str">
        <x:v>FBI: International</x:v>
      </x:c>
      <x:c r="E3270" s="33" t="str">
        <x:v>FBI</x:v>
      </x:c>
      <x:c r="F3270" s="33" t="str">
        <x:v>core</x:v>
      </x:c>
      <x:c r="G3270" s="50" t="n">
        <x:v>4</x:v>
      </x:c>
      <x:c r="H3270" s="50" t="n">
        <x:v>11</x:v>
      </x:c>
      <x:c r="I3270" s="44" t="str">
        <x:v>04.11</x:v>
      </x:c>
      <x:c r="J3270" s="33" t="str">
        <x:v>Veritas Fidelis</x:v>
      </x:c>
      <x:c r="K3270" s="33" t="str"/>
      <x:c r="L3270" s="33" t="str"/>
      <x:c r="M3270" s="44" t="str"/>
      <x:c r="N3270" s="50" t="n">
        <x:v>42</x:v>
      </x:c>
      <x:c r="O3270" s="53" t="str">
        <x:v>When an American student is found dead at a prestigious UK university, the Fly Team investigates an infamous secret society. Smitty’s personal history with the school comes to a head when she’s confronted with the same old-world elitism.</x:v>
      </x:c>
      <x:c r="P3270" s="53" t="str">
        <x:v>Core FBI franchise</x:v>
      </x:c>
      <x:c r="Q3270" s="17" t="str">
        <x:v>12716973</x:v>
      </x:c>
      <x:c r="R3270" s="17" t="str">
        <x:v>tt35502075</x:v>
      </x:c>
      <x:c r="S3270" s="17" t="str"/>
    </x:row>
    <x:row r="3271">
      <x:c r="A3271" s="43" t="n">
        <x:v>3267</x:v>
      </x:c>
      <x:c r="B3271" s="44" t="str">
        <x:v>Not Started</x:v>
      </x:c>
      <x:c r="C3271" s="45" t="n">
        <x:v>45700</x:v>
      </x:c>
      <x:c r="D3271" s="33" t="str">
        <x:v>FBI: Most Wanted</x:v>
      </x:c>
      <x:c r="E3271" s="33" t="str">
        <x:v>FBI</x:v>
      </x:c>
      <x:c r="F3271" s="33" t="str">
        <x:v>core</x:v>
      </x:c>
      <x:c r="G3271" s="50" t="n">
        <x:v>6</x:v>
      </x:c>
      <x:c r="H3271" s="50" t="n">
        <x:v>11</x:v>
      </x:c>
      <x:c r="I3271" s="44" t="str">
        <x:v>06.11</x:v>
      </x:c>
      <x:c r="J3271" s="33" t="str">
        <x:v>Do You Realize??</x:v>
      </x:c>
      <x:c r="K3271" s="33" t="str"/>
      <x:c r="L3271" s="33" t="str"/>
      <x:c r="M3271" s="44" t="str"/>
      <x:c r="N3271" s="50" t="n">
        <x:v>44</x:v>
      </x:c>
      <x:c r="O3271" s="53" t="str">
        <x:v>The Fugitive Task Force is sent on a hunt in Philadelphia to investigate a double homicide and the abduction of a 14-year-old girl in the foster care system. Meanwhile, Ray’s father is hospitalized after an accident while helping out around the house.</x:v>
      </x:c>
      <x:c r="P3271" s="53" t="str">
        <x:v>Core FBI franchise</x:v>
      </x:c>
      <x:c r="Q3271" s="17" t="str">
        <x:v>12725136</x:v>
      </x:c>
      <x:c r="R3271" s="17" t="str">
        <x:v>tt35502083</x:v>
      </x:c>
      <x:c r="S3271" s="17" t="str"/>
    </x:row>
    <x:row r="3272">
      <x:c r="A3272" s="43" t="n">
        <x:v>3268</x:v>
      </x:c>
      <x:c r="B3272" s="44" t="str">
        <x:v>Not Started</x:v>
      </x:c>
      <x:c r="C3272" s="45" t="n">
        <x:v>45700</x:v>
      </x:c>
      <x:c r="D3272" s="33" t="str">
        <x:v>FBI</x:v>
      </x:c>
      <x:c r="E3272" s="33" t="str">
        <x:v>FBI</x:v>
      </x:c>
      <x:c r="F3272" s="33" t="str">
        <x:v>core</x:v>
      </x:c>
      <x:c r="G3272" s="50" t="n">
        <x:v>7</x:v>
      </x:c>
      <x:c r="H3272" s="50" t="n">
        <x:v>11</x:v>
      </x:c>
      <x:c r="I3272" s="44" t="str">
        <x:v>07.11</x:v>
      </x:c>
      <x:c r="J3272" s="33" t="str">
        <x:v>Shelter</x:v>
      </x:c>
      <x:c r="K3272" s="33" t="str"/>
      <x:c r="L3272" s="33" t="str"/>
      <x:c r="M3272" s="44" t="str"/>
      <x:c r="N3272" s="50" t="n">
        <x:v>42</x:v>
      </x:c>
      <x:c r="O3272" s="53" t="str">
        <x:v>When a gunman opens fire at a homeless shelter in Astoria, the team is led toward a killer with connections to a Mexican cartel.</x:v>
      </x:c>
      <x:c r="P3272" s="53" t="str">
        <x:v>Core FBI franchise</x:v>
      </x:c>
      <x:c r="Q3272" s="17" t="str">
        <x:v>12780358</x:v>
      </x:c>
      <x:c r="R3272" s="17" t="str">
        <x:v>tt35502036</x:v>
      </x:c>
      <x:c r="S3272" s="17" t="str"/>
    </x:row>
    <x:row r="3273">
      <x:c r="A3273" s="43" t="n">
        <x:v>3269</x:v>
      </x:c>
      <x:c r="B3273" s="44" t="str">
        <x:v>Not Started</x:v>
      </x:c>
      <x:c r="C3273" s="45" t="n">
        <x:v>45701</x:v>
      </x:c>
      <x:c r="D3273" s="33" t="str">
        <x:v>Law &amp; Order</x:v>
      </x:c>
      <x:c r="E3273" s="33" t="str">
        <x:v>Law &amp; Order</x:v>
      </x:c>
      <x:c r="F3273" s="33" t="str">
        <x:v>core</x:v>
      </x:c>
      <x:c r="G3273" s="50" t="n">
        <x:v>24</x:v>
      </x:c>
      <x:c r="H3273" s="50" t="n">
        <x:v>12</x:v>
      </x:c>
      <x:c r="I3273" s="44" t="str">
        <x:v>24.12</x:v>
      </x:c>
      <x:c r="J3273" s="33" t="str">
        <x:v>Duty to Protect</x:v>
      </x:c>
      <x:c r="K3273" s="33" t="str"/>
      <x:c r="L3273" s="33" t="str"/>
      <x:c r="M3273" s="44" t="str"/>
      <x:c r="N3273" s="50" t="n">
        <x:v>43</x:v>
      </x:c>
      <x:c r="O3273" s="53" t="str">
        <x:v>When a teenage girl is found dead, the squad struggles to find a motive without knowing her identity. Price and Maroun must pick up the broken pieces of their case after a shocking courtroom revelation.</x:v>
      </x:c>
      <x:c r="P3273" s="53" t="str">
        <x:v>Core Law &amp; Order franchise</x:v>
      </x:c>
      <x:c r="Q3273" s="17" t="str">
        <x:v>12781470</x:v>
      </x:c>
      <x:c r="R3273" s="17" t="str">
        <x:v>tt35636121</x:v>
      </x:c>
      <x:c r="S3273" s="17" t="str">
        <x:v>1694</x:v>
      </x:c>
    </x:row>
    <x:row r="3274">
      <x:c r="A3274" s="43" t="n">
        <x:v>3270</x:v>
      </x:c>
      <x:c r="B3274" s="44" t="str">
        <x:v>Not Started</x:v>
      </x:c>
      <x:c r="C3274" s="45" t="n">
        <x:v>45701</x:v>
      </x:c>
      <x:c r="D3274" s="33" t="str">
        <x:v>Law &amp; Order: Special Victims Unit</x:v>
      </x:c>
      <x:c r="E3274" s="33" t="str">
        <x:v>Law &amp; Order</x:v>
      </x:c>
      <x:c r="F3274" s="33" t="str">
        <x:v>core</x:v>
      </x:c>
      <x:c r="G3274" s="50" t="n">
        <x:v>26</x:v>
      </x:c>
      <x:c r="H3274" s="50" t="n">
        <x:v>12</x:v>
      </x:c>
      <x:c r="I3274" s="44" t="str">
        <x:v>26.12</x:v>
      </x:c>
      <x:c r="J3274" s="33" t="str">
        <x:v>Calculated</x:v>
      </x:c>
      <x:c r="K3274" s="33" t="str"/>
      <x:c r="L3274" s="33" t="str"/>
      <x:c r="M3274" s="44" t="str"/>
      <x:c r="N3274" s="50" t="n">
        <x:v>42</x:v>
      </x:c>
      <x:c r="O3274" s="53" t="str">
        <x:v>When a high school principal busts a student for sexting, the SVU uncovers a sinister case of distribution concerning hundreds of underage students. Silva pleads for leniency for a suspect she believes is innocent.</x:v>
      </x:c>
      <x:c r="P3274" s="53" t="str">
        <x:v>Core Law &amp; Order franchise</x:v>
      </x:c>
      <x:c r="Q3274" s="17" t="str">
        <x:v>12630718</x:v>
      </x:c>
      <x:c r="R3274" s="17" t="str">
        <x:v>tt35279292</x:v>
      </x:c>
      <x:c r="S3274" s="17" t="str">
        <x:v>1695</x:v>
      </x:c>
    </x:row>
    <x:row r="3275">
      <x:c r="A3275" s="43" t="n">
        <x:v>3271</x:v>
      </x:c>
      <x:c r="B3275" s="44" t="str">
        <x:v>Not Started</x:v>
      </x:c>
      <x:c r="C3275" s="45" t="n">
        <x:v>45707</x:v>
      </x:c>
      <x:c r="D3275" s="33" t="str">
        <x:v>FBI: International</x:v>
      </x:c>
      <x:c r="E3275" s="33" t="str">
        <x:v>FBI</x:v>
      </x:c>
      <x:c r="F3275" s="33" t="str">
        <x:v>core</x:v>
      </x:c>
      <x:c r="G3275" s="50" t="n">
        <x:v>4</x:v>
      </x:c>
      <x:c r="H3275" s="50" t="n">
        <x:v>12</x:v>
      </x:c>
      <x:c r="I3275" s="44" t="str">
        <x:v>04.12</x:v>
      </x:c>
      <x:c r="J3275" s="33" t="str">
        <x:v>Blood Doesn't Become Water</x:v>
      </x:c>
      <x:c r="K3275" s="33" t="str"/>
      <x:c r="L3275" s="33" t="str"/>
      <x:c r="M3275" s="44" t="str"/>
      <x:c r="N3275" s="50" t="n">
        <x:v>43</x:v>
      </x:c>
      <x:c r="O3275" s="53" t="str">
        <x:v>The Fly Team leads an international manhunt when an American woman and her new husband flee from Baltimore to Istanbul with her young son after a heinous murder. Also, Vo partners up with Special Agent Riley Quinn, who was not only sent to Budapest to work her first big case alongside The Fly Team but to also clandestinely investigate a member of the team.</x:v>
      </x:c>
      <x:c r="P3275" s="53" t="str">
        <x:v>Core FBI franchise</x:v>
      </x:c>
      <x:c r="Q3275" s="17" t="str">
        <x:v>12757059</x:v>
      </x:c>
      <x:c r="R3275" s="17" t="str">
        <x:v>tt35616801</x:v>
      </x:c>
      <x:c r="S3275" s="17" t="str"/>
    </x:row>
    <x:row r="3276">
      <x:c r="A3276" s="43" t="n">
        <x:v>3272</x:v>
      </x:c>
      <x:c r="B3276" s="44" t="str">
        <x:v>Not Started</x:v>
      </x:c>
      <x:c r="C3276" s="45" t="n">
        <x:v>45707</x:v>
      </x:c>
      <x:c r="D3276" s="33" t="str">
        <x:v>FBI: Most Wanted</x:v>
      </x:c>
      <x:c r="E3276" s="33" t="str">
        <x:v>FBI</x:v>
      </x:c>
      <x:c r="F3276" s="33" t="str">
        <x:v>core</x:v>
      </x:c>
      <x:c r="G3276" s="50" t="n">
        <x:v>6</x:v>
      </x:c>
      <x:c r="H3276" s="50" t="n">
        <x:v>12</x:v>
      </x:c>
      <x:c r="I3276" s="44" t="str">
        <x:v>06.12</x:v>
      </x:c>
      <x:c r="J3276" s="33" t="str">
        <x:v>68 Seconds</x:v>
      </x:c>
      <x:c r="K3276" s="33" t="str"/>
      <x:c r="L3276" s="33" t="str"/>
      <x:c r="M3276" s="44" t="str"/>
      <x:c r="N3276" s="50" t="n">
        <x:v>43</x:v>
      </x:c>
      <x:c r="O3276" s="53" t="str">
        <x:v>Remy calls in the Fugitive Task Force after ex-girlfriend judge April Brooks is assaulted by a serial rapist. Meanwhile, Remy decides to take the next step in his relationship with Abby after her case in New York winds down.</x:v>
      </x:c>
      <x:c r="P3276" s="53" t="str">
        <x:v>Core FBI franchise</x:v>
      </x:c>
      <x:c r="Q3276" s="17" t="str">
        <x:v>12776388</x:v>
      </x:c>
      <x:c r="R3276" s="17" t="str">
        <x:v>tt35616809</x:v>
      </x:c>
      <x:c r="S3276" s="17" t="str"/>
    </x:row>
    <x:row r="3277">
      <x:c r="A3277" s="43" t="n">
        <x:v>3273</x:v>
      </x:c>
      <x:c r="B3277" s="44" t="str">
        <x:v>Not Started</x:v>
      </x:c>
      <x:c r="C3277" s="45" t="n">
        <x:v>45707</x:v>
      </x:c>
      <x:c r="D3277" s="33" t="str">
        <x:v>FBI</x:v>
      </x:c>
      <x:c r="E3277" s="33" t="str">
        <x:v>FBI</x:v>
      </x:c>
      <x:c r="F3277" s="33" t="str">
        <x:v>core</x:v>
      </x:c>
      <x:c r="G3277" s="50" t="n">
        <x:v>7</x:v>
      </x:c>
      <x:c r="H3277" s="50" t="n">
        <x:v>12</x:v>
      </x:c>
      <x:c r="I3277" s="44" t="str">
        <x:v>07.12</x:v>
      </x:c>
      <x:c r="J3277" s="33" t="str">
        <x:v>Manhunt</x:v>
      </x:c>
      <x:c r="K3277" s="33" t="str"/>
      <x:c r="L3277" s="33" t="str"/>
      <x:c r="M3277" s="44" t="str"/>
      <x:c r="N3277" s="50" t="n">
        <x:v>42</x:v>
      </x:c>
      <x:c r="O3277" s="53" t="str">
        <x:v>When the team’s sex trafficking sting operation goes sideways, they race to recover a human trafficking victim. Meanwhile, Maggie makes a connection with a 911 operator to help find the girl before she is whisked out of the city or worse.</x:v>
      </x:c>
      <x:c r="P3277" s="53" t="str">
        <x:v>Core FBI franchise</x:v>
      </x:c>
      <x:c r="Q3277" s="17" t="str">
        <x:v>12780359</x:v>
      </x:c>
      <x:c r="R3277" s="17" t="str">
        <x:v>tt35621829</x:v>
      </x:c>
      <x:c r="S3277" s="17" t="str"/>
    </x:row>
    <x:row r="3278">
      <x:c r="A3278" s="43" t="n">
        <x:v>3274</x:v>
      </x:c>
      <x:c r="B3278" s="44" t="str">
        <x:v>Not Started</x:v>
      </x:c>
      <x:c r="C3278" s="45" t="n">
        <x:v>45708</x:v>
      </x:c>
      <x:c r="D3278" s="33" t="str">
        <x:v>Law &amp; Order Toronto: Criminal Intent</x:v>
      </x:c>
      <x:c r="E3278" s="33" t="str">
        <x:v>Law &amp; Order</x:v>
      </x:c>
      <x:c r="F3278" s="33" t="str">
        <x:v>core</x:v>
      </x:c>
      <x:c r="G3278" s="50" t="n">
        <x:v>2</x:v>
      </x:c>
      <x:c r="H3278" s="50" t="n">
        <x:v>1</x:v>
      </x:c>
      <x:c r="I3278" s="44" t="str">
        <x:v>02.01</x:v>
      </x:c>
      <x:c r="J3278" s="33" t="str">
        <x:v>White Squirrel City</x:v>
      </x:c>
      <x:c r="K3278" s="33" t="str"/>
      <x:c r="L3278" s="33" t="str"/>
      <x:c r="M3278" s="44" t="str"/>
      <x:c r="N3278" s="50" t="n">
        <x:v>44</x:v>
      </x:c>
      <x:c r="O3278" s="53" t="str">
        <x:v>When an unhoused man is stabbed to death in a downtown park, Graff and Bateman are called to investigate as attention turns to his various neighbours.</x:v>
      </x:c>
      <x:c r="P3278" s="53" t="str">
        <x:v>Law &amp; Order international franchise</x:v>
      </x:c>
      <x:c r="Q3278" s="17" t="str">
        <x:v>12663833</x:v>
      </x:c>
      <x:c r="R3278" s="17" t="str">
        <x:v>tt32560582</x:v>
      </x:c>
      <x:c r="S3278" s="17" t="str">
        <x:v>1696</x:v>
      </x:c>
    </x:row>
    <x:row r="3279">
      <x:c r="A3279" s="43" t="n">
        <x:v>3275</x:v>
      </x:c>
      <x:c r="B3279" s="44" t="str">
        <x:v>Not Started</x:v>
      </x:c>
      <x:c r="C3279" s="45" t="n">
        <x:v>45708</x:v>
      </x:c>
      <x:c r="D3279" s="33" t="str">
        <x:v>Chicago Med</x:v>
      </x:c>
      <x:c r="E3279" s="33" t="str">
        <x:v>One Chicago</x:v>
      </x:c>
      <x:c r="F3279" s="33" t="str">
        <x:v>core</x:v>
      </x:c>
      <x:c r="G3279" s="50" t="n">
        <x:v>10</x:v>
      </x:c>
      <x:c r="H3279" s="50" t="n">
        <x:v>13</x:v>
      </x:c>
      <x:c r="I3279" s="44" t="str">
        <x:v>10.13</x:v>
      </x:c>
      <x:c r="J3279" s="33" t="str">
        <x:v>Take a Look in the Mirror</x:v>
      </x:c>
      <x:c r="K3279" s="33" t="str"/>
      <x:c r="L3279" s="33" t="str"/>
      <x:c r="M3279" s="44" t="str"/>
      <x:c r="N3279" s="50" t="n">
        <x:v>43</x:v>
      </x:c>
      <x:c r="O3279" s="53" t="str">
        <x:v>Lenox's mentorship is put to the test. Asher helps a religious young woman with an ectopic pregnancy. Ripley's self-destructive behavior continues to escalate.</x:v>
      </x:c>
      <x:c r="P3279" s="53" t="str">
        <x:v>Core One Chicago franchise</x:v>
      </x:c>
      <x:c r="Q3279" s="17" t="str">
        <x:v>12778443</x:v>
      </x:c>
      <x:c r="R3279" s="17" t="str">
        <x:v>tt35618577</x:v>
      </x:c>
      <x:c r="S3279" s="17" t="str"/>
    </x:row>
    <x:row r="3280">
      <x:c r="A3280" s="43" t="n">
        <x:v>3276</x:v>
      </x:c>
      <x:c r="B3280" s="44" t="str">
        <x:v>Not Started</x:v>
      </x:c>
      <x:c r="C3280" s="45" t="n">
        <x:v>45708</x:v>
      </x:c>
      <x:c r="D3280" s="33" t="str">
        <x:v>Chicago P.D.</x:v>
      </x:c>
      <x:c r="E3280" s="33" t="str">
        <x:v>One Chicago</x:v>
      </x:c>
      <x:c r="F3280" s="33" t="str">
        <x:v>core</x:v>
      </x:c>
      <x:c r="G3280" s="50" t="n">
        <x:v>12</x:v>
      </x:c>
      <x:c r="H3280" s="50" t="n">
        <x:v>13</x:v>
      </x:c>
      <x:c r="I3280" s="44" t="str">
        <x:v>12.13</x:v>
      </x:c>
      <x:c r="J3280" s="33" t="str">
        <x:v>Street Jesus</x:v>
      </x:c>
      <x:c r="K3280" s="33" t="str"/>
      <x:c r="L3280" s="33" t="str"/>
      <x:c r="M3280" s="44" t="str"/>
      <x:c r="N3280" s="50" t="n">
        <x:v>43</x:v>
      </x:c>
      <x:c r="O3280" s="53" t="str">
        <x:v>A mounting street war threatens a community-center project that Atwater is trying to get off the ground.</x:v>
      </x:c>
      <x:c r="P3280" s="53" t="str">
        <x:v>Core One Chicago franchise; crossovers with SVU/FBI</x:v>
      </x:c>
      <x:c r="Q3280" s="17" t="str">
        <x:v>12778514</x:v>
      </x:c>
      <x:c r="R3280" s="17" t="str">
        <x:v>tt35553997</x:v>
      </x:c>
      <x:c r="S3280" s="17" t="str"/>
    </x:row>
    <x:row r="3281">
      <x:c r="A3281" s="43" t="n">
        <x:v>3277</x:v>
      </x:c>
      <x:c r="B3281" s="44" t="str">
        <x:v>Not Started</x:v>
      </x:c>
      <x:c r="C3281" s="45" t="n">
        <x:v>45708</x:v>
      </x:c>
      <x:c r="D3281" s="33" t="str">
        <x:v>Chicago Fire</x:v>
      </x:c>
      <x:c r="E3281" s="33" t="str">
        <x:v>One Chicago</x:v>
      </x:c>
      <x:c r="F3281" s="33" t="str">
        <x:v>core</x:v>
      </x:c>
      <x:c r="G3281" s="50" t="n">
        <x:v>13</x:v>
      </x:c>
      <x:c r="H3281" s="50" t="n">
        <x:v>13</x:v>
      </x:c>
      <x:c r="I3281" s="44" t="str">
        <x:v>13.13</x:v>
      </x:c>
      <x:c r="J3281" s="33" t="str">
        <x:v>Born of Fire</x:v>
      </x:c>
      <x:c r="K3281" s="33" t="str"/>
      <x:c r="L3281" s="33" t="str"/>
      <x:c r="M3281" s="44" t="str"/>
      <x:c r="N3281" s="50" t="n">
        <x:v>42</x:v>
      </x:c>
      <x:c r="O3281" s="53" t="str">
        <x:v>After a daring rescue at an adventure park, Kidd asks Severide to create a ropes course for Girls on Fire. Violet’s former nemesis returns, pleading for her help.</x:v>
      </x:c>
      <x:c r="P3281" s="53" t="str">
        <x:v>Core One Chicago franchise</x:v>
      </x:c>
      <x:c r="Q3281" s="17" t="str">
        <x:v>12778445</x:v>
      </x:c>
      <x:c r="R3281" s="17" t="str">
        <x:v>tt34668891</x:v>
      </x:c>
      <x:c r="S3281" s="17" t="str"/>
    </x:row>
    <x:row r="3282">
      <x:c r="A3282" s="43" t="n">
        <x:v>3278</x:v>
      </x:c>
      <x:c r="B3282" s="44" t="str">
        <x:v>Not Started</x:v>
      </x:c>
      <x:c r="C3282" s="45" t="n">
        <x:v>45708</x:v>
      </x:c>
      <x:c r="D3282" s="33" t="str">
        <x:v>Law &amp; Order</x:v>
      </x:c>
      <x:c r="E3282" s="33" t="str">
        <x:v>Law &amp; Order</x:v>
      </x:c>
      <x:c r="F3282" s="33" t="str">
        <x:v>core</x:v>
      </x:c>
      <x:c r="G3282" s="50" t="n">
        <x:v>24</x:v>
      </x:c>
      <x:c r="H3282" s="50" t="n">
        <x:v>13</x:v>
      </x:c>
      <x:c r="I3282" s="44" t="str">
        <x:v>24.13</x:v>
      </x:c>
      <x:c r="J3282" s="33" t="str">
        <x:v>In God We Trust</x:v>
      </x:c>
      <x:c r="K3282" s="33" t="str"/>
      <x:c r="L3282" s="33" t="str"/>
      <x:c r="M3282" s="44" t="str"/>
      <x:c r="N3282" s="50" t="n">
        <x:v>43</x:v>
      </x:c>
      <x:c r="O3282" s="53" t="str">
        <x:v>A young lawyer with a secret past is found dead. Price and Baxter debate the pros and cons of prison as a punishment versus alternative justice options.</x:v>
      </x:c>
      <x:c r="P3282" s="53" t="str">
        <x:v>Core Law &amp; Order franchise</x:v>
      </x:c>
      <x:c r="Q3282" s="17" t="str">
        <x:v>12781471</x:v>
      </x:c>
      <x:c r="R3282" s="17" t="str">
        <x:v>tt35674120</x:v>
      </x:c>
      <x:c r="S3282" s="17" t="str">
        <x:v>1697</x:v>
      </x:c>
    </x:row>
    <x:row r="3283">
      <x:c r="A3283" s="43" t="n">
        <x:v>3279</x:v>
      </x:c>
      <x:c r="B3283" s="44" t="str">
        <x:v>Not Started</x:v>
      </x:c>
      <x:c r="C3283" s="45" t="n">
        <x:v>45708</x:v>
      </x:c>
      <x:c r="D3283" s="33" t="str">
        <x:v>Law &amp; Order: Special Victims Unit</x:v>
      </x:c>
      <x:c r="E3283" s="33" t="str">
        <x:v>Law &amp; Order</x:v>
      </x:c>
      <x:c r="F3283" s="33" t="str">
        <x:v>core</x:v>
      </x:c>
      <x:c r="G3283" s="50" t="n">
        <x:v>26</x:v>
      </x:c>
      <x:c r="H3283" s="50" t="n">
        <x:v>13</x:v>
      </x:c>
      <x:c r="I3283" s="44" t="str">
        <x:v>26.13</x:v>
      </x:c>
      <x:c r="J3283" s="33" t="str">
        <x:v>Extinguished</x:v>
      </x:c>
      <x:c r="K3283" s="33" t="str"/>
      <x:c r="L3283" s="33" t="str"/>
      <x:c r="M3283" s="44" t="str"/>
      <x:c r="N3283" s="50" t="n">
        <x:v>42</x:v>
      </x:c>
      <x:c r="O3283" s="53" t="str">
        <x:v>Velasco teams up with a community security guard eager to prove his mettle to find a suspect in the assault of two teens.</x:v>
      </x:c>
      <x:c r="P3283" s="53" t="str">
        <x:v>Core Law &amp; Order franchise</x:v>
      </x:c>
      <x:c r="Q3283" s="17" t="str">
        <x:v>12630722</x:v>
      </x:c>
      <x:c r="R3283" s="17" t="str">
        <x:v>tt35397595</x:v>
      </x:c>
      <x:c r="S3283" s="17" t="str">
        <x:v>1698</x:v>
      </x:c>
    </x:row>
    <x:row r="3284">
      <x:c r="A3284" s="43" t="n">
        <x:v>3280</x:v>
      </x:c>
      <x:c r="B3284" s="44" t="str">
        <x:v>Not Started</x:v>
      </x:c>
      <x:c r="C3284" s="45" t="n">
        <x:v>45714</x:v>
      </x:c>
      <x:c r="D3284" s="33" t="str">
        <x:v>FBI: International</x:v>
      </x:c>
      <x:c r="E3284" s="33" t="str">
        <x:v>FBI</x:v>
      </x:c>
      <x:c r="F3284" s="33" t="str">
        <x:v>core</x:v>
      </x:c>
      <x:c r="G3284" s="50" t="n">
        <x:v>4</x:v>
      </x:c>
      <x:c r="H3284" s="50" t="n">
        <x:v>13</x:v>
      </x:c>
      <x:c r="I3284" s="44" t="str">
        <x:v>04.13</x:v>
      </x:c>
      <x:c r="J3284" s="33" t="str">
        <x:v>You've Been Greenlit</x:v>
      </x:c>
      <x:c r="K3284" s="33" t="str"/>
      <x:c r="L3284" s="33" t="str"/>
      <x:c r="M3284" s="44" t="str"/>
      <x:c r="N3284" s="50" t="n">
        <x:v>42</x:v>
      </x:c>
      <x:c r="O3284" s="53" t="str">
        <x:v>When an American businessman is gunned down in Bratislava, the Fly Team must work with an unscrupulous local detective while safeguarding the sole witness, a fearful tourist from Wisconsin being held by police. Meanwhile, Quinn begins to feel pressure from her brother to deliver information on Mitchell.</x:v>
      </x:c>
      <x:c r="P3284" s="53" t="str">
        <x:v>Core FBI franchise</x:v>
      </x:c>
      <x:c r="Q3284" s="17" t="str">
        <x:v>12805222</x:v>
      </x:c>
      <x:c r="R3284" s="17" t="str">
        <x:v>tt35715675</x:v>
      </x:c>
      <x:c r="S3284" s="17" t="str"/>
    </x:row>
    <x:row r="3285">
      <x:c r="A3285" s="43" t="n">
        <x:v>3281</x:v>
      </x:c>
      <x:c r="B3285" s="44" t="str">
        <x:v>Not Started</x:v>
      </x:c>
      <x:c r="C3285" s="45" t="n">
        <x:v>45714</x:v>
      </x:c>
      <x:c r="D3285" s="33" t="str">
        <x:v>FBI: Most Wanted</x:v>
      </x:c>
      <x:c r="E3285" s="33" t="str">
        <x:v>FBI</x:v>
      </x:c>
      <x:c r="F3285" s="33" t="str">
        <x:v>core</x:v>
      </x:c>
      <x:c r="G3285" s="50" t="n">
        <x:v>6</x:v>
      </x:c>
      <x:c r="H3285" s="50" t="n">
        <x:v>13</x:v>
      </x:c>
      <x:c r="I3285" s="44" t="str">
        <x:v>06.13</x:v>
      </x:c>
      <x:c r="J3285" s="33" t="str">
        <x:v>Greek Tragedy</x:v>
      </x:c>
      <x:c r="K3285" s="33" t="str"/>
      <x:c r="L3285" s="33" t="str"/>
      <x:c r="M3285" s="44" t="str"/>
      <x:c r="N3285" s="50" t="n">
        <x:v>42</x:v>
      </x:c>
      <x:c r="O3285" s="53" t="str">
        <x:v>When two sorority sisters are found stabbed to death, the Fugitive Task Force heads to Virginia to hunt down the suspect before more killings occur. Hana agrees to meet with Ethan after he asks her for help with his latest troubles.</x:v>
      </x:c>
      <x:c r="P3285" s="53" t="str">
        <x:v>Core FBI franchise</x:v>
      </x:c>
      <x:c r="Q3285" s="17" t="str">
        <x:v>12815694</x:v>
      </x:c>
      <x:c r="R3285" s="17" t="str">
        <x:v>tt35715679</x:v>
      </x:c>
      <x:c r="S3285" s="17" t="str"/>
    </x:row>
    <x:row r="3286">
      <x:c r="A3286" s="43" t="n">
        <x:v>3282</x:v>
      </x:c>
      <x:c r="B3286" s="44" t="str">
        <x:v>Not Started</x:v>
      </x:c>
      <x:c r="C3286" s="45" t="n">
        <x:v>45714</x:v>
      </x:c>
      <x:c r="D3286" s="33" t="str">
        <x:v>FBI</x:v>
      </x:c>
      <x:c r="E3286" s="33" t="str">
        <x:v>FBI</x:v>
      </x:c>
      <x:c r="F3286" s="33" t="str">
        <x:v>core</x:v>
      </x:c>
      <x:c r="G3286" s="50" t="n">
        <x:v>7</x:v>
      </x:c>
      <x:c r="H3286" s="50" t="n">
        <x:v>13</x:v>
      </x:c>
      <x:c r="I3286" s="44" t="str">
        <x:v>07.13</x:v>
      </x:c>
      <x:c r="J3286" s="33" t="str">
        <x:v>Unearth</x:v>
      </x:c>
      <x:c r="K3286" s="33" t="str"/>
      <x:c r="L3286" s="33" t="str"/>
      <x:c r="M3286" s="44" t="str"/>
      <x:c r="N3286" s="50" t="n">
        <x:v>42</x:v>
      </x:c>
      <x:c r="O3286" s="53" t="str">
        <x:v>After two jurors for a high-profile mafia trial are gunned down, the team jumps into an organized crime investigation until it is discovered that the jurors may not have been the intended targets at all. The case becomes personal for Scola when he learns that one of his former drill instructors from the military academy he attended may be linked.</x:v>
      </x:c>
      <x:c r="P3286" s="53" t="str">
        <x:v>Core FBI franchise</x:v>
      </x:c>
      <x:c r="Q3286" s="17" t="str">
        <x:v>12833888</x:v>
      </x:c>
      <x:c r="R3286" s="17" t="str">
        <x:v>tt35715668</x:v>
      </x:c>
      <x:c r="S3286" s="17" t="str"/>
    </x:row>
    <x:row r="3287">
      <x:c r="A3287" s="43" t="n">
        <x:v>3283</x:v>
      </x:c>
      <x:c r="B3287" s="44" t="str">
        <x:v>Not Started</x:v>
      </x:c>
      <x:c r="C3287" s="45" t="n">
        <x:v>45715</x:v>
      </x:c>
      <x:c r="D3287" s="33" t="str">
        <x:v>Law &amp; Order Toronto: Criminal Intent</x:v>
      </x:c>
      <x:c r="E3287" s="33" t="str">
        <x:v>Law &amp; Order</x:v>
      </x:c>
      <x:c r="F3287" s="33" t="str">
        <x:v>core</x:v>
      </x:c>
      <x:c r="G3287" s="50" t="n">
        <x:v>2</x:v>
      </x:c>
      <x:c r="H3287" s="50" t="n">
        <x:v>2</x:v>
      </x:c>
      <x:c r="I3287" s="44" t="str">
        <x:v>02.02</x:v>
      </x:c>
      <x:c r="J3287" s="33" t="str">
        <x:v>Digital Lipstick</x:v>
      </x:c>
      <x:c r="K3287" s="33" t="str"/>
      <x:c r="L3287" s="33" t="str"/>
      <x:c r="M3287" s="44" t="str"/>
      <x:c r="N3287" s="50" t="n">
        <x:v>44</x:v>
      </x:c>
      <x:c r="O3287" s="53" t="str">
        <x:v>A stabbing in the PATH leads Graff and Bateman to one of the most scandalous data breaches in Toronto's history.</x:v>
      </x:c>
      <x:c r="P3287" s="53" t="str">
        <x:v>Law &amp; Order international franchise</x:v>
      </x:c>
      <x:c r="Q3287" s="17" t="str">
        <x:v>12663834</x:v>
      </x:c>
      <x:c r="R3287" s="17" t="str">
        <x:v>tt33076923</x:v>
      </x:c>
      <x:c r="S3287" s="17" t="str">
        <x:v>1699</x:v>
      </x:c>
    </x:row>
    <x:row r="3288">
      <x:c r="A3288" s="43" t="n">
        <x:v>3284</x:v>
      </x:c>
      <x:c r="B3288" s="44" t="str">
        <x:v>Not Started</x:v>
      </x:c>
      <x:c r="C3288" s="45" t="n">
        <x:v>45715</x:v>
      </x:c>
      <x:c r="D3288" s="33" t="str">
        <x:v>Chicago Med</x:v>
      </x:c>
      <x:c r="E3288" s="33" t="str">
        <x:v>One Chicago</x:v>
      </x:c>
      <x:c r="F3288" s="33" t="str">
        <x:v>core</x:v>
      </x:c>
      <x:c r="G3288" s="50" t="n">
        <x:v>10</x:v>
      </x:c>
      <x:c r="H3288" s="50" t="n">
        <x:v>14</x:v>
      </x:c>
      <x:c r="I3288" s="44" t="str">
        <x:v>10.14</x:v>
      </x:c>
      <x:c r="J3288" s="33" t="str">
        <x:v>Acid Test</x:v>
      </x:c>
      <x:c r="K3288" s="33" t="str"/>
      <x:c r="L3288" s="33" t="str"/>
      <x:c r="M3288" s="44" t="str"/>
      <x:c r="N3288" s="50" t="n">
        <x:v>43</x:v>
      </x:c>
      <x:c r="O3288" s="53" t="str">
        <x:v>Gaffney gets a surprise visit from a National Accreditation Board of Hospitals representative. Asher and Naomi search for the cause of a young girl's infection. Lenox and Frost work together to save the victim of an accidental shooting.</x:v>
      </x:c>
      <x:c r="P3288" s="53" t="str">
        <x:v>Core One Chicago franchise</x:v>
      </x:c>
      <x:c r="Q3288" s="17" t="str">
        <x:v>12778444</x:v>
      </x:c>
      <x:c r="R3288" s="17" t="str">
        <x:v>tt35713298</x:v>
      </x:c>
      <x:c r="S3288" s="17" t="str"/>
    </x:row>
    <x:row r="3289">
      <x:c r="A3289" s="43" t="n">
        <x:v>3285</x:v>
      </x:c>
      <x:c r="B3289" s="44" t="str">
        <x:v>Not Started</x:v>
      </x:c>
      <x:c r="C3289" s="45" t="n">
        <x:v>45715</x:v>
      </x:c>
      <x:c r="D3289" s="33" t="str">
        <x:v>Chicago P.D.</x:v>
      </x:c>
      <x:c r="E3289" s="33" t="str">
        <x:v>One Chicago</x:v>
      </x:c>
      <x:c r="F3289" s="33" t="str">
        <x:v>core</x:v>
      </x:c>
      <x:c r="G3289" s="50" t="n">
        <x:v>12</x:v>
      </x:c>
      <x:c r="H3289" s="50" t="n">
        <x:v>14</x:v>
      </x:c>
      <x:c r="I3289" s="44" t="str">
        <x:v>12.14</x:v>
      </x:c>
      <x:c r="J3289" s="33" t="str">
        <x:v>Marie</x:v>
      </x:c>
      <x:c r="K3289" s="33" t="str"/>
      <x:c r="L3289" s="33" t="str"/>
      <x:c r="M3289" s="44" t="str"/>
      <x:c r="N3289" s="50" t="n">
        <x:v>43</x:v>
      </x:c>
      <x:c r="O3289" s="53" t="str">
        <x:v>Ruzek grapples with his father's worsening condition while Intelligence searches for an elusive serial killer.</x:v>
      </x:c>
      <x:c r="P3289" s="53" t="str">
        <x:v>Core One Chicago franchise; crossovers with SVU/FBI</x:v>
      </x:c>
      <x:c r="Q3289" s="17" t="str">
        <x:v>12778515</x:v>
      </x:c>
      <x:c r="R3289" s="17" t="str">
        <x:v>tt35713302</x:v>
      </x:c>
      <x:c r="S3289" s="17" t="str"/>
    </x:row>
    <x:row r="3290">
      <x:c r="A3290" s="43" t="n">
        <x:v>3286</x:v>
      </x:c>
      <x:c r="B3290" s="44" t="str">
        <x:v>Not Started</x:v>
      </x:c>
      <x:c r="C3290" s="45" t="n">
        <x:v>45715</x:v>
      </x:c>
      <x:c r="D3290" s="33" t="str">
        <x:v>Chicago Fire</x:v>
      </x:c>
      <x:c r="E3290" s="33" t="str">
        <x:v>One Chicago</x:v>
      </x:c>
      <x:c r="F3290" s="33" t="str">
        <x:v>core</x:v>
      </x:c>
      <x:c r="G3290" s="50" t="n">
        <x:v>13</x:v>
      </x:c>
      <x:c r="H3290" s="50" t="n">
        <x:v>14</x:v>
      </x:c>
      <x:c r="I3290" s="44" t="str">
        <x:v>13.14</x:v>
      </x:c>
      <x:c r="J3290" s="33" t="str">
        <x:v>Bar Time</x:v>
      </x:c>
      <x:c r="K3290" s="33" t="str"/>
      <x:c r="L3290" s="33" t="str"/>
      <x:c r="M3290" s="44" t="str"/>
      <x:c r="N3290" s="50" t="n">
        <x:v>42</x:v>
      </x:c>
      <x:c r="O3290" s="53" t="str">
        <x:v>A surprise visitor from Novak's past joins Ambo for a late-night ride-along. Herrmann faces a mountain of Chief-level training records and incident reports. Violet catches Carver in a lie.</x:v>
      </x:c>
      <x:c r="P3290" s="53" t="str">
        <x:v>Core One Chicago franchise</x:v>
      </x:c>
      <x:c r="Q3290" s="17" t="str">
        <x:v>12778446</x:v>
      </x:c>
      <x:c r="R3290" s="17" t="str">
        <x:v>tt34668901</x:v>
      </x:c>
      <x:c r="S3290" s="17" t="str"/>
    </x:row>
    <x:row r="3291">
      <x:c r="A3291" s="43" t="n">
        <x:v>3287</x:v>
      </x:c>
      <x:c r="B3291" s="44" t="str">
        <x:v>Not Started</x:v>
      </x:c>
      <x:c r="C3291" s="45" t="n">
        <x:v>45715</x:v>
      </x:c>
      <x:c r="D3291" s="33" t="str">
        <x:v>Law &amp; Order</x:v>
      </x:c>
      <x:c r="E3291" s="33" t="str">
        <x:v>Law &amp; Order</x:v>
      </x:c>
      <x:c r="F3291" s="33" t="str">
        <x:v>core</x:v>
      </x:c>
      <x:c r="G3291" s="50" t="n">
        <x:v>24</x:v>
      </x:c>
      <x:c r="H3291" s="50" t="n">
        <x:v>14</x:v>
      </x:c>
      <x:c r="I3291" s="44" t="str">
        <x:v>24.14</x:v>
      </x:c>
      <x:c r="J3291" s="33" t="str">
        <x:v>A Price to Pay</x:v>
      </x:c>
      <x:c r="K3291" s="33" t="str"/>
      <x:c r="L3291" s="33" t="str"/>
      <x:c r="M3291" s="44" t="str"/>
      <x:c r="N3291" s="50" t="n">
        <x:v>43</x:v>
      </x:c>
      <x:c r="O3291" s="53" t="str">
        <x:v>An actor's foray into experimental drug therapy leads to his murder. Shaw reconnects with a mentor who may hold the key to identifying a suspect.</x:v>
      </x:c>
      <x:c r="P3291" s="53" t="str">
        <x:v>Core Law &amp; Order franchise</x:v>
      </x:c>
      <x:c r="Q3291" s="17" t="str">
        <x:v>12781472</x:v>
      </x:c>
      <x:c r="R3291" s="17" t="str">
        <x:v>tt35741319</x:v>
      </x:c>
      <x:c r="S3291" s="17" t="str">
        <x:v>1700</x:v>
      </x:c>
    </x:row>
    <x:row r="3292">
      <x:c r="A3292" s="43" t="n">
        <x:v>3288</x:v>
      </x:c>
      <x:c r="B3292" s="44" t="str">
        <x:v>Not Started</x:v>
      </x:c>
      <x:c r="C3292" s="45" t="n">
        <x:v>45715</x:v>
      </x:c>
      <x:c r="D3292" s="33" t="str">
        <x:v>Law &amp; Order: Special Victims Unit</x:v>
      </x:c>
      <x:c r="E3292" s="33" t="str">
        <x:v>Law &amp; Order</x:v>
      </x:c>
      <x:c r="F3292" s="33" t="str">
        <x:v>core</x:v>
      </x:c>
      <x:c r="G3292" s="50" t="n">
        <x:v>26</x:v>
      </x:c>
      <x:c r="H3292" s="50" t="n">
        <x:v>14</x:v>
      </x:c>
      <x:c r="I3292" s="44" t="str">
        <x:v>26.14</x:v>
      </x:c>
      <x:c r="J3292" s="33" t="str">
        <x:v>The Grid Plan</x:v>
      </x:c>
      <x:c r="K3292" s="33" t="str"/>
      <x:c r="L3292" s="33" t="str"/>
      <x:c r="M3292" s="44" t="str"/>
      <x:c r="N3292" s="50" t="n">
        <x:v>42</x:v>
      </x:c>
      <x:c r="O3292" s="53" t="str">
        <x:v>A Midwestern tourist is viciously attacked in Times Square. As the squad scours the area for clues, the victim takes the investigation into her own hands. A secret motive threatens to derail Carisi's case.</x:v>
      </x:c>
      <x:c r="P3292" s="53" t="str">
        <x:v>Core Law &amp; Order franchise</x:v>
      </x:c>
      <x:c r="Q3292" s="17" t="str">
        <x:v>12802922</x:v>
      </x:c>
      <x:c r="R3292" s="17" t="str">
        <x:v>tt35397587</x:v>
      </x:c>
      <x:c r="S3292" s="17" t="str">
        <x:v>1701</x:v>
      </x:c>
    </x:row>
    <x:row r="3293">
      <x:c r="A3293" s="43" t="n">
        <x:v>3289</x:v>
      </x:c>
      <x:c r="B3293" s="44" t="str">
        <x:v>Not Started</x:v>
      </x:c>
      <x:c r="C3293" s="45" t="n">
        <x:v>45722</x:v>
      </x:c>
      <x:c r="D3293" s="33" t="str">
        <x:v>Chicago Med</x:v>
      </x:c>
      <x:c r="E3293" s="33" t="str">
        <x:v>One Chicago</x:v>
      </x:c>
      <x:c r="F3293" s="33" t="str">
        <x:v>core</x:v>
      </x:c>
      <x:c r="G3293" s="50" t="n">
        <x:v>10</x:v>
      </x:c>
      <x:c r="H3293" s="50" t="n">
        <x:v>15</x:v>
      </x:c>
      <x:c r="I3293" s="44" t="str">
        <x:v>10.15</x:v>
      </x:c>
      <x:c r="J3293" s="33" t="str">
        <x:v>Down in a Hole</x:v>
      </x:c>
      <x:c r="K3293" s="33" t="str"/>
      <x:c r="L3293" s="33" t="str"/>
      <x:c r="M3293" s="44" t="str"/>
      <x:c r="N3293" s="50" t="n">
        <x:v>43</x:v>
      </x:c>
      <x:c r="O3293" s="53" t="str">
        <x:v>Ripley struggles to rescue a woman and her daughter trapped in an abandoned well. An old friend from Frost's TV days shadows Maggie. Asher discovers an extremely rare condition in her patient's ultrasound.</x:v>
      </x:c>
      <x:c r="P3293" s="53" t="str">
        <x:v>Core One Chicago franchise</x:v>
      </x:c>
      <x:c r="Q3293" s="17" t="str">
        <x:v>12825739</x:v>
      </x:c>
      <x:c r="R3293" s="17" t="str">
        <x:v>tt35841966</x:v>
      </x:c>
      <x:c r="S3293" s="17" t="str"/>
    </x:row>
    <x:row r="3294">
      <x:c r="A3294" s="43" t="n">
        <x:v>3290</x:v>
      </x:c>
      <x:c r="B3294" s="44" t="str">
        <x:v>Not Started</x:v>
      </x:c>
      <x:c r="C3294" s="45" t="n">
        <x:v>45722</x:v>
      </x:c>
      <x:c r="D3294" s="33" t="str">
        <x:v>Chicago P.D.</x:v>
      </x:c>
      <x:c r="E3294" s="33" t="str">
        <x:v>One Chicago</x:v>
      </x:c>
      <x:c r="F3294" s="33" t="str">
        <x:v>core</x:v>
      </x:c>
      <x:c r="G3294" s="50" t="n">
        <x:v>12</x:v>
      </x:c>
      <x:c r="H3294" s="50" t="n">
        <x:v>15</x:v>
      </x:c>
      <x:c r="I3294" s="44" t="str">
        <x:v>12.15</x:v>
      </x:c>
      <x:c r="J3294" s="33" t="str">
        <x:v>Greater Good</x:v>
      </x:c>
      <x:c r="K3294" s="33" t="str"/>
      <x:c r="L3294" s="33" t="str"/>
      <x:c r="M3294" s="44" t="str"/>
      <x:c r="N3294" s="50" t="n">
        <x:v>42</x:v>
      </x:c>
      <x:c r="O3294" s="53" t="str">
        <x:v>Voight questions Deputy Chief Reid's motives in enacting a Violence Reduction Initiative across a neighborhood where numerous gangs are fighting for territory.</x:v>
      </x:c>
      <x:c r="P3294" s="53" t="str">
        <x:v>Core One Chicago franchise; crossovers with SVU/FBI</x:v>
      </x:c>
      <x:c r="Q3294" s="17" t="str">
        <x:v>12825744</x:v>
      </x:c>
      <x:c r="R3294" s="17" t="str">
        <x:v>tt35871287</x:v>
      </x:c>
      <x:c r="S3294" s="17" t="str"/>
    </x:row>
    <x:row r="3295">
      <x:c r="A3295" s="43" t="n">
        <x:v>3291</x:v>
      </x:c>
      <x:c r="B3295" s="44" t="str">
        <x:v>Not Started</x:v>
      </x:c>
      <x:c r="C3295" s="45" t="n">
        <x:v>45722</x:v>
      </x:c>
      <x:c r="D3295" s="33" t="str">
        <x:v>Chicago Fire</x:v>
      </x:c>
      <x:c r="E3295" s="33" t="str">
        <x:v>One Chicago</x:v>
      </x:c>
      <x:c r="F3295" s="33" t="str">
        <x:v>core</x:v>
      </x:c>
      <x:c r="G3295" s="50" t="n">
        <x:v>13</x:v>
      </x:c>
      <x:c r="H3295" s="50" t="n">
        <x:v>15</x:v>
      </x:c>
      <x:c r="I3295" s="44" t="str">
        <x:v>13.15</x:v>
      </x:c>
      <x:c r="J3295" s="33" t="str">
        <x:v>Too Close</x:v>
      </x:c>
      <x:c r="K3295" s="33" t="str"/>
      <x:c r="L3295" s="33" t="str"/>
      <x:c r="M3295" s="44" t="str"/>
      <x:c r="N3295" s="50" t="n">
        <x:v>42</x:v>
      </x:c>
      <x:c r="O3295" s="53" t="str">
        <x:v>Kidd and Severide eagerly await big news. Pascal searches for the perfect anniversary gift.</x:v>
      </x:c>
      <x:c r="P3295" s="53" t="str">
        <x:v>Core One Chicago franchise</x:v>
      </x:c>
      <x:c r="Q3295" s="17" t="str">
        <x:v>12825743</x:v>
      </x:c>
      <x:c r="R3295" s="17" t="str">
        <x:v>tt34668905</x:v>
      </x:c>
      <x:c r="S3295" s="17" t="str"/>
    </x:row>
    <x:row r="3296">
      <x:c r="A3296" s="43" t="n">
        <x:v>3292</x:v>
      </x:c>
      <x:c r="B3296" s="44" t="str">
        <x:v>Not Started</x:v>
      </x:c>
      <x:c r="C3296" s="45" t="n">
        <x:v>45728</x:v>
      </x:c>
      <x:c r="D3296" s="33" t="str">
        <x:v>FBI: International</x:v>
      </x:c>
      <x:c r="E3296" s="33" t="str">
        <x:v>FBI</x:v>
      </x:c>
      <x:c r="F3296" s="33" t="str">
        <x:v>core</x:v>
      </x:c>
      <x:c r="G3296" s="50" t="n">
        <x:v>4</x:v>
      </x:c>
      <x:c r="H3296" s="50" t="n">
        <x:v>14</x:v>
      </x:c>
      <x:c r="I3296" s="44" t="str">
        <x:v>04.14</x:v>
      </x:c>
      <x:c r="J3296" s="33" t="str">
        <x:v>A Winged Lion for Protection</x:v>
      </x:c>
      <x:c r="K3296" s="33" t="str"/>
      <x:c r="L3296" s="33" t="str"/>
      <x:c r="M3296" s="44" t="str"/>
      <x:c r="N3296" s="50" t="n">
        <x:v>43</x:v>
      </x:c>
      <x:c r="O3296" s="53" t="str">
        <x:v>After a young American woman is brutally murdered in Venice, the Fly Team is met with hostility when they discover that their person of interest has ties to a well-connected Italian family. Soon, the case gets even more complicated when the CIA Station Chief shows up with an agenda of his own. Meanwhile, pressure mounts on Quinn to deliver intel on Mitchell.</x:v>
      </x:c>
      <x:c r="P3296" s="53" t="str">
        <x:v>Core FBI franchise</x:v>
      </x:c>
      <x:c r="Q3296" s="17" t="str">
        <x:v>12825742</x:v>
      </x:c>
      <x:c r="R3296" s="17" t="str">
        <x:v>tt35930125</x:v>
      </x:c>
      <x:c r="S3296" s="17" t="str"/>
    </x:row>
    <x:row r="3297">
      <x:c r="A3297" s="43" t="n">
        <x:v>3293</x:v>
      </x:c>
      <x:c r="B3297" s="44" t="str">
        <x:v>Not Started</x:v>
      </x:c>
      <x:c r="C3297" s="45" t="n">
        <x:v>45728</x:v>
      </x:c>
      <x:c r="D3297" s="33" t="str">
        <x:v>FBI: Most Wanted</x:v>
      </x:c>
      <x:c r="E3297" s="33" t="str">
        <x:v>FBI</x:v>
      </x:c>
      <x:c r="F3297" s="33" t="str">
        <x:v>core</x:v>
      </x:c>
      <x:c r="G3297" s="50" t="n">
        <x:v>6</x:v>
      </x:c>
      <x:c r="H3297" s="50" t="n">
        <x:v>14</x:v>
      </x:c>
      <x:c r="I3297" s="44" t="str">
        <x:v>06.14</x:v>
      </x:c>
      <x:c r="J3297" s="33" t="str">
        <x:v>100%</x:v>
      </x:c>
      <x:c r="K3297" s="33" t="str"/>
      <x:c r="L3297" s="33" t="str"/>
      <x:c r="M3297" s="44" t="str"/>
      <x:c r="N3297" s="50" t="n">
        <x:v>43</x:v>
      </x:c>
      <x:c r="O3297" s="53" t="str">
        <x:v>While helping Ethan seek treatment at a VA Hospital, Hana puts out an SOS to the Fugitive Task Force when she is among those taken hostage by an enraged veteran.</x:v>
      </x:c>
      <x:c r="P3297" s="53" t="str">
        <x:v>Core FBI franchise</x:v>
      </x:c>
      <x:c r="Q3297" s="17" t="str">
        <x:v>12815697</x:v>
      </x:c>
      <x:c r="R3297" s="17" t="str">
        <x:v>tt35857662</x:v>
      </x:c>
      <x:c r="S3297" s="17" t="str"/>
    </x:row>
    <x:row r="3298">
      <x:c r="A3298" s="43" t="n">
        <x:v>3294</x:v>
      </x:c>
      <x:c r="B3298" s="44" t="str">
        <x:v>Not Started</x:v>
      </x:c>
      <x:c r="C3298" s="45" t="n">
        <x:v>45728</x:v>
      </x:c>
      <x:c r="D3298" s="33" t="str">
        <x:v>FBI</x:v>
      </x:c>
      <x:c r="E3298" s="33" t="str">
        <x:v>FBI</x:v>
      </x:c>
      <x:c r="F3298" s="33" t="str">
        <x:v>core</x:v>
      </x:c>
      <x:c r="G3298" s="50" t="n">
        <x:v>7</x:v>
      </x:c>
      <x:c r="H3298" s="50" t="n">
        <x:v>14</x:v>
      </x:c>
      <x:c r="I3298" s="44" t="str">
        <x:v>07.14</x:v>
      </x:c>
      <x:c r="J3298" s="33" t="str">
        <x:v>Hitched</x:v>
      </x:c>
      <x:c r="K3298" s="33" t="str"/>
      <x:c r="L3298" s="33" t="str"/>
      <x:c r="M3298" s="44" t="str"/>
      <x:c r="N3298" s="50" t="n">
        <x:v>42</x:v>
      </x:c>
      <x:c r="O3298" s="53" t="str">
        <x:v>When a passenger train is hijacked and rerouted while at high speed with an unarmed OA and Gemma on board, the team races to wrest control away from the unhinged perpetrators and prevent a catastrophe.</x:v>
      </x:c>
      <x:c r="P3298" s="53" t="str">
        <x:v>Core FBI franchise</x:v>
      </x:c>
      <x:c r="Q3298" s="17" t="str">
        <x:v>12853199</x:v>
      </x:c>
      <x:c r="R3298" s="17" t="str">
        <x:v>tt35930112</x:v>
      </x:c>
      <x:c r="S3298" s="17" t="str"/>
    </x:row>
    <x:row r="3299">
      <x:c r="A3299" s="43" t="n">
        <x:v>3295</x:v>
      </x:c>
      <x:c r="B3299" s="44" t="str">
        <x:v>Not Started</x:v>
      </x:c>
      <x:c r="C3299" s="45" t="n">
        <x:v>45729</x:v>
      </x:c>
      <x:c r="D3299" s="33" t="str">
        <x:v>Law &amp; Order</x:v>
      </x:c>
      <x:c r="E3299" s="33" t="str">
        <x:v>Law &amp; Order</x:v>
      </x:c>
      <x:c r="F3299" s="33" t="str">
        <x:v>core</x:v>
      </x:c>
      <x:c r="G3299" s="50" t="n">
        <x:v>24</x:v>
      </x:c>
      <x:c r="H3299" s="50" t="n">
        <x:v>15</x:v>
      </x:c>
      <x:c r="I3299" s="44" t="str">
        <x:v>24.15</x:v>
      </x:c>
      <x:c r="J3299" s="33" t="str">
        <x:v>Crossing Lines</x:v>
      </x:c>
      <x:c r="K3299" s="33" t="str"/>
      <x:c r="L3299" s="33" t="str"/>
      <x:c r="M3299" s="44" t="str"/>
      <x:c r="N3299" s="50" t="n">
        <x:v>43</x:v>
      </x:c>
      <x:c r="O3299" s="53" t="str">
        <x:v>When an up-and-coming politician is found dead, Shaw and Riley untangle the victim's personal life to identify a suspect. Baxter recuses himself to help Price make the case.</x:v>
      </x:c>
      <x:c r="P3299" s="53" t="str">
        <x:v>Core Law &amp; Order franchise</x:v>
      </x:c>
      <x:c r="Q3299" s="17" t="str">
        <x:v>12855430</x:v>
      </x:c>
      <x:c r="R3299" s="17" t="str">
        <x:v>tt35878091</x:v>
      </x:c>
      <x:c r="S3299" s="17" t="str">
        <x:v>1703</x:v>
      </x:c>
    </x:row>
    <x:row r="3300">
      <x:c r="A3300" s="43" t="n">
        <x:v>3296</x:v>
      </x:c>
      <x:c r="B3300" s="44" t="str">
        <x:v>Not Started</x:v>
      </x:c>
      <x:c r="C3300" s="45" t="n">
        <x:v>45729</x:v>
      </x:c>
      <x:c r="D3300" s="33" t="str">
        <x:v>Law &amp; Order: Special Victims Unit</x:v>
      </x:c>
      <x:c r="E3300" s="33" t="str">
        <x:v>Law &amp; Order</x:v>
      </x:c>
      <x:c r="F3300" s="33" t="str">
        <x:v>core</x:v>
      </x:c>
      <x:c r="G3300" s="50" t="n">
        <x:v>26</x:v>
      </x:c>
      <x:c r="H3300" s="50" t="n">
        <x:v>15</x:v>
      </x:c>
      <x:c r="I3300" s="44" t="str">
        <x:v>26.15</x:v>
      </x:c>
      <x:c r="J3300" s="33" t="str">
        <x:v>Undertow</x:v>
      </x:c>
      <x:c r="K3300" s="33" t="str"/>
      <x:c r="L3300" s="33" t="str"/>
      <x:c r="M3300" s="44" t="str"/>
      <x:c r="N3300" s="50" t="n">
        <x:v>42</x:v>
      </x:c>
      <x:c r="O3300" s="53" t="str">
        <x:v>A complicated case of sex and drug use divides the squad. Carisi must convince a jury to focus on the law and not the defendant's accusations.</x:v>
      </x:c>
      <x:c r="P3300" s="53" t="str">
        <x:v>Core Law &amp; Order franchise</x:v>
      </x:c>
      <x:c r="Q3300" s="17" t="str">
        <x:v>12849341</x:v>
      </x:c>
      <x:c r="R3300" s="17" t="str">
        <x:v>tt35441341</x:v>
      </x:c>
      <x:c r="S3300" s="17" t="str">
        <x:v>1704</x:v>
      </x:c>
    </x:row>
    <x:row r="3301">
      <x:c r="A3301" s="43" t="n">
        <x:v>3297</x:v>
      </x:c>
      <x:c r="B3301" s="44" t="str">
        <x:v>Not Started</x:v>
      </x:c>
      <x:c r="C3301" s="45" t="n">
        <x:v>45730</x:v>
      </x:c>
      <x:c r="D3301" s="33" t="str">
        <x:v>Law &amp; Order Toronto: Criminal Intent</x:v>
      </x:c>
      <x:c r="E3301" s="33" t="str">
        <x:v>Law &amp; Order</x:v>
      </x:c>
      <x:c r="F3301" s="33" t="str">
        <x:v>core</x:v>
      </x:c>
      <x:c r="G3301" s="50" t="n">
        <x:v>2</x:v>
      </x:c>
      <x:c r="H3301" s="50" t="n">
        <x:v>3</x:v>
      </x:c>
      <x:c r="I3301" s="44" t="str">
        <x:v>02.03</x:v>
      </x:c>
      <x:c r="J3301" s="33" t="str">
        <x:v>Fool's Gold</x:v>
      </x:c>
      <x:c r="K3301" s="33" t="str"/>
      <x:c r="L3301" s="33" t="str"/>
      <x:c r="M3301" s="44" t="str"/>
      <x:c r="N3301" s="50" t="n">
        <x:v>44</x:v>
      </x:c>
      <x:c r="O3301" s="53" t="str">
        <x:v>When an airport worker is found dead of an apparent suicide, Graff and Bateman quickly deduce he has been murdered and may be responsible for a crime of his own.</x:v>
      </x:c>
      <x:c r="P3301" s="53" t="str">
        <x:v>Law &amp; Order international franchise</x:v>
      </x:c>
      <x:c r="Q3301" s="17" t="str">
        <x:v>12663835</x:v>
      </x:c>
      <x:c r="R3301" s="17" t="str">
        <x:v>tt33077499</x:v>
      </x:c>
      <x:c r="S3301" s="17" t="str">
        <x:v>1702</x:v>
      </x:c>
    </x:row>
    <x:row r="3302">
      <x:c r="A3302" s="43" t="n">
        <x:v>3298</x:v>
      </x:c>
      <x:c r="B3302" s="44" t="str">
        <x:v>Not Started</x:v>
      </x:c>
      <x:c r="C3302" s="45" t="n">
        <x:v>45735</x:v>
      </x:c>
      <x:c r="D3302" s="33" t="str">
        <x:v>FBI: International</x:v>
      </x:c>
      <x:c r="E3302" s="33" t="str">
        <x:v>FBI</x:v>
      </x:c>
      <x:c r="F3302" s="33" t="str">
        <x:v>core</x:v>
      </x:c>
      <x:c r="G3302" s="50" t="n">
        <x:v>4</x:v>
      </x:c>
      <x:c r="H3302" s="50" t="n">
        <x:v>15</x:v>
      </x:c>
      <x:c r="I3302" s="44" t="str">
        <x:v>04.15</x:v>
      </x:c>
      <x:c r="J3302" s="33" t="str">
        <x:v>They May Get Their Wish</x:v>
      </x:c>
      <x:c r="K3302" s="33" t="str"/>
      <x:c r="L3302" s="33" t="str"/>
      <x:c r="M3302" s="44" t="str"/>
      <x:c r="N3302" s="50" t="n">
        <x:v>43</x:v>
      </x:c>
      <x:c r="O3302" s="53" t="str">
        <x:v>When a televangelist on the FBI’s most wanted list surfaces in Gibraltar to seek asylum, the Fly Team’s attempts to take him down hit a roadblock as they face political stonewalling upon arrival to the region. When the predatory preacher goes after the daughter of a disciple as his next target, the team must abandon protocol to intervene.</x:v>
      </x:c>
      <x:c r="P3302" s="53" t="str">
        <x:v>Core FBI franchise</x:v>
      </x:c>
      <x:c r="Q3302" s="17" t="str">
        <x:v>12843039</x:v>
      </x:c>
      <x:c r="R3302" s="17" t="str">
        <x:v>tt35930130</x:v>
      </x:c>
      <x:c r="S3302" s="17" t="str"/>
    </x:row>
    <x:row r="3303">
      <x:c r="A3303" s="43" t="n">
        <x:v>3299</x:v>
      </x:c>
      <x:c r="B3303" s="44" t="str">
        <x:v>Not Started</x:v>
      </x:c>
      <x:c r="C3303" s="45" t="n">
        <x:v>45735</x:v>
      </x:c>
      <x:c r="D3303" s="33" t="str">
        <x:v>FBI: Most Wanted</x:v>
      </x:c>
      <x:c r="E3303" s="33" t="str">
        <x:v>FBI</x:v>
      </x:c>
      <x:c r="F3303" s="33" t="str">
        <x:v>core</x:v>
      </x:c>
      <x:c r="G3303" s="50" t="n">
        <x:v>6</x:v>
      </x:c>
      <x:c r="H3303" s="50" t="n">
        <x:v>15</x:v>
      </x:c>
      <x:c r="I3303" s="44" t="str">
        <x:v>06.15</x:v>
      </x:c>
      <x:c r="J3303" s="33" t="str">
        <x:v>Four Bodies</x:v>
      </x:c>
      <x:c r="K3303" s="33" t="str"/>
      <x:c r="L3303" s="33" t="str"/>
      <x:c r="M3303" s="44" t="str"/>
      <x:c r="N3303" s="50" t="n">
        <x:v>42</x:v>
      </x:c>
      <x:c r="O3303" s="53" t="str">
        <x:v>A string of late-night murders with the same M.O. sends the Fugitive Task Force on a hunt for a serial killer with ties to a radical feminist group. Meanwhile, Nina's sister asks her for a big favor, causing a strain on Scola and Nina's relationship.</x:v>
      </x:c>
      <x:c r="P3303" s="53" t="str">
        <x:v>Core FBI franchise</x:v>
      </x:c>
      <x:c r="Q3303" s="17" t="str">
        <x:v>12853205</x:v>
      </x:c>
      <x:c r="R3303" s="17" t="str">
        <x:v>tt35930158</x:v>
      </x:c>
      <x:c r="S3303" s="17" t="str"/>
    </x:row>
    <x:row r="3304">
      <x:c r="A3304" s="43" t="n">
        <x:v>3300</x:v>
      </x:c>
      <x:c r="B3304" s="44" t="str">
        <x:v>Not Started</x:v>
      </x:c>
      <x:c r="C3304" s="45" t="n">
        <x:v>45735</x:v>
      </x:c>
      <x:c r="D3304" s="33" t="str">
        <x:v>FBI</x:v>
      </x:c>
      <x:c r="E3304" s="33" t="str">
        <x:v>FBI</x:v>
      </x:c>
      <x:c r="F3304" s="33" t="str">
        <x:v>core</x:v>
      </x:c>
      <x:c r="G3304" s="50" t="n">
        <x:v>7</x:v>
      </x:c>
      <x:c r="H3304" s="50" t="n">
        <x:v>15</x:v>
      </x:c>
      <x:c r="I3304" s="44" t="str">
        <x:v>07.15</x:v>
      </x:c>
      <x:c r="J3304" s="33" t="str">
        <x:v>Acolyte</x:v>
      </x:c>
      <x:c r="K3304" s="33" t="str"/>
      <x:c r="L3304" s="33" t="str"/>
      <x:c r="M3304" s="44" t="str"/>
      <x:c r="N3304" s="50" t="n">
        <x:v>42</x:v>
      </x:c>
      <x:c r="O3304" s="53" t="str">
        <x:v>As Maggie and the team search for New York's latest serial killer, the copycat method used by the murderer forces Maggie to seek help from Ray Distefano, the serial slasher she put behind bars.</x:v>
      </x:c>
      <x:c r="P3304" s="53" t="str">
        <x:v>Core FBI franchise</x:v>
      </x:c>
      <x:c r="Q3304" s="17" t="str">
        <x:v>12853200</x:v>
      </x:c>
      <x:c r="R3304" s="17" t="str">
        <x:v>tt35930115</x:v>
      </x:c>
      <x:c r="S3304" s="17" t="str"/>
    </x:row>
    <x:row r="3305">
      <x:c r="A3305" s="43" t="n">
        <x:v>3301</x:v>
      </x:c>
      <x:c r="B3305" s="44" t="str">
        <x:v>Not Started</x:v>
      </x:c>
      <x:c r="C3305" s="45" t="n">
        <x:v>45736</x:v>
      </x:c>
      <x:c r="D3305" s="33" t="str">
        <x:v>Law &amp; Order Toronto: Criminal Intent</x:v>
      </x:c>
      <x:c r="E3305" s="33" t="str">
        <x:v>Law &amp; Order</x:v>
      </x:c>
      <x:c r="F3305" s="33" t="str">
        <x:v>core</x:v>
      </x:c>
      <x:c r="G3305" s="50" t="n">
        <x:v>2</x:v>
      </x:c>
      <x:c r="H3305" s="50" t="n">
        <x:v>4</x:v>
      </x:c>
      <x:c r="I3305" s="44" t="str">
        <x:v>02.04</x:v>
      </x:c>
      <x:c r="J3305" s="33" t="str">
        <x:v>Hoggs Hollow</x:v>
      </x:c>
      <x:c r="K3305" s="33" t="str"/>
      <x:c r="L3305" s="33" t="str"/>
      <x:c r="M3305" s="44" t="str"/>
      <x:c r="N3305" s="50" t="n">
        <x:v>44</x:v>
      </x:c>
      <x:c r="O3305" s="53" t="str">
        <x:v>The team is called to investigate when a young wife is killed in her Hoggs Hollow home, and they uncover a secret hidden within the home and the police department.</x:v>
      </x:c>
      <x:c r="P3305" s="53" t="str">
        <x:v>Law &amp; Order international franchise</x:v>
      </x:c>
      <x:c r="Q3305" s="17" t="str">
        <x:v>12663836</x:v>
      </x:c>
      <x:c r="R3305" s="17" t="str">
        <x:v>tt33077504</x:v>
      </x:c>
      <x:c r="S3305" s="17" t="str">
        <x:v>1705</x:v>
      </x:c>
    </x:row>
    <x:row r="3306">
      <x:c r="A3306" s="43" t="n">
        <x:v>3302</x:v>
      </x:c>
      <x:c r="B3306" s="44" t="str">
        <x:v>Not Started</x:v>
      </x:c>
      <x:c r="C3306" s="45" t="n">
        <x:v>45736</x:v>
      </x:c>
      <x:c r="D3306" s="33" t="str">
        <x:v>Law &amp; Order</x:v>
      </x:c>
      <x:c r="E3306" s="33" t="str">
        <x:v>Law &amp; Order</x:v>
      </x:c>
      <x:c r="F3306" s="33" t="str">
        <x:v>core</x:v>
      </x:c>
      <x:c r="G3306" s="50" t="n">
        <x:v>24</x:v>
      </x:c>
      <x:c r="H3306" s="50" t="n">
        <x:v>16</x:v>
      </x:c>
      <x:c r="I3306" s="44" t="str">
        <x:v>24.16</x:v>
      </x:c>
      <x:c r="J3306" s="33" t="str">
        <x:v>Folk Hero</x:v>
      </x:c>
      <x:c r="K3306" s="33" t="str"/>
      <x:c r="L3306" s="33" t="str"/>
      <x:c r="M3306" s="44" t="str"/>
      <x:c r="N3306" s="50" t="n">
        <x:v>43</x:v>
      </x:c>
      <x:c r="O3306" s="53" t="str">
        <x:v>When a murder suspect becomes an underground hero, Brady seeks help from a former colleague to track down a culprit who seems to be in multiple locations. Baxter, Price and Maroun disagree on the best way forward when public interest heightens.</x:v>
      </x:c>
      <x:c r="P3306" s="53" t="str">
        <x:v>Core Law &amp; Order franchise</x:v>
      </x:c>
      <x:c r="Q3306" s="17" t="str">
        <x:v>12860122</x:v>
      </x:c>
      <x:c r="R3306" s="17" t="str">
        <x:v>tt35878097</x:v>
      </x:c>
      <x:c r="S3306" s="17" t="str">
        <x:v>1706</x:v>
      </x:c>
    </x:row>
    <x:row r="3307">
      <x:c r="A3307" s="43" t="n">
        <x:v>3303</x:v>
      </x:c>
      <x:c r="B3307" s="44" t="str">
        <x:v>Not Started</x:v>
      </x:c>
      <x:c r="C3307" s="45" t="n">
        <x:v>45736</x:v>
      </x:c>
      <x:c r="D3307" s="33" t="str">
        <x:v>Law &amp; Order: Special Victims Unit</x:v>
      </x:c>
      <x:c r="E3307" s="33" t="str">
        <x:v>Law &amp; Order</x:v>
      </x:c>
      <x:c r="F3307" s="33" t="str">
        <x:v>core</x:v>
      </x:c>
      <x:c r="G3307" s="50" t="n">
        <x:v>26</x:v>
      </x:c>
      <x:c r="H3307" s="50" t="n">
        <x:v>16</x:v>
      </x:c>
      <x:c r="I3307" s="44" t="str">
        <x:v>26.16</x:v>
      </x:c>
      <x:c r="J3307" s="33" t="str">
        <x:v>Let Me Bring Pardon</x:v>
      </x:c>
      <x:c r="K3307" s="33" t="str"/>
      <x:c r="L3307" s="33" t="str"/>
      <x:c r="M3307" s="44" t="str"/>
      <x:c r="N3307" s="50" t="n">
        <x:v>42</x:v>
      </x:c>
      <x:c r="O3307" s="53" t="str">
        <x:v>The doctor of a comatose woman calls SVU when he discovers his patient is pregnant. Benson must convince the family to reject magical thinking and look at the facts.</x:v>
      </x:c>
      <x:c r="P3307" s="53" t="str">
        <x:v>Core Law &amp; Order franchise</x:v>
      </x:c>
      <x:c r="Q3307" s="17" t="str">
        <x:v>12860002</x:v>
      </x:c>
      <x:c r="R3307" s="17" t="str">
        <x:v>tt35878080</x:v>
      </x:c>
      <x:c r="S3307" s="17" t="str">
        <x:v>1707</x:v>
      </x:c>
    </x:row>
    <x:row r="3308">
      <x:c r="A3308" s="43" t="n">
        <x:v>3304</x:v>
      </x:c>
      <x:c r="B3308" s="44" t="str">
        <x:v>Not Started</x:v>
      </x:c>
      <x:c r="C3308" s="45" t="n">
        <x:v>45743</x:v>
      </x:c>
      <x:c r="D3308" s="33" t="str">
        <x:v>Chicago Med</x:v>
      </x:c>
      <x:c r="E3308" s="33" t="str">
        <x:v>One Chicago</x:v>
      </x:c>
      <x:c r="F3308" s="33" t="str">
        <x:v>core</x:v>
      </x:c>
      <x:c r="G3308" s="50" t="n">
        <x:v>10</x:v>
      </x:c>
      <x:c r="H3308" s="50" t="n">
        <x:v>16</x:v>
      </x:c>
      <x:c r="I3308" s="44" t="str">
        <x:v>10.16</x:v>
      </x:c>
      <x:c r="J3308" s="33" t="str">
        <x:v>Poster Child</x:v>
      </x:c>
      <x:c r="K3308" s="33" t="str"/>
      <x:c r="L3308" s="33" t="str"/>
      <x:c r="M3308" s="44" t="str"/>
      <x:c r="N3308" s="50" t="n">
        <x:v>43</x:v>
      </x:c>
      <x:c r="O3308" s="53" t="str">
        <x:v>When her former patient returns to Med, Goodwin learns that time doesn't heal all wounds. Frost and Charles treat a patient struggling with his sexuality. Lenox and Abrams work to save a woman who has been in a coma for 20 years.</x:v>
      </x:c>
      <x:c r="P3308" s="53" t="str">
        <x:v>Core One Chicago franchise</x:v>
      </x:c>
      <x:c r="Q3308" s="17" t="str">
        <x:v>12825740</x:v>
      </x:c>
      <x:c r="R3308" s="17" t="str">
        <x:v>tt35878041</x:v>
      </x:c>
      <x:c r="S3308" s="17" t="str"/>
    </x:row>
    <x:row r="3309">
      <x:c r="A3309" s="43" t="n">
        <x:v>3305</x:v>
      </x:c>
      <x:c r="B3309" s="44" t="str">
        <x:v>Not Started</x:v>
      </x:c>
      <x:c r="C3309" s="45" t="n">
        <x:v>45743</x:v>
      </x:c>
      <x:c r="D3309" s="33" t="str">
        <x:v>Chicago P.D.</x:v>
      </x:c>
      <x:c r="E3309" s="33" t="str">
        <x:v>One Chicago</x:v>
      </x:c>
      <x:c r="F3309" s="33" t="str">
        <x:v>core</x:v>
      </x:c>
      <x:c r="G3309" s="50" t="n">
        <x:v>12</x:v>
      </x:c>
      <x:c r="H3309" s="50" t="n">
        <x:v>16</x:v>
      </x:c>
      <x:c r="I3309" s="44" t="str">
        <x:v>12.16</x:v>
      </x:c>
      <x:c r="J3309" s="33" t="str">
        <x:v>Seen and Unseen</x:v>
      </x:c>
      <x:c r="K3309" s="33" t="str"/>
      <x:c r="L3309" s="33" t="str"/>
      <x:c r="M3309" s="44" t="str"/>
      <x:c r="N3309" s="50" t="n">
        <x:v>43</x:v>
      </x:c>
      <x:c r="O3309" s="53" t="str">
        <x:v>Burgess' memory recall is put to the test following a deadly incident at her local diner.</x:v>
      </x:c>
      <x:c r="P3309" s="53" t="str">
        <x:v>Core One Chicago franchise; crossovers with SVU/FBI</x:v>
      </x:c>
      <x:c r="Q3309" s="17" t="str">
        <x:v>12860118</x:v>
      </x:c>
      <x:c r="R3309" s="17" t="str">
        <x:v>tt36042634</x:v>
      </x:c>
      <x:c r="S3309" s="17" t="str"/>
    </x:row>
    <x:row r="3310">
      <x:c r="A3310" s="43" t="n">
        <x:v>3306</x:v>
      </x:c>
      <x:c r="B3310" s="44" t="str">
        <x:v>Not Started</x:v>
      </x:c>
      <x:c r="C3310" s="45" t="n">
        <x:v>45743</x:v>
      </x:c>
      <x:c r="D3310" s="33" t="str">
        <x:v>Chicago Fire</x:v>
      </x:c>
      <x:c r="E3310" s="33" t="str">
        <x:v>One Chicago</x:v>
      </x:c>
      <x:c r="F3310" s="33" t="str">
        <x:v>core</x:v>
      </x:c>
      <x:c r="G3310" s="50" t="n">
        <x:v>13</x:v>
      </x:c>
      <x:c r="H3310" s="50" t="n">
        <x:v>16</x:v>
      </x:c>
      <x:c r="I3310" s="44" t="str">
        <x:v>13.16</x:v>
      </x:c>
      <x:c r="J3310" s="33" t="str">
        <x:v>In the Rubble</x:v>
      </x:c>
      <x:c r="K3310" s="33" t="str"/>
      <x:c r="L3310" s="33" t="str"/>
      <x:c r="M3310" s="44" t="str"/>
      <x:c r="N3310" s="50" t="n">
        <x:v>42</x:v>
      </x:c>
      <x:c r="O3310" s="53" t="str">
        <x:v>In the face of adversity, Pascal searches for justice. Violet struggles to write a letter to Carver. Damon returns to the floater pool hoping to secure a permanent spot at 51.</x:v>
      </x:c>
      <x:c r="P3310" s="53" t="str">
        <x:v>Core One Chicago franchise</x:v>
      </x:c>
      <x:c r="Q3310" s="17" t="str">
        <x:v>12860117</x:v>
      </x:c>
      <x:c r="R3310" s="17" t="str">
        <x:v>tt36026528</x:v>
      </x:c>
      <x:c r="S3310" s="17" t="str"/>
    </x:row>
    <x:row r="3311">
      <x:c r="A3311" s="43" t="n">
        <x:v>3307</x:v>
      </x:c>
      <x:c r="B3311" s="44" t="str">
        <x:v>Not Started</x:v>
      </x:c>
      <x:c r="C3311" s="45" t="n">
        <x:v>45749</x:v>
      </x:c>
      <x:c r="D3311" s="33" t="str">
        <x:v>FBI: International</x:v>
      </x:c>
      <x:c r="E3311" s="33" t="str">
        <x:v>FBI</x:v>
      </x:c>
      <x:c r="F3311" s="33" t="str">
        <x:v>core</x:v>
      </x:c>
      <x:c r="G3311" s="50" t="n">
        <x:v>4</x:v>
      </x:c>
      <x:c r="H3311" s="50" t="n">
        <x:v>16</x:v>
      </x:c>
      <x:c r="I3311" s="44" t="str">
        <x:v>04.16</x:v>
      </x:c>
      <x:c r="J3311" s="33" t="str">
        <x:v>Little Angel</x:v>
      </x:c>
      <x:c r="K3311" s="33" t="str"/>
      <x:c r="L3311" s="33" t="str"/>
      <x:c r="M3311" s="44" t="str"/>
      <x:c r="N3311" s="50" t="n">
        <x:v>43</x:v>
      </x:c>
      <x:c r="O3311" s="53" t="str">
        <x:v>After an American CEO living in Prague is extorted for millions in cryptocurrency and his family is kidnapped, Mitchell receives a surprise visit from his ex-girlfriend, FBI Special Agent Ella Driscoll, who wants the Fly Team’s help on the case.</x:v>
      </x:c>
      <x:c r="P3311" s="53" t="str">
        <x:v>Core FBI franchise</x:v>
      </x:c>
      <x:c r="Q3311" s="17" t="str">
        <x:v>12844979</x:v>
      </x:c>
      <x:c r="R3311" s="17" t="str">
        <x:v>tt36106946</x:v>
      </x:c>
      <x:c r="S3311" s="17" t="str"/>
    </x:row>
    <x:row r="3312">
      <x:c r="A3312" s="43" t="n">
        <x:v>3308</x:v>
      </x:c>
      <x:c r="B3312" s="44" t="str">
        <x:v>Not Started</x:v>
      </x:c>
      <x:c r="C3312" s="45" t="n">
        <x:v>45749</x:v>
      </x:c>
      <x:c r="D3312" s="33" t="str">
        <x:v>FBI: Most Wanted</x:v>
      </x:c>
      <x:c r="E3312" s="33" t="str">
        <x:v>FBI</x:v>
      </x:c>
      <x:c r="F3312" s="33" t="str">
        <x:v>core</x:v>
      </x:c>
      <x:c r="G3312" s="50" t="n">
        <x:v>6</x:v>
      </x:c>
      <x:c r="H3312" s="50" t="n">
        <x:v>16</x:v>
      </x:c>
      <x:c r="I3312" s="44" t="str">
        <x:v>06.16</x:v>
      </x:c>
      <x:c r="J3312" s="33" t="str">
        <x:v>Toxic Behavior</x:v>
      </x:c>
      <x:c r="K3312" s="33" t="str"/>
      <x:c r="L3312" s="33" t="str"/>
      <x:c r="M3312" s="44" t="str"/>
      <x:c r="N3312" s="50" t="n">
        <x:v>43</x:v>
      </x:c>
      <x:c r="O3312" s="53" t="str">
        <x:v>The Fugitive Task force is called in to connect a series of random poisonings before more lives are lost. Meanwhile, Remy and Abby take on a new project.</x:v>
      </x:c>
      <x:c r="P3312" s="53" t="str">
        <x:v>Core FBI franchise</x:v>
      </x:c>
      <x:c r="Q3312" s="17" t="str">
        <x:v>12853206</x:v>
      </x:c>
      <x:c r="R3312" s="17" t="str">
        <x:v>tt36106950</x:v>
      </x:c>
      <x:c r="S3312" s="17" t="str"/>
    </x:row>
    <x:row r="3313">
      <x:c r="A3313" s="43" t="n">
        <x:v>3309</x:v>
      </x:c>
      <x:c r="B3313" s="44" t="str">
        <x:v>Not Started</x:v>
      </x:c>
      <x:c r="C3313" s="45" t="n">
        <x:v>45749</x:v>
      </x:c>
      <x:c r="D3313" s="33" t="str">
        <x:v>FBI</x:v>
      </x:c>
      <x:c r="E3313" s="33" t="str">
        <x:v>FBI</x:v>
      </x:c>
      <x:c r="F3313" s="33" t="str">
        <x:v>core</x:v>
      </x:c>
      <x:c r="G3313" s="50" t="n">
        <x:v>7</x:v>
      </x:c>
      <x:c r="H3313" s="50" t="n">
        <x:v>16</x:v>
      </x:c>
      <x:c r="I3313" s="44" t="str">
        <x:v>07.16</x:v>
      </x:c>
      <x:c r="J3313" s="33" t="str">
        <x:v>Covered</x:v>
      </x:c>
      <x:c r="K3313" s="33" t="str"/>
      <x:c r="L3313" s="33" t="str"/>
      <x:c r="M3313" s="44" t="str"/>
      <x:c r="N3313" s="50" t="n">
        <x:v>42</x:v>
      </x:c>
      <x:c r="O3313" s="53" t="str">
        <x:v>When an undercover FBI agent is killed in the field, the team makes the unnerving discovery that the identities of multiple undercover agents have been compromised, including Maggie who has been actively working to infiltrate an eco-terrorist group. Meanwhile, the team enlists the help of Special Agent Dani Rhodes, whose cover was also blown, to not only save their own but to aid in uncovering who was behind the leak.</x:v>
      </x:c>
      <x:c r="P3313" s="53" t="str">
        <x:v>Core FBI franchise</x:v>
      </x:c>
      <x:c r="Q3313" s="17" t="str">
        <x:v>12853201</x:v>
      </x:c>
      <x:c r="R3313" s="17" t="str">
        <x:v>tt36106940</x:v>
      </x:c>
      <x:c r="S3313" s="17" t="str"/>
    </x:row>
    <x:row r="3314">
      <x:c r="A3314" s="43" t="n">
        <x:v>3310</x:v>
      </x:c>
      <x:c r="B3314" s="44" t="str">
        <x:v>Not Started</x:v>
      </x:c>
      <x:c r="C3314" s="45" t="n">
        <x:v>45750</x:v>
      </x:c>
      <x:c r="D3314" s="33" t="str">
        <x:v>Law &amp; Order Toronto: Criminal Intent</x:v>
      </x:c>
      <x:c r="E3314" s="33" t="str">
        <x:v>Law &amp; Order</x:v>
      </x:c>
      <x:c r="F3314" s="33" t="str">
        <x:v>core</x:v>
      </x:c>
      <x:c r="G3314" s="50" t="n">
        <x:v>2</x:v>
      </x:c>
      <x:c r="H3314" s="50" t="n">
        <x:v>5</x:v>
      </x:c>
      <x:c r="I3314" s="44" t="str">
        <x:v>02.05</x:v>
      </x:c>
      <x:c r="J3314" s="33" t="str">
        <x:v>Face Value</x:v>
      </x:c>
      <x:c r="K3314" s="33" t="str"/>
      <x:c r="L3314" s="33" t="str"/>
      <x:c r="M3314" s="44" t="str"/>
      <x:c r="N3314" s="50" t="n">
        <x:v>44</x:v>
      </x:c>
      <x:c r="O3314" s="53" t="str">
        <x:v>A well-liked couple is murdered at their place of business, and while all clues point to a robbery, Graff and Bateman soon discover the murder was a targeted hit.</x:v>
      </x:c>
      <x:c r="P3314" s="53" t="str">
        <x:v>Law &amp; Order international franchise</x:v>
      </x:c>
      <x:c r="Q3314" s="17" t="str">
        <x:v>12663837</x:v>
      </x:c>
      <x:c r="R3314" s="17" t="str">
        <x:v>tt33077686</x:v>
      </x:c>
      <x:c r="S3314" s="17" t="str">
        <x:v>1708</x:v>
      </x:c>
    </x:row>
    <x:row r="3315">
      <x:c r="A3315" s="43" t="n">
        <x:v>3311</x:v>
      </x:c>
      <x:c r="B3315" s="44" t="str">
        <x:v>Not Started</x:v>
      </x:c>
      <x:c r="C3315" s="45" t="n">
        <x:v>45750</x:v>
      </x:c>
      <x:c r="D3315" s="33" t="str">
        <x:v>Chicago Med</x:v>
      </x:c>
      <x:c r="E3315" s="33" t="str">
        <x:v>One Chicago</x:v>
      </x:c>
      <x:c r="F3315" s="33" t="str">
        <x:v>core</x:v>
      </x:c>
      <x:c r="G3315" s="50" t="n">
        <x:v>10</x:v>
      </x:c>
      <x:c r="H3315" s="50" t="n">
        <x:v>17</x:v>
      </x:c>
      <x:c r="I3315" s="44" t="str">
        <x:v>10.17</x:v>
      </x:c>
      <x:c r="J3315" s="33" t="str">
        <x:v>The Book of Archer</x:v>
      </x:c>
      <x:c r="K3315" s="33" t="str"/>
      <x:c r="L3315" s="33" t="str"/>
      <x:c r="M3315" s="44" t="str"/>
      <x:c r="N3315" s="50" t="n">
        <x:v>43</x:v>
      </x:c>
      <x:c r="O3315" s="53" t="str">
        <x:v>Charles and Archer treat a heart transplant patient who believes his new heart doesn't want to be in his body. Lenox takes a personal day. Asher discovers a mass on a pregnant woman's ovary.</x:v>
      </x:c>
      <x:c r="P3315" s="53" t="str">
        <x:v>Core One Chicago franchise</x:v>
      </x:c>
      <x:c r="Q3315" s="17" t="str">
        <x:v>12825741</x:v>
      </x:c>
      <x:c r="R3315" s="17" t="str">
        <x:v>tt36026525</x:v>
      </x:c>
      <x:c r="S3315" s="17" t="str"/>
    </x:row>
    <x:row r="3316">
      <x:c r="A3316" s="43" t="n">
        <x:v>3312</x:v>
      </x:c>
      <x:c r="B3316" s="44" t="str">
        <x:v>Not Started</x:v>
      </x:c>
      <x:c r="C3316" s="45" t="n">
        <x:v>45750</x:v>
      </x:c>
      <x:c r="D3316" s="33" t="str">
        <x:v>Chicago P.D.</x:v>
      </x:c>
      <x:c r="E3316" s="33" t="str">
        <x:v>One Chicago</x:v>
      </x:c>
      <x:c r="F3316" s="33" t="str">
        <x:v>core</x:v>
      </x:c>
      <x:c r="G3316" s="50" t="n">
        <x:v>12</x:v>
      </x:c>
      <x:c r="H3316" s="50" t="n">
        <x:v>17</x:v>
      </x:c>
      <x:c r="I3316" s="44" t="str">
        <x:v>12.17</x:v>
      </x:c>
      <x:c r="J3316" s="33" t="str">
        <x:v>Transference</x:v>
      </x:c>
      <x:c r="K3316" s="33" t="str"/>
      <x:c r="L3316" s="33" t="str"/>
      <x:c r="M3316" s="44" t="str"/>
      <x:c r="N3316" s="50" t="n">
        <x:v>42</x:v>
      </x:c>
      <x:c r="O3316" s="53" t="str">
        <x:v>The search for the suspect in a shooting uncovers a surprising personal connection to Atwater and Val, raising questions about their relationship status.</x:v>
      </x:c>
      <x:c r="P3316" s="53" t="str">
        <x:v>Core One Chicago franchise; crossovers with SVU/FBI</x:v>
      </x:c>
      <x:c r="Q3316" s="17" t="str">
        <x:v>12865574</x:v>
      </x:c>
      <x:c r="R3316" s="17" t="str">
        <x:v>tt36170655</x:v>
      </x:c>
      <x:c r="S3316" s="17" t="str"/>
    </x:row>
    <x:row r="3317">
      <x:c r="A3317" s="43" t="n">
        <x:v>3313</x:v>
      </x:c>
      <x:c r="B3317" s="44" t="str">
        <x:v>Not Started</x:v>
      </x:c>
      <x:c r="C3317" s="45" t="n">
        <x:v>45750</x:v>
      </x:c>
      <x:c r="D3317" s="33" t="str">
        <x:v>Chicago Fire</x:v>
      </x:c>
      <x:c r="E3317" s="33" t="str">
        <x:v>One Chicago</x:v>
      </x:c>
      <x:c r="F3317" s="33" t="str">
        <x:v>core</x:v>
      </x:c>
      <x:c r="G3317" s="50" t="n">
        <x:v>13</x:v>
      </x:c>
      <x:c r="H3317" s="50" t="n">
        <x:v>17</x:v>
      </x:c>
      <x:c r="I3317" s="44" t="str">
        <x:v>13.17</x:v>
      </x:c>
      <x:c r="J3317" s="33" t="str">
        <x:v>A Beast Like This</x:v>
      </x:c>
      <x:c r="K3317" s="33" t="str"/>
      <x:c r="L3317" s="33" t="str"/>
      <x:c r="M3317" s="44" t="str"/>
      <x:c r="N3317" s="50" t="n">
        <x:v>43</x:v>
      </x:c>
      <x:c r="O3317" s="53" t="str">
        <x:v>Kidd connects with a troubled teen interested in Girls on Fire. Cruz, Capp and Tony wait to try out Squad’s new saw. Violet and Novak are stumped by a bodybuilder who passed out at the gym.</x:v>
      </x:c>
      <x:c r="P3317" s="53" t="str">
        <x:v>Core One Chicago franchise</x:v>
      </x:c>
      <x:c r="Q3317" s="17" t="str">
        <x:v>12865581</x:v>
      </x:c>
      <x:c r="R3317" s="17" t="str">
        <x:v>tt36026532</x:v>
      </x:c>
      <x:c r="S3317" s="17" t="str"/>
    </x:row>
    <x:row r="3318">
      <x:c r="A3318" s="43" t="n">
        <x:v>3314</x:v>
      </x:c>
      <x:c r="B3318" s="44" t="str">
        <x:v>Not Started</x:v>
      </x:c>
      <x:c r="C3318" s="45" t="n">
        <x:v>45750</x:v>
      </x:c>
      <x:c r="D3318" s="33" t="str">
        <x:v>Law &amp; Order</x:v>
      </x:c>
      <x:c r="E3318" s="33" t="str">
        <x:v>Law &amp; Order</x:v>
      </x:c>
      <x:c r="F3318" s="33" t="str">
        <x:v>core</x:v>
      </x:c>
      <x:c r="G3318" s="50" t="n">
        <x:v>24</x:v>
      </x:c>
      <x:c r="H3318" s="50" t="n">
        <x:v>17</x:v>
      </x:c>
      <x:c r="I3318" s="44" t="str">
        <x:v>24.17</x:v>
      </x:c>
      <x:c r="J3318" s="33" t="str">
        <x:v>A Perfect Family</x:v>
      </x:c>
      <x:c r="K3318" s="33" t="str"/>
      <x:c r="L3318" s="33" t="str"/>
      <x:c r="M3318" s="44" t="str"/>
      <x:c r="N3318" s="50" t="n">
        <x:v>43</x:v>
      </x:c>
      <x:c r="O3318" s="53" t="str">
        <x:v>When a student is thrown to her death, Riley zeros in on a family secret to piece together her last moments. Price and Maroun must rely on the eyewitness account of a young child to determine if an unlikely suspect should be charged with murder.</x:v>
      </x:c>
      <x:c r="P3318" s="53" t="str">
        <x:v>Core Law &amp; Order franchise</x:v>
      </x:c>
      <x:c r="Q3318" s="17" t="str">
        <x:v>12860123</x:v>
      </x:c>
      <x:c r="R3318" s="17" t="str">
        <x:v>tt35878087</x:v>
      </x:c>
      <x:c r="S3318" s="17" t="str">
        <x:v>1709</x:v>
      </x:c>
    </x:row>
    <x:row r="3319">
      <x:c r="A3319" s="43" t="n">
        <x:v>3315</x:v>
      </x:c>
      <x:c r="B3319" s="44" t="str">
        <x:v>Not Started</x:v>
      </x:c>
      <x:c r="C3319" s="45" t="n">
        <x:v>45750</x:v>
      </x:c>
      <x:c r="D3319" s="33" t="str">
        <x:v>Law &amp; Order: Special Victims Unit</x:v>
      </x:c>
      <x:c r="E3319" s="33" t="str">
        <x:v>Law &amp; Order</x:v>
      </x:c>
      <x:c r="F3319" s="33" t="str">
        <x:v>core</x:v>
      </x:c>
      <x:c r="G3319" s="50" t="n">
        <x:v>26</x:v>
      </x:c>
      <x:c r="H3319" s="50" t="n">
        <x:v>17</x:v>
      </x:c>
      <x:c r="I3319" s="44" t="str">
        <x:v>26.17</x:v>
      </x:c>
      <x:c r="J3319" s="33" t="str">
        <x:v>Accomplice Liability</x:v>
      </x:c>
      <x:c r="K3319" s="33" t="str"/>
      <x:c r="L3319" s="33" t="str"/>
      <x:c r="M3319" s="44" t="str"/>
      <x:c r="N3319" s="50" t="n">
        <x:v>42</x:v>
      </x:c>
      <x:c r="O3319" s="53" t="str">
        <x:v>Carisi attempts to put aside his role as prosecutor to serve as a witness in a trial. Benson tries to help a rape survivor struggling with her recovery.</x:v>
      </x:c>
      <x:c r="P3319" s="53" t="str">
        <x:v>Core Law &amp; Order franchise</x:v>
      </x:c>
      <x:c r="Q3319" s="17" t="str">
        <x:v>12860104</x:v>
      </x:c>
      <x:c r="R3319" s="17" t="str">
        <x:v>tt35885715</x:v>
      </x:c>
      <x:c r="S3319" s="17" t="str">
        <x:v>1710</x:v>
      </x:c>
    </x:row>
    <x:row r="3320">
      <x:c r="A3320" s="43" t="n">
        <x:v>3316</x:v>
      </x:c>
      <x:c r="B3320" s="44" t="str">
        <x:v>Not Started</x:v>
      </x:c>
      <x:c r="C3320" s="45" t="n">
        <x:v>45756</x:v>
      </x:c>
      <x:c r="D3320" s="33" t="str">
        <x:v>FBI: International</x:v>
      </x:c>
      <x:c r="E3320" s="33" t="str">
        <x:v>FBI</x:v>
      </x:c>
      <x:c r="F3320" s="33" t="str">
        <x:v>core</x:v>
      </x:c>
      <x:c r="G3320" s="50" t="n">
        <x:v>4</x:v>
      </x:c>
      <x:c r="H3320" s="50" t="n">
        <x:v>17</x:v>
      </x:c>
      <x:c r="I3320" s="44" t="str">
        <x:v>04.17</x:v>
      </x:c>
      <x:c r="J3320" s="33" t="str">
        <x:v>Dead Dead</x:v>
      </x:c>
      <x:c r="K3320" s="33" t="str"/>
      <x:c r="L3320" s="33" t="str"/>
      <x:c r="M3320" s="44" t="str"/>
      <x:c r="N3320" s="50" t="n">
        <x:v>43</x:v>
      </x:c>
      <x:c r="O3320" s="53" t="str">
        <x:v>When a psychologist with national security intel goes missing on a hike in the Swiss Alps, the Fly Team works alongside a friendly face, Agent Tyler Booth, to find him. Meanwhile, Mitchell receives unnerving news regarding his biological father.</x:v>
      </x:c>
      <x:c r="P3320" s="53" t="str">
        <x:v>Core FBI franchise</x:v>
      </x:c>
      <x:c r="Q3320" s="17" t="str">
        <x:v>12906754</x:v>
      </x:c>
      <x:c r="R3320" s="17" t="str">
        <x:v>tt36204373</x:v>
      </x:c>
      <x:c r="S3320" s="17" t="str"/>
    </x:row>
    <x:row r="3321">
      <x:c r="A3321" s="43" t="n">
        <x:v>3317</x:v>
      </x:c>
      <x:c r="B3321" s="44" t="str">
        <x:v>Not Started</x:v>
      </x:c>
      <x:c r="C3321" s="45" t="n">
        <x:v>45756</x:v>
      </x:c>
      <x:c r="D3321" s="33" t="str">
        <x:v>FBI: Most Wanted</x:v>
      </x:c>
      <x:c r="E3321" s="33" t="str">
        <x:v>FBI</x:v>
      </x:c>
      <x:c r="F3321" s="33" t="str">
        <x:v>core</x:v>
      </x:c>
      <x:c r="G3321" s="50" t="n">
        <x:v>6</x:v>
      </x:c>
      <x:c r="H3321" s="50" t="n">
        <x:v>17</x:v>
      </x:c>
      <x:c r="I3321" s="44" t="str">
        <x:v>06.17</x:v>
      </x:c>
      <x:c r="J3321" s="33" t="str">
        <x:v>Gut Job</x:v>
      </x:c>
      <x:c r="K3321" s="33" t="str"/>
      <x:c r="L3321" s="33" t="str"/>
      <x:c r="M3321" s="44" t="str"/>
      <x:c r="N3321" s="50" t="n">
        <x:v>43</x:v>
      </x:c>
      <x:c r="O3321" s="53" t="str">
        <x:v>A couple known for their home renovation TV show is thrown into the limelight after the wife is found dead and her husband goes on the run. Meanwhile, Barnes reevaluates her life in New York.</x:v>
      </x:c>
      <x:c r="P3321" s="53" t="str">
        <x:v>Core FBI franchise</x:v>
      </x:c>
      <x:c r="Q3321" s="17" t="str">
        <x:v>12904544</x:v>
      </x:c>
      <x:c r="R3321" s="17" t="str">
        <x:v>tt36204258</x:v>
      </x:c>
      <x:c r="S3321" s="17" t="str"/>
    </x:row>
    <x:row r="3322">
      <x:c r="A3322" s="43" t="n">
        <x:v>3318</x:v>
      </x:c>
      <x:c r="B3322" s="44" t="str">
        <x:v>Not Started</x:v>
      </x:c>
      <x:c r="C3322" s="45" t="n">
        <x:v>45756</x:v>
      </x:c>
      <x:c r="D3322" s="33" t="str">
        <x:v>FBI</x:v>
      </x:c>
      <x:c r="E3322" s="33" t="str">
        <x:v>FBI</x:v>
      </x:c>
      <x:c r="F3322" s="33" t="str">
        <x:v>core</x:v>
      </x:c>
      <x:c r="G3322" s="50" t="n">
        <x:v>7</x:v>
      </x:c>
      <x:c r="H3322" s="50" t="n">
        <x:v>17</x:v>
      </x:c>
      <x:c r="I3322" s="44" t="str">
        <x:v>07.17</x:v>
      </x:c>
      <x:c r="J3322" s="33" t="str">
        <x:v>Lineage</x:v>
      </x:c>
      <x:c r="K3322" s="33" t="str"/>
      <x:c r="L3322" s="33" t="str"/>
      <x:c r="M3322" s="44" t="str"/>
      <x:c r="N3322" s="50" t="n">
        <x:v>42</x:v>
      </x:c>
      <x:c r="O3322" s="53" t="str">
        <x:v>When a famous rapper and two teen fans are gunned down on his tour bus, the team discovers there may be more to the story than his feud with another rapper. Meanwhile, Isobel hits a major milestone that has her contemplating her future at the Bureau.</x:v>
      </x:c>
      <x:c r="P3322" s="53" t="str">
        <x:v>Core FBI franchise</x:v>
      </x:c>
      <x:c r="Q3322" s="17" t="str">
        <x:v>12896349</x:v>
      </x:c>
      <x:c r="R3322" s="17" t="str">
        <x:v>tt36298905</x:v>
      </x:c>
      <x:c r="S3322" s="17" t="str"/>
    </x:row>
    <x:row r="3323">
      <x:c r="A3323" s="43" t="n">
        <x:v>3319</x:v>
      </x:c>
      <x:c r="B3323" s="44" t="str">
        <x:v>Not Started</x:v>
      </x:c>
      <x:c r="C3323" s="45" t="n">
        <x:v>45757</x:v>
      </x:c>
      <x:c r="D3323" s="33" t="str">
        <x:v>Law &amp; Order Toronto: Criminal Intent</x:v>
      </x:c>
      <x:c r="E3323" s="33" t="str">
        <x:v>Law &amp; Order</x:v>
      </x:c>
      <x:c r="F3323" s="33" t="str">
        <x:v>core</x:v>
      </x:c>
      <x:c r="G3323" s="50" t="n">
        <x:v>2</x:v>
      </x:c>
      <x:c r="H3323" s="50" t="n">
        <x:v>6</x:v>
      </x:c>
      <x:c r="I3323" s="44" t="str">
        <x:v>02.06</x:v>
      </x:c>
      <x:c r="J3323" s="33" t="str">
        <x:v>Disposable People</x:v>
      </x:c>
      <x:c r="K3323" s="33" t="str"/>
      <x:c r="L3323" s="33" t="str"/>
      <x:c r="M3323" s="44" t="str"/>
      <x:c r="N3323" s="50" t="n">
        <x:v>44</x:v>
      </x:c>
      <x:c r="O3323" s="53" t="str">
        <x:v>The death of a prison inmate takes Graff and Bateman to a maximum-security detention centre to investigate.</x:v>
      </x:c>
      <x:c r="P3323" s="53" t="str">
        <x:v>Law &amp; Order international franchise</x:v>
      </x:c>
      <x:c r="Q3323" s="17" t="str">
        <x:v>12663838</x:v>
      </x:c>
      <x:c r="R3323" s="17" t="str">
        <x:v>tt33077691</x:v>
      </x:c>
      <x:c r="S3323" s="17" t="str">
        <x:v>1711</x:v>
      </x:c>
    </x:row>
    <x:row r="3324">
      <x:c r="A3324" s="43" t="n">
        <x:v>3320</x:v>
      </x:c>
      <x:c r="B3324" s="44" t="str">
        <x:v>Not Started</x:v>
      </x:c>
      <x:c r="C3324" s="45" t="n">
        <x:v>45757</x:v>
      </x:c>
      <x:c r="D3324" s="33" t="str">
        <x:v>Law &amp; Order</x:v>
      </x:c>
      <x:c r="E3324" s="33" t="str">
        <x:v>Law &amp; Order</x:v>
      </x:c>
      <x:c r="F3324" s="33" t="str">
        <x:v>core</x:v>
      </x:c>
      <x:c r="G3324" s="50" t="n">
        <x:v>24</x:v>
      </x:c>
      <x:c r="H3324" s="50" t="n">
        <x:v>18</x:v>
      </x:c>
      <x:c r="I3324" s="44" t="str">
        <x:v>24.18</x:v>
      </x:c>
      <x:c r="J3324" s="33" t="str">
        <x:v>Inherent Bias</x:v>
      </x:c>
      <x:c r="K3324" s="33" t="str"/>
      <x:c r="L3324" s="33" t="str"/>
      <x:c r="M3324" s="44" t="str"/>
      <x:c r="N3324" s="50" t="n">
        <x:v>43</x:v>
      </x:c>
      <x:c r="O3324" s="53" t="str">
        <x:v>A rising basketball star is shot dead, leaving the squad in a desperate scramble for leads. When the capture of a suspect doesn't go as planned, Shaw and Riley each take a firm stand on what they believe they witnessed.</x:v>
      </x:c>
      <x:c r="P3324" s="53" t="str">
        <x:v>Core Law &amp; Order franchise</x:v>
      </x:c>
      <x:c r="Q3324" s="17" t="str">
        <x:v>12925877</x:v>
      </x:c>
      <x:c r="R3324" s="17" t="str">
        <x:v>tt36132694</x:v>
      </x:c>
      <x:c r="S3324" s="17" t="str">
        <x:v>1712</x:v>
      </x:c>
    </x:row>
    <x:row r="3325">
      <x:c r="A3325" s="43" t="n">
        <x:v>3321</x:v>
      </x:c>
      <x:c r="B3325" s="44" t="str">
        <x:v>Not Started</x:v>
      </x:c>
      <x:c r="C3325" s="45" t="n">
        <x:v>45757</x:v>
      </x:c>
      <x:c r="D3325" s="33" t="str">
        <x:v>Law &amp; Order: Special Victims Unit</x:v>
      </x:c>
      <x:c r="E3325" s="33" t="str">
        <x:v>Law &amp; Order</x:v>
      </x:c>
      <x:c r="F3325" s="33" t="str">
        <x:v>core</x:v>
      </x:c>
      <x:c r="G3325" s="50" t="n">
        <x:v>26</x:v>
      </x:c>
      <x:c r="H3325" s="50" t="n">
        <x:v>18</x:v>
      </x:c>
      <x:c r="I3325" s="44" t="str">
        <x:v>26.18</x:v>
      </x:c>
      <x:c r="J3325" s="33" t="str">
        <x:v>The Accuser</x:v>
      </x:c>
      <x:c r="K3325" s="33" t="str"/>
      <x:c r="L3325" s="33" t="str"/>
      <x:c r="M3325" s="44" t="str"/>
      <x:c r="N3325" s="50" t="n">
        <x:v>42</x:v>
      </x:c>
      <x:c r="O3325" s="53" t="str">
        <x:v>When a man is ruthlessly assaulted and burned, the SVU's investigation uncovers a decades-old secret. Bruno helps a young witness find the courage to come forward.</x:v>
      </x:c>
      <x:c r="P3325" s="53" t="str">
        <x:v>Core Law &amp; Order franchise</x:v>
      </x:c>
      <x:c r="Q3325" s="17" t="str">
        <x:v>12860105</x:v>
      </x:c>
      <x:c r="R3325" s="17" t="str">
        <x:v>tt35885743</x:v>
      </x:c>
      <x:c r="S3325" s="17" t="str">
        <x:v>1713</x:v>
      </x:c>
    </x:row>
    <x:row r="3326">
      <x:c r="A3326" s="43" t="n">
        <x:v>3322</x:v>
      </x:c>
      <x:c r="B3326" s="44" t="str">
        <x:v>Not Started</x:v>
      </x:c>
      <x:c r="C3326" s="45" t="n">
        <x:v>45763</x:v>
      </x:c>
      <x:c r="D3326" s="33" t="str">
        <x:v>FBI: International</x:v>
      </x:c>
      <x:c r="E3326" s="33" t="str">
        <x:v>FBI</x:v>
      </x:c>
      <x:c r="F3326" s="33" t="str">
        <x:v>core</x:v>
      </x:c>
      <x:c r="G3326" s="50" t="n">
        <x:v>4</x:v>
      </x:c>
      <x:c r="H3326" s="50" t="n">
        <x:v>18</x:v>
      </x:c>
      <x:c r="I3326" s="44" t="str">
        <x:v>04.18</x:v>
      </x:c>
      <x:c r="J3326" s="33" t="str">
        <x:v>Lone Wolf</x:v>
      </x:c>
      <x:c r="K3326" s="33" t="str"/>
      <x:c r="L3326" s="33" t="str"/>
      <x:c r="M3326" s="44" t="str"/>
      <x:c r="N3326" s="50" t="n">
        <x:v>42</x:v>
      </x:c>
      <x:c r="O3326" s="53" t="str">
        <x:v>The Fly Team heads to the country of Georgia to determine the motive behind an attack that targeted two American soldiers at a NATO-Georgia joint training center before it turns into an international incident. Meanwhile, a supervisory position opens in another FBI division in Europe, and Mitchell encourages both Vo and Raines to apply.</x:v>
      </x:c>
      <x:c r="P3326" s="53" t="str">
        <x:v>Core FBI franchise</x:v>
      </x:c>
      <x:c r="Q3326" s="17" t="str">
        <x:v>12932374</x:v>
      </x:c>
      <x:c r="R3326" s="17" t="str">
        <x:v>tt36207054</x:v>
      </x:c>
      <x:c r="S3326" s="17" t="str"/>
    </x:row>
    <x:row r="3327">
      <x:c r="A3327" s="43" t="n">
        <x:v>3323</x:v>
      </x:c>
      <x:c r="B3327" s="44" t="str">
        <x:v>Not Started</x:v>
      </x:c>
      <x:c r="C3327" s="45" t="n">
        <x:v>45763</x:v>
      </x:c>
      <x:c r="D3327" s="33" t="str">
        <x:v>FBI: Most Wanted</x:v>
      </x:c>
      <x:c r="E3327" s="33" t="str">
        <x:v>FBI</x:v>
      </x:c>
      <x:c r="F3327" s="33" t="str">
        <x:v>core</x:v>
      </x:c>
      <x:c r="G3327" s="50" t="n">
        <x:v>6</x:v>
      </x:c>
      <x:c r="H3327" s="50" t="n">
        <x:v>18</x:v>
      </x:c>
      <x:c r="I3327" s="44" t="str">
        <x:v>06.18</x:v>
      </x:c>
      <x:c r="J3327" s="33" t="str">
        <x:v>Trust</x:v>
      </x:c>
      <x:c r="K3327" s="33" t="str"/>
      <x:c r="L3327" s="33" t="str"/>
      <x:c r="M3327" s="44" t="str"/>
      <x:c r="N3327" s="50" t="n">
        <x:v>42</x:v>
      </x:c>
      <x:c r="O3327" s="53" t="str">
        <x:v>The Fugitive Task Force is thrown into the world of the wealthy and twisted after a Rhode Island socialite is murdered in her own mansion. Meanwhile, Barnes contemplates big changes.</x:v>
      </x:c>
      <x:c r="P3327" s="53" t="str">
        <x:v>Core FBI franchise</x:v>
      </x:c>
      <x:c r="Q3327" s="17" t="str">
        <x:v>12904545</x:v>
      </x:c>
      <x:c r="R3327" s="17" t="str">
        <x:v>tt36217713</x:v>
      </x:c>
      <x:c r="S3327" s="17" t="str"/>
    </x:row>
    <x:row r="3328">
      <x:c r="A3328" s="43" t="n">
        <x:v>3324</x:v>
      </x:c>
      <x:c r="B3328" s="44" t="str">
        <x:v>Not Started</x:v>
      </x:c>
      <x:c r="C3328" s="45" t="n">
        <x:v>45763</x:v>
      </x:c>
      <x:c r="D3328" s="33" t="str">
        <x:v>FBI</x:v>
      </x:c>
      <x:c r="E3328" s="33" t="str">
        <x:v>FBI</x:v>
      </x:c>
      <x:c r="F3328" s="33" t="str">
        <x:v>core</x:v>
      </x:c>
      <x:c r="G3328" s="50" t="n">
        <x:v>7</x:v>
      </x:c>
      <x:c r="H3328" s="50" t="n">
        <x:v>18</x:v>
      </x:c>
      <x:c r="I3328" s="44" t="str">
        <x:v>07.18</x:v>
      </x:c>
      <x:c r="J3328" s="33" t="str">
        <x:v>Blkpill</x:v>
      </x:c>
      <x:c r="K3328" s="33" t="str"/>
      <x:c r="L3328" s="33" t="str"/>
      <x:c r="M3328" s="44" t="str"/>
      <x:c r="N3328" s="50" t="n">
        <x:v>42</x:v>
      </x:c>
      <x:c r="O3328" s="53" t="str">
        <x:v>After two women are brutally murdered via napalm, Maggie and OA are led to a dating site where they discover a group of scorned users who are targeting women who reject them.</x:v>
      </x:c>
      <x:c r="P3328" s="53" t="str">
        <x:v>Core FBI franchise</x:v>
      </x:c>
      <x:c r="Q3328" s="17" t="str">
        <x:v>12922730</x:v>
      </x:c>
      <x:c r="R3328" s="17" t="str">
        <x:v>tt36204364</x:v>
      </x:c>
      <x:c r="S3328" s="17" t="str"/>
    </x:row>
    <x:row r="3329">
      <x:c r="A3329" s="43" t="n">
        <x:v>3325</x:v>
      </x:c>
      <x:c r="B3329" s="44" t="str">
        <x:v>Not Started</x:v>
      </x:c>
      <x:c r="C3329" s="45" t="n">
        <x:v>45764</x:v>
      </x:c>
      <x:c r="D3329" s="33" t="str">
        <x:v>Law &amp; Order Toronto: Criminal Intent</x:v>
      </x:c>
      <x:c r="E3329" s="33" t="str">
        <x:v>Law &amp; Order</x:v>
      </x:c>
      <x:c r="F3329" s="33" t="str">
        <x:v>core</x:v>
      </x:c>
      <x:c r="G3329" s="50" t="n">
        <x:v>2</x:v>
      </x:c>
      <x:c r="H3329" s="50" t="n">
        <x:v>7</x:v>
      </x:c>
      <x:c r="I3329" s="44" t="str">
        <x:v>02.07</x:v>
      </x:c>
      <x:c r="J3329" s="33" t="str">
        <x:v>The Man in the Stadium</x:v>
      </x:c>
      <x:c r="K3329" s="33" t="str"/>
      <x:c r="L3329" s="33" t="str"/>
      <x:c r="M3329" s="44" t="str"/>
      <x:c r="N3329" s="50" t="n">
        <x:v>44</x:v>
      </x:c>
      <x:c r="O3329" s="53" t="str">
        <x:v>Graff and Bateman are called into the Rogers Centre when a famous Canadian stand-up comic drops dead during a rehearsal on stage.</x:v>
      </x:c>
      <x:c r="P3329" s="53" t="str">
        <x:v>Law &amp; Order international franchise</x:v>
      </x:c>
      <x:c r="Q3329" s="17" t="str">
        <x:v>12663840</x:v>
      </x:c>
      <x:c r="R3329" s="17" t="str">
        <x:v>tt33077693</x:v>
      </x:c>
      <x:c r="S3329" s="17" t="str">
        <x:v>1714</x:v>
      </x:c>
    </x:row>
    <x:row r="3330">
      <x:c r="A3330" s="43" t="n">
        <x:v>3326</x:v>
      </x:c>
      <x:c r="B3330" s="44" t="str">
        <x:v>Not Started</x:v>
      </x:c>
      <x:c r="C3330" s="45" t="n">
        <x:v>45764</x:v>
      </x:c>
      <x:c r="D3330" s="33" t="str">
        <x:v>Law &amp; Order: Organized Crime</x:v>
      </x:c>
      <x:c r="E3330" s="33" t="str">
        <x:v>Law &amp; Order</x:v>
      </x:c>
      <x:c r="F3330" s="33" t="str">
        <x:v>core</x:v>
      </x:c>
      <x:c r="G3330" s="50" t="n">
        <x:v>5</x:v>
      </x:c>
      <x:c r="H3330" s="50" t="n">
        <x:v>1</x:v>
      </x:c>
      <x:c r="I3330" s="44" t="str">
        <x:v>05.01</x:v>
      </x:c>
      <x:c r="J3330" s="33" t="str">
        <x:v>Lost Highway</x:v>
      </x:c>
      <x:c r="K3330" s="33" t="str"/>
      <x:c r="L3330" s="33" t="str"/>
      <x:c r="M3330" s="44" t="str"/>
      <x:c r="N3330" s="50" t="n">
        <x:v>42</x:v>
      </x:c>
      <x:c r="O3330" s="53" t="str">
        <x:v>Stabler goes undercover to catch smugglers; as he gets to know the girls, they start going missing.</x:v>
      </x:c>
      <x:c r="P3330" s="53" t="str">
        <x:v>Core Law &amp; Order franchise</x:v>
      </x:c>
      <x:c r="Q3330" s="17" t="str">
        <x:v>12252901</x:v>
      </x:c>
      <x:c r="R3330" s="17" t="str">
        <x:v>tt32212494</x:v>
      </x:c>
      <x:c r="S3330" s="17" t="str">
        <x:v>1717</x:v>
      </x:c>
    </x:row>
    <x:row r="3331">
      <x:c r="A3331" s="43" t="n">
        <x:v>3327</x:v>
      </x:c>
      <x:c r="B3331" s="44" t="str">
        <x:v>Not Started</x:v>
      </x:c>
      <x:c r="C3331" s="45" t="n">
        <x:v>45764</x:v>
      </x:c>
      <x:c r="D3331" s="33" t="str">
        <x:v>Law &amp; Order: Organized Crime</x:v>
      </x:c>
      <x:c r="E3331" s="33" t="str">
        <x:v>Law &amp; Order</x:v>
      </x:c>
      <x:c r="F3331" s="33" t="str">
        <x:v>core</x:v>
      </x:c>
      <x:c r="G3331" s="50" t="n">
        <x:v>5</x:v>
      </x:c>
      <x:c r="H3331" s="50" t="n">
        <x:v>2</x:v>
      </x:c>
      <x:c r="I3331" s="44" t="str">
        <x:v>05.02</x:v>
      </x:c>
      <x:c r="J3331" s="33" t="str">
        <x:v>Dante's Inferno</x:v>
      </x:c>
      <x:c r="K3331" s="33" t="str"/>
      <x:c r="L3331" s="33" t="str"/>
      <x:c r="M3331" s="44" t="str"/>
      <x:c r="N3331" s="50" t="n">
        <x:v>44</x:v>
      </x:c>
      <x:c r="O3331" s="53" t="str">
        <x:v>Stabler recovers from an injury while Olivia Benson helps with finding missing sex worker Sad Eyes.</x:v>
      </x:c>
      <x:c r="P3331" s="53" t="str">
        <x:v>Core Law &amp; Order franchise</x:v>
      </x:c>
      <x:c r="Q3331" s="17" t="str">
        <x:v>12539536</x:v>
      </x:c>
      <x:c r="R3331" s="17" t="str">
        <x:v>tt35630090</x:v>
      </x:c>
      <x:c r="S3331" s="17" t="str">
        <x:v>1718</x:v>
      </x:c>
    </x:row>
    <x:row r="3332">
      <x:c r="A3332" s="43" t="n">
        <x:v>3328</x:v>
      </x:c>
      <x:c r="B3332" s="44" t="str">
        <x:v>Not Started</x:v>
      </x:c>
      <x:c r="C3332" s="45" t="n">
        <x:v>45764</x:v>
      </x:c>
      <x:c r="D3332" s="33" t="str">
        <x:v>Chicago Med</x:v>
      </x:c>
      <x:c r="E3332" s="33" t="str">
        <x:v>One Chicago</x:v>
      </x:c>
      <x:c r="F3332" s="33" t="str">
        <x:v>core</x:v>
      </x:c>
      <x:c r="G3332" s="50" t="n">
        <x:v>10</x:v>
      </x:c>
      <x:c r="H3332" s="50" t="n">
        <x:v>18</x:v>
      </x:c>
      <x:c r="I3332" s="44" t="str">
        <x:v>10.18</x:v>
      </x:c>
      <x:c r="J3332" s="33" t="str">
        <x:v>Together One Last Time</x:v>
      </x:c>
      <x:c r="K3332" s="33" t="str"/>
      <x:c r="L3332" s="33" t="str"/>
      <x:c r="M3332" s="44" t="str"/>
      <x:c r="N3332" s="50" t="n">
        <x:v>43</x:v>
      </x:c>
      <x:c r="O3332" s="53" t="str">
        <x:v>Asher makes a tough call to save a life. Frost and Ripley treat a young boy with a snake bite. Archer gives Naomi a patient to handle on her own on her last day in the E.D.</x:v>
      </x:c>
      <x:c r="P3332" s="53" t="str">
        <x:v>Core One Chicago franchise</x:v>
      </x:c>
      <x:c r="Q3332" s="17" t="str">
        <x:v>12879372</x:v>
      </x:c>
      <x:c r="R3332" s="17" t="str">
        <x:v>tt36170664</x:v>
      </x:c>
      <x:c r="S3332" s="17" t="str"/>
    </x:row>
    <x:row r="3333">
      <x:c r="A3333" s="43" t="n">
        <x:v>3329</x:v>
      </x:c>
      <x:c r="B3333" s="44" t="str">
        <x:v>Not Started</x:v>
      </x:c>
      <x:c r="C3333" s="45" t="n">
        <x:v>45764</x:v>
      </x:c>
      <x:c r="D3333" s="33" t="str">
        <x:v>Chicago P.D.</x:v>
      </x:c>
      <x:c r="E3333" s="33" t="str">
        <x:v>One Chicago</x:v>
      </x:c>
      <x:c r="F3333" s="33" t="str">
        <x:v>core</x:v>
      </x:c>
      <x:c r="G3333" s="50" t="n">
        <x:v>12</x:v>
      </x:c>
      <x:c r="H3333" s="50" t="n">
        <x:v>18</x:v>
      </x:c>
      <x:c r="I3333" s="44" t="str">
        <x:v>12.18</x:v>
      </x:c>
      <x:c r="J3333" s="33" t="str">
        <x:v>Demons</x:v>
      </x:c>
      <x:c r="K3333" s="33" t="str"/>
      <x:c r="L3333" s="33" t="str"/>
      <x:c r="M3333" s="44" t="str"/>
      <x:c r="N3333" s="50" t="n">
        <x:v>43</x:v>
      </x:c>
      <x:c r="O3333" s="53" t="str">
        <x:v>Voight and Chapman work together to uncover Deputy Chief Reid's shadow dealings as Reid assigns Intelligence to a carjacking case.</x:v>
      </x:c>
      <x:c r="P3333" s="53" t="str">
        <x:v>Core One Chicago franchise; crossovers with SVU/FBI</x:v>
      </x:c>
      <x:c r="Q3333" s="17" t="str">
        <x:v>12877450</x:v>
      </x:c>
      <x:c r="R3333" s="17" t="str">
        <x:v>tt36359728</x:v>
      </x:c>
      <x:c r="S3333" s="17" t="str"/>
    </x:row>
    <x:row r="3334">
      <x:c r="A3334" s="43" t="n">
        <x:v>3330</x:v>
      </x:c>
      <x:c r="B3334" s="44" t="str">
        <x:v>Not Started</x:v>
      </x:c>
      <x:c r="C3334" s="45" t="n">
        <x:v>45764</x:v>
      </x:c>
      <x:c r="D3334" s="33" t="str">
        <x:v>Chicago Fire</x:v>
      </x:c>
      <x:c r="E3334" s="33" t="str">
        <x:v>One Chicago</x:v>
      </x:c>
      <x:c r="F3334" s="33" t="str">
        <x:v>core</x:v>
      </x:c>
      <x:c r="G3334" s="50" t="n">
        <x:v>13</x:v>
      </x:c>
      <x:c r="H3334" s="50" t="n">
        <x:v>18</x:v>
      </x:c>
      <x:c r="I3334" s="44" t="str">
        <x:v>13.18</x:v>
      </x:c>
      <x:c r="J3334" s="33" t="str">
        <x:v>Post-Mortem</x:v>
      </x:c>
      <x:c r="K3334" s="33" t="str"/>
      <x:c r="L3334" s="33" t="str"/>
      <x:c r="M3334" s="44" t="str"/>
      <x:c r="N3334" s="50" t="n">
        <x:v>42</x:v>
      </x:c>
      <x:c r="O3334" s="53" t="str">
        <x:v>Deputy Commissioner Boden returns to Firehouse 51 to investigate a disastrous firefight and the surrounding mystery that left one of their own in peril.</x:v>
      </x:c>
      <x:c r="P3334" s="53" t="str">
        <x:v>Core One Chicago franchise</x:v>
      </x:c>
      <x:c r="Q3334" s="17" t="str">
        <x:v>12877449</x:v>
      </x:c>
      <x:c r="R3334" s="17" t="str">
        <x:v>tt36022380</x:v>
      </x:c>
      <x:c r="S3334" s="17" t="str"/>
    </x:row>
    <x:row r="3335">
      <x:c r="A3335" s="43" t="n">
        <x:v>3331</x:v>
      </x:c>
      <x:c r="B3335" s="44" t="str">
        <x:v>Not Started</x:v>
      </x:c>
      <x:c r="C3335" s="45" t="n">
        <x:v>45764</x:v>
      </x:c>
      <x:c r="D3335" s="33" t="str">
        <x:v>Law &amp; Order</x:v>
      </x:c>
      <x:c r="E3335" s="33" t="str">
        <x:v>Law &amp; Order</x:v>
      </x:c>
      <x:c r="F3335" s="33" t="str">
        <x:v>core</x:v>
      </x:c>
      <x:c r="G3335" s="50" t="n">
        <x:v>24</x:v>
      </x:c>
      <x:c r="H3335" s="50" t="n">
        <x:v>19</x:v>
      </x:c>
      <x:c r="I3335" s="44" t="str">
        <x:v>24.19</x:v>
      </x:c>
      <x:c r="J3335" s="33" t="str">
        <x:v>Play with Fire (I)</x:v>
      </x:c>
      <x:c r="K3335" s="33" t="str">
        <x:v>Crossover</x:v>
      </x:c>
      <x:c r="L3335" s="33" t="str">
        <x:v>Play with Fire</x:v>
      </x:c>
      <x:c r="M3335" s="44" t="str">
        <x:v>1/2</x:v>
      </x:c>
      <x:c r="N3335" s="50" t="n">
        <x:v>43</x:v>
      </x:c>
      <x:c r="O3335" s="53" t="str">
        <x:v>A mysterious phone call to Capt. Benson of the SVU leads detectives to the scene of a brutal murder. When the SVU and the 2-7 uncover a pattern of rape and murder targeting marginalized women, Carisi and ADA Price team up to charge the suspect with multiple crimes.
The crossover continues on Law &amp; Order: Special Victims Unit S26E19 Play with Fire (II).</x:v>
      </x:c>
      <x:c r="P3335" s="53" t="str">
        <x:v>Core Law &amp; Order franchise</x:v>
      </x:c>
      <x:c r="Q3335" s="17" t="str">
        <x:v>12925879</x:v>
      </x:c>
      <x:c r="R3335" s="17" t="str">
        <x:v>tt36132696</x:v>
      </x:c>
      <x:c r="S3335" s="17" t="str">
        <x:v>https://www.nbc.com/nbc-insider/what-time-does-the-law-order-crossover-event-start-april-17-2025</x:v>
      </x:c>
    </x:row>
    <x:row r="3336">
      <x:c r="A3336" s="43" t="n">
        <x:v>3332</x:v>
      </x:c>
      <x:c r="B3336" s="44" t="str">
        <x:v>Not Started</x:v>
      </x:c>
      <x:c r="C3336" s="45" t="n">
        <x:v>45764</x:v>
      </x:c>
      <x:c r="D3336" s="33" t="str">
        <x:v>Law &amp; Order: Special Victims Unit</x:v>
      </x:c>
      <x:c r="E3336" s="33" t="str">
        <x:v>Law &amp; Order</x:v>
      </x:c>
      <x:c r="F3336" s="33" t="str">
        <x:v>core</x:v>
      </x:c>
      <x:c r="G3336" s="50" t="n">
        <x:v>26</x:v>
      </x:c>
      <x:c r="H3336" s="50" t="n">
        <x:v>19</x:v>
      </x:c>
      <x:c r="I3336" s="44" t="str">
        <x:v>26.19</x:v>
      </x:c>
      <x:c r="J3336" s="33" t="str">
        <x:v>Play with Fire (II)</x:v>
      </x:c>
      <x:c r="K3336" s="33" t="str">
        <x:v>Crossover</x:v>
      </x:c>
      <x:c r="L3336" s="33" t="str">
        <x:v>Play with Fire</x:v>
      </x:c>
      <x:c r="M3336" s="44" t="str">
        <x:v>2/2</x:v>
      </x:c>
      <x:c r="N3336" s="50" t="n">
        <x:v>42</x:v>
      </x:c>
      <x:c r="O3336" s="53" t="str">
        <x:v>When the SVU and the 2-7 uncover a pattern of rape and murder targeting marginalized women, Carisi and ADA Price team up to charge the suspect with multiple crimes.
The crossover starts on Law &amp; Order S24E19 Play with Fire (I).</x:v>
      </x:c>
      <x:c r="P3336" s="53" t="str">
        <x:v>Core Law &amp; Order franchise</x:v>
      </x:c>
      <x:c r="Q3336" s="17" t="str">
        <x:v>12860106</x:v>
      </x:c>
      <x:c r="R3336" s="17" t="str">
        <x:v>tt35901467</x:v>
      </x:c>
      <x:c r="S3336" s="17" t="str">
        <x:v>https://www.nbc.com/nbc-insider/what-time-does-the-law-order-crossover-event-start-april-17-2025</x:v>
      </x:c>
    </x:row>
    <x:row r="3337">
      <x:c r="A3337" s="43" t="n">
        <x:v>3333</x:v>
      </x:c>
      <x:c r="B3337" s="44" t="str">
        <x:v>Not Started</x:v>
      </x:c>
      <x:c r="C3337" s="45" t="n">
        <x:v>45770</x:v>
      </x:c>
      <x:c r="D3337" s="33" t="str">
        <x:v>FBI: International</x:v>
      </x:c>
      <x:c r="E3337" s="33" t="str">
        <x:v>FBI</x:v>
      </x:c>
      <x:c r="F3337" s="33" t="str">
        <x:v>core</x:v>
      </x:c>
      <x:c r="G3337" s="50" t="n">
        <x:v>4</x:v>
      </x:c>
      <x:c r="H3337" s="50" t="n">
        <x:v>19</x:v>
      </x:c>
      <x:c r="I3337" s="44" t="str">
        <x:v>04.19</x:v>
      </x:c>
      <x:c r="J3337" s="33" t="str">
        <x:v>Flinch Now and It's Over</x:v>
      </x:c>
      <x:c r="K3337" s="33" t="str"/>
      <x:c r="L3337" s="33" t="str"/>
      <x:c r="M3337" s="44" t="str"/>
      <x:c r="N3337" s="50" t="n">
        <x:v>43</x:v>
      </x:c>
      <x:c r="O3337" s="53" t="str">
        <x:v>When a suspected American arms dealer with a lengthy rap sheet pops up in Vienna with stolen weapons, the Fly Team sends Mitchell and Smitty undercover to try to infiltrate his operation. During the mission, Smitty enters muddy waters while working with the suspect’s wife. Meanwhile, Mitchell’s biological father shows up in Budapest after being released from prison to seek him out despite Mitchell’s disinterest.</x:v>
      </x:c>
      <x:c r="P3337" s="53" t="str">
        <x:v>Core FBI franchise</x:v>
      </x:c>
      <x:c r="Q3337" s="17" t="str">
        <x:v>12932375</x:v>
      </x:c>
      <x:c r="R3337" s="17" t="str">
        <x:v>tt36207058</x:v>
      </x:c>
      <x:c r="S3337" s="17" t="str"/>
    </x:row>
    <x:row r="3338">
      <x:c r="A3338" s="43" t="n">
        <x:v>3334</x:v>
      </x:c>
      <x:c r="B3338" s="44" t="str">
        <x:v>Not Started</x:v>
      </x:c>
      <x:c r="C3338" s="45" t="n">
        <x:v>45770</x:v>
      </x:c>
      <x:c r="D3338" s="33" t="str">
        <x:v>FBI: Most Wanted</x:v>
      </x:c>
      <x:c r="E3338" s="33" t="str">
        <x:v>FBI</x:v>
      </x:c>
      <x:c r="F3338" s="33" t="str">
        <x:v>core</x:v>
      </x:c>
      <x:c r="G3338" s="50" t="n">
        <x:v>6</x:v>
      </x:c>
      <x:c r="H3338" s="50" t="n">
        <x:v>19</x:v>
      </x:c>
      <x:c r="I3338" s="44" t="str">
        <x:v>06.19</x:v>
      </x:c>
      <x:c r="J3338" s="33" t="str">
        <x:v>Starman</x:v>
      </x:c>
      <x:c r="K3338" s="33" t="str"/>
      <x:c r="L3338" s="33" t="str"/>
      <x:c r="M3338" s="44" t="str"/>
      <x:c r="N3338" s="50" t="n">
        <x:v>43</x:v>
      </x:c>
      <x:c r="O3338" s="53" t="str">
        <x:v>The Fugitive Task Force investigates the kidnapping of a high-profile astronaut in connection with other disappearances in the area, landing them in the wild world of adult content creators. Meanwhile, Remy and Abby struggle to see eye to eye.</x:v>
      </x:c>
      <x:c r="P3338" s="53" t="str">
        <x:v>Core FBI franchise</x:v>
      </x:c>
      <x:c r="Q3338" s="17" t="str">
        <x:v>12939223</x:v>
      </x:c>
      <x:c r="R3338" s="17" t="str">
        <x:v>tt36217715</x:v>
      </x:c>
      <x:c r="S3338" s="17" t="str"/>
    </x:row>
    <x:row r="3339">
      <x:c r="A3339" s="43" t="n">
        <x:v>3335</x:v>
      </x:c>
      <x:c r="B3339" s="44" t="str">
        <x:v>Not Started</x:v>
      </x:c>
      <x:c r="C3339" s="45" t="n">
        <x:v>45770</x:v>
      </x:c>
      <x:c r="D3339" s="33" t="str">
        <x:v>FBI</x:v>
      </x:c>
      <x:c r="E3339" s="33" t="str">
        <x:v>FBI</x:v>
      </x:c>
      <x:c r="F3339" s="33" t="str">
        <x:v>core</x:v>
      </x:c>
      <x:c r="G3339" s="50" t="n">
        <x:v>7</x:v>
      </x:c>
      <x:c r="H3339" s="50" t="n">
        <x:v>19</x:v>
      </x:c>
      <x:c r="I3339" s="44" t="str">
        <x:v>07.19</x:v>
      </x:c>
      <x:c r="J3339" s="33" t="str">
        <x:v>Partner</x:v>
      </x:c>
      <x:c r="K3339" s="33" t="str"/>
      <x:c r="L3339" s="33" t="str"/>
      <x:c r="M3339" s="44" t="str"/>
      <x:c r="N3339" s="50" t="n">
        <x:v>42</x:v>
      </x:c>
      <x:c r="O3339" s="53" t="str">
        <x:v>After a young girl goes missing in Queens, the team discovers the kidnappers used her as leverage to carry out a major explosives heist, sending them on a hunt for the dangerous culprits. Meanwhile, Scola and Dani begin working on their footing as partners.</x:v>
      </x:c>
      <x:c r="P3339" s="53" t="str">
        <x:v>Core FBI franchise</x:v>
      </x:c>
      <x:c r="Q3339" s="17" t="str">
        <x:v>12939168</x:v>
      </x:c>
      <x:c r="R3339" s="17" t="str">
        <x:v>tt36452681</x:v>
      </x:c>
      <x:c r="S3339" s="17" t="str"/>
    </x:row>
    <x:row r="3340">
      <x:c r="A3340" s="43" t="n">
        <x:v>3336</x:v>
      </x:c>
      <x:c r="B3340" s="44" t="str">
        <x:v>Not Started</x:v>
      </x:c>
      <x:c r="C3340" s="45" t="n">
        <x:v>45771</x:v>
      </x:c>
      <x:c r="D3340" s="33" t="str">
        <x:v>Law &amp; Order: Organized Crime</x:v>
      </x:c>
      <x:c r="E3340" s="33" t="str">
        <x:v>Law &amp; Order</x:v>
      </x:c>
      <x:c r="F3340" s="33" t="str">
        <x:v>core</x:v>
      </x:c>
      <x:c r="G3340" s="50" t="n">
        <x:v>5</x:v>
      </x:c>
      <x:c r="H3340" s="50" t="n">
        <x:v>3</x:v>
      </x:c>
      <x:c r="I3340" s="44" t="str">
        <x:v>05.03</x:v>
      </x:c>
      <x:c r="J3340" s="33" t="str">
        <x:v>Paranza Dei Bambini</x:v>
      </x:c>
      <x:c r="K3340" s="33" t="str"/>
      <x:c r="L3340" s="33" t="str"/>
      <x:c r="M3340" s="44" t="str"/>
      <x:c r="N3340" s="50" t="n">
        <x:v>42</x:v>
      </x:c>
      <x:c r="O3340" s="53" t="str">
        <x:v>After an attack on Carisi's trial, signs of a new gang player make Stabler contact an old C.I.</x:v>
      </x:c>
      <x:c r="P3340" s="53" t="str">
        <x:v>Core Law &amp; Order franchise</x:v>
      </x:c>
      <x:c r="Q3340" s="17" t="str">
        <x:v>12539537</x:v>
      </x:c>
      <x:c r="R3340" s="17" t="str">
        <x:v>tt35630151</x:v>
      </x:c>
      <x:c r="S3340" s="17" t="str">
        <x:v>1719</x:v>
      </x:c>
    </x:row>
    <x:row r="3341">
      <x:c r="A3341" s="43" t="n">
        <x:v>3337</x:v>
      </x:c>
      <x:c r="B3341" s="44" t="str">
        <x:v>Not Started</x:v>
      </x:c>
      <x:c r="C3341" s="45" t="n">
        <x:v>45771</x:v>
      </x:c>
      <x:c r="D3341" s="33" t="str">
        <x:v>Chicago Med</x:v>
      </x:c>
      <x:c r="E3341" s="33" t="str">
        <x:v>One Chicago</x:v>
      </x:c>
      <x:c r="F3341" s="33" t="str">
        <x:v>core</x:v>
      </x:c>
      <x:c r="G3341" s="50" t="n">
        <x:v>10</x:v>
      </x:c>
      <x:c r="H3341" s="50" t="n">
        <x:v>19</x:v>
      </x:c>
      <x:c r="I3341" s="44" t="str">
        <x:v>10.19</x:v>
      </x:c>
      <x:c r="J3341" s="33" t="str">
        <x:v>The Stories We Tell Ourselves</x:v>
      </x:c>
      <x:c r="K3341" s="33" t="str"/>
      <x:c r="L3341" s="33" t="str"/>
      <x:c r="M3341" s="44" t="str"/>
      <x:c r="N3341" s="50" t="n">
        <x:v>43</x:v>
      </x:c>
      <x:c r="O3341" s="53" t="str">
        <x:v>Maggie and Goodwin's friendship is tested as tensions rise during the nurses' union's negotiations with the hospital. Ripley and Archer treat a skateboarder struck by an emergency vehicle. Frost helps a young boy abandoned by his mother.</x:v>
      </x:c>
      <x:c r="P3341" s="53" t="str">
        <x:v>Core One Chicago franchise</x:v>
      </x:c>
      <x:c r="Q3341" s="17" t="str">
        <x:v>12909493</x:v>
      </x:c>
      <x:c r="R3341" s="17" t="str">
        <x:v>tt36170671</x:v>
      </x:c>
      <x:c r="S3341" s="17" t="str"/>
    </x:row>
    <x:row r="3342">
      <x:c r="A3342" s="43" t="n">
        <x:v>3338</x:v>
      </x:c>
      <x:c r="B3342" s="44" t="str">
        <x:v>Not Started</x:v>
      </x:c>
      <x:c r="C3342" s="45" t="n">
        <x:v>45771</x:v>
      </x:c>
      <x:c r="D3342" s="33" t="str">
        <x:v>Chicago P.D.</x:v>
      </x:c>
      <x:c r="E3342" s="33" t="str">
        <x:v>One Chicago</x:v>
      </x:c>
      <x:c r="F3342" s="33" t="str">
        <x:v>core</x:v>
      </x:c>
      <x:c r="G3342" s="50" t="n">
        <x:v>12</x:v>
      </x:c>
      <x:c r="H3342" s="50" t="n">
        <x:v>19</x:v>
      </x:c>
      <x:c r="I3342" s="44" t="str">
        <x:v>12.19</x:v>
      </x:c>
      <x:c r="J3342" s="33" t="str">
        <x:v>Name Image Likeness</x:v>
      </x:c>
      <x:c r="K3342" s="33" t="str"/>
      <x:c r="L3342" s="33" t="str"/>
      <x:c r="M3342" s="44" t="str"/>
      <x:c r="N3342" s="50" t="n">
        <x:v>43</x:v>
      </x:c>
      <x:c r="O3342" s="53" t="str">
        <x:v>Cook works with a confidential informant for the first time in a robbery-murder case with links to a star college athlete.</x:v>
      </x:c>
      <x:c r="P3342" s="53" t="str">
        <x:v>Core One Chicago franchise; crossovers with SVU/FBI</x:v>
      </x:c>
      <x:c r="Q3342" s="17" t="str">
        <x:v>12939221</x:v>
      </x:c>
      <x:c r="R3342" s="17" t="str">
        <x:v>tt36451584</x:v>
      </x:c>
      <x:c r="S3342" s="17" t="str"/>
    </x:row>
    <x:row r="3343">
      <x:c r="A3343" s="43" t="n">
        <x:v>3339</x:v>
      </x:c>
      <x:c r="B3343" s="44" t="str">
        <x:v>Not Started</x:v>
      </x:c>
      <x:c r="C3343" s="45" t="n">
        <x:v>45771</x:v>
      </x:c>
      <x:c r="D3343" s="33" t="str">
        <x:v>Chicago Fire</x:v>
      </x:c>
      <x:c r="E3343" s="33" t="str">
        <x:v>One Chicago</x:v>
      </x:c>
      <x:c r="F3343" s="33" t="str">
        <x:v>core</x:v>
      </x:c>
      <x:c r="G3343" s="50" t="n">
        <x:v>13</x:v>
      </x:c>
      <x:c r="H3343" s="50" t="n">
        <x:v>19</x:v>
      </x:c>
      <x:c r="I3343" s="44" t="str">
        <x:v>13.19</x:v>
      </x:c>
      <x:c r="J3343" s="33" t="str">
        <x:v>Permanent Damage</x:v>
      </x:c>
      <x:c r="K3343" s="33" t="str"/>
      <x:c r="L3343" s="33" t="str"/>
      <x:c r="M3343" s="44" t="str"/>
      <x:c r="N3343" s="50" t="n">
        <x:v>42</x:v>
      </x:c>
      <x:c r="O3343" s="53" t="str">
        <x:v>Severide investigates an old house fire from 10 years back in which Kidd had responded. Carver and Violet search for a mystery medic who abandoned a victim. Novak looks for a roommate.</x:v>
      </x:c>
      <x:c r="P3343" s="53" t="str">
        <x:v>Core One Chicago franchise</x:v>
      </x:c>
      <x:c r="Q3343" s="17" t="str">
        <x:v>12939228</x:v>
      </x:c>
      <x:c r="R3343" s="17" t="str">
        <x:v>tt36460324</x:v>
      </x:c>
      <x:c r="S3343" s="17" t="str"/>
    </x:row>
    <x:row r="3344">
      <x:c r="A3344" s="43" t="n">
        <x:v>3340</x:v>
      </x:c>
      <x:c r="B3344" s="44" t="str">
        <x:v>Not Started</x:v>
      </x:c>
      <x:c r="C3344" s="45" t="n">
        <x:v>45778</x:v>
      </x:c>
      <x:c r="D3344" s="33" t="str">
        <x:v>Law &amp; Order Toronto: Criminal Intent</x:v>
      </x:c>
      <x:c r="E3344" s="33" t="str">
        <x:v>Law &amp; Order</x:v>
      </x:c>
      <x:c r="F3344" s="33" t="str">
        <x:v>core</x:v>
      </x:c>
      <x:c r="G3344" s="50" t="n">
        <x:v>2</x:v>
      </x:c>
      <x:c r="H3344" s="50" t="n">
        <x:v>8</x:v>
      </x:c>
      <x:c r="I3344" s="44" t="str">
        <x:v>02.08</x:v>
      </x:c>
      <x:c r="J3344" s="33" t="str">
        <x:v>Canadian Dream</x:v>
      </x:c>
      <x:c r="K3344" s="33" t="str"/>
      <x:c r="L3344" s="33" t="str"/>
      <x:c r="M3344" s="44" t="str"/>
      <x:c r="N3344" s="50" t="n">
        <x:v>44</x:v>
      </x:c>
      <x:c r="O3344" s="53" t="str">
        <x:v>Graff and Bateman investigate when a prominent tech CEO is shot to death in a parking lot alongside an unlucky young delivery driver who happened to be cycling by.</x:v>
      </x:c>
      <x:c r="P3344" s="53" t="str">
        <x:v>Law &amp; Order international franchise</x:v>
      </x:c>
      <x:c r="Q3344" s="17" t="str">
        <x:v>12663844</x:v>
      </x:c>
      <x:c r="R3344" s="17" t="str">
        <x:v>tt33077694</x:v>
      </x:c>
      <x:c r="S3344" s="17" t="str">
        <x:v>1720</x:v>
      </x:c>
    </x:row>
    <x:row r="3345">
      <x:c r="A3345" s="43" t="n">
        <x:v>3341</x:v>
      </x:c>
      <x:c r="B3345" s="44" t="str">
        <x:v>Not Started</x:v>
      </x:c>
      <x:c r="C3345" s="45" t="n">
        <x:v>45778</x:v>
      </x:c>
      <x:c r="D3345" s="33" t="str">
        <x:v>Law &amp; Order: Organized Crime</x:v>
      </x:c>
      <x:c r="E3345" s="33" t="str">
        <x:v>Law &amp; Order</x:v>
      </x:c>
      <x:c r="F3345" s="33" t="str">
        <x:v>core</x:v>
      </x:c>
      <x:c r="G3345" s="50" t="n">
        <x:v>5</x:v>
      </x:c>
      <x:c r="H3345" s="50" t="n">
        <x:v>4</x:v>
      </x:c>
      <x:c r="I3345" s="44" t="str">
        <x:v>05.04</x:v>
      </x:c>
      <x:c r="J3345" s="33" t="str">
        <x:v>Promesse Infrante</x:v>
      </x:c>
      <x:c r="K3345" s="33" t="str"/>
      <x:c r="L3345" s="33" t="str"/>
      <x:c r="M3345" s="44" t="str"/>
      <x:c r="N3345" s="50" t="n">
        <x:v>45</x:v>
      </x:c>
      <x:c r="O3345" s="53" t="str">
        <x:v>Stabler and Isabella work to find who is behind the Camorra; Reyes goes undercover with Los Santos.</x:v>
      </x:c>
      <x:c r="P3345" s="53" t="str">
        <x:v>Core Law &amp; Order franchise</x:v>
      </x:c>
      <x:c r="Q3345" s="17" t="str">
        <x:v>12539538</x:v>
      </x:c>
      <x:c r="R3345" s="17" t="str">
        <x:v>tt35630228</x:v>
      </x:c>
      <x:c r="S3345" s="17" t="str">
        <x:v>1723</x:v>
      </x:c>
    </x:row>
    <x:row r="3346">
      <x:c r="A3346" s="43" t="n">
        <x:v>3342</x:v>
      </x:c>
      <x:c r="B3346" s="44" t="str">
        <x:v>Not Started</x:v>
      </x:c>
      <x:c r="C3346" s="45" t="n">
        <x:v>45778</x:v>
      </x:c>
      <x:c r="D3346" s="33" t="str">
        <x:v>Law &amp; Order</x:v>
      </x:c>
      <x:c r="E3346" s="33" t="str">
        <x:v>Law &amp; Order</x:v>
      </x:c>
      <x:c r="F3346" s="33" t="str">
        <x:v>core</x:v>
      </x:c>
      <x:c r="G3346" s="50" t="n">
        <x:v>24</x:v>
      </x:c>
      <x:c r="H3346" s="50" t="n">
        <x:v>20</x:v>
      </x:c>
      <x:c r="I3346" s="44" t="str">
        <x:v>24.20</x:v>
      </x:c>
      <x:c r="J3346" s="33" t="str">
        <x:v>Sins of the Father</x:v>
      </x:c>
      <x:c r="K3346" s="33" t="str"/>
      <x:c r="L3346" s="33" t="str"/>
      <x:c r="M3346" s="44" t="str"/>
      <x:c r="N3346" s="50" t="n">
        <x:v>45</x:v>
      </x:c>
      <x:c r="O3346" s="53" t="str">
        <x:v>When a car mechanic is murdered execution-style, Shaw and Riley suspect his job was a cover for more sinister talents. As the trail gets underway for the arrested suspect, Baxter, Price and Maroun are faced with who should answer for the crime.</x:v>
      </x:c>
      <x:c r="P3346" s="53" t="str">
        <x:v>Core Law &amp; Order franchise</x:v>
      </x:c>
      <x:c r="Q3346" s="17" t="str">
        <x:v>12925880</x:v>
      </x:c>
      <x:c r="R3346" s="17" t="str">
        <x:v>tt36167799</x:v>
      </x:c>
      <x:c r="S3346" s="17" t="str">
        <x:v>1721</x:v>
      </x:c>
    </x:row>
    <x:row r="3347">
      <x:c r="A3347" s="43" t="n">
        <x:v>3343</x:v>
      </x:c>
      <x:c r="B3347" s="44" t="str">
        <x:v>Not Started</x:v>
      </x:c>
      <x:c r="C3347" s="45" t="n">
        <x:v>45778</x:v>
      </x:c>
      <x:c r="D3347" s="33" t="str">
        <x:v>Law &amp; Order: Special Victims Unit</x:v>
      </x:c>
      <x:c r="E3347" s="33" t="str">
        <x:v>Law &amp; Order</x:v>
      </x:c>
      <x:c r="F3347" s="33" t="str">
        <x:v>core</x:v>
      </x:c>
      <x:c r="G3347" s="50" t="n">
        <x:v>26</x:v>
      </x:c>
      <x:c r="H3347" s="50" t="n">
        <x:v>20</x:v>
      </x:c>
      <x:c r="I3347" s="44" t="str">
        <x:v>26.20</x:v>
      </x:c>
      <x:c r="J3347" s="33" t="str">
        <x:v>Shock Collar</x:v>
      </x:c>
      <x:c r="K3347" s="33" t="str"/>
      <x:c r="L3347" s="33" t="str"/>
      <x:c r="M3347" s="44" t="str"/>
      <x:c r="N3347" s="50" t="n">
        <x:v>42</x:v>
      </x:c>
      <x:c r="O3347" s="53" t="str">
        <x:v>When a car with a young girl in the backseat is stolen, the SVU investigates whether it was a crime of opportunity or a targeted abduction.</x:v>
      </x:c>
      <x:c r="P3347" s="53" t="str">
        <x:v>Core Law &amp; Order franchise</x:v>
      </x:c>
      <x:c r="Q3347" s="17" t="str">
        <x:v>12947540</x:v>
      </x:c>
      <x:c r="R3347" s="17" t="str">
        <x:v>tt36110249</x:v>
      </x:c>
      <x:c r="S3347" s="17" t="str">
        <x:v>1722</x:v>
      </x:c>
    </x:row>
    <x:row r="3348">
      <x:c r="A3348" s="43" t="n">
        <x:v>3344</x:v>
      </x:c>
      <x:c r="B3348" s="44" t="str">
        <x:v>Not Started</x:v>
      </x:c>
      <x:c r="C3348" s="45" t="n">
        <x:v>45784</x:v>
      </x:c>
      <x:c r="D3348" s="33" t="str">
        <x:v>FBI: International</x:v>
      </x:c>
      <x:c r="E3348" s="33" t="str">
        <x:v>FBI</x:v>
      </x:c>
      <x:c r="F3348" s="33" t="str">
        <x:v>core</x:v>
      </x:c>
      <x:c r="G3348" s="50" t="n">
        <x:v>4</x:v>
      </x:c>
      <x:c r="H3348" s="50" t="n">
        <x:v>20</x:v>
      </x:c>
      <x:c r="I3348" s="44" t="str">
        <x:v>04.20</x:v>
      </x:c>
      <x:c r="J3348" s="33" t="str">
        <x:v>We're Out of Here</x:v>
      </x:c>
      <x:c r="K3348" s="33" t="str"/>
      <x:c r="L3348" s="33" t="str"/>
      <x:c r="M3348" s="44" t="str"/>
      <x:c r="N3348" s="50" t="n">
        <x:v>43</x:v>
      </x:c>
      <x:c r="O3348" s="53" t="str">
        <x:v>When an American official in charge of a high-profile three-way prisoner swap in Belgrade is detained in Romania, he requests the Fly Team step in and carry out the exchange. When their convoy is attacked and one of the prisoners escapes, the team must do everything in their power to find the missing prisoner before the highly sensitive mission is compromised.</x:v>
      </x:c>
      <x:c r="P3348" s="53" t="str">
        <x:v>Core FBI franchise</x:v>
      </x:c>
      <x:c r="Q3348" s="17" t="str">
        <x:v>12932376</x:v>
      </x:c>
      <x:c r="R3348" s="17" t="str">
        <x:v>tt36207060</x:v>
      </x:c>
      <x:c r="S3348" s="17" t="str"/>
    </x:row>
    <x:row r="3349">
      <x:c r="A3349" s="43" t="n">
        <x:v>3345</x:v>
      </x:c>
      <x:c r="B3349" s="44" t="str">
        <x:v>Not Started</x:v>
      </x:c>
      <x:c r="C3349" s="45" t="n">
        <x:v>45784</x:v>
      </x:c>
      <x:c r="D3349" s="33" t="str">
        <x:v>FBI: Most Wanted</x:v>
      </x:c>
      <x:c r="E3349" s="33" t="str">
        <x:v>FBI</x:v>
      </x:c>
      <x:c r="F3349" s="33" t="str">
        <x:v>core</x:v>
      </x:c>
      <x:c r="G3349" s="50" t="n">
        <x:v>6</x:v>
      </x:c>
      <x:c r="H3349" s="50" t="n">
        <x:v>20</x:v>
      </x:c>
      <x:c r="I3349" s="44" t="str">
        <x:v>06.20</x:v>
      </x:c>
      <x:c r="J3349" s="33" t="str">
        <x:v>Trash Day</x:v>
      </x:c>
      <x:c r="K3349" s="33" t="str"/>
      <x:c r="L3349" s="33" t="str"/>
      <x:c r="M3349" s="44" t="str"/>
      <x:c r="N3349" s="50" t="n">
        <x:v>42</x:v>
      </x:c>
      <x:c r="O3349" s="53" t="str">
        <x:v>After a New Jersey mayor is kidnapped, the Fugitive Task Force works against the clock to untangle a web of political conspiracies that may aid their investigation. Meanwhile, Ray’s camping trip with his father and Caleb takes an unexpected turn.</x:v>
      </x:c>
      <x:c r="P3349" s="53" t="str">
        <x:v>Core FBI franchise</x:v>
      </x:c>
      <x:c r="Q3349" s="17" t="str">
        <x:v>12958875</x:v>
      </x:c>
      <x:c r="R3349" s="17" t="str">
        <x:v>tt36207495</x:v>
      </x:c>
      <x:c r="S3349" s="17" t="str"/>
    </x:row>
    <x:row r="3350">
      <x:c r="A3350" s="43" t="n">
        <x:v>3346</x:v>
      </x:c>
      <x:c r="B3350" s="44" t="str">
        <x:v>Not Started</x:v>
      </x:c>
      <x:c r="C3350" s="45" t="n">
        <x:v>45784</x:v>
      </x:c>
      <x:c r="D3350" s="33" t="str">
        <x:v>FBI</x:v>
      </x:c>
      <x:c r="E3350" s="33" t="str">
        <x:v>FBI</x:v>
      </x:c>
      <x:c r="F3350" s="33" t="str">
        <x:v>core</x:v>
      </x:c>
      <x:c r="G3350" s="50" t="n">
        <x:v>7</x:v>
      </x:c>
      <x:c r="H3350" s="50" t="n">
        <x:v>20</x:v>
      </x:c>
      <x:c r="I3350" s="44" t="str">
        <x:v>07.20</x:v>
      </x:c>
      <x:c r="J3350" s="33" t="str">
        <x:v>Startup</x:v>
      </x:c>
      <x:c r="K3350" s="33" t="str"/>
      <x:c r="L3350" s="33" t="str"/>
      <x:c r="M3350" s="44" t="str"/>
      <x:c r="N3350" s="50" t="n">
        <x:v>42</x:v>
      </x:c>
      <x:c r="O3350" s="53" t="str">
        <x:v>When a CEO is killed by a targeted explosion inside his penthouse, the team must work to figure out how someone accessed the highly secure building. Their task is further complicated when they discover the crime may be the work of an artificial intelligence program. Meanwhile, Maggie pumps the brakes on her personal life.</x:v>
      </x:c>
      <x:c r="P3350" s="53" t="str">
        <x:v>Core FBI franchise</x:v>
      </x:c>
      <x:c r="Q3350" s="17" t="str">
        <x:v>12958320</x:v>
      </x:c>
      <x:c r="R3350" s="17" t="str">
        <x:v>tt36452683</x:v>
      </x:c>
      <x:c r="S3350" s="17" t="str"/>
    </x:row>
    <x:row r="3351">
      <x:c r="A3351" s="43" t="n">
        <x:v>3347</x:v>
      </x:c>
      <x:c r="B3351" s="44" t="str">
        <x:v>Not Started</x:v>
      </x:c>
      <x:c r="C3351" s="45" t="n">
        <x:v>45785</x:v>
      </x:c>
      <x:c r="D3351" s="33" t="str">
        <x:v>Law &amp; Order Toronto: Criminal Intent</x:v>
      </x:c>
      <x:c r="E3351" s="33" t="str">
        <x:v>Law &amp; Order</x:v>
      </x:c>
      <x:c r="F3351" s="33" t="str">
        <x:v>core</x:v>
      </x:c>
      <x:c r="G3351" s="50" t="n">
        <x:v>2</x:v>
      </x:c>
      <x:c r="H3351" s="50" t="n">
        <x:v>9</x:v>
      </x:c>
      <x:c r="I3351" s="44" t="str">
        <x:v>02.09</x:v>
      </x:c>
      <x:c r="J3351" s="33" t="str">
        <x:v>Bitter Pill</x:v>
      </x:c>
      <x:c r="K3351" s="33" t="str"/>
      <x:c r="L3351" s="33" t="str"/>
      <x:c r="M3351" s="44" t="str"/>
      <x:c r="N3351" s="50" t="n">
        <x:v>44</x:v>
      </x:c>
      <x:c r="O3351" s="53" t="str">
        <x:v>When a billionaire pharmaceutical CEO and his philanthropist wife are found dead in their home, Graff and Bateman are called to investigate.</x:v>
      </x:c>
      <x:c r="P3351" s="53" t="str">
        <x:v>Law &amp; Order international franchise</x:v>
      </x:c>
      <x:c r="Q3351" s="17" t="str">
        <x:v>12663846</x:v>
      </x:c>
      <x:c r="R3351" s="17" t="str">
        <x:v>tt33077695</x:v>
      </x:c>
      <x:c r="S3351" s="17" t="str">
        <x:v>1724</x:v>
      </x:c>
    </x:row>
    <x:row r="3352">
      <x:c r="A3352" s="43" t="n">
        <x:v>3348</x:v>
      </x:c>
      <x:c r="B3352" s="44" t="str">
        <x:v>Not Started</x:v>
      </x:c>
      <x:c r="C3352" s="45" t="n">
        <x:v>45785</x:v>
      </x:c>
      <x:c r="D3352" s="33" t="str">
        <x:v>Law &amp; Order: Organized Crime</x:v>
      </x:c>
      <x:c r="E3352" s="33" t="str">
        <x:v>Law &amp; Order</x:v>
      </x:c>
      <x:c r="F3352" s="33" t="str">
        <x:v>core</x:v>
      </x:c>
      <x:c r="G3352" s="50" t="n">
        <x:v>5</x:v>
      </x:c>
      <x:c r="H3352" s="50" t="n">
        <x:v>5</x:v>
      </x:c>
      <x:c r="I3352" s="44" t="str">
        <x:v>05.05</x:v>
      </x:c>
      <x:c r="J3352" s="33" t="str">
        <x:v>Lago D'Averno</x:v>
      </x:c>
      <x:c r="K3352" s="33" t="str"/>
      <x:c r="L3352" s="33" t="str"/>
      <x:c r="M3352" s="44" t="str"/>
      <x:c r="N3352" s="50" t="n">
        <x:v>44</x:v>
      </x:c>
      <x:c r="O3352" s="53" t="str">
        <x:v>Eli's career is questioned; leadership at the Camorra falls apart and violence ramps up.</x:v>
      </x:c>
      <x:c r="P3352" s="53" t="str">
        <x:v>Core Law &amp; Order franchise</x:v>
      </x:c>
      <x:c r="Q3352" s="17" t="str">
        <x:v>12539539</x:v>
      </x:c>
      <x:c r="R3352" s="17" t="str">
        <x:v>tt35638435</x:v>
      </x:c>
      <x:c r="S3352" s="17" t="str">
        <x:v>1727</x:v>
      </x:c>
    </x:row>
    <x:row r="3353">
      <x:c r="A3353" s="43" t="n">
        <x:v>3349</x:v>
      </x:c>
      <x:c r="B3353" s="44" t="str">
        <x:v>Not Started</x:v>
      </x:c>
      <x:c r="C3353" s="45" t="n">
        <x:v>45785</x:v>
      </x:c>
      <x:c r="D3353" s="33" t="str">
        <x:v>Chicago Med</x:v>
      </x:c>
      <x:c r="E3353" s="33" t="str">
        <x:v>One Chicago</x:v>
      </x:c>
      <x:c r="F3353" s="33" t="str">
        <x:v>core</x:v>
      </x:c>
      <x:c r="G3353" s="50" t="n">
        <x:v>10</x:v>
      </x:c>
      <x:c r="H3353" s="50" t="n">
        <x:v>20</x:v>
      </x:c>
      <x:c r="I3353" s="44" t="str">
        <x:v>10.20</x:v>
      </x:c>
      <x:c r="J3353" s="33" t="str">
        <x:v>The Invisible Hand</x:v>
      </x:c>
      <x:c r="K3353" s="33" t="str"/>
      <x:c r="L3353" s="33" t="str"/>
      <x:c r="M3353" s="44" t="str"/>
      <x:c r="N3353" s="50" t="n">
        <x:v>43</x:v>
      </x:c>
      <x:c r="O3353" s="53" t="str">
        <x:v>The hospital faces a staffing crisis as the nurses stage a sick-out. Archer and Frost bet on who can discharge their patients first. Charles' distrust of a patient complicates his treatment.</x:v>
      </x:c>
      <x:c r="P3353" s="53" t="str">
        <x:v>Core One Chicago franchise</x:v>
      </x:c>
      <x:c r="Q3353" s="17" t="str">
        <x:v>12975225</x:v>
      </x:c>
      <x:c r="R3353" s="17" t="str">
        <x:v>tt36285333</x:v>
      </x:c>
      <x:c r="S3353" s="17" t="str"/>
    </x:row>
    <x:row r="3354">
      <x:c r="A3354" s="43" t="n">
        <x:v>3350</x:v>
      </x:c>
      <x:c r="B3354" s="44" t="str">
        <x:v>Not Started</x:v>
      </x:c>
      <x:c r="C3354" s="45" t="n">
        <x:v>45785</x:v>
      </x:c>
      <x:c r="D3354" s="33" t="str">
        <x:v>Chicago P.D.</x:v>
      </x:c>
      <x:c r="E3354" s="33" t="str">
        <x:v>One Chicago</x:v>
      </x:c>
      <x:c r="F3354" s="33" t="str">
        <x:v>core</x:v>
      </x:c>
      <x:c r="G3354" s="50" t="n">
        <x:v>12</x:v>
      </x:c>
      <x:c r="H3354" s="50" t="n">
        <x:v>20</x:v>
      </x:c>
      <x:c r="I3354" s="44" t="str">
        <x:v>12.20</x:v>
      </x:c>
      <x:c r="J3354" s="33" t="str">
        <x:v>Black Ice</x:v>
      </x:c>
      <x:c r="K3354" s="33" t="str"/>
      <x:c r="L3354" s="33" t="str"/>
      <x:c r="M3354" s="44" t="str"/>
      <x:c r="N3354" s="50" t="n">
        <x:v>43</x:v>
      </x:c>
      <x:c r="O3354" s="53" t="str">
        <x:v>Ruzek witnesses a tragic accident on an icy bridge, leading Intelligence into a dark, sinister case involving sex trafficking.</x:v>
      </x:c>
      <x:c r="P3354" s="53" t="str">
        <x:v>Core One Chicago franchise; crossovers with SVU/FBI</x:v>
      </x:c>
      <x:c r="Q3354" s="17" t="str">
        <x:v>12975228</x:v>
      </x:c>
      <x:c r="R3354" s="17" t="str">
        <x:v>tt36451583</x:v>
      </x:c>
      <x:c r="S3354" s="17" t="str"/>
    </x:row>
    <x:row r="3355">
      <x:c r="A3355" s="43" t="n">
        <x:v>3351</x:v>
      </x:c>
      <x:c r="B3355" s="44" t="str">
        <x:v>Not Started</x:v>
      </x:c>
      <x:c r="C3355" s="45" t="n">
        <x:v>45785</x:v>
      </x:c>
      <x:c r="D3355" s="33" t="str">
        <x:v>Chicago Fire</x:v>
      </x:c>
      <x:c r="E3355" s="33" t="str">
        <x:v>One Chicago</x:v>
      </x:c>
      <x:c r="F3355" s="33" t="str">
        <x:v>core</x:v>
      </x:c>
      <x:c r="G3355" s="50" t="n">
        <x:v>13</x:v>
      </x:c>
      <x:c r="H3355" s="50" t="n">
        <x:v>20</x:v>
      </x:c>
      <x:c r="I3355" s="44" t="str">
        <x:v>13.20</x:v>
      </x:c>
      <x:c r="J3355" s="33" t="str">
        <x:v>Cut Me Open</x:v>
      </x:c>
      <x:c r="K3355" s="33" t="str"/>
      <x:c r="L3355" s="33" t="str"/>
      <x:c r="M3355" s="44" t="str"/>
      <x:c r="N3355" s="50" t="n">
        <x:v>43</x:v>
      </x:c>
      <x:c r="O3355" s="53" t="str">
        <x:v>With the crew stretched thin, a performance efficiency expert evaluates Firehouse 51. Kidd and Severide bond with the mother of the baby they hope to adopt.</x:v>
      </x:c>
      <x:c r="P3355" s="53" t="str">
        <x:v>Core One Chicago franchise</x:v>
      </x:c>
      <x:c r="Q3355" s="17" t="str">
        <x:v>12975255</x:v>
      </x:c>
      <x:c r="R3355" s="17" t="str">
        <x:v>tt36460330</x:v>
      </x:c>
      <x:c r="S3355" s="17" t="str"/>
    </x:row>
    <x:row r="3356">
      <x:c r="A3356" s="43" t="n">
        <x:v>3352</x:v>
      </x:c>
      <x:c r="B3356" s="44" t="str">
        <x:v>Not Started</x:v>
      </x:c>
      <x:c r="C3356" s="45" t="n">
        <x:v>45785</x:v>
      </x:c>
      <x:c r="D3356" s="33" t="str">
        <x:v>Law &amp; Order</x:v>
      </x:c>
      <x:c r="E3356" s="33" t="str">
        <x:v>Law &amp; Order</x:v>
      </x:c>
      <x:c r="F3356" s="33" t="str">
        <x:v>core</x:v>
      </x:c>
      <x:c r="G3356" s="50" t="n">
        <x:v>24</x:v>
      </x:c>
      <x:c r="H3356" s="50" t="n">
        <x:v>21</x:v>
      </x:c>
      <x:c r="I3356" s="44" t="str">
        <x:v>24.21</x:v>
      </x:c>
      <x:c r="J3356" s="33" t="str">
        <x:v>Tough Love</x:v>
      </x:c>
      <x:c r="K3356" s="33" t="str"/>
      <x:c r="L3356" s="33" t="str"/>
      <x:c r="M3356" s="44" t="str"/>
      <x:c r="N3356" s="50" t="n">
        <x:v>45</x:v>
      </x:c>
      <x:c r="O3356" s="53" t="str">
        <x:v>A tough-love sports agent is found stabbed to death, leaving the squad with a trail of suspects who wanted him gone. Despite a wealth of evidence, Price and Maroun worry that a lack of motive will tank their case.</x:v>
      </x:c>
      <x:c r="P3356" s="53" t="str">
        <x:v>Core Law &amp; Order franchise</x:v>
      </x:c>
      <x:c r="Q3356" s="17" t="str">
        <x:v>12989687</x:v>
      </x:c>
      <x:c r="R3356" s="17" t="str">
        <x:v>tt36550876</x:v>
      </x:c>
      <x:c r="S3356" s="17" t="str">
        <x:v>1725</x:v>
      </x:c>
    </x:row>
    <x:row r="3357">
      <x:c r="A3357" s="43" t="n">
        <x:v>3353</x:v>
      </x:c>
      <x:c r="B3357" s="44" t="str">
        <x:v>Not Started</x:v>
      </x:c>
      <x:c r="C3357" s="45" t="n">
        <x:v>45785</x:v>
      </x:c>
      <x:c r="D3357" s="33" t="str">
        <x:v>Law &amp; Order: Special Victims Unit</x:v>
      </x:c>
      <x:c r="E3357" s="33" t="str">
        <x:v>Law &amp; Order</x:v>
      </x:c>
      <x:c r="F3357" s="33" t="str">
        <x:v>core</x:v>
      </x:c>
      <x:c r="G3357" s="50" t="n">
        <x:v>26</x:v>
      </x:c>
      <x:c r="H3357" s="50" t="n">
        <x:v>21</x:v>
      </x:c>
      <x:c r="I3357" s="44" t="str">
        <x:v>26.21</x:v>
      </x:c>
      <x:c r="J3357" s="33" t="str">
        <x:v>Aperture</x:v>
      </x:c>
      <x:c r="K3357" s="33" t="str"/>
      <x:c r="L3357" s="33" t="str"/>
      <x:c r="M3357" s="44" t="str"/>
      <x:c r="N3357" s="50" t="n">
        <x:v>42</x:v>
      </x:c>
      <x:c r="O3357" s="53" t="str">
        <x:v>When an assault at gunpoint is witnessed through a neighboring window, the squad scrambles to locate the victim to confirm she's safe. A threat to extort the victim's family leads to a shocking suspect.</x:v>
      </x:c>
      <x:c r="P3357" s="53" t="str">
        <x:v>Core Law &amp; Order franchise</x:v>
      </x:c>
      <x:c r="Q3357" s="17" t="str">
        <x:v>12949142</x:v>
      </x:c>
      <x:c r="R3357" s="17" t="str">
        <x:v>tt36318173</x:v>
      </x:c>
      <x:c r="S3357" s="17" t="str">
        <x:v>1726</x:v>
      </x:c>
    </x:row>
    <x:row r="3358">
      <x:c r="A3358" s="43" t="n">
        <x:v>3354</x:v>
      </x:c>
      <x:c r="B3358" s="44" t="str">
        <x:v>Not Started</x:v>
      </x:c>
      <x:c r="C3358" s="45" t="n">
        <x:v>45791</x:v>
      </x:c>
      <x:c r="D3358" s="33" t="str">
        <x:v>FBI: International</x:v>
      </x:c>
      <x:c r="E3358" s="33" t="str">
        <x:v>FBI</x:v>
      </x:c>
      <x:c r="F3358" s="33" t="str">
        <x:v>core</x:v>
      </x:c>
      <x:c r="G3358" s="50" t="n">
        <x:v>4</x:v>
      </x:c>
      <x:c r="H3358" s="50" t="n">
        <x:v>21</x:v>
      </x:c>
      <x:c r="I3358" s="44" t="str">
        <x:v>04.21</x:v>
      </x:c>
      <x:c r="J3358" s="33" t="str">
        <x:v>Herbivore Man (1)</x:v>
      </x:c>
      <x:c r="K3358" s="33" t="str"/>
      <x:c r="L3358" s="33" t="str"/>
      <x:c r="M3358" s="44" t="str"/>
      <x:c r="N3358" s="50" t="n">
        <x:v>41</x:v>
      </x:c>
      <x:c r="O3358" s="53" t="str">
        <x:v>When an American student and sex worker is murdered in Budapest, similarities to a recent case in Japan lead the Fly Team to partner with detectives from Tokyo.</x:v>
      </x:c>
      <x:c r="P3358" s="53" t="str">
        <x:v>Core FBI franchise</x:v>
      </x:c>
      <x:c r="Q3358" s="17" t="str">
        <x:v>12922721</x:v>
      </x:c>
      <x:c r="R3358" s="17" t="str">
        <x:v>tt36207061</x:v>
      </x:c>
      <x:c r="S3358" s="17" t="str"/>
    </x:row>
    <x:row r="3359">
      <x:c r="A3359" s="43" t="n">
        <x:v>3355</x:v>
      </x:c>
      <x:c r="B3359" s="44" t="str">
        <x:v>Not Started</x:v>
      </x:c>
      <x:c r="C3359" s="45" t="n">
        <x:v>45791</x:v>
      </x:c>
      <x:c r="D3359" s="33" t="str">
        <x:v>FBI: Most Wanted</x:v>
      </x:c>
      <x:c r="E3359" s="33" t="str">
        <x:v>FBI</x:v>
      </x:c>
      <x:c r="F3359" s="33" t="str">
        <x:v>core</x:v>
      </x:c>
      <x:c r="G3359" s="50" t="n">
        <x:v>6</x:v>
      </x:c>
      <x:c r="H3359" s="50" t="n">
        <x:v>21</x:v>
      </x:c>
      <x:c r="I3359" s="44" t="str">
        <x:v>06.21</x:v>
      </x:c>
      <x:c r="J3359" s="33" t="str">
        <x:v>Souls on ICE</x:v>
      </x:c>
      <x:c r="K3359" s="33" t="str"/>
      <x:c r="L3359" s="33" t="str"/>
      <x:c r="M3359" s="44" t="str"/>
      <x:c r="N3359" s="50" t="n">
        <x:v>43</x:v>
      </x:c>
      <x:c r="O3359" s="53" t="str">
        <x:v>After three men impersonating ICE officers raid a church in New Jersey, the Fugitive Task Force must earn the trust of the reverend to help find the men who were kidnapped. Meanwhile, Remy confronts his own future after learning that Barnes is considering taking a new job.</x:v>
      </x:c>
      <x:c r="P3359" s="53" t="str">
        <x:v>Core FBI franchise</x:v>
      </x:c>
      <x:c r="Q3359" s="17" t="str">
        <x:v>12958876</x:v>
      </x:c>
      <x:c r="R3359" s="17" t="str">
        <x:v>tt36207498</x:v>
      </x:c>
      <x:c r="S3359" s="17" t="str"/>
    </x:row>
    <x:row r="3360">
      <x:c r="A3360" s="43" t="n">
        <x:v>3356</x:v>
      </x:c>
      <x:c r="B3360" s="44" t="str">
        <x:v>Not Started</x:v>
      </x:c>
      <x:c r="C3360" s="45" t="n">
        <x:v>45791</x:v>
      </x:c>
      <x:c r="D3360" s="33" t="str">
        <x:v>FBI</x:v>
      </x:c>
      <x:c r="E3360" s="33" t="str">
        <x:v>FBI</x:v>
      </x:c>
      <x:c r="F3360" s="33" t="str">
        <x:v>core</x:v>
      </x:c>
      <x:c r="G3360" s="50" t="n">
        <x:v>7</x:v>
      </x:c>
      <x:c r="H3360" s="50" t="n">
        <x:v>21</x:v>
      </x:c>
      <x:c r="I3360" s="44" t="str">
        <x:v>07.21</x:v>
      </x:c>
      <x:c r="J3360" s="33" t="str">
        <x:v>Devoted</x:v>
      </x:c>
      <x:c r="K3360" s="33" t="str"/>
      <x:c r="L3360" s="33" t="str"/>
      <x:c r="M3360" s="44" t="str"/>
      <x:c r="N3360" s="50" t="n">
        <x:v>42</x:v>
      </x:c>
      <x:c r="O3360" s="53" t="str">
        <x:v>When two IRS special agents are stabbed to death in Brooklyn, the team is thrown into an investigation that leads back to the resurgence of the online conspiracy community of Duke Ducoyle, their suspect from a previous case.</x:v>
      </x:c>
      <x:c r="P3360" s="53" t="str">
        <x:v>Core FBI franchise</x:v>
      </x:c>
      <x:c r="Q3360" s="17" t="str">
        <x:v>12958321</x:v>
      </x:c>
      <x:c r="R3360" s="17" t="str">
        <x:v>tt36581636</x:v>
      </x:c>
      <x:c r="S3360" s="17" t="str"/>
    </x:row>
    <x:row r="3361">
      <x:c r="A3361" s="43" t="n">
        <x:v>3357</x:v>
      </x:c>
      <x:c r="B3361" s="44" t="str">
        <x:v>Not Started</x:v>
      </x:c>
      <x:c r="C3361" s="45" t="n">
        <x:v>45792</x:v>
      </x:c>
      <x:c r="D3361" s="33" t="str">
        <x:v>Law &amp; Order Toronto: Criminal Intent</x:v>
      </x:c>
      <x:c r="E3361" s="33" t="str">
        <x:v>Law &amp; Order</x:v>
      </x:c>
      <x:c r="F3361" s="33" t="str">
        <x:v>core</x:v>
      </x:c>
      <x:c r="G3361" s="50" t="n">
        <x:v>2</x:v>
      </x:c>
      <x:c r="H3361" s="50" t="n">
        <x:v>10</x:v>
      </x:c>
      <x:c r="I3361" s="44" t="str">
        <x:v>02.10</x:v>
      </x:c>
      <x:c r="J3361" s="33" t="str">
        <x:v>Tango Romeo</x:v>
      </x:c>
      <x:c r="K3361" s="33" t="str"/>
      <x:c r="L3361" s="33" t="str"/>
      <x:c r="M3361" s="44" t="str"/>
      <x:c r="N3361" s="50" t="n">
        <x:v>44</x:v>
      </x:c>
      <x:c r="O3361" s="53" t="str">
        <x:v>Graff and Bateman investigate the death of a seemingly unremarkable middle-aged travel agent when he is found dead outside his split-level house in Mimico.</x:v>
      </x:c>
      <x:c r="P3361" s="53" t="str">
        <x:v>Law &amp; Order international franchise</x:v>
      </x:c>
      <x:c r="Q3361" s="17" t="str">
        <x:v>12663850</x:v>
      </x:c>
      <x:c r="R3361" s="17" t="str">
        <x:v>tt33077766</x:v>
      </x:c>
      <x:c r="S3361" s="17" t="str">
        <x:v>1728</x:v>
      </x:c>
    </x:row>
    <x:row r="3362">
      <x:c r="A3362" s="43" t="n">
        <x:v>3358</x:v>
      </x:c>
      <x:c r="B3362" s="44" t="str">
        <x:v>Not Started</x:v>
      </x:c>
      <x:c r="C3362" s="45" t="n">
        <x:v>45792</x:v>
      </x:c>
      <x:c r="D3362" s="33" t="str">
        <x:v>Law &amp; Order: Organized Crime</x:v>
      </x:c>
      <x:c r="E3362" s="33" t="str">
        <x:v>Law &amp; Order</x:v>
      </x:c>
      <x:c r="F3362" s="33" t="str">
        <x:v>core</x:v>
      </x:c>
      <x:c r="G3362" s="50" t="n">
        <x:v>5</x:v>
      </x:c>
      <x:c r="H3362" s="50" t="n">
        <x:v>6</x:v>
      </x:c>
      <x:c r="I3362" s="44" t="str">
        <x:v>05.06</x:v>
      </x:c>
      <x:c r="J3362" s="33" t="str">
        <x:v>Red, White, Black and Blue</x:v>
      </x:c>
      <x:c r="K3362" s="33" t="str"/>
      <x:c r="L3362" s="33" t="str"/>
      <x:c r="M3362" s="44" t="str"/>
      <x:c r="N3362" s="50" t="n">
        <x:v>47</x:v>
      </x:c>
      <x:c r="O3362" s="53" t="str">
        <x:v>With one of Mexico's biggest players back on the streets, Stabler is pulled back underground.</x:v>
      </x:c>
      <x:c r="P3362" s="53" t="str">
        <x:v>Core Law &amp; Order franchise</x:v>
      </x:c>
      <x:c r="Q3362" s="17" t="str">
        <x:v>12539540</x:v>
      </x:c>
      <x:c r="R3362" s="17" t="str">
        <x:v>tt35638442</x:v>
      </x:c>
      <x:c r="S3362" s="17" t="str">
        <x:v>1731</x:v>
      </x:c>
    </x:row>
    <x:row r="3363">
      <x:c r="A3363" s="43" t="n">
        <x:v>3359</x:v>
      </x:c>
      <x:c r="B3363" s="44" t="str">
        <x:v>Not Started</x:v>
      </x:c>
      <x:c r="C3363" s="45" t="n">
        <x:v>45792</x:v>
      </x:c>
      <x:c r="D3363" s="33" t="str">
        <x:v>Chicago Med</x:v>
      </x:c>
      <x:c r="E3363" s="33" t="str">
        <x:v>One Chicago</x:v>
      </x:c>
      <x:c r="F3363" s="33" t="str">
        <x:v>core</x:v>
      </x:c>
      <x:c r="G3363" s="50" t="n">
        <x:v>10</x:v>
      </x:c>
      <x:c r="H3363" s="50" t="n">
        <x:v>21</x:v>
      </x:c>
      <x:c r="I3363" s="44" t="str">
        <x:v>10.21</x:v>
      </x:c>
      <x:c r="J3363" s="33" t="str">
        <x:v>Baby Mine...</x:v>
      </x:c>
      <x:c r="K3363" s="33" t="str"/>
      <x:c r="L3363" s="33" t="str"/>
      <x:c r="M3363" s="44" t="str"/>
      <x:c r="N3363" s="50" t="n">
        <x:v>43</x:v>
      </x:c>
      <x:c r="O3363" s="53" t="str">
        <x:v>Maggie and Frost fight to get a pair of lungs for a young cystic fibrosis patient. Asher learns whether she can become a surrogate. Ripley and Morris treat a tech billionaire's daughter as she battles leukemia.</x:v>
      </x:c>
      <x:c r="P3363" s="53" t="str">
        <x:v>Core One Chicago franchise</x:v>
      </x:c>
      <x:c r="Q3363" s="17" t="str">
        <x:v>12975226</x:v>
      </x:c>
      <x:c r="R3363" s="17" t="str">
        <x:v>tt36285336</x:v>
      </x:c>
      <x:c r="S3363" s="17" t="str"/>
    </x:row>
    <x:row r="3364">
      <x:c r="A3364" s="43" t="n">
        <x:v>3360</x:v>
      </x:c>
      <x:c r="B3364" s="44" t="str">
        <x:v>Not Started</x:v>
      </x:c>
      <x:c r="C3364" s="45" t="n">
        <x:v>45792</x:v>
      </x:c>
      <x:c r="D3364" s="33" t="str">
        <x:v>Chicago P.D.</x:v>
      </x:c>
      <x:c r="E3364" s="33" t="str">
        <x:v>One Chicago</x:v>
      </x:c>
      <x:c r="F3364" s="33" t="str">
        <x:v>core</x:v>
      </x:c>
      <x:c r="G3364" s="50" t="n">
        <x:v>12</x:v>
      </x:c>
      <x:c r="H3364" s="50" t="n">
        <x:v>21</x:v>
      </x:c>
      <x:c r="I3364" s="44" t="str">
        <x:v>12.21</x:v>
      </x:c>
      <x:c r="J3364" s="33" t="str">
        <x:v>Open Casket</x:v>
      </x:c>
      <x:c r="K3364" s="33" t="str"/>
      <x:c r="L3364" s="33" t="str"/>
      <x:c r="M3364" s="44" t="str"/>
      <x:c r="N3364" s="50" t="n">
        <x:v>43</x:v>
      </x:c>
      <x:c r="O3364" s="53" t="str">
        <x:v>The showdown with Deputy Chief Reid intensifies when Intelligence narrows in on Otero.</x:v>
      </x:c>
      <x:c r="P3364" s="53" t="str">
        <x:v>Core One Chicago franchise; crossovers with SVU/FBI</x:v>
      </x:c>
      <x:c r="Q3364" s="17" t="str">
        <x:v>12975229</x:v>
      </x:c>
      <x:c r="R3364" s="17" t="str">
        <x:v>tt36460318</x:v>
      </x:c>
      <x:c r="S3364" s="17" t="str"/>
    </x:row>
    <x:row r="3365">
      <x:c r="A3365" s="43" t="n">
        <x:v>3361</x:v>
      </x:c>
      <x:c r="B3365" s="44" t="str">
        <x:v>Not Started</x:v>
      </x:c>
      <x:c r="C3365" s="45" t="n">
        <x:v>45792</x:v>
      </x:c>
      <x:c r="D3365" s="33" t="str">
        <x:v>Chicago Fire</x:v>
      </x:c>
      <x:c r="E3365" s="33" t="str">
        <x:v>One Chicago</x:v>
      </x:c>
      <x:c r="F3365" s="33" t="str">
        <x:v>core</x:v>
      </x:c>
      <x:c r="G3365" s="50" t="n">
        <x:v>13</x:v>
      </x:c>
      <x:c r="H3365" s="50" t="n">
        <x:v>21</x:v>
      </x:c>
      <x:c r="I3365" s="44" t="str">
        <x:v>13.21</x:v>
      </x:c>
      <x:c r="J3365" s="33" t="str">
        <x:v>The Bad Guy</x:v>
      </x:c>
      <x:c r="K3365" s="33" t="str"/>
      <x:c r="L3365" s="33" t="str"/>
      <x:c r="M3365" s="44" t="str"/>
      <x:c r="N3365" s="50" t="n">
        <x:v>43</x:v>
      </x:c>
      <x:c r="O3365" s="53" t="str">
        <x:v>Kidd strengthens her bond with Natalie during a road trip. Severide investigates a car fire and uncovers surprising evidence. Violet receives a career opportunity after being featured in a local newspaper.</x:v>
      </x:c>
      <x:c r="P3365" s="53" t="str">
        <x:v>Core One Chicago franchise</x:v>
      </x:c>
      <x:c r="Q3365" s="17" t="str">
        <x:v>12975256</x:v>
      </x:c>
      <x:c r="R3365" s="17" t="str">
        <x:v>tt36460334</x:v>
      </x:c>
      <x:c r="S3365" s="17" t="str"/>
    </x:row>
    <x:row r="3366">
      <x:c r="A3366" s="43" t="n">
        <x:v>3362</x:v>
      </x:c>
      <x:c r="B3366" s="44" t="str">
        <x:v>Not Started</x:v>
      </x:c>
      <x:c r="C3366" s="45" t="n">
        <x:v>45792</x:v>
      </x:c>
      <x:c r="D3366" s="33" t="str">
        <x:v>Law &amp; Order</x:v>
      </x:c>
      <x:c r="E3366" s="33" t="str">
        <x:v>Law &amp; Order</x:v>
      </x:c>
      <x:c r="F3366" s="33" t="str">
        <x:v>core</x:v>
      </x:c>
      <x:c r="G3366" s="50" t="n">
        <x:v>24</x:v>
      </x:c>
      <x:c r="H3366" s="50" t="n">
        <x:v>22</x:v>
      </x:c>
      <x:c r="I3366" s="44" t="str">
        <x:v>24.22</x:v>
      </x:c>
      <x:c r="J3366" s="33" t="str">
        <x:v>Look the Other Way</x:v>
      </x:c>
      <x:c r="K3366" s="33" t="str"/>
      <x:c r="L3366" s="33" t="str"/>
      <x:c r="M3366" s="44" t="str"/>
      <x:c r="N3366" s="50" t="n">
        <x:v>45</x:v>
      </x:c>
      <x:c r="O3366" s="53" t="str">
        <x:v>When a model is murdered, Shaw and Riley believe their suspect may have escalated an obsession to violence. Maroun's efforts to place the suspect near the scene of the crime leaves Price in a bind when the evidence may not hold up in court.</x:v>
      </x:c>
      <x:c r="P3366" s="53" t="str">
        <x:v>Core Law &amp; Order franchise</x:v>
      </x:c>
      <x:c r="Q3366" s="17" t="str">
        <x:v>12989688</x:v>
      </x:c>
      <x:c r="R3366" s="17" t="str">
        <x:v>tt36555298</x:v>
      </x:c>
      <x:c r="S3366" s="17" t="str">
        <x:v>1729</x:v>
      </x:c>
    </x:row>
    <x:row r="3367">
      <x:c r="A3367" s="43" t="n">
        <x:v>3363</x:v>
      </x:c>
      <x:c r="B3367" s="44" t="str">
        <x:v>Not Started</x:v>
      </x:c>
      <x:c r="C3367" s="45" t="n">
        <x:v>45792</x:v>
      </x:c>
      <x:c r="D3367" s="33" t="str">
        <x:v>Law &amp; Order: Special Victims Unit</x:v>
      </x:c>
      <x:c r="E3367" s="33" t="str">
        <x:v>Law &amp; Order</x:v>
      </x:c>
      <x:c r="F3367" s="33" t="str">
        <x:v>core</x:v>
      </x:c>
      <x:c r="G3367" s="50" t="n">
        <x:v>26</x:v>
      </x:c>
      <x:c r="H3367" s="50" t="n">
        <x:v>22</x:v>
      </x:c>
      <x:c r="I3367" s="44" t="str">
        <x:v>26.22</x:v>
      </x:c>
      <x:c r="J3367" s="33" t="str">
        <x:v>Post-Rage</x:v>
      </x:c>
      <x:c r="K3367" s="33" t="str"/>
      <x:c r="L3367" s="33" t="str"/>
      <x:c r="M3367" s="44" t="str"/>
      <x:c r="N3367" s="50" t="n">
        <x:v>42</x:v>
      </x:c>
      <x:c r="O3367" s="53" t="str">
        <x:v>Benson investigates a string of sexual assaults targeting local female psychiatrists. The squad celebrates a promotion.</x:v>
      </x:c>
      <x:c r="P3367" s="53" t="str">
        <x:v>Core Law &amp; Order franchise</x:v>
      </x:c>
      <x:c r="Q3367" s="17" t="str">
        <x:v>12983664</x:v>
      </x:c>
      <x:c r="R3367" s="17" t="str">
        <x:v>tt36341311</x:v>
      </x:c>
      <x:c r="S3367" s="17" t="str">
        <x:v>1730</x:v>
      </x:c>
    </x:row>
    <x:row r="3368">
      <x:c r="A3368" s="43" t="n">
        <x:v>3364</x:v>
      </x:c>
      <x:c r="B3368" s="44" t="str">
        <x:v>Not Started</x:v>
      </x:c>
      <x:c r="C3368" s="45" t="n">
        <x:v>45798</x:v>
      </x:c>
      <x:c r="D3368" s="33" t="str">
        <x:v>FBI: International</x:v>
      </x:c>
      <x:c r="E3368" s="33" t="str">
        <x:v>FBI</x:v>
      </x:c>
      <x:c r="F3368" s="33" t="str">
        <x:v>core</x:v>
      </x:c>
      <x:c r="G3368" s="50" t="n">
        <x:v>4</x:v>
      </x:c>
      <x:c r="H3368" s="50" t="n">
        <x:v>22</x:v>
      </x:c>
      <x:c r="I3368" s="44" t="str">
        <x:v>04.22</x:v>
      </x:c>
      <x:c r="J3368" s="33" t="str">
        <x:v>Gaijin (2)</x:v>
      </x:c>
      <x:c r="K3368" s="33" t="str"/>
      <x:c r="L3368" s="33" t="str"/>
      <x:c r="M3368" s="44" t="str"/>
      <x:c r="N3368" s="50" t="n">
        <x:v>43</x:v>
      </x:c>
      <x:c r="O3368" s="53" t="str">
        <x:v>The Fly Team discovers they’re on the trail of a serial killer, taking the investigation, and Mitchell, to Japan to put an end to the international killing spree.</x:v>
      </x:c>
      <x:c r="P3368" s="53" t="str">
        <x:v>Core FBI franchise</x:v>
      </x:c>
      <x:c r="Q3368" s="17" t="str">
        <x:v>12922722</x:v>
      </x:c>
      <x:c r="R3368" s="17" t="str">
        <x:v>tt36207063</x:v>
      </x:c>
      <x:c r="S3368" s="17" t="str"/>
    </x:row>
    <x:row r="3369">
      <x:c r="A3369" s="43" t="n">
        <x:v>3365</x:v>
      </x:c>
      <x:c r="B3369" s="44" t="str">
        <x:v>Not Started</x:v>
      </x:c>
      <x:c r="C3369" s="45" t="n">
        <x:v>45798</x:v>
      </x:c>
      <x:c r="D3369" s="33" t="str">
        <x:v>FBI: Most Wanted</x:v>
      </x:c>
      <x:c r="E3369" s="33" t="str">
        <x:v>FBI</x:v>
      </x:c>
      <x:c r="F3369" s="33" t="str">
        <x:v>core</x:v>
      </x:c>
      <x:c r="G3369" s="50" t="n">
        <x:v>6</x:v>
      </x:c>
      <x:c r="H3369" s="50" t="n">
        <x:v>22</x:v>
      </x:c>
      <x:c r="I3369" s="44" t="str">
        <x:v>06.22</x:v>
      </x:c>
      <x:c r="J3369" s="33" t="str">
        <x:v>The Circle Game</x:v>
      </x:c>
      <x:c r="K3369" s="33" t="str"/>
      <x:c r="L3369" s="33" t="str"/>
      <x:c r="M3369" s="44" t="str"/>
      <x:c r="N3369" s="50" t="n">
        <x:v>43</x:v>
      </x:c>
      <x:c r="O3369" s="53" t="str">
        <x:v>The Fugitive Task Force hunts down a rogue government operative planning a domestic terror attack.</x:v>
      </x:c>
      <x:c r="P3369" s="53" t="str">
        <x:v>Core FBI franchise</x:v>
      </x:c>
      <x:c r="Q3369" s="17" t="str">
        <x:v>12939224</x:v>
      </x:c>
      <x:c r="R3369" s="17" t="str">
        <x:v>tt36207496</x:v>
      </x:c>
      <x:c r="S3369" s="17" t="str"/>
    </x:row>
    <x:row r="3370">
      <x:c r="A3370" s="43" t="n">
        <x:v>3366</x:v>
      </x:c>
      <x:c r="B3370" s="44" t="str">
        <x:v>Not Started</x:v>
      </x:c>
      <x:c r="C3370" s="45" t="n">
        <x:v>45798</x:v>
      </x:c>
      <x:c r="D3370" s="33" t="str">
        <x:v>FBI</x:v>
      </x:c>
      <x:c r="E3370" s="33" t="str">
        <x:v>FBI</x:v>
      </x:c>
      <x:c r="F3370" s="33" t="str">
        <x:v>core</x:v>
      </x:c>
      <x:c r="G3370" s="50" t="n">
        <x:v>7</x:v>
      </x:c>
      <x:c r="H3370" s="50" t="n">
        <x:v>22</x:v>
      </x:c>
      <x:c r="I3370" s="44" t="str">
        <x:v>07.22</x:v>
      </x:c>
      <x:c r="J3370" s="33" t="str">
        <x:v>A New Day</x:v>
      </x:c>
      <x:c r="K3370" s="33" t="str"/>
      <x:c r="L3370" s="33" t="str"/>
      <x:c r="M3370" s="44" t="str"/>
      <x:c r="N3370" s="50" t="n">
        <x:v>42</x:v>
      </x:c>
      <x:c r="O3370" s="53" t="str">
        <x:v>After Jubal narrowly escapes a calculated assault on a secret FBI office, the team discovers a rogue terrorist group has infiltrated the FBI. Unsure of who to trust, the team must work in the shadows to unmask the culprits threatening the sanctity of the New York field office.</x:v>
      </x:c>
      <x:c r="P3370" s="53" t="str">
        <x:v>Core FBI franchise</x:v>
      </x:c>
      <x:c r="Q3370" s="17" t="str">
        <x:v>12939169</x:v>
      </x:c>
      <x:c r="R3370" s="17" t="str">
        <x:v>tt36581643</x:v>
      </x:c>
      <x:c r="S3370" s="17" t="str"/>
    </x:row>
    <x:row r="3371">
      <x:c r="A3371" s="43" t="n">
        <x:v>3367</x:v>
      </x:c>
      <x:c r="B3371" s="44" t="str">
        <x:v>Not Started</x:v>
      </x:c>
      <x:c r="C3371" s="45" t="n">
        <x:v>45799</x:v>
      </x:c>
      <x:c r="D3371" s="33" t="str">
        <x:v>Law &amp; Order: Organized Crime</x:v>
      </x:c>
      <x:c r="E3371" s="33" t="str">
        <x:v>Law &amp; Order</x:v>
      </x:c>
      <x:c r="F3371" s="33" t="str">
        <x:v>core</x:v>
      </x:c>
      <x:c r="G3371" s="50" t="n">
        <x:v>5</x:v>
      </x:c>
      <x:c r="H3371" s="50" t="n">
        <x:v>7</x:v>
      </x:c>
      <x:c r="I3371" s="44" t="str">
        <x:v>05.07</x:v>
      </x:c>
      <x:c r="J3371" s="33" t="str">
        <x:v>Beautiful Disaster</x:v>
      </x:c>
      <x:c r="K3371" s="33" t="str"/>
      <x:c r="L3371" s="33" t="str"/>
      <x:c r="M3371" s="44" t="str"/>
      <x:c r="N3371" s="50" t="n">
        <x:v>42</x:v>
      </x:c>
      <x:c r="O3371" s="53" t="str">
        <x:v>A new wave of art activism puts Vargas in the hot seat; Stabler is brought into a new unit.</x:v>
      </x:c>
      <x:c r="P3371" s="53" t="str">
        <x:v>Core Law &amp; Order franchise</x:v>
      </x:c>
      <x:c r="Q3371" s="17" t="str">
        <x:v>12539541</x:v>
      </x:c>
      <x:c r="R3371" s="17" t="str">
        <x:v>tt35638452</x:v>
      </x:c>
      <x:c r="S3371" s="17" t="str">
        <x:v>1732</x:v>
      </x:c>
    </x:row>
    <x:row r="3372">
      <x:c r="A3372" s="43" t="n">
        <x:v>3368</x:v>
      </x:c>
      <x:c r="B3372" s="44" t="str">
        <x:v>Not Started</x:v>
      </x:c>
      <x:c r="C3372" s="45" t="n">
        <x:v>45799</x:v>
      </x:c>
      <x:c r="D3372" s="33" t="str">
        <x:v>Chicago Med</x:v>
      </x:c>
      <x:c r="E3372" s="33" t="str">
        <x:v>One Chicago</x:v>
      </x:c>
      <x:c r="F3372" s="33" t="str">
        <x:v>core</x:v>
      </x:c>
      <x:c r="G3372" s="50" t="n">
        <x:v>10</x:v>
      </x:c>
      <x:c r="H3372" s="50" t="n">
        <x:v>22</x:v>
      </x:c>
      <x:c r="I3372" s="44" t="str">
        <x:v>10.22</x:v>
      </x:c>
      <x:c r="J3372" s="33" t="str">
        <x:v>...Don't You Cry</x:v>
      </x:c>
      <x:c r="K3372" s="33" t="str"/>
      <x:c r="L3372" s="33" t="str"/>
      <x:c r="M3372" s="44" t="str"/>
      <x:c r="N3372" s="50" t="n">
        <x:v>43</x:v>
      </x:c>
      <x:c r="O3372" s="53" t="str">
        <x:v>Goodwin is tasked with enforcing difficult cuts to hospital personnel. Charles' daughter is hospitalized after a car accident. A transplant patient makes a life-changing decision.</x:v>
      </x:c>
      <x:c r="P3372" s="53" t="str">
        <x:v>Core One Chicago franchise</x:v>
      </x:c>
      <x:c r="Q3372" s="17" t="str">
        <x:v>12975227</x:v>
      </x:c>
      <x:c r="R3372" s="17" t="str">
        <x:v>tt36374938</x:v>
      </x:c>
      <x:c r="S3372" s="17" t="str"/>
    </x:row>
    <x:row r="3373">
      <x:c r="A3373" s="43" t="n">
        <x:v>3369</x:v>
      </x:c>
      <x:c r="B3373" s="44" t="str">
        <x:v>Not Started</x:v>
      </x:c>
      <x:c r="C3373" s="45" t="n">
        <x:v>45799</x:v>
      </x:c>
      <x:c r="D3373" s="33" t="str">
        <x:v>Chicago P.D.</x:v>
      </x:c>
      <x:c r="E3373" s="33" t="str">
        <x:v>One Chicago</x:v>
      </x:c>
      <x:c r="F3373" s="33" t="str">
        <x:v>core</x:v>
      </x:c>
      <x:c r="G3373" s="50" t="n">
        <x:v>12</x:v>
      </x:c>
      <x:c r="H3373" s="50" t="n">
        <x:v>22</x:v>
      </x:c>
      <x:c r="I3373" s="44" t="str">
        <x:v>12.22</x:v>
      </x:c>
      <x:c r="J3373" s="33" t="str">
        <x:v>Vows</x:v>
      </x:c>
      <x:c r="K3373" s="33" t="str"/>
      <x:c r="L3373" s="33" t="str"/>
      <x:c r="M3373" s="44" t="str"/>
      <x:c r="N3373" s="50" t="n">
        <x:v>43</x:v>
      </x:c>
      <x:c r="O3373" s="53" t="str">
        <x:v>Forced to cease operations while under investigation by Internal Affairs, Intelligence goes off-book to bring down Reid once and for all. Ruzek and Burgess consider delaying their nuptials amid the uncertainty.</x:v>
      </x:c>
      <x:c r="P3373" s="53" t="str">
        <x:v>Core One Chicago franchise; crossovers with SVU/FBI</x:v>
      </x:c>
      <x:c r="Q3373" s="17" t="str">
        <x:v>12975230</x:v>
      </x:c>
      <x:c r="R3373" s="17" t="str">
        <x:v>tt36592978</x:v>
      </x:c>
      <x:c r="S3373" s="17" t="str"/>
    </x:row>
    <x:row r="3374">
      <x:c r="A3374" s="43" t="n">
        <x:v>3370</x:v>
      </x:c>
      <x:c r="B3374" s="44" t="str">
        <x:v>Not Started</x:v>
      </x:c>
      <x:c r="C3374" s="45" t="n">
        <x:v>45799</x:v>
      </x:c>
      <x:c r="D3374" s="33" t="str">
        <x:v>Chicago Fire</x:v>
      </x:c>
      <x:c r="E3374" s="33" t="str">
        <x:v>One Chicago</x:v>
      </x:c>
      <x:c r="F3374" s="33" t="str">
        <x:v>core</x:v>
      </x:c>
      <x:c r="G3374" s="50" t="n">
        <x:v>13</x:v>
      </x:c>
      <x:c r="H3374" s="50" t="n">
        <x:v>22</x:v>
      </x:c>
      <x:c r="I3374" s="44" t="str">
        <x:v>13.22</x:v>
      </x:c>
      <x:c r="J3374" s="33" t="str">
        <x:v>It Had to End This Way</x:v>
      </x:c>
      <x:c r="K3374" s="33" t="str"/>
      <x:c r="L3374" s="33" t="str"/>
      <x:c r="M3374" s="44" t="str"/>
      <x:c r="N3374" s="50" t="n">
        <x:v>42</x:v>
      </x:c>
      <x:c r="O3374" s="53" t="str">
        <x:v>Severide puts his job on the line to help out one of their own. Kidd navigates Natalie’s complicated relationship with her sister. Herrmann prepares to take the Chief test.</x:v>
      </x:c>
      <x:c r="P3374" s="53" t="str">
        <x:v>Core One Chicago franchise</x:v>
      </x:c>
      <x:c r="Q3374" s="17" t="str">
        <x:v>12975257</x:v>
      </x:c>
      <x:c r="R3374" s="17" t="str">
        <x:v>tt36592990</x:v>
      </x:c>
      <x:c r="S3374" s="17" t="str"/>
    </x:row>
    <x:row r="3375">
      <x:c r="A3375" s="43" t="n">
        <x:v>3371</x:v>
      </x:c>
      <x:c r="B3375" s="44" t="str">
        <x:v>Not Started</x:v>
      </x:c>
      <x:c r="C3375" s="45" t="n">
        <x:v>45806</x:v>
      </x:c>
      <x:c r="D3375" s="33" t="str">
        <x:v>Law &amp; Order: Organized Crime</x:v>
      </x:c>
      <x:c r="E3375" s="33" t="str">
        <x:v>Law &amp; Order</x:v>
      </x:c>
      <x:c r="F3375" s="33" t="str">
        <x:v>core</x:v>
      </x:c>
      <x:c r="G3375" s="50" t="n">
        <x:v>5</x:v>
      </x:c>
      <x:c r="H3375" s="50" t="n">
        <x:v>8</x:v>
      </x:c>
      <x:c r="I3375" s="44" t="str">
        <x:v>05.08</x:v>
      </x:c>
      <x:c r="J3375" s="33" t="str">
        <x:v>Fail Safe</x:v>
      </x:c>
      <x:c r="K3375" s="33" t="str"/>
      <x:c r="L3375" s="33" t="str"/>
      <x:c r="M3375" s="44" t="str"/>
      <x:c r="N3375" s="50" t="n">
        <x:v>43</x:v>
      </x:c>
      <x:c r="O3375" s="53" t="str">
        <x:v>As the "Collective" ramps up its body count, Stabler finds himself torn between family and the case.</x:v>
      </x:c>
      <x:c r="P3375" s="53" t="str">
        <x:v>Core Law &amp; Order franchise</x:v>
      </x:c>
      <x:c r="Q3375" s="17" t="str">
        <x:v>12539542</x:v>
      </x:c>
      <x:c r="R3375" s="17" t="str">
        <x:v>tt35638704</x:v>
      </x:c>
      <x:c r="S3375" s="17" t="str">
        <x:v>1733</x:v>
      </x:c>
    </x:row>
    <x:row r="3376">
      <x:c r="A3376" s="43" t="n">
        <x:v>3372</x:v>
      </x:c>
      <x:c r="B3376" s="44" t="str">
        <x:v>Not Started</x:v>
      </x:c>
      <x:c r="C3376" s="45" t="n">
        <x:v>45813</x:v>
      </x:c>
      <x:c r="D3376" s="33" t="str">
        <x:v>Law &amp; Order: Organized Crime</x:v>
      </x:c>
      <x:c r="E3376" s="33" t="str">
        <x:v>Law &amp; Order</x:v>
      </x:c>
      <x:c r="F3376" s="33" t="str">
        <x:v>core</x:v>
      </x:c>
      <x:c r="G3376" s="50" t="n">
        <x:v>5</x:v>
      </x:c>
      <x:c r="H3376" s="50" t="n">
        <x:v>9</x:v>
      </x:c>
      <x:c r="I3376" s="44" t="str">
        <x:v>05.09</x:v>
      </x:c>
      <x:c r="J3376" s="33" t="str">
        <x:v>Off the Books</x:v>
      </x:c>
      <x:c r="K3376" s="33" t="str"/>
      <x:c r="L3376" s="33" t="str"/>
      <x:c r="M3376" s="44" t="str"/>
      <x:c r="N3376" s="50" t="n">
        <x:v>42</x:v>
      </x:c>
      <x:c r="O3376" s="53" t="str">
        <x:v>Emery and Joe are back; playing both sides catches up with Joe, sending him to a fatal endgame.</x:v>
      </x:c>
      <x:c r="P3376" s="53" t="str">
        <x:v>Core Law &amp; Order franchise</x:v>
      </x:c>
      <x:c r="Q3376" s="17" t="str">
        <x:v>12539543</x:v>
      </x:c>
      <x:c r="R3376" s="17" t="str">
        <x:v>tt35638795</x:v>
      </x:c>
      <x:c r="S3376" s="17" t="str">
        <x:v>1734</x:v>
      </x:c>
    </x:row>
    <x:row r="3377">
      <x:c r="A3377" s="43" t="n">
        <x:v>3373</x:v>
      </x:c>
      <x:c r="B3377" s="44" t="str">
        <x:v>Not Started</x:v>
      </x:c>
      <x:c r="C3377" s="45" t="n">
        <x:v>45820</x:v>
      </x:c>
      <x:c r="D3377" s="33" t="str">
        <x:v>Law &amp; Order: Organized Crime</x:v>
      </x:c>
      <x:c r="E3377" s="33" t="str">
        <x:v>Law &amp; Order</x:v>
      </x:c>
      <x:c r="F3377" s="33" t="str">
        <x:v>core</x:v>
      </x:c>
      <x:c r="G3377" s="50" t="n">
        <x:v>5</x:v>
      </x:c>
      <x:c r="H3377" s="50" t="n">
        <x:v>10</x:v>
      </x:c>
      <x:c r="I3377" s="44" t="str">
        <x:v>05.10</x:v>
      </x:c>
      <x:c r="J3377" s="33" t="str">
        <x:v>He Was a Stabler</x:v>
      </x:c>
      <x:c r="K3377" s="33" t="str"/>
      <x:c r="L3377" s="33" t="str"/>
      <x:c r="M3377" s="44" t="str"/>
      <x:c r="N3377" s="50" t="n">
        <x:v>46</x:v>
      </x:c>
      <x:c r="O3377" s="53" t="str">
        <x:v>Stabler goes rogue to find Emery and faces the truth behind revenge with one last assist from Joe.</x:v>
      </x:c>
      <x:c r="P3377" s="53" t="str">
        <x:v>Core Law &amp; Order franchise</x:v>
      </x:c>
      <x:c r="Q3377" s="17" t="str">
        <x:v>12539544</x:v>
      </x:c>
      <x:c r="R3377" s="17" t="str">
        <x:v>tt35638801</x:v>
      </x:c>
      <x:c r="S3377" s="17" t="str">
        <x:v>1735</x:v>
      </x:c>
    </x:row>
    <x:row r="3378">
      <x:c r="A3378" s="43" t="n">
        <x:v>3374</x:v>
      </x:c>
      <x:c r="B3378" s="44" t="str">
        <x:v>Not Started</x:v>
      </x:c>
      <x:c r="C3378" s="45" t="n">
        <x:v>45914</x:v>
      </x:c>
      <x:c r="D3378" s="33" t="str">
        <x:v>Cold Justice</x:v>
      </x:c>
      <x:c r="E3378" s="33" t="str">
        <x:v>Crossover Adjacent</x:v>
      </x:c>
      <x:c r="F3378" s="33" t="str">
        <x:v>complete</x:v>
      </x:c>
      <x:c r="G3378" s="50" t="n">
        <x:v>8</x:v>
      </x:c>
      <x:c r="H3378" s="50" t="n">
        <x:v>1</x:v>
      </x:c>
      <x:c r="I3378" s="44" t="str">
        <x:v>08.01</x:v>
      </x:c>
      <x:c r="J3378" s="33" t="str">
        <x:v>Newlywed Nightmare</x:v>
      </x:c>
      <x:c r="K3378" s="33" t="str"/>
      <x:c r="L3378" s="33" t="str"/>
      <x:c r="M3378" s="44" t="str"/>
      <x:c r="N3378" s="50" t="n">
        <x:v>43</x:v>
      </x:c>
      <x:c r="O3378" s="53" t="str">
        <x:v>Kelly and Steve head to his home state to unravel the murder of a recently married Navy veteran, shot execution-style in his lakeside home. An examination of phone records could hold the key to uncovering his killer's identity.</x:v>
      </x:c>
      <x:c r="P3378" s="53" t="str">
        <x:v>Wolf Entertainment unscripted true-crime series</x:v>
      </x:c>
      <x:c r="Q3378" s="17" t="str">
        <x:v>13436173</x:v>
      </x:c>
      <x:c r="R3378" s="17" t="str"/>
      <x:c r="S3378" s="17" t="str"/>
    </x:row>
    <x:row r="3379">
      <x:c r="A3379" s="43" t="n">
        <x:v>3375</x:v>
      </x:c>
      <x:c r="B3379" s="44" t="str">
        <x:v>Not Started</x:v>
      </x:c>
      <x:c r="C3379" s="45" t="n">
        <x:v>45921</x:v>
      </x:c>
      <x:c r="D3379" s="33" t="str">
        <x:v>Cold Justice</x:v>
      </x:c>
      <x:c r="E3379" s="33" t="str">
        <x:v>Crossover Adjacent</x:v>
      </x:c>
      <x:c r="F3379" s="33" t="str">
        <x:v>complete</x:v>
      </x:c>
      <x:c r="G3379" s="50" t="n">
        <x:v>8</x:v>
      </x:c>
      <x:c r="H3379" s="50" t="n">
        <x:v>2</x:v>
      </x:c>
      <x:c r="I3379" s="44" t="str">
        <x:v>08.02</x:v>
      </x:c>
      <x:c r="J3379" s="33" t="str">
        <x:v>Road to Nowhere</x:v>
      </x:c>
      <x:c r="K3379" s="33" t="str"/>
      <x:c r="L3379" s="33" t="str"/>
      <x:c r="M3379" s="44" t="str"/>
      <x:c r="N3379" s="50" t="n">
        <x:v>43</x:v>
      </x:c>
      <x:c r="O3379" s="53" t="str">
        <x:v>The Cold Justice team tackles the disappearance of a loving mother who allegedly disappeared during a family vacation. The investigation uncovers evidence that she never left town alive.</x:v>
      </x:c>
      <x:c r="P3379" s="53" t="str">
        <x:v>Wolf Entertainment unscripted true-crime series</x:v>
      </x:c>
      <x:c r="Q3379" s="17" t="str">
        <x:v>13498036</x:v>
      </x:c>
      <x:c r="R3379" s="17" t="str"/>
      <x:c r="S3379" s="17" t="str"/>
    </x:row>
    <x:row r="3380">
      <x:c r="A3380" s="43" t="n">
        <x:v>3376</x:v>
      </x:c>
      <x:c r="B3380" s="44" t="str">
        <x:v>Not Started</x:v>
      </x:c>
      <x:c r="C3380" s="45" t="n">
        <x:v>45925</x:v>
      </x:c>
      <x:c r="D3380" s="33" t="str">
        <x:v>Law &amp; Order</x:v>
      </x:c>
      <x:c r="E3380" s="33" t="str">
        <x:v>Law &amp; Order</x:v>
      </x:c>
      <x:c r="F3380" s="33" t="str">
        <x:v>core</x:v>
      </x:c>
      <x:c r="G3380" s="50" t="n">
        <x:v>25</x:v>
      </x:c>
      <x:c r="H3380" s="50" t="n">
        <x:v>1</x:v>
      </x:c>
      <x:c r="I3380" s="44" t="str">
        <x:v>25.01</x:v>
      </x:c>
      <x:c r="J3380" s="33" t="str">
        <x:v>Street Justice</x:v>
      </x:c>
      <x:c r="K3380" s="33" t="str"/>
      <x:c r="L3380" s="33" t="str"/>
      <x:c r="M3380" s="44" t="str"/>
      <x:c r="N3380" s="50" t="n">
        <x:v>42</x:v>
      </x:c>
      <x:c r="O3380" s="53" t="str">
        <x:v>When Brady's squad investigates the death of an exonerated murder suspect, a major lead points to ADA Maroun. Price wrestles with the potential consequences of a guilty verdict.</x:v>
      </x:c>
      <x:c r="P3380" s="53" t="str">
        <x:v>Core Law &amp; Order franchise</x:v>
      </x:c>
      <x:c r="Q3380" s="17" t="str">
        <x:v>13359478</x:v>
      </x:c>
      <x:c r="R3380" s="17" t="str">
        <x:v>tt36861478</x:v>
      </x:c>
      <x:c r="S3380" s="17" t="str">
        <x:v>1736</x:v>
      </x:c>
    </x:row>
    <x:row r="3381">
      <x:c r="A3381" s="43" t="n">
        <x:v>3377</x:v>
      </x:c>
      <x:c r="B3381" s="44" t="str">
        <x:v>Not Started</x:v>
      </x:c>
      <x:c r="C3381" s="45" t="n">
        <x:v>45925</x:v>
      </x:c>
      <x:c r="D3381" s="33" t="str">
        <x:v>Law &amp; Order: Special Victims Unit</x:v>
      </x:c>
      <x:c r="E3381" s="33" t="str">
        <x:v>Law &amp; Order</x:v>
      </x:c>
      <x:c r="F3381" s="33" t="str">
        <x:v>core</x:v>
      </x:c>
      <x:c r="G3381" s="50" t="n">
        <x:v>27</x:v>
      </x:c>
      <x:c r="H3381" s="50" t="n">
        <x:v>1</x:v>
      </x:c>
      <x:c r="I3381" s="44" t="str">
        <x:v>27.01</x:v>
      </x:c>
      <x:c r="J3381" s="33" t="str">
        <x:v>In the Wind</x:v>
      </x:c>
      <x:c r="K3381" s="33" t="str"/>
      <x:c r="L3381" s="33" t="str"/>
      <x:c r="M3381" s="44" t="str"/>
      <x:c r="N3381" s="50" t="n">
        <x:v>43</x:v>
      </x:c>
      <x:c r="O3381" s="53" t="str">
        <x:v>Danger swirls around the squad as they investigate a suspect for rape and try to protect their key witness. A new chief of detectives puts Benson to the test. An off-duty Fin tries to stop an assault in progress.</x:v>
      </x:c>
      <x:c r="P3381" s="53" t="str">
        <x:v>Core Law &amp; Order franchise</x:v>
      </x:c>
      <x:c r="Q3381" s="17" t="str">
        <x:v>13359507</x:v>
      </x:c>
      <x:c r="R3381" s="17" t="str">
        <x:v>tt36861469</x:v>
      </x:c>
      <x:c r="S3381" s="17" t="str">
        <x:v>1737</x:v>
      </x:c>
    </x:row>
    <x:row r="3382">
      <x:c r="A3382" s="43" t="n">
        <x:v>3378</x:v>
      </x:c>
      <x:c r="B3382" s="44" t="str">
        <x:v>Not Started</x:v>
      </x:c>
      <x:c r="C3382" s="45" t="n">
        <x:v>45928</x:v>
      </x:c>
      <x:c r="D3382" s="33" t="str">
        <x:v>Cold Justice</x:v>
      </x:c>
      <x:c r="E3382" s="33" t="str">
        <x:v>Crossover Adjacent</x:v>
      </x:c>
      <x:c r="F3382" s="33" t="str">
        <x:v>complete</x:v>
      </x:c>
      <x:c r="G3382" s="50" t="n">
        <x:v>8</x:v>
      </x:c>
      <x:c r="H3382" s="50" t="n">
        <x:v>3</x:v>
      </x:c>
      <x:c r="I3382" s="44" t="str">
        <x:v>08.03</x:v>
      </x:c>
      <x:c r="J3382" s="33" t="str">
        <x:v>Mountain of Secrets</x:v>
      </x:c>
      <x:c r="K3382" s="33" t="str"/>
      <x:c r="L3382" s="33" t="str"/>
      <x:c r="M3382" s="44" t="str"/>
      <x:c r="N3382" s="50" t="n">
        <x:v>43</x:v>
      </x:c>
      <x:c r="O3382" s="53" t="str">
        <x:v>The "Cold Justice" team investigates the mysterious death of a pregnant mother whose skull was found on a wooded mountain; with multiple suspects and conflicting stories, can they uncover the truth and get justice for her and her unborn child?</x:v>
      </x:c>
      <x:c r="P3382" s="53" t="str">
        <x:v>Wolf Entertainment unscripted true-crime series</x:v>
      </x:c>
      <x:c r="Q3382" s="17" t="str">
        <x:v>13558607</x:v>
      </x:c>
      <x:c r="R3382" s="17" t="str"/>
      <x:c r="S3382" s="17" t="str"/>
    </x:row>
    <x:row r="3383">
      <x:c r="A3383" s="43" t="n">
        <x:v>3379</x:v>
      </x:c>
      <x:c r="B3383" s="44" t="str">
        <x:v>Not Started</x:v>
      </x:c>
      <x:c r="C3383" s="45" t="n">
        <x:v>45932</x:v>
      </x:c>
      <x:c r="D3383" s="33" t="str">
        <x:v>Chicago Med</x:v>
      </x:c>
      <x:c r="E3383" s="33" t="str">
        <x:v>One Chicago</x:v>
      </x:c>
      <x:c r="F3383" s="33" t="str">
        <x:v>core</x:v>
      </x:c>
      <x:c r="G3383" s="50" t="n">
        <x:v>11</x:v>
      </x:c>
      <x:c r="H3383" s="50" t="n">
        <x:v>1</x:v>
      </x:c>
      <x:c r="I3383" s="44" t="str">
        <x:v>11.01</x:v>
      </x:c>
      <x:c r="J3383" s="33" t="str">
        <x:v>We All Fall Down</x:v>
      </x:c>
      <x:c r="K3383" s="33" t="str"/>
      <x:c r="L3383" s="33" t="str"/>
      <x:c r="M3383" s="44" t="str"/>
      <x:c r="N3383" s="50" t="n">
        <x:v>43</x:v>
      </x:c>
      <x:c r="O3383" s="53" t="str">
        <x:v>A family of victims from a house fire is rushed to Gaffney. Lenox fights to save two sisters injured in an all-night rave turned tragedy. Tensions mount between Goodwin and Abrams over difficult staffing changes.</x:v>
      </x:c>
      <x:c r="P3383" s="53" t="str">
        <x:v>Core One Chicago franchise</x:v>
      </x:c>
      <x:c r="Q3383" s="17" t="str">
        <x:v>13356846</x:v>
      </x:c>
      <x:c r="R3383" s="17" t="str">
        <x:v>tt36827803</x:v>
      </x:c>
      <x:c r="S3383" s="17" t="str"/>
    </x:row>
    <x:row r="3384">
      <x:c r="A3384" s="43" t="n">
        <x:v>3380</x:v>
      </x:c>
      <x:c r="B3384" s="44" t="str">
        <x:v>Not Started</x:v>
      </x:c>
      <x:c r="C3384" s="45" t="n">
        <x:v>45932</x:v>
      </x:c>
      <x:c r="D3384" s="33" t="str">
        <x:v>Chicago P.D.</x:v>
      </x:c>
      <x:c r="E3384" s="33" t="str">
        <x:v>One Chicago</x:v>
      </x:c>
      <x:c r="F3384" s="33" t="str">
        <x:v>core</x:v>
      </x:c>
      <x:c r="G3384" s="50" t="n">
        <x:v>13</x:v>
      </x:c>
      <x:c r="H3384" s="50" t="n">
        <x:v>1</x:v>
      </x:c>
      <x:c r="I3384" s="44" t="str">
        <x:v>13.01</x:v>
      </x:c>
      <x:c r="J3384" s="33" t="str">
        <x:v>Consequences</x:v>
      </x:c>
      <x:c r="K3384" s="33" t="str"/>
      <x:c r="L3384" s="33" t="str"/>
      <x:c r="M3384" s="44" t="str"/>
      <x:c r="N3384" s="50" t="n">
        <x:v>43</x:v>
      </x:c>
      <x:c r="O3384" s="53" t="str">
        <x:v>Voight teams up with an unlikely ally to take a killer off the streets while fighting to bring his Intelligence unit back together.</x:v>
      </x:c>
      <x:c r="P3384" s="53" t="str">
        <x:v>Core One Chicago franchise; crossovers with SVU/FBI</x:v>
      </x:c>
      <x:c r="Q3384" s="17" t="str">
        <x:v>13356808</x:v>
      </x:c>
      <x:c r="R3384" s="17" t="str">
        <x:v>tt36827800</x:v>
      </x:c>
      <x:c r="S3384" s="17" t="str"/>
    </x:row>
    <x:row r="3385">
      <x:c r="A3385" s="43" t="n">
        <x:v>3381</x:v>
      </x:c>
      <x:c r="B3385" s="44" t="str">
        <x:v>Not Started</x:v>
      </x:c>
      <x:c r="C3385" s="45" t="n">
        <x:v>45932</x:v>
      </x:c>
      <x:c r="D3385" s="33" t="str">
        <x:v>Chicago Fire</x:v>
      </x:c>
      <x:c r="E3385" s="33" t="str">
        <x:v>One Chicago</x:v>
      </x:c>
      <x:c r="F3385" s="33" t="str">
        <x:v>core</x:v>
      </x:c>
      <x:c r="G3385" s="50" t="n">
        <x:v>14</x:v>
      </x:c>
      <x:c r="H3385" s="50" t="n">
        <x:v>1</x:v>
      </x:c>
      <x:c r="I3385" s="44" t="str">
        <x:v>14.01</x:v>
      </x:c>
      <x:c r="J3385" s="33" t="str">
        <x:v>Kicking Down Doors</x:v>
      </x:c>
      <x:c r="K3385" s="33" t="str"/>
      <x:c r="L3385" s="33" t="str"/>
      <x:c r="M3385" s="44" t="str"/>
      <x:c r="N3385" s="50" t="n">
        <x:v>43</x:v>
      </x:c>
      <x:c r="O3385" s="53" t="str">
        <x:v>A new face at Firehouse 51 causes tension, while rising chaos in the city brings new challenges to the team. Herrmann stalls on plans of relinquishing his office to Mouch.</x:v>
      </x:c>
      <x:c r="P3385" s="53" t="str">
        <x:v>Core One Chicago franchise</x:v>
      </x:c>
      <x:c r="Q3385" s="17" t="str">
        <x:v>13359481</x:v>
      </x:c>
      <x:c r="R3385" s="17" t="str">
        <x:v>tt36827799</x:v>
      </x:c>
      <x:c r="S3385" s="17" t="str"/>
    </x:row>
    <x:row r="3386">
      <x:c r="A3386" s="43" t="n">
        <x:v>3382</x:v>
      </x:c>
      <x:c r="B3386" s="44" t="str">
        <x:v>Not Started</x:v>
      </x:c>
      <x:c r="C3386" s="45" t="n">
        <x:v>45932</x:v>
      </x:c>
      <x:c r="D3386" s="33" t="str">
        <x:v>Law &amp; Order</x:v>
      </x:c>
      <x:c r="E3386" s="33" t="str">
        <x:v>Law &amp; Order</x:v>
      </x:c>
      <x:c r="F3386" s="33" t="str">
        <x:v>core</x:v>
      </x:c>
      <x:c r="G3386" s="50" t="n">
        <x:v>25</x:v>
      </x:c>
      <x:c r="H3386" s="50" t="n">
        <x:v>2</x:v>
      </x:c>
      <x:c r="I3386" s="44" t="str">
        <x:v>25.02</x:v>
      </x:c>
      <x:c r="J3386" s="33" t="str">
        <x:v>Hindsight</x:v>
      </x:c>
      <x:c r="K3386" s="33" t="str"/>
      <x:c r="L3386" s="33" t="str"/>
      <x:c r="M3386" s="44" t="str"/>
      <x:c r="N3386" s="50" t="n">
        <x:v>42</x:v>
      </x:c>
      <x:c r="O3386" s="53" t="str">
        <x:v>Brady and Riley must sort through a list of rivals to pinpoint a suspect when a star music student is murdered on the way home from school. Price finds a surprising name on the defense's witness list.</x:v>
      </x:c>
      <x:c r="P3386" s="53" t="str">
        <x:v>Core Law &amp; Order franchise</x:v>
      </x:c>
      <x:c r="Q3386" s="17" t="str">
        <x:v>13515660</x:v>
      </x:c>
      <x:c r="R3386" s="17" t="str">
        <x:v>tt37894480</x:v>
      </x:c>
      <x:c r="S3386" s="17" t="str">
        <x:v>1738</x:v>
      </x:c>
    </x:row>
    <x:row r="3387">
      <x:c r="A3387" s="43" t="n">
        <x:v>3383</x:v>
      </x:c>
      <x:c r="B3387" s="44" t="str">
        <x:v>Not Started</x:v>
      </x:c>
      <x:c r="C3387" s="45" t="n">
        <x:v>45932</x:v>
      </x:c>
      <x:c r="D3387" s="33" t="str">
        <x:v>Law &amp; Order: Special Victims Unit</x:v>
      </x:c>
      <x:c r="E3387" s="33" t="str">
        <x:v>Law &amp; Order</x:v>
      </x:c>
      <x:c r="F3387" s="33" t="str">
        <x:v>core</x:v>
      </x:c>
      <x:c r="G3387" s="50" t="n">
        <x:v>27</x:v>
      </x:c>
      <x:c r="H3387" s="50" t="n">
        <x:v>2</x:v>
      </x:c>
      <x:c r="I3387" s="44" t="str">
        <x:v>27.02</x:v>
      </x:c>
      <x:c r="J3387" s="33" t="str">
        <x:v>A Waiver of Consent</x:v>
      </x:c>
      <x:c r="K3387" s="33" t="str"/>
      <x:c r="L3387" s="33" t="str"/>
      <x:c r="M3387" s="44" t="str"/>
      <x:c r="N3387" s="50" t="n">
        <x:v>43</x:v>
      </x:c>
      <x:c r="O3387" s="53" t="str">
        <x:v>When a member of an elite social club is assaulted, Carisi must convince witnesses to come forward despite the club's strict confidentiality rules. Chief Tynan offers Benson some extra help. Velasco is confronted with a surprising opportunity.</x:v>
      </x:c>
      <x:c r="P3387" s="53" t="str">
        <x:v>Core Law &amp; Order franchise</x:v>
      </x:c>
      <x:c r="Q3387" s="17" t="str">
        <x:v>13484089</x:v>
      </x:c>
      <x:c r="R3387" s="17" t="str">
        <x:v>tt37748414</x:v>
      </x:c>
      <x:c r="S3387" s="17" t="str">
        <x:v>1739</x:v>
      </x:c>
    </x:row>
    <x:row r="3388">
      <x:c r="A3388" s="43" t="n">
        <x:v>3384</x:v>
      </x:c>
      <x:c r="B3388" s="44" t="str">
        <x:v>Not Started</x:v>
      </x:c>
      <x:c r="C3388" s="45" t="n">
        <x:v>45935</x:v>
      </x:c>
      <x:c r="D3388" s="33" t="str">
        <x:v>Cold Justice</x:v>
      </x:c>
      <x:c r="E3388" s="33" t="str">
        <x:v>Crossover Adjacent</x:v>
      </x:c>
      <x:c r="F3388" s="33" t="str">
        <x:v>complete</x:v>
      </x:c>
      <x:c r="G3388" s="50" t="n">
        <x:v>8</x:v>
      </x:c>
      <x:c r="H3388" s="50" t="n">
        <x:v>4</x:v>
      </x:c>
      <x:c r="I3388" s="44" t="str">
        <x:v>08.04</x:v>
      </x:c>
      <x:c r="J3388" s="33" t="str">
        <x:v>Final Warning</x:v>
      </x:c>
      <x:c r="K3388" s="33" t="str"/>
      <x:c r="L3388" s="33" t="str"/>
      <x:c r="M3388" s="44" t="str"/>
      <x:c r="N3388" s="50" t="n">
        <x:v>43</x:v>
      </x:c>
      <x:c r="O3388" s="53" t="str">
        <x:v>Kelly and Steve team up with the Clinton County Sheriff's Office to solve the heartbreaking cold case of a young mother who vanished, leaving only her wedding rings behind; did she walk away, or was she murdered.</x:v>
      </x:c>
      <x:c r="P3388" s="53" t="str">
        <x:v>Wolf Entertainment unscripted true-crime series</x:v>
      </x:c>
      <x:c r="Q3388" s="17" t="str">
        <x:v>13558611</x:v>
      </x:c>
      <x:c r="R3388" s="17" t="str"/>
      <x:c r="S3388" s="17" t="str"/>
    </x:row>
    <x:row r="3389">
      <x:c r="A3389" s="43" t="n">
        <x:v>3385</x:v>
      </x:c>
      <x:c r="B3389" s="44" t="str">
        <x:v>Not Started</x:v>
      </x:c>
      <x:c r="C3389" s="45" t="n">
        <x:v>45939</x:v>
      </x:c>
      <x:c r="D3389" s="33" t="str">
        <x:v>Chicago Med</x:v>
      </x:c>
      <x:c r="E3389" s="33" t="str">
        <x:v>One Chicago</x:v>
      </x:c>
      <x:c r="F3389" s="33" t="str">
        <x:v>core</x:v>
      </x:c>
      <x:c r="G3389" s="50" t="n">
        <x:v>11</x:v>
      </x:c>
      <x:c r="H3389" s="50" t="n">
        <x:v>2</x:v>
      </x:c>
      <x:c r="I3389" s="44" t="str">
        <x:v>11.02</x:v>
      </x:c>
      <x:c r="J3389" s="33" t="str">
        <x:v>A Game of Inches</x:v>
      </x:c>
      <x:c r="K3389" s="33" t="str"/>
      <x:c r="L3389" s="33" t="str"/>
      <x:c r="M3389" s="44" t="str"/>
      <x:c r="N3389" s="50" t="n">
        <x:v>43</x:v>
      </x:c>
      <x:c r="O3389" s="53" t="str">
        <x:v>Things get personal when Ripley and Archer butt heads over an unusual case. Asher makes a surprising discovery with an expectant couple. A patient throws the hospital into chaos.</x:v>
      </x:c>
      <x:c r="P3389" s="53" t="str">
        <x:v>Core One Chicago franchise</x:v>
      </x:c>
      <x:c r="Q3389" s="17" t="str">
        <x:v>13529834</x:v>
      </x:c>
      <x:c r="R3389" s="17" t="str">
        <x:v>tt37801841</x:v>
      </x:c>
      <x:c r="S3389" s="17" t="str"/>
    </x:row>
    <x:row r="3390">
      <x:c r="A3390" s="43" t="n">
        <x:v>3386</x:v>
      </x:c>
      <x:c r="B3390" s="44" t="str">
        <x:v>Not Started</x:v>
      </x:c>
      <x:c r="C3390" s="45" t="n">
        <x:v>45939</x:v>
      </x:c>
      <x:c r="D3390" s="33" t="str">
        <x:v>Chicago P.D.</x:v>
      </x:c>
      <x:c r="E3390" s="33" t="str">
        <x:v>One Chicago</x:v>
      </x:c>
      <x:c r="F3390" s="33" t="str">
        <x:v>core</x:v>
      </x:c>
      <x:c r="G3390" s="50" t="n">
        <x:v>13</x:v>
      </x:c>
      <x:c r="H3390" s="50" t="n">
        <x:v>2</x:v>
      </x:c>
      <x:c r="I3390" s="44" t="str">
        <x:v>13.02</x:v>
      </x:c>
      <x:c r="J3390" s="33" t="str">
        <x:v>Open Wounds</x:v>
      </x:c>
      <x:c r="K3390" s="33" t="str"/>
      <x:c r="L3390" s="33" t="str"/>
      <x:c r="M3390" s="44" t="str"/>
      <x:c r="N3390" s="50" t="n">
        <x:v>43</x:v>
      </x:c>
      <x:c r="O3390" s="53" t="str">
        <x:v>The Intelligence Unit races against time when a man from Torres' own neighborhood is violently abducted.</x:v>
      </x:c>
      <x:c r="P3390" s="53" t="str">
        <x:v>Core One Chicago franchise; crossovers with SVU/FBI</x:v>
      </x:c>
      <x:c r="Q3390" s="17" t="str">
        <x:v>13529962</x:v>
      </x:c>
      <x:c r="R3390" s="17" t="str">
        <x:v>tt37801844</x:v>
      </x:c>
      <x:c r="S3390" s="17" t="str"/>
    </x:row>
    <x:row r="3391">
      <x:c r="A3391" s="43" t="n">
        <x:v>3387</x:v>
      </x:c>
      <x:c r="B3391" s="44" t="str">
        <x:v>Not Started</x:v>
      </x:c>
      <x:c r="C3391" s="45" t="n">
        <x:v>45939</x:v>
      </x:c>
      <x:c r="D3391" s="33" t="str">
        <x:v>Chicago Fire</x:v>
      </x:c>
      <x:c r="E3391" s="33" t="str">
        <x:v>One Chicago</x:v>
      </x:c>
      <x:c r="F3391" s="33" t="str">
        <x:v>core</x:v>
      </x:c>
      <x:c r="G3391" s="50" t="n">
        <x:v>14</x:v>
      </x:c>
      <x:c r="H3391" s="50" t="n">
        <x:v>2</x:v>
      </x:c>
      <x:c r="I3391" s="44" t="str">
        <x:v>14.02</x:v>
      </x:c>
      <x:c r="J3391" s="33" t="str">
        <x:v>Primary Search</x:v>
      </x:c>
      <x:c r="K3391" s="33" t="str"/>
      <x:c r="L3391" s="33" t="str"/>
      <x:c r="M3391" s="44" t="str"/>
      <x:c r="N3391" s="50" t="n">
        <x:v>43</x:v>
      </x:c>
      <x:c r="O3391" s="53" t="str">
        <x:v>Vasquez fights to prove himself at 51. Violet and Novak pursue a troubling mystery. Herrmann is on a quest to keep Molly's profitable.</x:v>
      </x:c>
      <x:c r="P3391" s="53" t="str">
        <x:v>Core One Chicago franchise</x:v>
      </x:c>
      <x:c r="Q3391" s="17" t="str">
        <x:v>13530066</x:v>
      </x:c>
      <x:c r="R3391" s="17" t="str">
        <x:v>tt38091150</x:v>
      </x:c>
      <x:c r="S3391" s="17" t="str"/>
    </x:row>
    <x:row r="3392">
      <x:c r="A3392" s="43" t="n">
        <x:v>3388</x:v>
      </x:c>
      <x:c r="B3392" s="44" t="str">
        <x:v>Not Started</x:v>
      </x:c>
      <x:c r="C3392" s="45" t="n">
        <x:v>45939</x:v>
      </x:c>
      <x:c r="D3392" s="33" t="str">
        <x:v>Law &amp; Order</x:v>
      </x:c>
      <x:c r="E3392" s="33" t="str">
        <x:v>Law &amp; Order</x:v>
      </x:c>
      <x:c r="F3392" s="33" t="str">
        <x:v>core</x:v>
      </x:c>
      <x:c r="G3392" s="50" t="n">
        <x:v>25</x:v>
      </x:c>
      <x:c r="H3392" s="50" t="n">
        <x:v>3</x:v>
      </x:c>
      <x:c r="I3392" s="44" t="str">
        <x:v>25.03</x:v>
      </x:c>
      <x:c r="J3392" s="33" t="str">
        <x:v>White Lies</x:v>
      </x:c>
      <x:c r="K3392" s="33" t="str"/>
      <x:c r="L3392" s="33" t="str"/>
      <x:c r="M3392" s="44" t="str"/>
      <x:c r="N3392" s="50" t="n">
        <x:v>41</x:v>
      </x:c>
      <x:c r="O3392" s="53" t="str">
        <x:v>A bulldog investment fund manager is murdered in the midst of a client's big takeover. Price goes to desperate lengths to prove the suspect's motives.</x:v>
      </x:c>
      <x:c r="P3392" s="53" t="str">
        <x:v>Core Law &amp; Order franchise</x:v>
      </x:c>
      <x:c r="Q3392" s="17" t="str">
        <x:v>13515661</x:v>
      </x:c>
      <x:c r="R3392" s="17" t="str">
        <x:v>tt37956054</x:v>
      </x:c>
      <x:c r="S3392" s="17" t="str">
        <x:v>1740</x:v>
      </x:c>
    </x:row>
    <x:row r="3393">
      <x:c r="A3393" s="43" t="n">
        <x:v>3389</x:v>
      </x:c>
      <x:c r="B3393" s="44" t="str">
        <x:v>Not Started</x:v>
      </x:c>
      <x:c r="C3393" s="45" t="n">
        <x:v>45939</x:v>
      </x:c>
      <x:c r="D3393" s="33" t="str">
        <x:v>Law &amp; Order: Special Victims Unit</x:v>
      </x:c>
      <x:c r="E3393" s="33" t="str">
        <x:v>Law &amp; Order</x:v>
      </x:c>
      <x:c r="F3393" s="33" t="str">
        <x:v>core</x:v>
      </x:c>
      <x:c r="G3393" s="50" t="n">
        <x:v>27</x:v>
      </x:c>
      <x:c r="H3393" s="50" t="n">
        <x:v>3</x:v>
      </x:c>
      <x:c r="I3393" s="44" t="str">
        <x:v>27.03</x:v>
      </x:c>
      <x:c r="J3393" s="33" t="str">
        <x:v>A Vicious Circle</x:v>
      </x:c>
      <x:c r="K3393" s="33" t="str"/>
      <x:c r="L3393" s="33" t="str"/>
      <x:c r="M3393" s="44" t="str"/>
      <x:c r="N3393" s="50" t="n">
        <x:v>43</x:v>
      </x:c>
      <x:c r="O3393" s="53" t="str">
        <x:v>Bruno suspects a bomb was planted to destroy DNA evidence in a rape case. Benson takes on a murder investigation connected to the bombing. Griffin experiences the frustrating setbacks of working an SVU case.</x:v>
      </x:c>
      <x:c r="P3393" s="53" t="str">
        <x:v>Core Law &amp; Order franchise</x:v>
      </x:c>
      <x:c r="Q3393" s="17" t="str">
        <x:v>13484090</x:v>
      </x:c>
      <x:c r="R3393" s="17" t="str">
        <x:v>tt37793162</x:v>
      </x:c>
      <x:c r="S3393" s="17" t="str">
        <x:v>1741</x:v>
      </x:c>
    </x:row>
    <x:row r="3394">
      <x:c r="A3394" s="43" t="n">
        <x:v>3390</x:v>
      </x:c>
      <x:c r="B3394" s="44" t="str">
        <x:v>Not Started</x:v>
      </x:c>
      <x:c r="C3394" s="45" t="n">
        <x:v>45942</x:v>
      </x:c>
      <x:c r="D3394" s="33" t="str">
        <x:v>Cold Justice</x:v>
      </x:c>
      <x:c r="E3394" s="33" t="str">
        <x:v>Crossover Adjacent</x:v>
      </x:c>
      <x:c r="F3394" s="33" t="str">
        <x:v>complete</x:v>
      </x:c>
      <x:c r="G3394" s="50" t="n">
        <x:v>8</x:v>
      </x:c>
      <x:c r="H3394" s="50" t="n">
        <x:v>5</x:v>
      </x:c>
      <x:c r="I3394" s="44" t="str">
        <x:v>08.05</x:v>
      </x:c>
      <x:c r="J3394" s="33" t="str">
        <x:v>Deadly Message</x:v>
      </x:c>
      <x:c r="K3394" s="33" t="str"/>
      <x:c r="L3394" s="33" t="str"/>
      <x:c r="M3394" s="44" t="str"/>
      <x:c r="N3394" s="50" t="n">
        <x:v>42</x:v>
      </x:c>
      <x:c r="O3394" s="53" t="str">
        <x:v>Kelly and Abbey investigate the 1999 murder of a beloved churchgoing mother and grandmother, shot dead in her own home.  With no known enemies, was she killed to send a cruel message to someone she loved?</x:v>
      </x:c>
      <x:c r="P3394" s="53" t="str">
        <x:v>Wolf Entertainment unscripted true-crime series</x:v>
      </x:c>
      <x:c r="Q3394" s="17" t="str">
        <x:v>13558615</x:v>
      </x:c>
      <x:c r="R3394" s="17" t="str"/>
      <x:c r="S3394" s="17" t="str"/>
    </x:row>
    <x:row r="3395">
      <x:c r="A3395" s="43" t="n">
        <x:v>3391</x:v>
      </x:c>
      <x:c r="B3395" s="44" t="str">
        <x:v>Not Started</x:v>
      </x:c>
      <x:c r="C3395" s="45" t="n">
        <x:v>45944</x:v>
      </x:c>
      <x:c r="D3395" s="33" t="str">
        <x:v>FBI</x:v>
      </x:c>
      <x:c r="E3395" s="33" t="str">
        <x:v>FBI</x:v>
      </x:c>
      <x:c r="F3395" s="33" t="str">
        <x:v>core</x:v>
      </x:c>
      <x:c r="G3395" s="50" t="n">
        <x:v>8</x:v>
      </x:c>
      <x:c r="H3395" s="50" t="n">
        <x:v>1</x:v>
      </x:c>
      <x:c r="I3395" s="44" t="str">
        <x:v>08.01</x:v>
      </x:c>
      <x:c r="J3395" s="33" t="str">
        <x:v>Takeover</x:v>
      </x:c>
      <x:c r="K3395" s="33" t="str"/>
      <x:c r="L3395" s="33" t="str"/>
      <x:c r="M3395" s="44" t="str"/>
      <x:c r="N3395" s="50" t="n">
        <x:v>43</x:v>
      </x:c>
      <x:c r="O3395" s="53" t="str">
        <x:v>After a federal judge disappears, a routine investigation takes a dark turn as the team uncovers that the judge had been searching for his missing son on a secluded island on the city's edge, where authority has crumbled. Meanwhile, reality weighs heavy on Jubal as he takes on a new leadership role.</x:v>
      </x:c>
      <x:c r="P3395" s="53" t="str">
        <x:v>Core FBI franchise</x:v>
      </x:c>
      <x:c r="Q3395" s="17" t="str">
        <x:v>13312713</x:v>
      </x:c>
      <x:c r="R3395" s="17" t="str">
        <x:v>tt36106942</x:v>
      </x:c>
      <x:c r="S3395" s="17" t="str"/>
    </x:row>
    <x:row r="3396">
      <x:c r="A3396" s="43" t="n">
        <x:v>3392</x:v>
      </x:c>
      <x:c r="B3396" s="44" t="str">
        <x:v>Not Started</x:v>
      </x:c>
      <x:c r="C3396" s="45" t="n">
        <x:v>45946</x:v>
      </x:c>
      <x:c r="D3396" s="33" t="str">
        <x:v>Chicago Med</x:v>
      </x:c>
      <x:c r="E3396" s="33" t="str">
        <x:v>One Chicago</x:v>
      </x:c>
      <x:c r="F3396" s="33" t="str">
        <x:v>core</x:v>
      </x:c>
      <x:c r="G3396" s="50" t="n">
        <x:v>11</x:v>
      </x:c>
      <x:c r="H3396" s="50" t="n">
        <x:v>3</x:v>
      </x:c>
      <x:c r="I3396" s="44" t="str">
        <x:v>11.03</x:v>
      </x:c>
      <x:c r="J3396" s="33" t="str">
        <x:v>Horseshoes and Hand Grenades</x:v>
      </x:c>
      <x:c r="K3396" s="33" t="str"/>
      <x:c r="L3396" s="33" t="str"/>
      <x:c r="M3396" s="44" t="str"/>
      <x:c r="N3396" s="50" t="n">
        <x:v>42</x:v>
      </x:c>
      <x:c r="O3396" s="53" t="str">
        <x:v>Lenox and Frost receive an unusual request from the parents of a patient on life support. Ripley and Charles work with a man who can't remember who he is.</x:v>
      </x:c>
      <x:c r="P3396" s="53" t="str">
        <x:v>Core One Chicago franchise</x:v>
      </x:c>
      <x:c r="Q3396" s="17" t="str">
        <x:v>13529836</x:v>
      </x:c>
      <x:c r="R3396" s="17" t="str">
        <x:v>tt37898797</x:v>
      </x:c>
      <x:c r="S3396" s="17" t="str"/>
    </x:row>
    <x:row r="3397">
      <x:c r="A3397" s="43" t="n">
        <x:v>3393</x:v>
      </x:c>
      <x:c r="B3397" s="44" t="str">
        <x:v>Not Started</x:v>
      </x:c>
      <x:c r="C3397" s="45" t="n">
        <x:v>45946</x:v>
      </x:c>
      <x:c r="D3397" s="33" t="str">
        <x:v>Chicago P.D.</x:v>
      </x:c>
      <x:c r="E3397" s="33" t="str">
        <x:v>One Chicago</x:v>
      </x:c>
      <x:c r="F3397" s="33" t="str">
        <x:v>core</x:v>
      </x:c>
      <x:c r="G3397" s="50" t="n">
        <x:v>13</x:v>
      </x:c>
      <x:c r="H3397" s="50" t="n">
        <x:v>3</x:v>
      </x:c>
      <x:c r="I3397" s="44" t="str">
        <x:v>13.03</x:v>
      </x:c>
      <x:c r="J3397" s="33" t="str">
        <x:v>Canaryville</x:v>
      </x:c>
      <x:c r="K3397" s="33" t="str"/>
      <x:c r="L3397" s="33" t="str"/>
      <x:c r="M3397" s="44" t="str"/>
      <x:c r="N3397" s="50" t="n">
        <x:v>43</x:v>
      </x:c>
      <x:c r="O3397" s="53" t="str">
        <x:v>A homicide in the neighborhood where Burgess and Ruzek reside forces the team to investigate complicated relationships within the tight-knit community they call home.</x:v>
      </x:c>
      <x:c r="P3397" s="53" t="str">
        <x:v>Core One Chicago franchise; crossovers with SVU/FBI</x:v>
      </x:c>
      <x:c r="Q3397" s="17" t="str">
        <x:v>13529966</x:v>
      </x:c>
      <x:c r="R3397" s="17" t="str">
        <x:v>tt37956121</x:v>
      </x:c>
      <x:c r="S3397" s="17" t="str"/>
    </x:row>
    <x:row r="3398">
      <x:c r="A3398" s="43" t="n">
        <x:v>3394</x:v>
      </x:c>
      <x:c r="B3398" s="44" t="str">
        <x:v>Not Started</x:v>
      </x:c>
      <x:c r="C3398" s="45" t="n">
        <x:v>45946</x:v>
      </x:c>
      <x:c r="D3398" s="33" t="str">
        <x:v>Chicago Fire</x:v>
      </x:c>
      <x:c r="E3398" s="33" t="str">
        <x:v>One Chicago</x:v>
      </x:c>
      <x:c r="F3398" s="33" t="str">
        <x:v>core</x:v>
      </x:c>
      <x:c r="G3398" s="50" t="n">
        <x:v>14</x:v>
      </x:c>
      <x:c r="H3398" s="50" t="n">
        <x:v>3</x:v>
      </x:c>
      <x:c r="I3398" s="44" t="str">
        <x:v>14.03</x:v>
      </x:c>
      <x:c r="J3398" s="33" t="str">
        <x:v>All in the Blood</x:v>
      </x:c>
      <x:c r="K3398" s="33" t="str"/>
      <x:c r="L3398" s="33" t="str"/>
      <x:c r="M3398" s="44" t="str"/>
      <x:c r="N3398" s="50" t="n">
        <x:v>42</x:v>
      </x:c>
      <x:c r="O3398" s="53" t="str">
        <x:v>When city budget cuts stretch crews thin, Pascal takes matters into his own hands. Vasquez looks to an old friend for help. An incident in the field hits close to home for Violet.</x:v>
      </x:c>
      <x:c r="P3398" s="53" t="str">
        <x:v>Core One Chicago franchise</x:v>
      </x:c>
      <x:c r="Q3398" s="17" t="str">
        <x:v>13530068</x:v>
      </x:c>
      <x:c r="R3398" s="17" t="str">
        <x:v>tt38120280</x:v>
      </x:c>
      <x:c r="S3398" s="17" t="str"/>
    </x:row>
    <x:row r="3399">
      <x:c r="A3399" s="43" t="n">
        <x:v>3395</x:v>
      </x:c>
      <x:c r="B3399" s="44" t="str">
        <x:v>Not Started</x:v>
      </x:c>
      <x:c r="C3399" s="45" t="n">
        <x:v>45946</x:v>
      </x:c>
      <x:c r="D3399" s="33" t="str">
        <x:v>Law &amp; Order</x:v>
      </x:c>
      <x:c r="E3399" s="33" t="str">
        <x:v>Law &amp; Order</x:v>
      </x:c>
      <x:c r="F3399" s="33" t="str">
        <x:v>core</x:v>
      </x:c>
      <x:c r="G3399" s="50" t="n">
        <x:v>25</x:v>
      </x:c>
      <x:c r="H3399" s="50" t="n">
        <x:v>4</x:v>
      </x:c>
      <x:c r="I3399" s="44" t="str">
        <x:v>25.04</x:v>
      </x:c>
      <x:c r="J3399" s="33" t="str">
        <x:v>Two and Twenty</x:v>
      </x:c>
      <x:c r="K3399" s="33" t="str"/>
      <x:c r="L3399" s="33" t="str"/>
      <x:c r="M3399" s="44" t="str"/>
      <x:c r="N3399" s="50" t="n">
        <x:v>42</x:v>
      </x:c>
      <x:c r="O3399" s="53" t="str">
        <x:v>A billionaire banker is murdered and the 2-7 must investigate his many clients and employees. Price and Maroun struggle to keep the jury's focus on the crime and not the victim's darker side.</x:v>
      </x:c>
      <x:c r="P3399" s="53" t="str">
        <x:v>Core Law &amp; Order franchise</x:v>
      </x:c>
      <x:c r="Q3399" s="17" t="str">
        <x:v>13515662</x:v>
      </x:c>
      <x:c r="R3399" s="17" t="str">
        <x:v>tt37994221</x:v>
      </x:c>
      <x:c r="S3399" s="17" t="str">
        <x:v>1742</x:v>
      </x:c>
    </x:row>
    <x:row r="3400">
      <x:c r="A3400" s="43" t="n">
        <x:v>3396</x:v>
      </x:c>
      <x:c r="B3400" s="44" t="str">
        <x:v>Not Started</x:v>
      </x:c>
      <x:c r="C3400" s="45" t="n">
        <x:v>45946</x:v>
      </x:c>
      <x:c r="D3400" s="33" t="str">
        <x:v>Law &amp; Order: Special Victims Unit</x:v>
      </x:c>
      <x:c r="E3400" s="33" t="str">
        <x:v>Law &amp; Order</x:v>
      </x:c>
      <x:c r="F3400" s="33" t="str">
        <x:v>core</x:v>
      </x:c>
      <x:c r="G3400" s="50" t="n">
        <x:v>27</x:v>
      </x:c>
      <x:c r="H3400" s="50" t="n">
        <x:v>4</x:v>
      </x:c>
      <x:c r="I3400" s="44" t="str">
        <x:v>27.04</x:v>
      </x:c>
      <x:c r="J3400" s="33" t="str">
        <x:v>Clickbait</x:v>
      </x:c>
      <x:c r="K3400" s="33" t="str"/>
      <x:c r="L3400" s="33" t="str"/>
      <x:c r="M3400" s="44" t="str"/>
      <x:c r="N3400" s="50" t="n">
        <x:v>43</x:v>
      </x:c>
      <x:c r="O3400" s="53" t="str">
        <x:v>When a tween suffers a life-threatening miscarriage, the SVU must unravel a web of online fabrications to identify a suspect. Rollins carefully weighs her career options.</x:v>
      </x:c>
      <x:c r="P3400" s="53" t="str">
        <x:v>Core Law &amp; Order franchise</x:v>
      </x:c>
      <x:c r="Q3400" s="17" t="str">
        <x:v>13515016</x:v>
      </x:c>
      <x:c r="R3400" s="17" t="str">
        <x:v>tt37855564</x:v>
      </x:c>
      <x:c r="S3400" s="17" t="str">
        <x:v>1743</x:v>
      </x:c>
    </x:row>
    <x:row r="3401">
      <x:c r="A3401" s="43" t="n">
        <x:v>3397</x:v>
      </x:c>
      <x:c r="B3401" s="44" t="str">
        <x:v>Not Started</x:v>
      </x:c>
      <x:c r="C3401" s="45" t="n">
        <x:v>45949</x:v>
      </x:c>
      <x:c r="D3401" s="33" t="str">
        <x:v>Cold Justice</x:v>
      </x:c>
      <x:c r="E3401" s="33" t="str">
        <x:v>Crossover Adjacent</x:v>
      </x:c>
      <x:c r="F3401" s="33" t="str">
        <x:v>complete</x:v>
      </x:c>
      <x:c r="G3401" s="50" t="n">
        <x:v>8</x:v>
      </x:c>
      <x:c r="H3401" s="50" t="n">
        <x:v>6</x:v>
      </x:c>
      <x:c r="I3401" s="44" t="str">
        <x:v>08.06</x:v>
      </x:c>
      <x:c r="J3401" s="33" t="str">
        <x:v>A Mother's Nightmare</x:v>
      </x:c>
      <x:c r="K3401" s="33" t="str"/>
      <x:c r="L3401" s="33" t="str"/>
      <x:c r="M3401" s="44" t="str"/>
      <x:c r="N3401" s="50" t="n">
        <x:v>42</x:v>
      </x:c>
      <x:c r="O3401" s="53" t="str">
        <x:v>Kelly and Tonya look into the brutal murder of a hard-working mother who was stabbed and bludgeoned to death.  The investigation uncovers a secret affair and a revelation as shocking as the murder itself.</x:v>
      </x:c>
      <x:c r="P3401" s="53" t="str">
        <x:v>Wolf Entertainment unscripted true-crime series</x:v>
      </x:c>
      <x:c r="Q3401" s="17" t="str">
        <x:v>13558617</x:v>
      </x:c>
      <x:c r="R3401" s="17" t="str"/>
      <x:c r="S3401" s="17" t="str"/>
    </x:row>
    <x:row r="3402">
      <x:c r="A3402" s="43" t="n">
        <x:v>3398</x:v>
      </x:c>
      <x:c r="B3402" s="44" t="str">
        <x:v>Not Started</x:v>
      </x:c>
      <x:c r="C3402" s="45" t="n">
        <x:v>45951</x:v>
      </x:c>
      <x:c r="D3402" s="33" t="str">
        <x:v>FBI</x:v>
      </x:c>
      <x:c r="E3402" s="33" t="str">
        <x:v>FBI</x:v>
      </x:c>
      <x:c r="F3402" s="33" t="str">
        <x:v>core</x:v>
      </x:c>
      <x:c r="G3402" s="50" t="n">
        <x:v>8</x:v>
      </x:c>
      <x:c r="H3402" s="50" t="n">
        <x:v>2</x:v>
      </x:c>
      <x:c r="I3402" s="44" t="str">
        <x:v>08.02</x:v>
      </x:c>
      <x:c r="J3402" s="33" t="str">
        <x:v>Captured</x:v>
      </x:c>
      <x:c r="K3402" s="33" t="str"/>
      <x:c r="L3402" s="33" t="str"/>
      <x:c r="M3402" s="44" t="str"/>
      <x:c r="N3402" s="50" t="n">
        <x:v>43</x:v>
      </x:c>
      <x:c r="O3402" s="53" t="str">
        <x:v>When paintings from a high-profile international cultural exchange are stolen – leaving a security guard dead – the team races to recover the priceless artworks. Meanwhile, Maggie turns to a friend for help profiling suspects.</x:v>
      </x:c>
      <x:c r="P3402" s="53" t="str">
        <x:v>Core FBI franchise</x:v>
      </x:c>
      <x:c r="Q3402" s="17" t="str">
        <x:v>13458814</x:v>
      </x:c>
      <x:c r="R3402" s="17" t="str">
        <x:v>tt38126292</x:v>
      </x:c>
      <x:c r="S3402" s="17" t="str"/>
    </x:row>
    <x:row r="3403">
      <x:c r="A3403" s="43" t="n">
        <x:v>3399</x:v>
      </x:c>
      <x:c r="B3403" s="44" t="str">
        <x:v>Not Started</x:v>
      </x:c>
      <x:c r="C3403" s="45" t="n">
        <x:v>45953</x:v>
      </x:c>
      <x:c r="D3403" s="33" t="str">
        <x:v>Chicago Med</x:v>
      </x:c>
      <x:c r="E3403" s="33" t="str">
        <x:v>One Chicago</x:v>
      </x:c>
      <x:c r="F3403" s="33" t="str">
        <x:v>core</x:v>
      </x:c>
      <x:c r="G3403" s="50" t="n">
        <x:v>11</x:v>
      </x:c>
      <x:c r="H3403" s="50" t="n">
        <x:v>4</x:v>
      </x:c>
      <x:c r="I3403" s="44" t="str">
        <x:v>11.04</x:v>
      </x:c>
      <x:c r="J3403" s="33" t="str">
        <x:v>Found Family</x:v>
      </x:c>
      <x:c r="K3403" s="33" t="str"/>
      <x:c r="L3403" s="33" t="str"/>
      <x:c r="M3403" s="44" t="str"/>
      <x:c r="N3403" s="50" t="n">
        <x:v>43</x:v>
      </x:c>
      <x:c r="O3403" s="53" t="str">
        <x:v>Charles races to convince a patient to accept treatment before it's too late. Frost bonds with a young girl battling immunodeficiency. Lenox makes a chilling discovery.</x:v>
      </x:c>
      <x:c r="P3403" s="53" t="str">
        <x:v>Core One Chicago franchise</x:v>
      </x:c>
      <x:c r="Q3403" s="17" t="str">
        <x:v>13529837</x:v>
      </x:c>
      <x:c r="R3403" s="17" t="str">
        <x:v>tt37923446</x:v>
      </x:c>
      <x:c r="S3403" s="17" t="str"/>
    </x:row>
    <x:row r="3404">
      <x:c r="A3404" s="43" t="n">
        <x:v>3400</x:v>
      </x:c>
      <x:c r="B3404" s="44" t="str">
        <x:v>Not Started</x:v>
      </x:c>
      <x:c r="C3404" s="45" t="n">
        <x:v>45953</x:v>
      </x:c>
      <x:c r="D3404" s="33" t="str">
        <x:v>Chicago P.D.</x:v>
      </x:c>
      <x:c r="E3404" s="33" t="str">
        <x:v>One Chicago</x:v>
      </x:c>
      <x:c r="F3404" s="33" t="str">
        <x:v>core</x:v>
      </x:c>
      <x:c r="G3404" s="50" t="n">
        <x:v>13</x:v>
      </x:c>
      <x:c r="H3404" s="50" t="n">
        <x:v>4</x:v>
      </x:c>
      <x:c r="I3404" s="44" t="str">
        <x:v>13.04</x:v>
      </x:c>
      <x:c r="J3404" s="33" t="str">
        <x:v>Root Cause</x:v>
      </x:c>
      <x:c r="K3404" s="33" t="str"/>
      <x:c r="L3404" s="33" t="str"/>
      <x:c r="M3404" s="44" t="str"/>
      <x:c r="N3404" s="50" t="n">
        <x:v>42</x:v>
      </x:c>
      <x:c r="O3404" s="53" t="str">
        <x:v>A string of violent robberies across the city digs up one family's secrets. A surprising detail of Voight's past resurfaces.</x:v>
      </x:c>
      <x:c r="P3404" s="53" t="str">
        <x:v>Core One Chicago franchise; crossovers with SVU/FBI</x:v>
      </x:c>
      <x:c r="Q3404" s="17" t="str">
        <x:v>13529969</x:v>
      </x:c>
      <x:c r="R3404" s="17" t="str">
        <x:v>tt38236735</x:v>
      </x:c>
      <x:c r="S3404" s="17" t="str"/>
    </x:row>
    <x:row r="3405">
      <x:c r="A3405" s="43" t="n">
        <x:v>3401</x:v>
      </x:c>
      <x:c r="B3405" s="44" t="str">
        <x:v>Not Started</x:v>
      </x:c>
      <x:c r="C3405" s="45" t="n">
        <x:v>45953</x:v>
      </x:c>
      <x:c r="D3405" s="33" t="str">
        <x:v>Chicago Fire</x:v>
      </x:c>
      <x:c r="E3405" s="33" t="str">
        <x:v>One Chicago</x:v>
      </x:c>
      <x:c r="F3405" s="33" t="str">
        <x:v>core</x:v>
      </x:c>
      <x:c r="G3405" s="50" t="n">
        <x:v>14</x:v>
      </x:c>
      <x:c r="H3405" s="50" t="n">
        <x:v>4</x:v>
      </x:c>
      <x:c r="I3405" s="44" t="str">
        <x:v>14.04</x:v>
      </x:c>
      <x:c r="J3405" s="33" t="str">
        <x:v>Mercy</x:v>
      </x:c>
      <x:c r="K3405" s="33" t="str"/>
      <x:c r="L3405" s="33" t="str"/>
      <x:c r="M3405" s="44" t="str"/>
      <x:c r="N3405" s="50" t="n">
        <x:v>41</x:v>
      </x:c>
      <x:c r="O3405" s="53" t="str">
        <x:v>Firehouse 51 must band together after a devastating fire catches them off guard. Vasquez continues his quest for answers. Violet and Novak face an unexpected roadblock in the new training protocol.</x:v>
      </x:c>
      <x:c r="P3405" s="53" t="str">
        <x:v>Core One Chicago franchise</x:v>
      </x:c>
      <x:c r="Q3405" s="17" t="str">
        <x:v>13530069</x:v>
      </x:c>
      <x:c r="R3405" s="17" t="str">
        <x:v>tt38523854</x:v>
      </x:c>
      <x:c r="S3405" s="17" t="str"/>
    </x:row>
    <x:row r="3406">
      <x:c r="A3406" s="43" t="n">
        <x:v>3402</x:v>
      </x:c>
      <x:c r="B3406" s="44" t="str">
        <x:v>Not Started</x:v>
      </x:c>
      <x:c r="C3406" s="45" t="n">
        <x:v>45953</x:v>
      </x:c>
      <x:c r="D3406" s="33" t="str">
        <x:v>Law &amp; Order</x:v>
      </x:c>
      <x:c r="E3406" s="33" t="str">
        <x:v>Law &amp; Order</x:v>
      </x:c>
      <x:c r="F3406" s="33" t="str">
        <x:v>core</x:v>
      </x:c>
      <x:c r="G3406" s="50" t="n">
        <x:v>25</x:v>
      </x:c>
      <x:c r="H3406" s="50" t="n">
        <x:v>5</x:v>
      </x:c>
      <x:c r="I3406" s="44" t="str">
        <x:v>25.05</x:v>
      </x:c>
      <x:c r="J3406" s="33" t="str">
        <x:v>Bend the Knee</x:v>
      </x:c>
      <x:c r="K3406" s="33" t="str"/>
      <x:c r="L3406" s="33" t="str"/>
      <x:c r="M3406" s="44" t="str"/>
      <x:c r="N3406" s="50" t="n">
        <x:v>42</x:v>
      </x:c>
      <x:c r="O3406" s="53" t="str">
        <x:v>A law partner with prominent government clients is murdered. Baxter must consider making political concessions for the case to be a success.</x:v>
      </x:c>
      <x:c r="P3406" s="53" t="str">
        <x:v>Core Law &amp; Order franchise</x:v>
      </x:c>
      <x:c r="Q3406" s="17" t="str">
        <x:v>13534842</x:v>
      </x:c>
      <x:c r="R3406" s="17" t="str">
        <x:v>tt37778861</x:v>
      </x:c>
      <x:c r="S3406" s="17" t="str">
        <x:v>1744</x:v>
      </x:c>
    </x:row>
    <x:row r="3407">
      <x:c r="A3407" s="43" t="n">
        <x:v>3403</x:v>
      </x:c>
      <x:c r="B3407" s="44" t="str">
        <x:v>Not Started</x:v>
      </x:c>
      <x:c r="C3407" s="45" t="n">
        <x:v>45953</x:v>
      </x:c>
      <x:c r="D3407" s="33" t="str">
        <x:v>Law &amp; Order: Special Victims Unit</x:v>
      </x:c>
      <x:c r="E3407" s="33" t="str">
        <x:v>Law &amp; Order</x:v>
      </x:c>
      <x:c r="F3407" s="33" t="str">
        <x:v>core</x:v>
      </x:c>
      <x:c r="G3407" s="50" t="n">
        <x:v>27</x:v>
      </x:c>
      <x:c r="H3407" s="50" t="n">
        <x:v>5</x:v>
      </x:c>
      <x:c r="I3407" s="44" t="str">
        <x:v>27.05</x:v>
      </x:c>
      <x:c r="J3407" s="33" t="str">
        <x:v>Feed the Craving</x:v>
      </x:c>
      <x:c r="K3407" s="33" t="str"/>
      <x:c r="L3407" s="33" t="str"/>
      <x:c r="M3407" s="44" t="str"/>
      <x:c r="N3407" s="50" t="n">
        <x:v>43</x:v>
      </x:c>
      <x:c r="O3407" s="53" t="str">
        <x:v>When a woman in active labor is abducted, Rollins and Curry look to her doula for an account of events. Carisi tries to get a confession in front of the jury.</x:v>
      </x:c>
      <x:c r="P3407" s="53" t="str">
        <x:v>Core Law &amp; Order franchise</x:v>
      </x:c>
      <x:c r="Q3407" s="17" t="str">
        <x:v>13534840</x:v>
      </x:c>
      <x:c r="R3407" s="17" t="str">
        <x:v>tt37994226</x:v>
      </x:c>
      <x:c r="S3407" s="17" t="str">
        <x:v>1745</x:v>
      </x:c>
    </x:row>
    <x:row r="3408">
      <x:c r="A3408" s="43" t="n">
        <x:v>3404</x:v>
      </x:c>
      <x:c r="B3408" s="44" t="str">
        <x:v>Not Started</x:v>
      </x:c>
      <x:c r="C3408" s="45" t="n">
        <x:v>45956</x:v>
      </x:c>
      <x:c r="D3408" s="33" t="str">
        <x:v>Cold Justice</x:v>
      </x:c>
      <x:c r="E3408" s="33" t="str">
        <x:v>Crossover Adjacent</x:v>
      </x:c>
      <x:c r="F3408" s="33" t="str">
        <x:v>complete</x:v>
      </x:c>
      <x:c r="G3408" s="50" t="n">
        <x:v>8</x:v>
      </x:c>
      <x:c r="H3408" s="50" t="n">
        <x:v>7</x:v>
      </x:c>
      <x:c r="I3408" s="44" t="str">
        <x:v>08.07</x:v>
      </x:c>
      <x:c r="J3408" s="33" t="str">
        <x:v>Life Cut Short</x:v>
      </x:c>
      <x:c r="K3408" s="33" t="str"/>
      <x:c r="L3408" s="33" t="str"/>
      <x:c r="M3408" s="44" t="str"/>
      <x:c r="N3408" s="50" t="n">
        <x:v>43</x:v>
      </x:c>
      <x:c r="O3408" s="53" t="str">
        <x:v>Kelly and Steve join the Searcy Police Department to untangle the mystery of a popular hairstylist, murdered on the night of her thirtieth birthday; is it an old flame, a new boyfriend or someone else entirely?</x:v>
      </x:c>
      <x:c r="P3408" s="53" t="str">
        <x:v>Wolf Entertainment unscripted true-crime series</x:v>
      </x:c>
      <x:c r="Q3408" s="17" t="str">
        <x:v>13660702</x:v>
      </x:c>
      <x:c r="R3408" s="17" t="str"/>
      <x:c r="S3408" s="17" t="str"/>
    </x:row>
    <x:row r="3409">
      <x:c r="A3409" s="43" t="n">
        <x:v>3405</x:v>
      </x:c>
      <x:c r="B3409" s="44" t="str">
        <x:v>Not Started</x:v>
      </x:c>
      <x:c r="C3409" s="45" t="n">
        <x:v>45958</x:v>
      </x:c>
      <x:c r="D3409" s="33" t="str">
        <x:v>FBI</x:v>
      </x:c>
      <x:c r="E3409" s="33" t="str">
        <x:v>FBI</x:v>
      </x:c>
      <x:c r="F3409" s="33" t="str">
        <x:v>core</x:v>
      </x:c>
      <x:c r="G3409" s="50" t="n">
        <x:v>8</x:v>
      </x:c>
      <x:c r="H3409" s="50" t="n">
        <x:v>3</x:v>
      </x:c>
      <x:c r="I3409" s="44" t="str">
        <x:v>08.03</x:v>
      </x:c>
      <x:c r="J3409" s="33" t="str">
        <x:v>Boy Scout</x:v>
      </x:c>
      <x:c r="K3409" s="33" t="str"/>
      <x:c r="L3409" s="33" t="str"/>
      <x:c r="M3409" s="44" t="str"/>
      <x:c r="N3409" s="50" t="n">
        <x:v>43</x:v>
      </x:c>
      <x:c r="O3409" s="53" t="str">
        <x:v>After a young man is found beaten to death on federal land, Scola and Special Agent Eva Ramos hit a roadblock when their case intersects with a DEA operation. Meanwhile, there is a potential shake-up inside of the JOC.</x:v>
      </x:c>
      <x:c r="P3409" s="53" t="str">
        <x:v>Core FBI franchise</x:v>
      </x:c>
      <x:c r="Q3409" s="17" t="str">
        <x:v>13608916</x:v>
      </x:c>
      <x:c r="R3409" s="17" t="str">
        <x:v>tt38164704</x:v>
      </x:c>
      <x:c r="S3409" s="17" t="str"/>
    </x:row>
    <x:row r="3410">
      <x:c r="A3410" s="43" t="n">
        <x:v>3406</x:v>
      </x:c>
      <x:c r="B3410" s="44" t="str">
        <x:v>Not Started</x:v>
      </x:c>
      <x:c r="C3410" s="45" t="n">
        <x:v>45960</x:v>
      </x:c>
      <x:c r="D3410" s="33" t="str">
        <x:v>Chicago Med</x:v>
      </x:c>
      <x:c r="E3410" s="33" t="str">
        <x:v>One Chicago</x:v>
      </x:c>
      <x:c r="F3410" s="33" t="str">
        <x:v>core</x:v>
      </x:c>
      <x:c r="G3410" s="50" t="n">
        <x:v>11</x:v>
      </x:c>
      <x:c r="H3410" s="50" t="n">
        <x:v>5</x:v>
      </x:c>
      <x:c r="I3410" s="44" t="str">
        <x:v>11.05</x:v>
      </x:c>
      <x:c r="J3410" s="33" t="str">
        <x:v>What's Hiding in the Dark</x:v>
      </x:c>
      <x:c r="K3410" s="33" t="str"/>
      <x:c r="L3410" s="33" t="str"/>
      <x:c r="M3410" s="44" t="str"/>
      <x:c r="N3410" s="50" t="n">
        <x:v>43</x:v>
      </x:c>
      <x:c r="O3410" s="53" t="str">
        <x:v>A personal clash between Asher and Archer reaches a breaking point. Charles and Ripley uncover a rare neurological disorder in a patient. Goodwin's personal life is put to the test.</x:v>
      </x:c>
      <x:c r="P3410" s="53" t="str">
        <x:v>Core One Chicago franchise</x:v>
      </x:c>
      <x:c r="Q3410" s="17" t="str">
        <x:v>13529839</x:v>
      </x:c>
      <x:c r="R3410" s="17" t="str">
        <x:v>tt38236747</x:v>
      </x:c>
      <x:c r="S3410" s="17" t="str"/>
    </x:row>
    <x:row r="3411">
      <x:c r="A3411" s="43" t="n">
        <x:v>3407</x:v>
      </x:c>
      <x:c r="B3411" s="44" t="str">
        <x:v>Not Started</x:v>
      </x:c>
      <x:c r="C3411" s="45" t="n">
        <x:v>45960</x:v>
      </x:c>
      <x:c r="D3411" s="33" t="str">
        <x:v>Chicago P.D.</x:v>
      </x:c>
      <x:c r="E3411" s="33" t="str">
        <x:v>One Chicago</x:v>
      </x:c>
      <x:c r="F3411" s="33" t="str">
        <x:v>core</x:v>
      </x:c>
      <x:c r="G3411" s="50" t="n">
        <x:v>13</x:v>
      </x:c>
      <x:c r="H3411" s="50" t="n">
        <x:v>5</x:v>
      </x:c>
      <x:c r="I3411" s="44" t="str">
        <x:v>13.05</x:v>
      </x:c>
      <x:c r="J3411" s="33" t="str">
        <x:v>Miami</x:v>
      </x:c>
      <x:c r="K3411" s="33" t="str"/>
      <x:c r="L3411" s="33" t="str"/>
      <x:c r="M3411" s="44" t="str"/>
      <x:c r="N3411" s="50" t="n">
        <x:v>42</x:v>
      </x:c>
      <x:c r="O3411" s="53" t="str">
        <x:v>Atwater reunites with an old friend from his academy days after a bombing rocks downtown Chicago.</x:v>
      </x:c>
      <x:c r="P3411" s="53" t="str">
        <x:v>Core One Chicago franchise; crossovers with SVU/FBI</x:v>
      </x:c>
      <x:c r="Q3411" s="17" t="str">
        <x:v>13529982</x:v>
      </x:c>
      <x:c r="R3411" s="17" t="str">
        <x:v>tt38236745</x:v>
      </x:c>
      <x:c r="S3411" s="17" t="str"/>
    </x:row>
    <x:row r="3412">
      <x:c r="A3412" s="43" t="n">
        <x:v>3408</x:v>
      </x:c>
      <x:c r="B3412" s="44" t="str">
        <x:v>Not Started</x:v>
      </x:c>
      <x:c r="C3412" s="45" t="n">
        <x:v>45960</x:v>
      </x:c>
      <x:c r="D3412" s="33" t="str">
        <x:v>Chicago Fire</x:v>
      </x:c>
      <x:c r="E3412" s="33" t="str">
        <x:v>One Chicago</x:v>
      </x:c>
      <x:c r="F3412" s="33" t="str">
        <x:v>core</x:v>
      </x:c>
      <x:c r="G3412" s="50" t="n">
        <x:v>14</x:v>
      </x:c>
      <x:c r="H3412" s="50" t="n">
        <x:v>5</x:v>
      </x:c>
      <x:c r="I3412" s="44" t="str">
        <x:v>14.05</x:v>
      </x:c>
      <x:c r="J3412" s="33" t="str">
        <x:v>Ghosts</x:v>
      </x:c>
      <x:c r="K3412" s="33" t="str"/>
      <x:c r="L3412" s="33" t="str"/>
      <x:c r="M3412" s="44" t="str"/>
      <x:c r="N3412" s="50" t="n">
        <x:v>42</x:v>
      </x:c>
      <x:c r="O3412" s="53" t="str">
        <x:v>Cruz hunts for the identity of an unknown ally. Mouch takes steps to help a friend. Vasquez must make a difficult choice.</x:v>
      </x:c>
      <x:c r="P3412" s="53" t="str">
        <x:v>Core One Chicago franchise</x:v>
      </x:c>
      <x:c r="Q3412" s="17" t="str">
        <x:v>13534838</x:v>
      </x:c>
      <x:c r="R3412" s="17" t="str">
        <x:v>tt38668156</x:v>
      </x:c>
      <x:c r="S3412" s="17" t="str"/>
    </x:row>
    <x:row r="3413">
      <x:c r="A3413" s="43" t="n">
        <x:v>3409</x:v>
      </x:c>
      <x:c r="B3413" s="44" t="str">
        <x:v>Not Started</x:v>
      </x:c>
      <x:c r="C3413" s="45" t="n">
        <x:v>45960</x:v>
      </x:c>
      <x:c r="D3413" s="33" t="str">
        <x:v>Law &amp; Order</x:v>
      </x:c>
      <x:c r="E3413" s="33" t="str">
        <x:v>Law &amp; Order</x:v>
      </x:c>
      <x:c r="F3413" s="33" t="str">
        <x:v>core</x:v>
      </x:c>
      <x:c r="G3413" s="50" t="n">
        <x:v>25</x:v>
      </x:c>
      <x:c r="H3413" s="50" t="n">
        <x:v>6</x:v>
      </x:c>
      <x:c r="I3413" s="44" t="str">
        <x:v>25.06</x:v>
      </x:c>
      <x:c r="J3413" s="33" t="str">
        <x:v>Brotherly Love</x:v>
      </x:c>
      <x:c r="K3413" s="33" t="str"/>
      <x:c r="L3413" s="33" t="str"/>
      <x:c r="M3413" s="44" t="str"/>
      <x:c r="N3413" s="50" t="n">
        <x:v>42</x:v>
      </x:c>
      <x:c r="O3413" s="53" t="str">
        <x:v>A respected restauranteur with a gambling problem is murdered, and Baxter and Price disagree on the best approach to a conviction. Meanwhile, Riley's brother is released from prison.</x:v>
      </x:c>
      <x:c r="P3413" s="53" t="str">
        <x:v>Core Law &amp; Order franchise</x:v>
      </x:c>
      <x:c r="Q3413" s="17" t="str">
        <x:v>13534843</x:v>
      </x:c>
      <x:c r="R3413" s="17" t="str">
        <x:v>tt38274686</x:v>
      </x:c>
      <x:c r="S3413" s="17" t="str">
        <x:v>1746</x:v>
      </x:c>
    </x:row>
    <x:row r="3414">
      <x:c r="A3414" s="43" t="n">
        <x:v>3410</x:v>
      </x:c>
      <x:c r="B3414" s="44" t="str">
        <x:v>Not Started</x:v>
      </x:c>
      <x:c r="C3414" s="45" t="n">
        <x:v>45960</x:v>
      </x:c>
      <x:c r="D3414" s="33" t="str">
        <x:v>Law &amp; Order: Special Victims Unit</x:v>
      </x:c>
      <x:c r="E3414" s="33" t="str">
        <x:v>Law &amp; Order</x:v>
      </x:c>
      <x:c r="F3414" s="33" t="str">
        <x:v>core</x:v>
      </x:c>
      <x:c r="G3414" s="50" t="n">
        <x:v>27</x:v>
      </x:c>
      <x:c r="H3414" s="50" t="n">
        <x:v>6</x:v>
      </x:c>
      <x:c r="I3414" s="44" t="str">
        <x:v>27.06</x:v>
      </x:c>
      <x:c r="J3414" s="33" t="str">
        <x:v>Under the Influence</x:v>
      </x:c>
      <x:c r="K3414" s="33" t="str"/>
      <x:c r="L3414" s="33" t="str"/>
      <x:c r="M3414" s="44" t="str"/>
      <x:c r="N3414" s="50" t="n">
        <x:v>43</x:v>
      </x:c>
      <x:c r="O3414" s="53" t="str">
        <x:v>The squad investigates an assault at a house party where no one can identify the assailant. When two suspects are detained for questioning, Rollins takes the chance to turn one against the other.</x:v>
      </x:c>
      <x:c r="P3414" s="53" t="str">
        <x:v>Core Law &amp; Order franchise</x:v>
      </x:c>
      <x:c r="Q3414" s="17" t="str">
        <x:v>13585381</x:v>
      </x:c>
      <x:c r="R3414" s="17" t="str">
        <x:v>tt38274681</x:v>
      </x:c>
      <x:c r="S3414" s="17" t="str">
        <x:v>1747</x:v>
      </x:c>
    </x:row>
    <x:row r="3415">
      <x:c r="A3415" s="43" t="n">
        <x:v>3411</x:v>
      </x:c>
      <x:c r="B3415" s="44" t="str">
        <x:v>Not Started</x:v>
      </x:c>
      <x:c r="C3415" s="45" t="n">
        <x:v>45963</x:v>
      </x:c>
      <x:c r="D3415" s="33" t="str">
        <x:v>Cold Justice</x:v>
      </x:c>
      <x:c r="E3415" s="33" t="str">
        <x:v>Crossover Adjacent</x:v>
      </x:c>
      <x:c r="F3415" s="33" t="str">
        <x:v>complete</x:v>
      </x:c>
      <x:c r="G3415" s="50" t="n">
        <x:v>8</x:v>
      </x:c>
      <x:c r="H3415" s="50" t="n">
        <x:v>8</x:v>
      </x:c>
      <x:c r="I3415" s="44" t="str">
        <x:v>08.08</x:v>
      </x:c>
      <x:c r="J3415" s="33" t="str">
        <x:v>Final Rendezvous</x:v>
      </x:c>
      <x:c r="K3415" s="33" t="str"/>
      <x:c r="L3415" s="33" t="str"/>
      <x:c r="M3415" s="44" t="str"/>
      <x:c r="N3415" s="50" t="n">
        <x:v>43</x:v>
      </x:c>
      <x:c r="O3415" s="53" t="str">
        <x:v>Kelly and Steve investigate the mysterious murder of a devoted mother of four, found stabbed to death in her van with her wedding band on the floor. Was an alleged secret affair behind the shocking crime?</x:v>
      </x:c>
      <x:c r="P3415" s="53" t="str">
        <x:v>Wolf Entertainment unscripted true-crime series</x:v>
      </x:c>
      <x:c r="Q3415" s="17" t="str">
        <x:v>13660703</x:v>
      </x:c>
      <x:c r="R3415" s="17" t="str"/>
      <x:c r="S3415" s="17" t="str"/>
    </x:row>
    <x:row r="3416">
      <x:c r="A3416" s="43" t="n">
        <x:v>3412</x:v>
      </x:c>
      <x:c r="B3416" s="44" t="str">
        <x:v>Not Started</x:v>
      </x:c>
      <x:c r="C3416" s="45" t="n">
        <x:v>45965</x:v>
      </x:c>
      <x:c r="D3416" s="33" t="str">
        <x:v>FBI</x:v>
      </x:c>
      <x:c r="E3416" s="33" t="str">
        <x:v>FBI</x:v>
      </x:c>
      <x:c r="F3416" s="33" t="str">
        <x:v>core</x:v>
      </x:c>
      <x:c r="G3416" s="50" t="n">
        <x:v>8</x:v>
      </x:c>
      <x:c r="H3416" s="50" t="n">
        <x:v>4</x:v>
      </x:c>
      <x:c r="I3416" s="44" t="str">
        <x:v>08.04</x:v>
      </x:c>
      <x:c r="J3416" s="33" t="str">
        <x:v>Manifest</x:v>
      </x:c>
      <x:c r="K3416" s="33" t="str"/>
      <x:c r="L3416" s="33" t="str"/>
      <x:c r="M3416" s="44" t="str"/>
      <x:c r="N3416" s="50" t="n">
        <x:v>43</x:v>
      </x:c>
      <x:c r="O3416" s="53" t="str">
        <x:v>Following a failed assassination attempt on a U.S. Senator, OA and Maggie are tasked with escorting her back to DC on a flight that becomes more perilous than imagined.</x:v>
      </x:c>
      <x:c r="P3416" s="53" t="str">
        <x:v>Core FBI franchise</x:v>
      </x:c>
      <x:c r="Q3416" s="17" t="str">
        <x:v>13608917</x:v>
      </x:c>
      <x:c r="R3416" s="17" t="str">
        <x:v>tt38164705</x:v>
      </x:c>
      <x:c r="S3416" s="17" t="str"/>
    </x:row>
    <x:row r="3417">
      <x:c r="A3417" s="43" t="n">
        <x:v>3413</x:v>
      </x:c>
      <x:c r="B3417" s="44" t="str">
        <x:v>Not Started</x:v>
      </x:c>
      <x:c r="C3417" s="45" t="n">
        <x:v>45967</x:v>
      </x:c>
      <x:c r="D3417" s="33" t="str">
        <x:v>Chicago Med</x:v>
      </x:c>
      <x:c r="E3417" s="33" t="str">
        <x:v>One Chicago</x:v>
      </x:c>
      <x:c r="F3417" s="33" t="str">
        <x:v>core</x:v>
      </x:c>
      <x:c r="G3417" s="50" t="n">
        <x:v>11</x:v>
      </x:c>
      <x:c r="H3417" s="50" t="n">
        <x:v>6</x:v>
      </x:c>
      <x:c r="I3417" s="44" t="str">
        <x:v>11.06</x:v>
      </x:c>
      <x:c r="J3417" s="33" t="str">
        <x:v>The Story of Us</x:v>
      </x:c>
      <x:c r="K3417" s="33" t="str"/>
      <x:c r="L3417" s="33" t="str"/>
      <x:c r="M3417" s="44" t="str"/>
      <x:c r="N3417" s="50" t="n">
        <x:v>43</x:v>
      </x:c>
      <x:c r="O3417" s="53" t="str">
        <x:v>Secrets are uncovered when Goodwin's family comes together for Bert. Ripley and Frost treat two children stung by hornets in a treehouse. A member of the team struggles with relationship woes.</x:v>
      </x:c>
      <x:c r="P3417" s="53" t="str">
        <x:v>Core One Chicago franchise</x:v>
      </x:c>
      <x:c r="Q3417" s="17" t="str">
        <x:v>13554763</x:v>
      </x:c>
      <x:c r="R3417" s="17" t="str">
        <x:v>tt38598318</x:v>
      </x:c>
      <x:c r="S3417" s="17" t="str"/>
    </x:row>
    <x:row r="3418">
      <x:c r="A3418" s="43" t="n">
        <x:v>3414</x:v>
      </x:c>
      <x:c r="B3418" s="44" t="str">
        <x:v>Not Started</x:v>
      </x:c>
      <x:c r="C3418" s="45" t="n">
        <x:v>45967</x:v>
      </x:c>
      <x:c r="D3418" s="33" t="str">
        <x:v>Chicago P.D.</x:v>
      </x:c>
      <x:c r="E3418" s="33" t="str">
        <x:v>One Chicago</x:v>
      </x:c>
      <x:c r="F3418" s="33" t="str">
        <x:v>core</x:v>
      </x:c>
      <x:c r="G3418" s="50" t="n">
        <x:v>13</x:v>
      </x:c>
      <x:c r="H3418" s="50" t="n">
        <x:v>6</x:v>
      </x:c>
      <x:c r="I3418" s="44" t="str">
        <x:v>13.06</x:v>
      </x:c>
      <x:c r="J3418" s="33" t="str">
        <x:v>Send Me</x:v>
      </x:c>
      <x:c r="K3418" s="33" t="str"/>
      <x:c r="L3418" s="33" t="str"/>
      <x:c r="M3418" s="44" t="str"/>
      <x:c r="N3418" s="50" t="n">
        <x:v>43</x:v>
      </x:c>
      <x:c r="O3418" s="53" t="str">
        <x:v>Torres is dragged into a deadly conspiracy when a routine errand takes a violent turn.</x:v>
      </x:c>
      <x:c r="P3418" s="53" t="str">
        <x:v>Core One Chicago franchise; crossovers with SVU/FBI</x:v>
      </x:c>
      <x:c r="Q3418" s="17" t="str">
        <x:v>13529998</x:v>
      </x:c>
      <x:c r="R3418" s="17" t="str">
        <x:v>tt38487545</x:v>
      </x:c>
      <x:c r="S3418" s="17" t="str"/>
    </x:row>
    <x:row r="3419">
      <x:c r="A3419" s="43" t="n">
        <x:v>3415</x:v>
      </x:c>
      <x:c r="B3419" s="44" t="str">
        <x:v>Not Started</x:v>
      </x:c>
      <x:c r="C3419" s="45" t="n">
        <x:v>45967</x:v>
      </x:c>
      <x:c r="D3419" s="33" t="str">
        <x:v>Chicago Fire</x:v>
      </x:c>
      <x:c r="E3419" s="33" t="str">
        <x:v>One Chicago</x:v>
      </x:c>
      <x:c r="F3419" s="33" t="str">
        <x:v>core</x:v>
      </x:c>
      <x:c r="G3419" s="50" t="n">
        <x:v>14</x:v>
      </x:c>
      <x:c r="H3419" s="50" t="n">
        <x:v>6</x:v>
      </x:c>
      <x:c r="I3419" s="44" t="str">
        <x:v>14.06</x:v>
      </x:c>
      <x:c r="J3419" s="33" t="str">
        <x:v>Broken Things</x:v>
      </x:c>
      <x:c r="K3419" s="33" t="str"/>
      <x:c r="L3419" s="33" t="str"/>
      <x:c r="M3419" s="44" t="str"/>
      <x:c r="N3419" s="50" t="n">
        <x:v>43</x:v>
      </x:c>
      <x:c r="O3419" s="53" t="str">
        <x:v>A traffic jam forces Violet and Novak to take drastic measures to save a patient. Severide shadows Pascal for a day. Kidd goes the extra mile for Isaiah.</x:v>
      </x:c>
      <x:c r="P3419" s="53" t="str">
        <x:v>Core One Chicago franchise</x:v>
      </x:c>
      <x:c r="Q3419" s="17" t="str">
        <x:v>13534839</x:v>
      </x:c>
      <x:c r="R3419" s="17" t="str">
        <x:v>tt38744593</x:v>
      </x:c>
      <x:c r="S3419" s="17" t="str"/>
    </x:row>
    <x:row r="3420">
      <x:c r="A3420" s="43" t="n">
        <x:v>3416</x:v>
      </x:c>
      <x:c r="B3420" s="44" t="str">
        <x:v>Not Started</x:v>
      </x:c>
      <x:c r="C3420" s="45" t="n">
        <x:v>45970</x:v>
      </x:c>
      <x:c r="D3420" s="33" t="str">
        <x:v>Cold Justice</x:v>
      </x:c>
      <x:c r="E3420" s="33" t="str">
        <x:v>Crossover Adjacent</x:v>
      </x:c>
      <x:c r="F3420" s="33" t="str">
        <x:v>complete</x:v>
      </x:c>
      <x:c r="G3420" s="50" t="n">
        <x:v>8</x:v>
      </x:c>
      <x:c r="H3420" s="50" t="n">
        <x:v>9</x:v>
      </x:c>
      <x:c r="I3420" s="44" t="str">
        <x:v>08.09</x:v>
      </x:c>
      <x:c r="J3420" s="33" t="str">
        <x:v>Deadly Intersection</x:v>
      </x:c>
      <x:c r="K3420" s="33" t="str"/>
      <x:c r="L3420" s="33" t="str"/>
      <x:c r="M3420" s="44" t="str"/>
      <x:c r="N3420" s="50" t="n">
        <x:v>43</x:v>
      </x:c>
      <x:c r="O3420" s="53" t="str">
        <x:v>The team digs into the 1983 murder of a dedicated mother of six, stabbed in an apparent carjacking; clues at the scene hint that a dangerous man from her past may be responsible.</x:v>
      </x:c>
      <x:c r="P3420" s="53" t="str">
        <x:v>Wolf Entertainment unscripted true-crime series</x:v>
      </x:c>
      <x:c r="Q3420" s="17" t="str">
        <x:v>13660704</x:v>
      </x:c>
      <x:c r="R3420" s="17" t="str"/>
      <x:c r="S3420" s="17" t="str"/>
    </x:row>
    <x:row r="3421">
      <x:c r="A3421" s="43" t="n">
        <x:v>3417</x:v>
      </x:c>
      <x:c r="B3421" s="44" t="str">
        <x:v>Not Started</x:v>
      </x:c>
      <x:c r="C3421" s="45" t="n">
        <x:v>45972</x:v>
      </x:c>
      <x:c r="D3421" s="33" t="str">
        <x:v>FBI</x:v>
      </x:c>
      <x:c r="E3421" s="33" t="str">
        <x:v>FBI</x:v>
      </x:c>
      <x:c r="F3421" s="33" t="str">
        <x:v>core</x:v>
      </x:c>
      <x:c r="G3421" s="50" t="n">
        <x:v>8</x:v>
      </x:c>
      <x:c r="H3421" s="50" t="n">
        <x:v>5</x:v>
      </x:c>
      <x:c r="I3421" s="44" t="str">
        <x:v>08.05</x:v>
      </x:c>
      <x:c r="J3421" s="33" t="str">
        <x:v>Falsetto</x:v>
      </x:c>
      <x:c r="K3421" s="33" t="str"/>
      <x:c r="L3421" s="33" t="str"/>
      <x:c r="M3421" s="44" t="str"/>
      <x:c r="N3421" s="50" t="n">
        <x:v>43</x:v>
      </x:c>
      <x:c r="O3421" s="53" t="str">
        <x:v>Maggie partners with Eva to hunt a killer after a shocking daytime stabbing in an NYC park. After a subsequent murder, they realize the assassin has a hit list, begging the question: "Who's on it and who's next?"</x:v>
      </x:c>
      <x:c r="P3421" s="53" t="str">
        <x:v>Core FBI franchise</x:v>
      </x:c>
      <x:c r="Q3421" s="17" t="str">
        <x:v>13608918</x:v>
      </x:c>
      <x:c r="R3421" s="17" t="str">
        <x:v>tt38164706</x:v>
      </x:c>
      <x:c r="S3421" s="17" t="str"/>
    </x:row>
    <x:row r="3422">
      <x:c r="A3422" s="43" t="n">
        <x:v>3418</x:v>
      </x:c>
      <x:c r="B3422" s="44" t="str">
        <x:v>Not Started</x:v>
      </x:c>
      <x:c r="C3422" s="45" t="n">
        <x:v>45974</x:v>
      </x:c>
      <x:c r="D3422" s="33" t="str">
        <x:v>Chicago Med</x:v>
      </x:c>
      <x:c r="E3422" s="33" t="str">
        <x:v>One Chicago</x:v>
      </x:c>
      <x:c r="F3422" s="33" t="str">
        <x:v>core</x:v>
      </x:c>
      <x:c r="G3422" s="50" t="n">
        <x:v>11</x:v>
      </x:c>
      <x:c r="H3422" s="50" t="n">
        <x:v>7</x:v>
      </x:c>
      <x:c r="I3422" s="44" t="str">
        <x:v>11.07</x:v>
      </x:c>
      <x:c r="J3422" s="33" t="str">
        <x:v>Double Down</x:v>
      </x:c>
      <x:c r="K3422" s="33" t="str"/>
      <x:c r="L3422" s="33" t="str"/>
      <x:c r="M3422" s="44" t="str"/>
      <x:c r="N3422" s="50" t="n">
        <x:v>43</x:v>
      </x:c>
      <x:c r="O3422" s="53" t="str">
        <x:v>Charles grows increasingly suspicious of a colleague's intentions. Lenox crosses a line to protect a patient. Asher and Archer treat a soon-to-be father battling cancer.</x:v>
      </x:c>
      <x:c r="P3422" s="53" t="str">
        <x:v>Core One Chicago franchise</x:v>
      </x:c>
      <x:c r="Q3422" s="17" t="str">
        <x:v>13622739</x:v>
      </x:c>
      <x:c r="R3422" s="17" t="str">
        <x:v>tt38598323</x:v>
      </x:c>
      <x:c r="S3422" s="17" t="str"/>
    </x:row>
    <x:row r="3423">
      <x:c r="A3423" s="43" t="n">
        <x:v>3419</x:v>
      </x:c>
      <x:c r="B3423" s="44" t="str">
        <x:v>Not Started</x:v>
      </x:c>
      <x:c r="C3423" s="45" t="n">
        <x:v>45974</x:v>
      </x:c>
      <x:c r="D3423" s="33" t="str">
        <x:v>Chicago P.D.</x:v>
      </x:c>
      <x:c r="E3423" s="33" t="str">
        <x:v>One Chicago</x:v>
      </x:c>
      <x:c r="F3423" s="33" t="str">
        <x:v>core</x:v>
      </x:c>
      <x:c r="G3423" s="50" t="n">
        <x:v>13</x:v>
      </x:c>
      <x:c r="H3423" s="50" t="n">
        <x:v>7</x:v>
      </x:c>
      <x:c r="I3423" s="44" t="str">
        <x:v>13.07</x:v>
      </x:c>
      <x:c r="J3423" s="33" t="str">
        <x:v>Impulse Control</x:v>
      </x:c>
      <x:c r="K3423" s="33" t="str"/>
      <x:c r="L3423" s="33" t="str"/>
      <x:c r="M3423" s="44" t="str"/>
      <x:c r="N3423" s="50" t="n">
        <x:v>43</x:v>
      </x:c>
      <x:c r="O3423" s="53" t="str">
        <x:v>Voight's suspicions ring true when a violent break-in steers the Intelligence Unit back to a chilling figure from a previous case.</x:v>
      </x:c>
      <x:c r="P3423" s="53" t="str">
        <x:v>Core One Chicago franchise; crossovers with SVU/FBI</x:v>
      </x:c>
      <x:c r="Q3423" s="17" t="str">
        <x:v>13622742</x:v>
      </x:c>
      <x:c r="R3423" s="17" t="str">
        <x:v>tt38598325</x:v>
      </x:c>
      <x:c r="S3423" s="17" t="str"/>
    </x:row>
    <x:row r="3424">
      <x:c r="A3424" s="43" t="n">
        <x:v>3420</x:v>
      </x:c>
      <x:c r="B3424" s="44" t="str">
        <x:v>Not Started</x:v>
      </x:c>
      <x:c r="C3424" s="45" t="n">
        <x:v>45974</x:v>
      </x:c>
      <x:c r="D3424" s="33" t="str">
        <x:v>Chicago Fire</x:v>
      </x:c>
      <x:c r="E3424" s="33" t="str">
        <x:v>One Chicago</x:v>
      </x:c>
      <x:c r="F3424" s="33" t="str">
        <x:v>core</x:v>
      </x:c>
      <x:c r="G3424" s="50" t="n">
        <x:v>14</x:v>
      </x:c>
      <x:c r="H3424" s="50" t="n">
        <x:v>7</x:v>
      </x:c>
      <x:c r="I3424" s="44" t="str">
        <x:v>14.07</x:v>
      </x:c>
      <x:c r="J3424" s="33" t="str">
        <x:v>Pierce the Vein</x:v>
      </x:c>
      <x:c r="K3424" s="33" t="str"/>
      <x:c r="L3424" s="33" t="str"/>
      <x:c r="M3424" s="44" t="str"/>
      <x:c r="N3424" s="50" t="n">
        <x:v>42</x:v>
      </x:c>
      <x:c r="O3424" s="53" t="str">
        <x:v>Severide investigates a suspicious high school fire. Novak gets an unexpected call. Violet brings a 51 firefighter onboard the ambulance for a shift.</x:v>
      </x:c>
      <x:c r="P3424" s="53" t="str">
        <x:v>Core One Chicago franchise</x:v>
      </x:c>
      <x:c r="Q3424" s="17" t="str">
        <x:v>13628960</x:v>
      </x:c>
      <x:c r="R3424" s="17" t="str">
        <x:v>tt38744597</x:v>
      </x:c>
      <x:c r="S3424" s="17" t="str"/>
    </x:row>
    <x:row r="3425">
      <x:c r="A3425" s="43" t="n">
        <x:v>3421</x:v>
      </x:c>
      <x:c r="B3425" s="44" t="str">
        <x:v>Not Started</x:v>
      </x:c>
      <x:c r="C3425" s="45" t="n">
        <x:v>45974</x:v>
      </x:c>
      <x:c r="D3425" s="33" t="str">
        <x:v>Law &amp; Order</x:v>
      </x:c>
      <x:c r="E3425" s="33" t="str">
        <x:v>Law &amp; Order</x:v>
      </x:c>
      <x:c r="F3425" s="33" t="str">
        <x:v>core</x:v>
      </x:c>
      <x:c r="G3425" s="50" t="n">
        <x:v>25</x:v>
      </x:c>
      <x:c r="H3425" s="50" t="n">
        <x:v>7</x:v>
      </x:c>
      <x:c r="I3425" s="44" t="str">
        <x:v>25.07</x:v>
      </x:c>
      <x:c r="J3425" s="33" t="str">
        <x:v>Guardian</x:v>
      </x:c>
      <x:c r="K3425" s="33" t="str"/>
      <x:c r="L3425" s="33" t="str"/>
      <x:c r="M3425" s="44" t="str"/>
      <x:c r="N3425" s="50" t="n">
        <x:v>42</x:v>
      </x:c>
      <x:c r="O3425" s="53" t="str">
        <x:v>When a high school sports star is murdered, the police find several suspects trying to make money off the victim's talent. Riley gets a new partner.</x:v>
      </x:c>
      <x:c r="P3425" s="53" t="str">
        <x:v>Core Law &amp; Order franchise</x:v>
      </x:c>
      <x:c r="Q3425" s="17" t="str">
        <x:v>13618225</x:v>
      </x:c>
      <x:c r="R3425" s="17" t="str">
        <x:v>tt38592708</x:v>
      </x:c>
      <x:c r="S3425" s="17" t="str">
        <x:v>1748</x:v>
      </x:c>
    </x:row>
    <x:row r="3426">
      <x:c r="A3426" s="43" t="n">
        <x:v>3422</x:v>
      </x:c>
      <x:c r="B3426" s="44" t="str">
        <x:v>Not Started</x:v>
      </x:c>
      <x:c r="C3426" s="45" t="n">
        <x:v>45974</x:v>
      </x:c>
      <x:c r="D3426" s="33" t="str">
        <x:v>Law &amp; Order: Special Victims Unit</x:v>
      </x:c>
      <x:c r="E3426" s="33" t="str">
        <x:v>Law &amp; Order</x:v>
      </x:c>
      <x:c r="F3426" s="33" t="str">
        <x:v>core</x:v>
      </x:c>
      <x:c r="G3426" s="50" t="n">
        <x:v>27</x:v>
      </x:c>
      <x:c r="H3426" s="50" t="n">
        <x:v>7</x:v>
      </x:c>
      <x:c r="I3426" s="44" t="str">
        <x:v>27.07</x:v>
      </x:c>
      <x:c r="J3426" s="33" t="str">
        <x:v>False Idols</x:v>
      </x:c>
      <x:c r="K3426" s="33" t="str"/>
      <x:c r="L3426" s="33" t="str"/>
      <x:c r="M3426" s="44" t="str"/>
      <x:c r="N3426" s="50" t="n">
        <x:v>43</x:v>
      </x:c>
      <x:c r="O3426" s="53" t="str">
        <x:v>The SVU must determine fact from fantasy when a famous author twists the details of a serious crime. Fin has a challenging day at work.</x:v>
      </x:c>
      <x:c r="P3426" s="53" t="str">
        <x:v>Core Law &amp; Order franchise</x:v>
      </x:c>
      <x:c r="Q3426" s="17" t="str">
        <x:v>13616816</x:v>
      </x:c>
      <x:c r="R3426" s="17" t="str">
        <x:v>tt38534041</x:v>
      </x:c>
      <x:c r="S3426" s="17" t="str">
        <x:v>1749</x:v>
      </x:c>
    </x:row>
    <x:row r="3427">
      <x:c r="A3427" s="43" t="n">
        <x:v>3423</x:v>
      </x:c>
      <x:c r="B3427" s="44" t="str">
        <x:v>Not Started</x:v>
      </x:c>
      <x:c r="C3427" s="45" t="n">
        <x:v>45977</x:v>
      </x:c>
      <x:c r="D3427" s="33" t="str">
        <x:v>Cold Justice</x:v>
      </x:c>
      <x:c r="E3427" s="33" t="str">
        <x:v>Crossover Adjacent</x:v>
      </x:c>
      <x:c r="F3427" s="33" t="str">
        <x:v>complete</x:v>
      </x:c>
      <x:c r="G3427" s="50" t="n">
        <x:v>8</x:v>
      </x:c>
      <x:c r="H3427" s="50" t="n">
        <x:v>10</x:v>
      </x:c>
      <x:c r="I3427" s="44" t="str">
        <x:v>08.10</x:v>
      </x:c>
      <x:c r="J3427" s="33" t="str">
        <x:v>Missing in Montana</x:v>
      </x:c>
      <x:c r="K3427" s="33" t="str"/>
      <x:c r="L3427" s="33" t="str"/>
      <x:c r="M3427" s="44" t="str"/>
      <x:c r="N3427" s="50" t="n">
        <x:v>43</x:v>
      </x:c>
      <x:c r="O3427" s="53" t="str">
        <x:v>Kelly and Steve travel to Montana to investigate the famous case of a young Indigenous woman who vanished after a night out; analyzing surveillance video and her social media posts could finally bring justice to her community.</x:v>
      </x:c>
      <x:c r="P3427" s="53" t="str">
        <x:v>Wolf Entertainment unscripted true-crime series</x:v>
      </x:c>
      <x:c r="Q3427" s="17" t="str">
        <x:v>13729620</x:v>
      </x:c>
      <x:c r="R3427" s="17" t="str"/>
      <x:c r="S3427" s="17" t="str"/>
    </x:row>
    <x:row r="3428">
      <x:c r="A3428" s="43" t="n">
        <x:v>3424</x:v>
      </x:c>
      <x:c r="B3428" s="44" t="str">
        <x:v>Not Started</x:v>
      </x:c>
      <x:c r="C3428" s="45" t="n">
        <x:v>45979</x:v>
      </x:c>
      <x:c r="D3428" s="33" t="str">
        <x:v>FBI</x:v>
      </x:c>
      <x:c r="E3428" s="33" t="str">
        <x:v>FBI</x:v>
      </x:c>
      <x:c r="F3428" s="33" t="str">
        <x:v>core</x:v>
      </x:c>
      <x:c r="G3428" s="50" t="n">
        <x:v>8</x:v>
      </x:c>
      <x:c r="H3428" s="50" t="n">
        <x:v>6</x:v>
      </x:c>
      <x:c r="I3428" s="44" t="str">
        <x:v>08.06</x:v>
      </x:c>
      <x:c r="J3428" s="33" t="str">
        <x:v>Parental</x:v>
      </x:c>
      <x:c r="K3428" s="33" t="str"/>
      <x:c r="L3428" s="33" t="str"/>
      <x:c r="M3428" s="44" t="str"/>
      <x:c r="N3428" s="50" t="n">
        <x:v>43</x:v>
      </x:c>
      <x:c r="O3428" s="53" t="str">
        <x:v>When a robbery at a community clinic turns deadly, the team investigates a drug trafficking crew and soon uncovers that the clinic's doctor may be more involved than they initially thought. Meanwhile, Isobel and her stepdaughter are at odds over a family issue.</x:v>
      </x:c>
      <x:c r="P3428" s="53" t="str">
        <x:v>Core FBI franchise</x:v>
      </x:c>
      <x:c r="Q3428" s="17" t="str">
        <x:v>13608919</x:v>
      </x:c>
      <x:c r="R3428" s="17" t="str">
        <x:v>tt38164708</x:v>
      </x:c>
      <x:c r="S3428" s="17" t="str"/>
    </x:row>
    <x:row r="3429">
      <x:c r="A3429" s="43" t="n">
        <x:v>3425</x:v>
      </x:c>
      <x:c r="B3429" s="44" t="str">
        <x:v>Not Started</x:v>
      </x:c>
      <x:c r="C3429" s="45" t="n">
        <x:v>45981</x:v>
      </x:c>
      <x:c r="D3429" s="33" t="str">
        <x:v>Law &amp; Order</x:v>
      </x:c>
      <x:c r="E3429" s="33" t="str">
        <x:v>Law &amp; Order</x:v>
      </x:c>
      <x:c r="F3429" s="33" t="str">
        <x:v>core</x:v>
      </x:c>
      <x:c r="G3429" s="50" t="n">
        <x:v>25</x:v>
      </x:c>
      <x:c r="H3429" s="50" t="n">
        <x:v>8</x:v>
      </x:c>
      <x:c r="I3429" s="44" t="str">
        <x:v>25.08</x:v>
      </x:c>
      <x:c r="J3429" s="33" t="str">
        <x:v>Parasite</x:v>
      </x:c>
      <x:c r="K3429" s="33" t="str"/>
      <x:c r="L3429" s="33" t="str"/>
      <x:c r="M3429" s="44" t="str"/>
      <x:c r="N3429" s="50" t="n">
        <x:v>42</x:v>
      </x:c>
      <x:c r="O3429" s="53" t="str">
        <x:v>When a rich CEO is murdered the night before his wedding, Riley and Walker suspect the key to an arrest are the details of the victim's will. Price and Maroun argue the benefits and drawbacks of damaging the suspect's reputation in court.</x:v>
      </x:c>
      <x:c r="P3429" s="53" t="str">
        <x:v>Core Law &amp; Order franchise</x:v>
      </x:c>
      <x:c r="Q3429" s="17" t="str">
        <x:v>13700114</x:v>
      </x:c>
      <x:c r="R3429" s="17" t="str">
        <x:v>tt38646921</x:v>
      </x:c>
      <x:c r="S3429" s="17" t="str">
        <x:v>1750</x:v>
      </x:c>
    </x:row>
    <x:row r="3430">
      <x:c r="A3430" s="43" t="n">
        <x:v>3426</x:v>
      </x:c>
      <x:c r="B3430" s="44" t="str">
        <x:v>Not Started</x:v>
      </x:c>
      <x:c r="C3430" s="45" t="n">
        <x:v>45981</x:v>
      </x:c>
      <x:c r="D3430" s="33" t="str">
        <x:v>Law &amp; Order: Special Victims Unit</x:v>
      </x:c>
      <x:c r="E3430" s="33" t="str">
        <x:v>Law &amp; Order</x:v>
      </x:c>
      <x:c r="F3430" s="33" t="str">
        <x:v>core</x:v>
      </x:c>
      <x:c r="G3430" s="50" t="n">
        <x:v>27</x:v>
      </x:c>
      <x:c r="H3430" s="50" t="n">
        <x:v>8</x:v>
      </x:c>
      <x:c r="I3430" s="44" t="str">
        <x:v>27.08</x:v>
      </x:c>
      <x:c r="J3430" s="33" t="str">
        <x:v>Showdown</x:v>
      </x:c>
      <x:c r="K3430" s="33" t="str"/>
      <x:c r="L3430" s="33" t="str"/>
      <x:c r="M3430" s="44" t="str"/>
      <x:c r="N3430" s="50" t="n">
        <x:v>43</x:v>
      </x:c>
      <x:c r="O3430" s="53" t="str">
        <x:v>When a man claims his girlfriend was kidnapped, Bruno investigates the holes in his story. Tynan comes down hard on Benson after a disagreement. Griffin must defend his police work on the stand.</x:v>
      </x:c>
      <x:c r="P3430" s="53" t="str">
        <x:v>Core Law &amp; Order franchise</x:v>
      </x:c>
      <x:c r="Q3430" s="17" t="str">
        <x:v>13616817</x:v>
      </x:c>
      <x:c r="R3430" s="17" t="str">
        <x:v>tt38593342</x:v>
      </x:c>
      <x:c r="S3430" s="17" t="str">
        <x:v>1751</x:v>
      </x:c>
    </x:row>
    <x:row r="3431">
      <x:c r="A3431" s="43" t="n">
        <x:v>3427</x:v>
      </x:c>
      <x:c r="B3431" s="44" t="str">
        <x:v>Not Started</x:v>
      </x:c>
      <x:c r="C3431" s="45" t="n">
        <x:v>45993</x:v>
      </x:c>
      <x:c r="D3431" s="33" t="str">
        <x:v>FBI</x:v>
      </x:c>
      <x:c r="E3431" s="33" t="str">
        <x:v>FBI</x:v>
      </x:c>
      <x:c r="F3431" s="33" t="str">
        <x:v>core</x:v>
      </x:c>
      <x:c r="G3431" s="50" t="n">
        <x:v>8</x:v>
      </x:c>
      <x:c r="H3431" s="50" t="n">
        <x:v>7</x:v>
      </x:c>
      <x:c r="I3431" s="44" t="str">
        <x:v>08.07</x:v>
      </x:c>
      <x:c r="J3431" s="33" t="str">
        <x:v>Fadeaway</x:v>
      </x:c>
      <x:c r="K3431" s="33" t="str"/>
      <x:c r="L3431" s="33" t="str"/>
      <x:c r="M3431" s="44" t="str"/>
      <x:c r="N3431" s="50" t="n">
        <x:v>43</x:v>
      </x:c>
      <x:c r="O3431" s="53" t="str">
        <x:v>When a large-scale explosion rocks a Brooklyn apartment complex, the team quickly locates the perpetrator and discovers he's acting on the orders of a convicted felon currently serving time. Meanwhile, Isobel must name her successor before she moves into her new role.</x:v>
      </x:c>
      <x:c r="P3431" s="53" t="str">
        <x:v>Core FBI franchise</x:v>
      </x:c>
      <x:c r="Q3431" s="17" t="str">
        <x:v>13608920</x:v>
      </x:c>
      <x:c r="R3431" s="17" t="str">
        <x:v>tt38164709</x:v>
      </x:c>
      <x:c r="S3431" s="17" t="str"/>
    </x:row>
    <x:row r="3432">
      <x:c r="A3432" s="43" t="n">
        <x:v>3428</x:v>
      </x:c>
      <x:c r="B3432" s="44" t="str">
        <x:v>Not Started</x:v>
      </x:c>
      <x:c r="C3432" s="45" t="n">
        <x:v>46000</x:v>
      </x:c>
      <x:c r="D3432" s="33" t="str">
        <x:v>FBI</x:v>
      </x:c>
      <x:c r="E3432" s="33" t="str">
        <x:v>FBI</x:v>
      </x:c>
      <x:c r="F3432" s="33" t="str">
        <x:v>core</x:v>
      </x:c>
      <x:c r="G3432" s="50" t="n">
        <x:v>8</x:v>
      </x:c>
      <x:c r="H3432" s="50" t="n">
        <x:v>8</x:v>
      </x:c>
      <x:c r="I3432" s="44" t="str">
        <x:v>08.08</x:v>
      </x:c>
      <x:c r="J3432" s="33" t="str">
        <x:v>Ratlined</x:v>
      </x:c>
      <x:c r="K3432" s="33" t="str"/>
      <x:c r="L3432" s="33" t="str"/>
      <x:c r="M3432" s="44" t="str"/>
      <x:c r="N3432" s="50" t="n">
        <x:v>43</x:v>
      </x:c>
      <x:c r="O3432" s="53" t="str">
        <x:v>When a journalist is shot while interviewing a prime minister, all fingers point to an assassination attempt, but the team uncovers a deeper conspiracy after the assassin is also targeted.</x:v>
      </x:c>
      <x:c r="P3432" s="53" t="str">
        <x:v>Core FBI franchise</x:v>
      </x:c>
      <x:c r="Q3432" s="17" t="str">
        <x:v>13608921</x:v>
      </x:c>
      <x:c r="R3432" s="17" t="str">
        <x:v>tt38164710</x:v>
      </x:c>
      <x:c r="S3432" s="17" t="str"/>
    </x:row>
    <x:row r="3433">
      <x:c r="A3433" s="43" t="n">
        <x:v>3429</x:v>
      </x:c>
      <x:c r="B3433" s="44" t="str">
        <x:v>Not Started</x:v>
      </x:c>
      <x:c r="C3433" s="45" t="n">
        <x:v>46007</x:v>
      </x:c>
      <x:c r="D3433" s="33" t="str">
        <x:v>FBI</x:v>
      </x:c>
      <x:c r="E3433" s="33" t="str">
        <x:v>FBI</x:v>
      </x:c>
      <x:c r="F3433" s="33" t="str">
        <x:v>core</x:v>
      </x:c>
      <x:c r="G3433" s="50" t="n">
        <x:v>8</x:v>
      </x:c>
      <x:c r="H3433" s="50" t="n">
        <x:v>9</x:v>
      </x:c>
      <x:c r="I3433" s="44" t="str">
        <x:v>08.09</x:v>
      </x:c>
      <x:c r="J3433" s="33" t="str">
        <x:v>Lone Wolf (1)</x:v>
      </x:c>
      <x:c r="K3433" s="33" t="str"/>
      <x:c r="L3433" s="33" t="str"/>
      <x:c r="M3433" s="44" t="str"/>
      <x:c r="N3433" s="50" t="n">
        <x:v>43</x:v>
      </x:c>
      <x:c r="O3433" s="53" t="str">
        <x:v>As the holidays approach, the team finds three slain sex workers inside a brownstone - they uncover the murderer has a larger plan in place that they must rush to stop.</x:v>
      </x:c>
      <x:c r="P3433" s="53" t="str">
        <x:v>Core FBI franchise</x:v>
      </x:c>
      <x:c r="Q3433" s="17" t="str">
        <x:v>13608922</x:v>
      </x:c>
      <x:c r="R3433" s="17" t="str">
        <x:v>tt38164712</x:v>
      </x:c>
      <x:c r="S3433" s="17" t="str"/>
    </x:row>
    <x:row r="3434">
      <x:c r="A3434" s="43" t="n">
        <x:v>3430</x:v>
      </x:c>
      <x:c r="B3434" s="44" t="str">
        <x:v>Not Started</x:v>
      </x:c>
      <x:c r="C3434" s="45" t="n">
        <x:v>46007</x:v>
      </x:c>
      <x:c r="D3434" s="33" t="str">
        <x:v>FBI</x:v>
      </x:c>
      <x:c r="E3434" s="33" t="str">
        <x:v>FBI</x:v>
      </x:c>
      <x:c r="F3434" s="33" t="str">
        <x:v>core</x:v>
      </x:c>
      <x:c r="G3434" s="50" t="n">
        <x:v>8</x:v>
      </x:c>
      <x:c r="H3434" s="50" t="n">
        <x:v>10</x:v>
      </x:c>
      <x:c r="I3434" s="44" t="str">
        <x:v>08.10</x:v>
      </x:c>
      <x:c r="J3434" s="33" t="str">
        <x:v>Wolf Pack (2)</x:v>
      </x:c>
      <x:c r="K3434" s="33" t="str"/>
      <x:c r="L3434" s="33" t="str"/>
      <x:c r="M3434" s="44" t="str"/>
      <x:c r="N3434" s="50" t="n">
        <x:v>43</x:v>
      </x:c>
      <x:c r="O3434" s="53" t="str">
        <x:v>Chaos erupts in the city when an attack disrupts cell, internet and emergency services. As the team races to uncover the culprits, they learn the group responsible is a radical accelerationist movement fixated on resetting society.</x:v>
      </x:c>
      <x:c r="P3434" s="53" t="str">
        <x:v>Core FBI franchise</x:v>
      </x:c>
      <x:c r="Q3434" s="17" t="str">
        <x:v>13608923</x:v>
      </x:c>
      <x:c r="R3434" s="17" t="str">
        <x:v>tt38164713</x:v>
      </x:c>
      <x:c r="S3434" s="17" t="str"/>
    </x:row>
    <x:row r="3435">
      <x:c r="A3435" s="43" t="n">
        <x:v>3431</x:v>
      </x:c>
      <x:c r="B3435" s="44" t="str">
        <x:v>Not Started</x:v>
      </x:c>
      <x:c r="C3435" s="45" t="n">
        <x:v>46030</x:v>
      </x:c>
      <x:c r="D3435" s="33" t="str">
        <x:v>Chicago Med</x:v>
      </x:c>
      <x:c r="E3435" s="33" t="str">
        <x:v>One Chicago</x:v>
      </x:c>
      <x:c r="F3435" s="33" t="str">
        <x:v>core</x:v>
      </x:c>
      <x:c r="G3435" s="50" t="n">
        <x:v>11</x:v>
      </x:c>
      <x:c r="H3435" s="50" t="n">
        <x:v>8</x:v>
      </x:c>
      <x:c r="I3435" s="44" t="str">
        <x:v>11.08</x:v>
      </x:c>
      <x:c r="J3435" s="33" t="str">
        <x:v>Triple Threat</x:v>
      </x:c>
      <x:c r="K3435" s="33" t="str"/>
      <x:c r="L3435" s="33" t="str"/>
      <x:c r="M3435" s="44" t="str"/>
      <x:c r="N3435" s="50" t="n">
        <x:v>43</x:v>
      </x:c>
      <x:c r="O3435" s="53" t="str">
        <x:v>The doctors deal with the professional and personal fallout from the choices made during a city-wide power outage.</x:v>
      </x:c>
      <x:c r="P3435" s="53" t="str">
        <x:v>Core One Chicago franchise</x:v>
      </x:c>
      <x:c r="Q3435" s="17" t="str">
        <x:v>13712155</x:v>
      </x:c>
      <x:c r="R3435" s="17" t="str">
        <x:v>tt38627925</x:v>
      </x:c>
      <x:c r="S3435" s="17" t="str"/>
    </x:row>
    <x:row r="3436">
      <x:c r="A3436" s="43" t="n">
        <x:v>3432</x:v>
      </x:c>
      <x:c r="B3436" s="44" t="str">
        <x:v>Not Started</x:v>
      </x:c>
      <x:c r="C3436" s="45" t="n">
        <x:v>46030</x:v>
      </x:c>
      <x:c r="D3436" s="33" t="str">
        <x:v>Chicago P.D.</x:v>
      </x:c>
      <x:c r="E3436" s="33" t="str">
        <x:v>One Chicago</x:v>
      </x:c>
      <x:c r="F3436" s="33" t="str">
        <x:v>core</x:v>
      </x:c>
      <x:c r="G3436" s="50" t="n">
        <x:v>13</x:v>
      </x:c>
      <x:c r="H3436" s="50" t="n">
        <x:v>8</x:v>
      </x:c>
      <x:c r="I3436" s="44" t="str">
        <x:v>13.08</x:v>
      </x:c>
      <x:c r="J3436" s="33" t="str">
        <x:v>Born Screaming</x:v>
      </x:c>
      <x:c r="K3436" s="33" t="str"/>
      <x:c r="L3436" s="33" t="str"/>
      <x:c r="M3436" s="44" t="str"/>
      <x:c r="N3436" s="50" t="n">
        <x:v>43</x:v>
      </x:c>
      <x:c r="O3436" s="53" t="str">
        <x:v>Voight and the team work together to uncover the truth of the Bell case before more lives are lost.</x:v>
      </x:c>
      <x:c r="P3436" s="53" t="str">
        <x:v>Core One Chicago franchise; crossovers with SVU/FBI</x:v>
      </x:c>
      <x:c r="Q3436" s="17" t="str">
        <x:v>13622743</x:v>
      </x:c>
      <x:c r="R3436" s="17" t="str">
        <x:v>tt38627934</x:v>
      </x:c>
      <x:c r="S3436" s="17" t="str"/>
    </x:row>
    <x:row r="3437">
      <x:c r="A3437" s="43" t="n">
        <x:v>3433</x:v>
      </x:c>
      <x:c r="B3437" s="44" t="str">
        <x:v>Not Started</x:v>
      </x:c>
      <x:c r="C3437" s="45" t="n">
        <x:v>46030</x:v>
      </x:c>
      <x:c r="D3437" s="33" t="str">
        <x:v>Chicago Fire</x:v>
      </x:c>
      <x:c r="E3437" s="33" t="str">
        <x:v>One Chicago</x:v>
      </x:c>
      <x:c r="F3437" s="33" t="str">
        <x:v>core</x:v>
      </x:c>
      <x:c r="G3437" s="50" t="n">
        <x:v>14</x:v>
      </x:c>
      <x:c r="H3437" s="50" t="n">
        <x:v>8</x:v>
      </x:c>
      <x:c r="I3437" s="44" t="str">
        <x:v>14.08</x:v>
      </x:c>
      <x:c r="J3437" s="33" t="str">
        <x:v>A Man Possessed</x:v>
      </x:c>
      <x:c r="K3437" s="33" t="str"/>
      <x:c r="L3437" s="33" t="str"/>
      <x:c r="M3437" s="44" t="str"/>
      <x:c r="N3437" s="50" t="n">
        <x:v>42</x:v>
      </x:c>
      <x:c r="O3437" s="53" t="str">
        <x:v>When an act of arson harms someone close to the Firehouse 51 family, Severide must track down the perpetrator. Impending budget cuts push Mouch and Pascal to get creative.</x:v>
      </x:c>
      <x:c r="P3437" s="53" t="str">
        <x:v>Core One Chicago franchise</x:v>
      </x:c>
      <x:c r="Q3437" s="17" t="str">
        <x:v>13670302</x:v>
      </x:c>
      <x:c r="R3437" s="17" t="str">
        <x:v>tt38744599</x:v>
      </x:c>
      <x:c r="S3437" s="17" t="str"/>
    </x:row>
    <x:row r="3438">
      <x:c r="A3438" s="43" t="n">
        <x:v>3434</x:v>
      </x:c>
      <x:c r="B3438" s="44" t="str">
        <x:v>Not Started</x:v>
      </x:c>
      <x:c r="C3438" s="45" t="n">
        <x:v>46030</x:v>
      </x:c>
      <x:c r="D3438" s="33" t="str">
        <x:v>Law &amp; Order</x:v>
      </x:c>
      <x:c r="E3438" s="33" t="str">
        <x:v>Law &amp; Order</x:v>
      </x:c>
      <x:c r="F3438" s="33" t="str">
        <x:v>core</x:v>
      </x:c>
      <x:c r="G3438" s="50" t="n">
        <x:v>25</x:v>
      </x:c>
      <x:c r="H3438" s="50" t="n">
        <x:v>9</x:v>
      </x:c>
      <x:c r="I3438" s="44" t="str">
        <x:v>25.09</x:v>
      </x:c>
      <x:c r="J3438" s="33" t="str">
        <x:v>Snowflakes (I)</x:v>
      </x:c>
      <x:c r="K3438" s="33" t="str">
        <x:v>Crossover</x:v>
      </x:c>
      <x:c r="L3438" s="33" t="str">
        <x:v>Snowflakes / Purity</x:v>
      </x:c>
      <x:c r="M3438" s="44" t="str">
        <x:v>1/2</x:v>
      </x:c>
      <x:c r="N3438" s="50" t="n">
        <x:v>42</x:v>
      </x:c>
      <x:c r="O3438" s="53" t="str">
        <x:v>An injured woman's sudden disappearance from the hospital leads to a murder investigation. As an eyewitness to the crime, Brady partners with Benson’s SVU to unravel a complex motive. An explosive discovery puts both squads in danger.
The crossover continues on Law &amp; Order: Special Victims Unit S27E09 Purity (II).</x:v>
      </x:c>
      <x:c r="P3438" s="53" t="str">
        <x:v>Core Law &amp; Order franchise</x:v>
      </x:c>
      <x:c r="Q3438" s="17" t="str">
        <x:v>13700115</x:v>
      </x:c>
      <x:c r="R3438" s="17" t="str">
        <x:v>tt38681610</x:v>
      </x:c>
      <x:c r="S3438" s="17" t="str">
        <x:v>https://www.nbc.com/nbc-insider/is-law-order-svu-new-tonight-january-8-2026</x:v>
      </x:c>
    </x:row>
    <x:row r="3439">
      <x:c r="A3439" s="43" t="n">
        <x:v>3435</x:v>
      </x:c>
      <x:c r="B3439" s="44" t="str">
        <x:v>Not Started</x:v>
      </x:c>
      <x:c r="C3439" s="45" t="n">
        <x:v>46030</x:v>
      </x:c>
      <x:c r="D3439" s="33" t="str">
        <x:v>Law &amp; Order: Special Victims Unit</x:v>
      </x:c>
      <x:c r="E3439" s="33" t="str">
        <x:v>Law &amp; Order</x:v>
      </x:c>
      <x:c r="F3439" s="33" t="str">
        <x:v>core</x:v>
      </x:c>
      <x:c r="G3439" s="50" t="n">
        <x:v>27</x:v>
      </x:c>
      <x:c r="H3439" s="50" t="n">
        <x:v>9</x:v>
      </x:c>
      <x:c r="I3439" s="44" t="str">
        <x:v>27.09</x:v>
      </x:c>
      <x:c r="J3439" s="33" t="str">
        <x:v>Purity (II)</x:v>
      </x:c>
      <x:c r="K3439" s="33" t="str">
        <x:v>Crossover</x:v>
      </x:c>
      <x:c r="L3439" s="33" t="str">
        <x:v>Snowflakes / Purity</x:v>
      </x:c>
      <x:c r="M3439" s="44" t="str">
        <x:v>2/2</x:v>
      </x:c>
      <x:c r="N3439" s="50" t="n">
        <x:v>43</x:v>
      </x:c>
      <x:c r="O3439" s="53" t="str">
        <x:v>The hunt for a murder suspect uncovers a crime with shocking legal and ethical implications. Bruno must protect his squad during a raid on a suspect's home. Carisi and Price team up in court when Brady's interrogation tactics undermine the case.
The crossover starts on Law &amp; Order S25E09 Snowflakes (I).</x:v>
      </x:c>
      <x:c r="P3439" s="53" t="str">
        <x:v>Core Law &amp; Order franchise</x:v>
      </x:c>
      <x:c r="Q3439" s="17" t="str">
        <x:v>13729171</x:v>
      </x:c>
      <x:c r="R3439" s="17" t="str">
        <x:v>tt38607235</x:v>
      </x:c>
      <x:c r="S3439" s="17" t="str">
        <x:v>https://www.nbc.com/nbc-insider/is-law-order-svu-new-tonight-january-8-2026</x:v>
      </x:c>
    </x:row>
    <x:row r="3440">
      <x:c r="A3440" s="43" t="n">
        <x:v>3436</x:v>
      </x:c>
      <x:c r="B3440" s="44" t="str">
        <x:v>Not Started</x:v>
      </x:c>
      <x:c r="C3440" s="45" t="n">
        <x:v>46037</x:v>
      </x:c>
      <x:c r="D3440" s="33" t="str">
        <x:v>Chicago Med</x:v>
      </x:c>
      <x:c r="E3440" s="33" t="str">
        <x:v>One Chicago</x:v>
      </x:c>
      <x:c r="F3440" s="33" t="str">
        <x:v>core</x:v>
      </x:c>
      <x:c r="G3440" s="50" t="n">
        <x:v>11</x:v>
      </x:c>
      <x:c r="H3440" s="50" t="n">
        <x:v>9</x:v>
      </x:c>
      <x:c r="I3440" s="44" t="str">
        <x:v>11.09</x:v>
      </x:c>
      <x:c r="J3440" s="33" t="str">
        <x:v>Blindsided</x:v>
      </x:c>
      <x:c r="K3440" s="33" t="str"/>
      <x:c r="L3440" s="33" t="str"/>
      <x:c r="M3440" s="44" t="str"/>
      <x:c r="N3440" s="50" t="n">
        <x:v>43</x:v>
      </x:c>
      <x:c r="O3440" s="53" t="str">
        <x:v>Tensions spike when a road rage incident sends three patients into the ED. Frost's former television co-star resurfaces. An unexpected arrival catches Asher and Archer off guard.</x:v>
      </x:c>
      <x:c r="P3440" s="53" t="str">
        <x:v>Core One Chicago franchise</x:v>
      </x:c>
      <x:c r="Q3440" s="17" t="str">
        <x:v>13751928</x:v>
      </x:c>
      <x:c r="R3440" s="17" t="str">
        <x:v>tt38627930</x:v>
      </x:c>
      <x:c r="S3440" s="17" t="str"/>
    </x:row>
    <x:row r="3441">
      <x:c r="A3441" s="43" t="n">
        <x:v>3437</x:v>
      </x:c>
      <x:c r="B3441" s="44" t="str">
        <x:v>Not Started</x:v>
      </x:c>
      <x:c r="C3441" s="45" t="n">
        <x:v>46037</x:v>
      </x:c>
      <x:c r="D3441" s="33" t="str">
        <x:v>Chicago P.D.</x:v>
      </x:c>
      <x:c r="E3441" s="33" t="str">
        <x:v>One Chicago</x:v>
      </x:c>
      <x:c r="F3441" s="33" t="str">
        <x:v>core</x:v>
      </x:c>
      <x:c r="G3441" s="50" t="n">
        <x:v>13</x:v>
      </x:c>
      <x:c r="H3441" s="50" t="n">
        <x:v>9</x:v>
      </x:c>
      <x:c r="I3441" s="44" t="str">
        <x:v>13.09</x:v>
      </x:c>
      <x:c r="J3441" s="33" t="str">
        <x:v>Heroes</x:v>
      </x:c>
      <x:c r="K3441" s="33" t="str"/>
      <x:c r="L3441" s="33" t="str"/>
      <x:c r="M3441" s="44" t="str"/>
      <x:c r="N3441" s="50" t="n">
        <x:v>42</x:v>
      </x:c>
      <x:c r="O3441" s="53" t="str">
        <x:v>Platt finds herself challenged when a simple favor for a former recruit spirals into something far more devastating.</x:v>
      </x:c>
      <x:c r="P3441" s="53" t="str">
        <x:v>Core One Chicago franchise; crossovers with SVU/FBI</x:v>
      </x:c>
      <x:c r="Q3441" s="17" t="str">
        <x:v>13752177</x:v>
      </x:c>
      <x:c r="R3441" s="17" t="str">
        <x:v>tt38627940</x:v>
      </x:c>
      <x:c r="S3441" s="17" t="str"/>
    </x:row>
    <x:row r="3442">
      <x:c r="A3442" s="43" t="n">
        <x:v>3438</x:v>
      </x:c>
      <x:c r="B3442" s="44" t="str">
        <x:v>Not Started</x:v>
      </x:c>
      <x:c r="C3442" s="45" t="n">
        <x:v>46037</x:v>
      </x:c>
      <x:c r="D3442" s="33" t="str">
        <x:v>Chicago Fire</x:v>
      </x:c>
      <x:c r="E3442" s="33" t="str">
        <x:v>One Chicago</x:v>
      </x:c>
      <x:c r="F3442" s="33" t="str">
        <x:v>core</x:v>
      </x:c>
      <x:c r="G3442" s="50" t="n">
        <x:v>14</x:v>
      </x:c>
      <x:c r="H3442" s="50" t="n">
        <x:v>9</x:v>
      </x:c>
      <x:c r="I3442" s="44" t="str">
        <x:v>14.09</x:v>
      </x:c>
      <x:c r="J3442" s="33" t="str">
        <x:v>Crime of Passion</x:v>
      </x:c>
      <x:c r="K3442" s="33" t="str"/>
      <x:c r="L3442" s="33" t="str"/>
      <x:c r="M3442" s="44" t="str"/>
      <x:c r="N3442" s="50" t="n">
        <x:v>42</x:v>
      </x:c>
      <x:c r="O3442" s="53" t="str">
        <x:v>A member of the Firehouse 51 family remains in peril. Cruz lends a hand to Severide in the ongoing investigation.</x:v>
      </x:c>
      <x:c r="P3442" s="53" t="str">
        <x:v>Core One Chicago franchise</x:v>
      </x:c>
      <x:c r="Q3442" s="17" t="str">
        <x:v>13752311</x:v>
      </x:c>
      <x:c r="R3442" s="17" t="str">
        <x:v>tt38744601</x:v>
      </x:c>
      <x:c r="S3442" s="17" t="str"/>
    </x:row>
    <x:row r="3443">
      <x:c r="A3443" s="43" t="n">
        <x:v>3439</x:v>
      </x:c>
      <x:c r="B3443" s="44" t="str">
        <x:v>Not Started</x:v>
      </x:c>
      <x:c r="C3443" s="45" t="n">
        <x:v>46037</x:v>
      </x:c>
      <x:c r="D3443" s="33" t="str">
        <x:v>Law &amp; Order</x:v>
      </x:c>
      <x:c r="E3443" s="33" t="str">
        <x:v>Law &amp; Order</x:v>
      </x:c>
      <x:c r="F3443" s="33" t="str">
        <x:v>core</x:v>
      </x:c>
      <x:c r="G3443" s="50" t="n">
        <x:v>25</x:v>
      </x:c>
      <x:c r="H3443" s="50" t="n">
        <x:v>10</x:v>
      </x:c>
      <x:c r="I3443" s="44" t="str">
        <x:v>25.10</x:v>
      </x:c>
      <x:c r="J3443" s="33" t="str">
        <x:v>Dream On</x:v>
      </x:c>
      <x:c r="K3443" s="33" t="str"/>
      <x:c r="L3443" s="33" t="str"/>
      <x:c r="M3443" s="44" t="str"/>
      <x:c r="N3443" s="50" t="n">
        <x:v>42</x:v>
      </x:c>
      <x:c r="O3443" s="53" t="str">
        <x:v>Brady's son becomes a prime suspect in a murder investigation, putting a target on her back. Price must prove the defendant's alibi is bogus to make his case.</x:v>
      </x:c>
      <x:c r="P3443" s="53" t="str">
        <x:v>Core Law &amp; Order franchise</x:v>
      </x:c>
      <x:c r="Q3443" s="17" t="str">
        <x:v>13700116</x:v>
      </x:c>
      <x:c r="R3443" s="17" t="str">
        <x:v>tt39044884</x:v>
      </x:c>
      <x:c r="S3443" s="17" t="str">
        <x:v>1754</x:v>
      </x:c>
    </x:row>
    <x:row r="3444">
      <x:c r="A3444" s="43" t="n">
        <x:v>3440</x:v>
      </x:c>
      <x:c r="B3444" s="44" t="str">
        <x:v>Not Started</x:v>
      </x:c>
      <x:c r="C3444" s="45" t="n">
        <x:v>46037</x:v>
      </x:c>
      <x:c r="D3444" s="33" t="str">
        <x:v>Law &amp; Order: Special Victims Unit</x:v>
      </x:c>
      <x:c r="E3444" s="33" t="str">
        <x:v>Law &amp; Order</x:v>
      </x:c>
      <x:c r="F3444" s="33" t="str">
        <x:v>core</x:v>
      </x:c>
      <x:c r="G3444" s="50" t="n">
        <x:v>27</x:v>
      </x:c>
      <x:c r="H3444" s="50" t="n">
        <x:v>10</x:v>
      </x:c>
      <x:c r="I3444" s="44" t="str">
        <x:v>27.10</x:v>
      </x:c>
      <x:c r="J3444" s="33" t="str">
        <x:v>Fidelis Ad Mortem</x:v>
      </x:c>
      <x:c r="K3444" s="33" t="str"/>
      <x:c r="L3444" s="33" t="str"/>
      <x:c r="M3444" s="44" t="str"/>
      <x:c r="N3444" s="50" t="n">
        <x:v>43</x:v>
      </x:c>
      <x:c r="O3444" s="53" t="str">
        <x:v>When Curry's son finds a disturbing cassette tape in a thrift store haul, she and Benson must investigate a decades-old missing persons case. Griffin learns a disturbing rumor about his father.</x:v>
      </x:c>
      <x:c r="P3444" s="53" t="str">
        <x:v>Core Law &amp; Order franchise</x:v>
      </x:c>
      <x:c r="Q3444" s="17" t="str">
        <x:v>13817342</x:v>
      </x:c>
      <x:c r="R3444" s="17" t="str">
        <x:v>tt39205091</x:v>
      </x:c>
      <x:c r="S3444" s="17" t="str">
        <x:v>1755</x:v>
      </x:c>
    </x:row>
    <x:row r="3445">
      <x:c r="A3445" s="43" t="n">
        <x:v>3441</x:v>
      </x:c>
      <x:c r="B3445" s="44" t="str">
        <x:v>Not Started</x:v>
      </x:c>
      <x:c r="C3445" s="45" t="n">
        <x:v>46044</x:v>
      </x:c>
      <x:c r="D3445" s="33" t="str">
        <x:v>Chicago Med</x:v>
      </x:c>
      <x:c r="E3445" s="33" t="str">
        <x:v>One Chicago</x:v>
      </x:c>
      <x:c r="F3445" s="33" t="str">
        <x:v>core</x:v>
      </x:c>
      <x:c r="G3445" s="50" t="n">
        <x:v>11</x:v>
      </x:c>
      <x:c r="H3445" s="50" t="n">
        <x:v>10</x:v>
      </x:c>
      <x:c r="I3445" s="44" t="str">
        <x:v>11.10</x:v>
      </x:c>
      <x:c r="J3445" s="33" t="str">
        <x:v>Frost on Fire</x:v>
      </x:c>
      <x:c r="K3445" s="33" t="str"/>
      <x:c r="L3445" s="33" t="str"/>
      <x:c r="M3445" s="44" t="str"/>
      <x:c r="N3445" s="50" t="n">
        <x:v>43</x:v>
      </x:c>
      <x:c r="O3445" s="53" t="str">
        <x:v>Archer and Frost confront a troubling medical mystery while treating a college basketball player. Lenox's treatment of a surrogate patient leads to unexpected complications for the patient and her best friend.</x:v>
      </x:c>
      <x:c r="P3445" s="53" t="str">
        <x:v>Core One Chicago franchise</x:v>
      </x:c>
      <x:c r="Q3445" s="17" t="str">
        <x:v>13819264</x:v>
      </x:c>
      <x:c r="R3445" s="17" t="str">
        <x:v>tt38744559</x:v>
      </x:c>
      <x:c r="S3445" s="17" t="str"/>
    </x:row>
    <x:row r="3446">
      <x:c r="A3446" s="43" t="n">
        <x:v>3442</x:v>
      </x:c>
      <x:c r="B3446" s="44" t="str">
        <x:v>Not Started</x:v>
      </x:c>
      <x:c r="C3446" s="45" t="n">
        <x:v>46044</x:v>
      </x:c>
      <x:c r="D3446" s="33" t="str">
        <x:v>Chicago P.D.</x:v>
      </x:c>
      <x:c r="E3446" s="33" t="str">
        <x:v>One Chicago</x:v>
      </x:c>
      <x:c r="F3446" s="33" t="str">
        <x:v>core</x:v>
      </x:c>
      <x:c r="G3446" s="50" t="n">
        <x:v>13</x:v>
      </x:c>
      <x:c r="H3446" s="50" t="n">
        <x:v>10</x:v>
      </x:c>
      <x:c r="I3446" s="44" t="str">
        <x:v>13.10</x:v>
      </x:c>
      <x:c r="J3446" s="33" t="str">
        <x:v>Faith</x:v>
      </x:c>
      <x:c r="K3446" s="33" t="str"/>
      <x:c r="L3446" s="33" t="str"/>
      <x:c r="M3446" s="44" t="str"/>
      <x:c r="N3446" s="50" t="n">
        <x:v>43</x:v>
      </x:c>
      <x:c r="O3446" s="53" t="str">
        <x:v>Torres investigates the conspiracy surrounding the Morgan case, leading Intelligence into a tangled web of secrets.</x:v>
      </x:c>
      <x:c r="P3446" s="53" t="str">
        <x:v>Core One Chicago franchise; crossovers with SVU/FBI</x:v>
      </x:c>
      <x:c r="Q3446" s="17" t="str">
        <x:v>13816873</x:v>
      </x:c>
      <x:c r="R3446" s="17" t="str">
        <x:v>tt38739489</x:v>
      </x:c>
      <x:c r="S3446" s="17" t="str"/>
    </x:row>
    <x:row r="3447">
      <x:c r="A3447" s="43" t="n">
        <x:v>3443</x:v>
      </x:c>
      <x:c r="B3447" s="44" t="str">
        <x:v>Not Started</x:v>
      </x:c>
      <x:c r="C3447" s="45" t="n">
        <x:v>46044</x:v>
      </x:c>
      <x:c r="D3447" s="33" t="str">
        <x:v>Chicago Fire</x:v>
      </x:c>
      <x:c r="E3447" s="33" t="str">
        <x:v>One Chicago</x:v>
      </x:c>
      <x:c r="F3447" s="33" t="str">
        <x:v>core</x:v>
      </x:c>
      <x:c r="G3447" s="50" t="n">
        <x:v>14</x:v>
      </x:c>
      <x:c r="H3447" s="50" t="n">
        <x:v>10</x:v>
      </x:c>
      <x:c r="I3447" s="44" t="str">
        <x:v>14.10</x:v>
      </x:c>
      <x:c r="J3447" s="33" t="str">
        <x:v>Carry a Torch</x:v>
      </x:c>
      <x:c r="K3447" s="33" t="str"/>
      <x:c r="L3447" s="33" t="str"/>
      <x:c r="M3447" s="44" t="str"/>
      <x:c r="N3447" s="50" t="n">
        <x:v>43</x:v>
      </x:c>
      <x:c r="O3447" s="53" t="str">
        <x:v>Novak explores a new romantic connection. Vasquez deals with the aftermath of his father's recent release.</x:v>
      </x:c>
      <x:c r="P3447" s="53" t="str">
        <x:v>Core One Chicago franchise</x:v>
      </x:c>
      <x:c r="Q3447" s="17" t="str">
        <x:v>13819277</x:v>
      </x:c>
      <x:c r="R3447" s="17" t="str">
        <x:v>tt38744603</x:v>
      </x:c>
      <x:c r="S3447" s="17" t="str"/>
    </x:row>
    <x:row r="3448">
      <x:c r="A3448" s="43" t="n">
        <x:v>3444</x:v>
      </x:c>
      <x:c r="B3448" s="44" t="str">
        <x:v>Not Started</x:v>
      </x:c>
      <x:c r="C3448" s="45" t="n">
        <x:v>46044</x:v>
      </x:c>
      <x:c r="D3448" s="33" t="str">
        <x:v>Law &amp; Order</x:v>
      </x:c>
      <x:c r="E3448" s="33" t="str">
        <x:v>Law &amp; Order</x:v>
      </x:c>
      <x:c r="F3448" s="33" t="str">
        <x:v>core</x:v>
      </x:c>
      <x:c r="G3448" s="50" t="n">
        <x:v>25</x:v>
      </x:c>
      <x:c r="H3448" s="50" t="n">
        <x:v>11</x:v>
      </x:c>
      <x:c r="I3448" s="44" t="str">
        <x:v>25.11</x:v>
      </x:c>
      <x:c r="J3448" s="33" t="str">
        <x:v>The Enemy of All Women</x:v>
      </x:c>
      <x:c r="K3448" s="33" t="str"/>
      <x:c r="L3448" s="33" t="str"/>
      <x:c r="M3448" s="44" t="str"/>
      <x:c r="N3448" s="50" t="n">
        <x:v>42</x:v>
      </x:c>
      <x:c r="O3448" s="53" t="str">
        <x:v>A woman's mysterious death sets the detectives up against a suspect using high-tech surveillance against them. Maroun suspects a witness knows more about the defendant than she lets on.</x:v>
      </x:c>
      <x:c r="P3448" s="53" t="str">
        <x:v>Core Law &amp; Order franchise</x:v>
      </x:c>
      <x:c r="Q3448" s="17" t="str">
        <x:v>13856401</x:v>
      </x:c>
      <x:c r="R3448" s="17" t="str">
        <x:v>tt39044890</x:v>
      </x:c>
      <x:c r="S3448" s="17" t="str">
        <x:v>1756</x:v>
      </x:c>
    </x:row>
    <x:row r="3449">
      <x:c r="A3449" s="43" t="n">
        <x:v>3445</x:v>
      </x:c>
      <x:c r="B3449" s="44" t="str">
        <x:v>Not Started</x:v>
      </x:c>
      <x:c r="C3449" s="45" t="n">
        <x:v>46044</x:v>
      </x:c>
      <x:c r="D3449" s="33" t="str">
        <x:v>Law &amp; Order: Special Victims Unit</x:v>
      </x:c>
      <x:c r="E3449" s="33" t="str">
        <x:v>Law &amp; Order</x:v>
      </x:c>
      <x:c r="F3449" s="33" t="str">
        <x:v>core</x:v>
      </x:c>
      <x:c r="G3449" s="50" t="n">
        <x:v>27</x:v>
      </x:c>
      <x:c r="H3449" s="50" t="n">
        <x:v>11</x:v>
      </x:c>
      <x:c r="I3449" s="44" t="str">
        <x:v>27.11</x:v>
      </x:c>
      <x:c r="J3449" s="33" t="str">
        <x:v>Career Psychopath</x:v>
      </x:c>
      <x:c r="K3449" s="33" t="str"/>
      <x:c r="L3449" s="33" t="str"/>
      <x:c r="M3449" s="44" t="str"/>
      <x:c r="N3449" s="50" t="n">
        <x:v>43</x:v>
      </x:c>
      <x:c r="O3449" s="53" t="str">
        <x:v>When a stranger threatens Rollins and Carisi's lives, they suspect it's connected to a case they worked together. Benson asks an old friend to come out of retirement for help with an investigation.</x:v>
      </x:c>
      <x:c r="P3449" s="53" t="str">
        <x:v>Core Law &amp; Order franchise</x:v>
      </x:c>
      <x:c r="Q3449" s="17" t="str">
        <x:v>13817344</x:v>
      </x:c>
      <x:c r="R3449" s="17" t="str">
        <x:v>tt39205101</x:v>
      </x:c>
      <x:c r="S3449" s="17" t="str">
        <x:v>1757</x:v>
      </x:c>
    </x:row>
    <x:row r="3450">
      <x:c r="A3450" s="43" t="n">
        <x:v>3446</x:v>
      </x:c>
      <x:c r="B3450" s="44" t="str">
        <x:v>Not Started</x:v>
      </x:c>
      <x:c r="C3450" s="45" t="n">
        <x:v>46051</x:v>
      </x:c>
      <x:c r="D3450" s="33" t="str">
        <x:v>Chicago Med</x:v>
      </x:c>
      <x:c r="E3450" s="33" t="str">
        <x:v>One Chicago</x:v>
      </x:c>
      <x:c r="F3450" s="33" t="str">
        <x:v>core</x:v>
      </x:c>
      <x:c r="G3450" s="50" t="n">
        <x:v>11</x:v>
      </x:c>
      <x:c r="H3450" s="50" t="n">
        <x:v>11</x:v>
      </x:c>
      <x:c r="I3450" s="44" t="str">
        <x:v>11.11</x:v>
      </x:c>
      <x:c r="J3450" s="33" t="str">
        <x:v>Our So-Called Lives</x:v>
      </x:c>
      <x:c r="K3450" s="33" t="str"/>
      <x:c r="L3450" s="33" t="str"/>
      <x:c r="M3450" s="44" t="str"/>
      <x:c r="N3450" s="50" t="n">
        <x:v>43</x:v>
      </x:c>
      <x:c r="O3450" s="53" t="str">
        <x:v>Old resentment stirs up Charles when his best friends from med school visit. Asher is forced to overcome obstacles in the treatment of one of her patients. Ripley looks to honor his best friend, Sully, on the one-year anniversary of his death.</x:v>
      </x:c>
      <x:c r="P3450" s="53" t="str">
        <x:v>Core One Chicago franchise</x:v>
      </x:c>
      <x:c r="Q3450" s="17" t="str">
        <x:v>13819266</x:v>
      </x:c>
      <x:c r="R3450" s="17" t="str">
        <x:v>tt38744562</x:v>
      </x:c>
      <x:c r="S3450" s="17" t="str"/>
    </x:row>
    <x:row r="3451">
      <x:c r="A3451" s="43" t="n">
        <x:v>3447</x:v>
      </x:c>
      <x:c r="B3451" s="44" t="str">
        <x:v>Not Started</x:v>
      </x:c>
      <x:c r="C3451" s="45" t="n">
        <x:v>46051</x:v>
      </x:c>
      <x:c r="D3451" s="33" t="str">
        <x:v>Chicago P.D.</x:v>
      </x:c>
      <x:c r="E3451" s="33" t="str">
        <x:v>One Chicago</x:v>
      </x:c>
      <x:c r="F3451" s="33" t="str">
        <x:v>core</x:v>
      </x:c>
      <x:c r="G3451" s="50" t="n">
        <x:v>13</x:v>
      </x:c>
      <x:c r="H3451" s="50" t="n">
        <x:v>11</x:v>
      </x:c>
      <x:c r="I3451" s="44" t="str">
        <x:v>13.11</x:v>
      </x:c>
      <x:c r="J3451" s="33" t="str">
        <x:v>On the Way</x:v>
      </x:c>
      <x:c r="K3451" s="33" t="str"/>
      <x:c r="L3451" s="33" t="str"/>
      <x:c r="M3451" s="44" t="str"/>
      <x:c r="N3451" s="50" t="n">
        <x:v>43</x:v>
      </x:c>
      <x:c r="O3451" s="53" t="str">
        <x:v>Atwater pushes his personal life aside as he goes undercover in the flashy high-stakes world of carjacking.</x:v>
      </x:c>
      <x:c r="P3451" s="53" t="str">
        <x:v>Core One Chicago franchise; crossovers with SVU/FBI</x:v>
      </x:c>
      <x:c r="Q3451" s="17" t="str">
        <x:v>13816874</x:v>
      </x:c>
      <x:c r="R3451" s="17" t="str">
        <x:v>tt38744668</x:v>
      </x:c>
      <x:c r="S3451" s="17" t="str"/>
    </x:row>
    <x:row r="3452">
      <x:c r="A3452" s="43" t="n">
        <x:v>3448</x:v>
      </x:c>
      <x:c r="B3452" s="44" t="str">
        <x:v>Not Started</x:v>
      </x:c>
      <x:c r="C3452" s="45" t="n">
        <x:v>46051</x:v>
      </x:c>
      <x:c r="D3452" s="33" t="str">
        <x:v>Chicago Fire</x:v>
      </x:c>
      <x:c r="E3452" s="33" t="str">
        <x:v>One Chicago</x:v>
      </x:c>
      <x:c r="F3452" s="33" t="str">
        <x:v>core</x:v>
      </x:c>
      <x:c r="G3452" s="50" t="n">
        <x:v>14</x:v>
      </x:c>
      <x:c r="H3452" s="50" t="n">
        <x:v>11</x:v>
      </x:c>
      <x:c r="I3452" s="44" t="str">
        <x:v>14.11</x:v>
      </x:c>
      <x:c r="J3452" s="33" t="str">
        <x:v>Frostbite Blue</x:v>
      </x:c>
      <x:c r="K3452" s="33" t="str"/>
      <x:c r="L3452" s="33" t="str"/>
      <x:c r="M3452" s="44" t="str"/>
      <x:c r="N3452" s="50" t="n">
        <x:v>43</x:v>
      </x:c>
      <x:c r="O3452" s="53" t="str">
        <x:v>Herrmann grows uneasy when a local accident attorney inserts himself into a routine call. Firehouse 51 gets a visitor.</x:v>
      </x:c>
      <x:c r="P3452" s="53" t="str">
        <x:v>Core One Chicago franchise</x:v>
      </x:c>
      <x:c r="Q3452" s="17" t="str">
        <x:v>13819281</x:v>
      </x:c>
      <x:c r="R3452" s="17" t="str">
        <x:v>tt38744604</x:v>
      </x:c>
      <x:c r="S3452" s="17" t="str"/>
    </x:row>
    <x:row r="3453">
      <x:c r="A3453" s="43" t="n">
        <x:v>3449</x:v>
      </x:c>
      <x:c r="B3453" s="44" t="str">
        <x:v>Not Started</x:v>
      </x:c>
      <x:c r="C3453" s="45" t="n">
        <x:v>46051</x:v>
      </x:c>
      <x:c r="D3453" s="33" t="str">
        <x:v>Law &amp; Order</x:v>
      </x:c>
      <x:c r="E3453" s="33" t="str">
        <x:v>Law &amp; Order</x:v>
      </x:c>
      <x:c r="F3453" s="33" t="str">
        <x:v>core</x:v>
      </x:c>
      <x:c r="G3453" s="50" t="n">
        <x:v>25</x:v>
      </x:c>
      <x:c r="H3453" s="50" t="n">
        <x:v>12</x:v>
      </x:c>
      <x:c r="I3453" s="44" t="str">
        <x:v>25.12</x:v>
      </x:c>
      <x:c r="J3453" s="33" t="str">
        <x:v>Never Say Goodbye</x:v>
      </x:c>
      <x:c r="K3453" s="33" t="str"/>
      <x:c r="L3453" s="33" t="str"/>
      <x:c r="M3453" s="44" t="str"/>
      <x:c r="N3453" s="50" t="n">
        <x:v>42</x:v>
      </x:c>
      <x:c r="O3453" s="53" t="str">
        <x:v>After investigating a flight attendant's murder, Walker's methods are scrutinized during the trial. Meanwhile, Price and Maroun try to reveal the defendant's state of mind.</x:v>
      </x:c>
      <x:c r="P3453" s="53" t="str">
        <x:v>Core Law &amp; Order franchise</x:v>
      </x:c>
      <x:c r="Q3453" s="17" t="str">
        <x:v>13918875</x:v>
      </x:c>
      <x:c r="R3453" s="17" t="str">
        <x:v>tt39086443</x:v>
      </x:c>
      <x:c r="S3453" s="17" t="str">
        <x:v>1758</x:v>
      </x:c>
    </x:row>
    <x:row r="3454">
      <x:c r="A3454" s="43" t="n">
        <x:v>3450</x:v>
      </x:c>
      <x:c r="B3454" s="44" t="str">
        <x:v>Not Started</x:v>
      </x:c>
      <x:c r="C3454" s="45" t="n">
        <x:v>46051</x:v>
      </x:c>
      <x:c r="D3454" s="33" t="str">
        <x:v>Law &amp; Order: Special Victims Unit</x:v>
      </x:c>
      <x:c r="E3454" s="33" t="str">
        <x:v>Law &amp; Order</x:v>
      </x:c>
      <x:c r="F3454" s="33" t="str">
        <x:v>core</x:v>
      </x:c>
      <x:c r="G3454" s="50" t="n">
        <x:v>27</x:v>
      </x:c>
      <x:c r="H3454" s="50" t="n">
        <x:v>12</x:v>
      </x:c>
      <x:c r="I3454" s="44" t="str">
        <x:v>27.12</x:v>
      </x:c>
      <x:c r="J3454" s="33" t="str">
        <x:v>Hubris</x:v>
      </x:c>
      <x:c r="K3454" s="33" t="str"/>
      <x:c r="L3454" s="33" t="str"/>
      <x:c r="M3454" s="44" t="str"/>
      <x:c r="N3454" s="50" t="n">
        <x:v>43</x:v>
      </x:c>
      <x:c r="O3454" s="53" t="str">
        <x:v>A teenager rescued from a dangerous situation begs Benson to help reunite her with her father. Carisi and CJ take the foster system to task for separating families without sufficient proof.</x:v>
      </x:c>
      <x:c r="P3454" s="53" t="str">
        <x:v>Core Law &amp; Order franchise</x:v>
      </x:c>
      <x:c r="Q3454" s="17" t="str">
        <x:v>13817345</x:v>
      </x:c>
      <x:c r="R3454" s="17" t="str">
        <x:v>tt39239470</x:v>
      </x:c>
      <x:c r="S3454" s="17" t="str">
        <x:v>1759</x:v>
      </x:c>
    </x:row>
    <x:row r="3455">
      <x:c r="A3455" s="43" t="n">
        <x:v>3451</x:v>
      </x:c>
      <x:c r="B3455" s="44" t="str">
        <x:v>Not Started</x:v>
      </x:c>
      <x:c r="C3455" s="45" t="n">
        <x:v>46058</x:v>
      </x:c>
      <x:c r="D3455" s="33" t="str">
        <x:v>Chicago Med</x:v>
      </x:c>
      <x:c r="E3455" s="33" t="str">
        <x:v>One Chicago</x:v>
      </x:c>
      <x:c r="F3455" s="33" t="str">
        <x:v>core</x:v>
      </x:c>
      <x:c r="G3455" s="50" t="n">
        <x:v>11</x:v>
      </x:c>
      <x:c r="H3455" s="50" t="n">
        <x:v>12</x:v>
      </x:c>
      <x:c r="I3455" s="44" t="str">
        <x:v>11.12</x:v>
      </x:c>
      <x:c r="J3455" s="33" t="str">
        <x:v>Spill Your Guts</x:v>
      </x:c>
      <x:c r="K3455" s="33" t="str"/>
      <x:c r="L3455" s="33" t="str"/>
      <x:c r="M3455" s="44" t="str"/>
      <x:c r="N3455" s="50" t="n">
        <x:v>43</x:v>
      </x:c>
      <x:c r="O3455" s="53" t="str">
        <x:v>Charles faces a new challenge when three medical students shadow him for a day. Goodwin faces a high-stakes board meeting. Frost reckons with his past.</x:v>
      </x:c>
      <x:c r="P3455" s="53" t="str">
        <x:v>Core One Chicago franchise</x:v>
      </x:c>
      <x:c r="Q3455" s="17" t="str">
        <x:v>13840465</x:v>
      </x:c>
      <x:c r="R3455" s="17" t="str">
        <x:v>tt38744563</x:v>
      </x:c>
      <x:c r="S3455" s="17" t="str"/>
    </x:row>
    <x:row r="3456">
      <x:c r="A3456" s="43" t="n">
        <x:v>3452</x:v>
      </x:c>
      <x:c r="B3456" s="44" t="str">
        <x:v>Not Started</x:v>
      </x:c>
      <x:c r="C3456" s="45" t="n">
        <x:v>46058</x:v>
      </x:c>
      <x:c r="D3456" s="33" t="str">
        <x:v>Chicago P.D.</x:v>
      </x:c>
      <x:c r="E3456" s="33" t="str">
        <x:v>One Chicago</x:v>
      </x:c>
      <x:c r="F3456" s="33" t="str">
        <x:v>core</x:v>
      </x:c>
      <x:c r="G3456" s="50" t="n">
        <x:v>13</x:v>
      </x:c>
      <x:c r="H3456" s="50" t="n">
        <x:v>12</x:v>
      </x:c>
      <x:c r="I3456" s="44" t="str">
        <x:v>13.12</x:v>
      </x:c>
      <x:c r="J3456" s="33" t="str">
        <x:v>Missing</x:v>
      </x:c>
      <x:c r="K3456" s="33" t="str"/>
      <x:c r="L3456" s="33" t="str"/>
      <x:c r="M3456" s="44" t="str"/>
      <x:c r="N3456" s="50" t="n">
        <x:v>43</x:v>
      </x:c>
      <x:c r="O3456" s="53" t="str">
        <x:v>Details about Imani's past emerge as the Intelligence Unit seeks the truth behind the sudden resurfacing of a decades-old missing child case.</x:v>
      </x:c>
      <x:c r="P3456" s="53" t="str">
        <x:v>Core One Chicago franchise; crossovers with SVU/FBI</x:v>
      </x:c>
      <x:c r="Q3456" s="17" t="str">
        <x:v>13840460</x:v>
      </x:c>
      <x:c r="R3456" s="17" t="str">
        <x:v>tt38744672</x:v>
      </x:c>
      <x:c r="S3456" s="17" t="str"/>
    </x:row>
    <x:row r="3457">
      <x:c r="A3457" s="43" t="n">
        <x:v>3453</x:v>
      </x:c>
      <x:c r="B3457" s="44" t="str">
        <x:v>Not Started</x:v>
      </x:c>
      <x:c r="C3457" s="45" t="n">
        <x:v>46058</x:v>
      </x:c>
      <x:c r="D3457" s="33" t="str">
        <x:v>Chicago Fire</x:v>
      </x:c>
      <x:c r="E3457" s="33" t="str">
        <x:v>One Chicago</x:v>
      </x:c>
      <x:c r="F3457" s="33" t="str">
        <x:v>core</x:v>
      </x:c>
      <x:c r="G3457" s="50" t="n">
        <x:v>14</x:v>
      </x:c>
      <x:c r="H3457" s="50" t="n">
        <x:v>12</x:v>
      </x:c>
      <x:c r="I3457" s="44" t="str">
        <x:v>14.12</x:v>
      </x:c>
      <x:c r="J3457" s="33" t="str">
        <x:v>Coming in Hot</x:v>
      </x:c>
      <x:c r="K3457" s="33" t="str"/>
      <x:c r="L3457" s="33" t="str"/>
      <x:c r="M3457" s="44" t="str"/>
      <x:c r="N3457" s="50" t="n">
        <x:v>43</x:v>
      </x:c>
      <x:c r="O3457" s="53" t="str">
        <x:v>Pascal finds himself under intense scrutiny when a member of the firehouse is injured on a call. Herrmann grapples with family issues.</x:v>
      </x:c>
      <x:c r="P3457" s="53" t="str">
        <x:v>Core One Chicago franchise</x:v>
      </x:c>
      <x:c r="Q3457" s="17" t="str">
        <x:v>13840457</x:v>
      </x:c>
      <x:c r="R3457" s="17" t="str">
        <x:v>tt38744605</x:v>
      </x:c>
      <x:c r="S3457" s="17" t="str"/>
    </x:row>
    <x:row r="3458">
      <x:c r="A3458" s="43" t="n">
        <x:v>3454</x:v>
      </x:c>
      <x:c r="B3458" s="44" t="str">
        <x:v>Not Started</x:v>
      </x:c>
      <x:c r="C3458" s="45" t="n">
        <x:v>46077</x:v>
      </x:c>
      <x:c r="D3458" s="33" t="str">
        <x:v>CIA (2026)</x:v>
      </x:c>
      <x:c r="E3458" s="33" t="str">
        <x:v>FBI</x:v>
      </x:c>
      <x:c r="F3458" s="33" t="str">
        <x:v>core</x:v>
      </x:c>
      <x:c r="G3458" s="50" t="n">
        <x:v>1</x:v>
      </x:c>
      <x:c r="H3458" s="50" t="n">
        <x:v>1</x:v>
      </x:c>
      <x:c r="I3458" s="44" t="str">
        <x:v>01.01</x:v>
      </x:c>
      <x:c r="J3458" s="33" t="str">
        <x:v>Directed Energy</x:v>
      </x:c>
      <x:c r="K3458" s="33" t="str"/>
      <x:c r="L3458" s="33" t="str"/>
      <x:c r="M3458" s="44" t="str"/>
      <x:c r="N3458" s="50" t="n">
        <x:v>43</x:v>
      </x:c>
      <x:c r="O3458" s="53" t="str">
        <x:v>When a top-secret weapon is stolen from a U.S. defense contractor, CIA agent Colin Glass is paired with FBI agent Bill Goodman to investigate. Their partnership gets off to a rocky start, but they soon realize their opposing viewpoints may be their greatest asset.</x:v>
      </x:c>
      <x:c r="P3458" s="53" t="str">
        <x:v>Official 2026 Dick Wolf / FBI spinoff. The unrelated 1992 CIA show at Trakt slug cia / IMDb tt0250140 is intentionally excluded.</x:v>
      </x:c>
      <x:c r="Q3458" s="17" t="str">
        <x:v>13033156</x:v>
      </x:c>
      <x:c r="R3458" s="17" t="str">
        <x:v>tt36733286</x:v>
      </x:c>
      <x:c r="S3458" s="17" t="str"/>
    </x:row>
    <x:row r="3459">
      <x:c r="A3459" s="43" t="n">
        <x:v>3455</x:v>
      </x:c>
      <x:c r="B3459" s="44" t="str">
        <x:v>Not Started</x:v>
      </x:c>
      <x:c r="C3459" s="45" t="n">
        <x:v>46077</x:v>
      </x:c>
      <x:c r="D3459" s="33" t="str">
        <x:v>FBI</x:v>
      </x:c>
      <x:c r="E3459" s="33" t="str">
        <x:v>FBI</x:v>
      </x:c>
      <x:c r="F3459" s="33" t="str">
        <x:v>core</x:v>
      </x:c>
      <x:c r="G3459" s="50" t="n">
        <x:v>8</x:v>
      </x:c>
      <x:c r="H3459" s="50" t="n">
        <x:v>11</x:v>
      </x:c>
      <x:c r="I3459" s="44" t="str">
        <x:v>08.11</x:v>
      </x:c>
      <x:c r="J3459" s="33" t="str">
        <x:v>Confetti</x:v>
      </x:c>
      <x:c r="K3459" s="33" t="str"/>
      <x:c r="L3459" s="33" t="str"/>
      <x:c r="M3459" s="44" t="str"/>
      <x:c r="N3459" s="50" t="n">
        <x:v>43</x:v>
      </x:c>
      <x:c r="O3459" s="53" t="str">
        <x:v>After an undercover investigation goes sideways, the team tries to flip their only witness to help them hunt down a rip crew at a cartel wedding. Scola and Nina make a big life decision.</x:v>
      </x:c>
      <x:c r="P3459" s="53" t="str">
        <x:v>Core FBI franchise</x:v>
      </x:c>
      <x:c r="Q3459" s="17" t="str">
        <x:v>13608924</x:v>
      </x:c>
      <x:c r="R3459" s="17" t="str">
        <x:v>tt38206283</x:v>
      </x:c>
      <x:c r="S3459" s="17" t="str"/>
    </x:row>
    <x:row r="3460">
      <x:c r="A3460" s="43" t="n">
        <x:v>3456</x:v>
      </x:c>
      <x:c r="B3460" s="44" t="str">
        <x:v>Not Started</x:v>
      </x:c>
      <x:c r="C3460" s="45" t="n">
        <x:v>46079</x:v>
      </x:c>
      <x:c r="D3460" s="33" t="str">
        <x:v>Law &amp; Order</x:v>
      </x:c>
      <x:c r="E3460" s="33" t="str">
        <x:v>Law &amp; Order</x:v>
      </x:c>
      <x:c r="F3460" s="33" t="str">
        <x:v>core</x:v>
      </x:c>
      <x:c r="G3460" s="50" t="n">
        <x:v>25</x:v>
      </x:c>
      <x:c r="H3460" s="50" t="n">
        <x:v>13</x:v>
      </x:c>
      <x:c r="I3460" s="44" t="str">
        <x:v>25.13</x:v>
      </x:c>
      <x:c r="J3460" s="33" t="str">
        <x:v>New Normal</x:v>
      </x:c>
      <x:c r="K3460" s="33" t="str"/>
      <x:c r="L3460" s="33" t="str"/>
      <x:c r="M3460" s="44" t="str"/>
      <x:c r="N3460" s="50" t="n">
        <x:v>42</x:v>
      </x:c>
      <x:c r="O3460" s="53" t="str">
        <x:v>Walker revisits his undercover identity to get details on a gang-related murder. Saddled with a weak case, Baxter and Price weigh the consequences of ruining another department's investigation to get their conviction.</x:v>
      </x:c>
      <x:c r="P3460" s="53" t="str">
        <x:v>Core Law &amp; Order franchise</x:v>
      </x:c>
      <x:c r="Q3460" s="17" t="str">
        <x:v>13957739</x:v>
      </x:c>
      <x:c r="R3460" s="17" t="str">
        <x:v>tt39147788</x:v>
      </x:c>
      <x:c r="S3460" s="17" t="str">
        <x:v>1760</x:v>
      </x:c>
    </x:row>
    <x:row r="3461">
      <x:c r="A3461" s="43" t="n">
        <x:v>3457</x:v>
      </x:c>
      <x:c r="B3461" s="44" t="str">
        <x:v>Not Started</x:v>
      </x:c>
      <x:c r="C3461" s="45" t="n">
        <x:v>46079</x:v>
      </x:c>
      <x:c r="D3461" s="33" t="str">
        <x:v>Law &amp; Order: Special Victims Unit</x:v>
      </x:c>
      <x:c r="E3461" s="33" t="str">
        <x:v>Law &amp; Order</x:v>
      </x:c>
      <x:c r="F3461" s="33" t="str">
        <x:v>core</x:v>
      </x:c>
      <x:c r="G3461" s="50" t="n">
        <x:v>27</x:v>
      </x:c>
      <x:c r="H3461" s="50" t="n">
        <x:v>13</x:v>
      </x:c>
      <x:c r="I3461" s="44" t="str">
        <x:v>27.13</x:v>
      </x:c>
      <x:c r="J3461" s="33" t="str">
        <x:v>Corrosive</x:v>
      </x:c>
      <x:c r="K3461" s="33" t="str"/>
      <x:c r="L3461" s="33" t="str"/>
      <x:c r="M3461" s="44" t="str"/>
      <x:c r="N3461" s="50" t="n">
        <x:v>43</x:v>
      </x:c>
      <x:c r="O3461" s="53" t="str">
        <x:v>An attempt on a respected judge's life is connected to an anonymous video posted to the SVU tip line. Rollins tries to help a victim come to terms with their abuse.</x:v>
      </x:c>
      <x:c r="P3461" s="53" t="str">
        <x:v>Core Law &amp; Order franchise</x:v>
      </x:c>
      <x:c r="Q3461" s="17" t="str">
        <x:v>13929396</x:v>
      </x:c>
      <x:c r="R3461" s="17" t="str">
        <x:v>tt38681608</x:v>
      </x:c>
      <x:c r="S3461" s="17" t="str">
        <x:v>1761</x:v>
      </x:c>
    </x:row>
    <x:row r="3462">
      <x:c r="A3462" s="43" t="n">
        <x:v>3458</x:v>
      </x:c>
      <x:c r="B3462" s="44" t="str">
        <x:v>Not Started</x:v>
      </x:c>
      <x:c r="C3462" s="45" t="n">
        <x:v>46084</x:v>
      </x:c>
      <x:c r="D3462" s="33" t="str">
        <x:v>CIA (2026)</x:v>
      </x:c>
      <x:c r="E3462" s="33" t="str">
        <x:v>FBI</x:v>
      </x:c>
      <x:c r="F3462" s="33" t="str">
        <x:v>core</x:v>
      </x:c>
      <x:c r="G3462" s="50" t="n">
        <x:v>1</x:v>
      </x:c>
      <x:c r="H3462" s="50" t="n">
        <x:v>2</x:v>
      </x:c>
      <x:c r="I3462" s="44" t="str">
        <x:v>01.02</x:v>
      </x:c>
      <x:c r="J3462" s="33" t="str">
        <x:v>Fatal Defect</x:v>
      </x:c>
      <x:c r="K3462" s="33" t="str"/>
      <x:c r="L3462" s="33" t="str"/>
      <x:c r="M3462" s="44" t="str"/>
      <x:c r="N3462" s="50" t="n">
        <x:v>44</x:v>
      </x:c>
      <x:c r="O3462" s="53" t="str">
        <x:v>When a known smuggler is flagged at the New York border with unidentified cargo, Colin and Bill head upstate to track. To find this smuggler, they must enlist the help of a foreign intelligence officer looking to defect.</x:v>
      </x:c>
      <x:c r="P3462" s="53" t="str">
        <x:v>Official 2026 Dick Wolf / FBI spinoff. The unrelated 1992 CIA show at Trakt slug cia / IMDb tt0250140 is intentionally excluded.</x:v>
      </x:c>
      <x:c r="Q3462" s="17" t="str">
        <x:v>14003318</x:v>
      </x:c>
      <x:c r="R3462" s="17" t="str">
        <x:v>tt37526983</x:v>
      </x:c>
      <x:c r="S3462" s="17" t="str"/>
    </x:row>
    <x:row r="3463">
      <x:c r="A3463" s="43" t="n">
        <x:v>3459</x:v>
      </x:c>
      <x:c r="B3463" s="44" t="str">
        <x:v>Not Started</x:v>
      </x:c>
      <x:c r="C3463" s="45" t="n">
        <x:v>46084</x:v>
      </x:c>
      <x:c r="D3463" s="33" t="str">
        <x:v>FBI</x:v>
      </x:c>
      <x:c r="E3463" s="33" t="str">
        <x:v>FBI</x:v>
      </x:c>
      <x:c r="F3463" s="33" t="str">
        <x:v>core</x:v>
      </x:c>
      <x:c r="G3463" s="50" t="n">
        <x:v>8</x:v>
      </x:c>
      <x:c r="H3463" s="50" t="n">
        <x:v>12</x:v>
      </x:c>
      <x:c r="I3463" s="44" t="str">
        <x:v>08.12</x:v>
      </x:c>
      <x:c r="J3463" s="33" t="str">
        <x:v>Daybreak</x:v>
      </x:c>
      <x:c r="K3463" s="33" t="str"/>
      <x:c r="L3463" s="33" t="str"/>
      <x:c r="M3463" s="44" t="str"/>
      <x:c r="N3463" s="50" t="n">
        <x:v>43</x:v>
      </x:c>
      <x:c r="O3463" s="53" t="str">
        <x:v>When a federal whistleblower is murdered while in FBI custody along with two agents, the team is stunned to find a familiar perpetrator has resurfaced. Meanwhile, OA wrestles with telling the team what is happening in his personal life.</x:v>
      </x:c>
      <x:c r="P3463" s="53" t="str">
        <x:v>Core FBI franchise</x:v>
      </x:c>
      <x:c r="Q3463" s="17" t="str">
        <x:v>14002491</x:v>
      </x:c>
      <x:c r="R3463" s="17" t="str">
        <x:v>tt38206285</x:v>
      </x:c>
      <x:c r="S3463" s="17" t="str"/>
    </x:row>
    <x:row r="3464">
      <x:c r="A3464" s="43" t="n">
        <x:v>3460</x:v>
      </x:c>
      <x:c r="B3464" s="44" t="str">
        <x:v>Not Started</x:v>
      </x:c>
      <x:c r="C3464" s="45" t="n">
        <x:v>46086</x:v>
      </x:c>
      <x:c r="D3464" s="33" t="str">
        <x:v>Chicago Med</x:v>
      </x:c>
      <x:c r="E3464" s="33" t="str">
        <x:v>One Chicago</x:v>
      </x:c>
      <x:c r="F3464" s="33" t="str">
        <x:v>core</x:v>
      </x:c>
      <x:c r="G3464" s="50" t="n">
        <x:v>11</x:v>
      </x:c>
      <x:c r="H3464" s="50" t="n">
        <x:v>13</x:v>
      </x:c>
      <x:c r="I3464" s="44" t="str">
        <x:v>11.13</x:v>
      </x:c>
      <x:c r="J3464" s="33" t="str">
        <x:v>Reckoning (II)</x:v>
      </x:c>
      <x:c r="K3464" s="33" t="str">
        <x:v>Crossover</x:v>
      </x:c>
      <x:c r="L3464" s="33" t="str">
        <x:v>Reckoning</x:v>
      </x:c>
      <x:c r="M3464" s="44" t="str">
        <x:v>2/3</x:v>
      </x:c>
      <x:c r="N3464" s="50" t="n">
        <x:v>43</x:v>
      </x:c>
      <x:c r="O3464" s="53" t="str">
        <x:v>The doctors at Gaffney are thrust into a race against time as they work to unravel a baffling medical mystery linked to the passenger jet, while lives hang in the balance.
The crossover begins on Chicago Fire S14E13 Reckoning (I). It continues on Chicago P.D. S13E13 Reckoning (III).</x:v>
      </x:c>
      <x:c r="P3464" s="53" t="str">
        <x:v>Core One Chicago franchise</x:v>
      </x:c>
      <x:c r="Q3464" s="17" t="str">
        <x:v>13894411</x:v>
      </x:c>
      <x:c r="R3464" s="17" t="str">
        <x:v>tt38744566</x:v>
      </x:c>
      <x:c r="S3464" s="17" t="str">
        <x:v>https://one-chicago-fbi.fandom.com/wiki/Crossovers_and_Milestones</x:v>
      </x:c>
    </x:row>
    <x:row r="3465">
      <x:c r="A3465" s="43" t="n">
        <x:v>3461</x:v>
      </x:c>
      <x:c r="B3465" s="44" t="str">
        <x:v>Not Started</x:v>
      </x:c>
      <x:c r="C3465" s="45" t="n">
        <x:v>46086</x:v>
      </x:c>
      <x:c r="D3465" s="33" t="str">
        <x:v>Chicago P.D.</x:v>
      </x:c>
      <x:c r="E3465" s="33" t="str">
        <x:v>One Chicago</x:v>
      </x:c>
      <x:c r="F3465" s="33" t="str">
        <x:v>core</x:v>
      </x:c>
      <x:c r="G3465" s="50" t="n">
        <x:v>13</x:v>
      </x:c>
      <x:c r="H3465" s="50" t="n">
        <x:v>13</x:v>
      </x:c>
      <x:c r="I3465" s="44" t="str">
        <x:v>13.13</x:v>
      </x:c>
      <x:c r="J3465" s="33" t="str">
        <x:v>Reckoning (III)</x:v>
      </x:c>
      <x:c r="K3465" s="33" t="str">
        <x:v>Crossover</x:v>
      </x:c>
      <x:c r="L3465" s="33" t="str">
        <x:v>Reckoning</x:v>
      </x:c>
      <x:c r="M3465" s="44" t="str">
        <x:v>3/3</x:v>
      </x:c>
      <x:c r="N3465" s="50" t="n">
        <x:v>42</x:v>
      </x:c>
      <x:c r="O3465" s="53" t="str">
        <x:v>An airfield emergency triggers a deeper mystery involving a passenger plane, propelling the Intelligence Unit into a high‑stakes pursuit of the culprit, all under the sharp eye of the FBI.
The crossover begins on Chicago Fire S14E13 Reckoning (I) and Chicago Med S11E13 Reckoning (II).</x:v>
      </x:c>
      <x:c r="P3465" s="53" t="str">
        <x:v>Core One Chicago franchise; crossovers with SVU/FBI</x:v>
      </x:c>
      <x:c r="Q3465" s="17" t="str">
        <x:v>13856826</x:v>
      </x:c>
      <x:c r="R3465" s="17" t="str">
        <x:v>tt38744673</x:v>
      </x:c>
      <x:c r="S3465" s="17" t="str">
        <x:v>https://one-chicago-fbi.fandom.com/wiki/Crossovers_and_Milestones</x:v>
      </x:c>
    </x:row>
    <x:row r="3466">
      <x:c r="A3466" s="43" t="n">
        <x:v>3462</x:v>
      </x:c>
      <x:c r="B3466" s="44" t="str">
        <x:v>Not Started</x:v>
      </x:c>
      <x:c r="C3466" s="45" t="n">
        <x:v>46086</x:v>
      </x:c>
      <x:c r="D3466" s="33" t="str">
        <x:v>Chicago Fire</x:v>
      </x:c>
      <x:c r="E3466" s="33" t="str">
        <x:v>One Chicago</x:v>
      </x:c>
      <x:c r="F3466" s="33" t="str">
        <x:v>core</x:v>
      </x:c>
      <x:c r="G3466" s="50" t="n">
        <x:v>14</x:v>
      </x:c>
      <x:c r="H3466" s="50" t="n">
        <x:v>13</x:v>
      </x:c>
      <x:c r="I3466" s="44" t="str">
        <x:v>14.13</x:v>
      </x:c>
      <x:c r="J3466" s="33" t="str">
        <x:v>Reckoning (I)</x:v>
      </x:c>
      <x:c r="K3466" s="33" t="str">
        <x:v>Crossover</x:v>
      </x:c>
      <x:c r="L3466" s="33" t="str">
        <x:v>Reckoning</x:v>
      </x:c>
      <x:c r="M3466" s="44" t="str">
        <x:v>1/3</x:v>
      </x:c>
      <x:c r="N3466" s="50" t="n">
        <x:v>42</x:v>
      </x:c>
      <x:c r="O3466" s="53" t="str">
        <x:v>Firehouse 51 is called to an airfield when a passenger jet goes silent mid-air, triggering a high-stakes emergency and cracking open a bigger mystery that could put countless lives in jeopardy.
The crossover continues on Chicago Med S11E13 Reckoning (II) and Chicago P.D. S13E13 Reckoning (III).</x:v>
      </x:c>
      <x:c r="P3466" s="53" t="str">
        <x:v>Core One Chicago franchise</x:v>
      </x:c>
      <x:c r="Q3466" s="17" t="str">
        <x:v>13840458</x:v>
      </x:c>
      <x:c r="R3466" s="17" t="str">
        <x:v>tt38744609</x:v>
      </x:c>
      <x:c r="S3466" s="17" t="str">
        <x:v>https://one-chicago-fbi.fandom.com/wiki/Crossovers_and_Milestones</x:v>
      </x:c>
    </x:row>
    <x:row r="3467">
      <x:c r="A3467" s="43" t="n">
        <x:v>3463</x:v>
      </x:c>
      <x:c r="B3467" s="44" t="str">
        <x:v>Not Started</x:v>
      </x:c>
      <x:c r="C3467" s="45" t="n">
        <x:v>46086</x:v>
      </x:c>
      <x:c r="D3467" s="33" t="str">
        <x:v>Law &amp; Order</x:v>
      </x:c>
      <x:c r="E3467" s="33" t="str">
        <x:v>Law &amp; Order</x:v>
      </x:c>
      <x:c r="F3467" s="33" t="str">
        <x:v>core</x:v>
      </x:c>
      <x:c r="G3467" s="50" t="n">
        <x:v>25</x:v>
      </x:c>
      <x:c r="H3467" s="50" t="n">
        <x:v>14</x:v>
      </x:c>
      <x:c r="I3467" s="44" t="str">
        <x:v>25.14</x:v>
      </x:c>
      <x:c r="J3467" s="33" t="str">
        <x:v>Remedies</x:v>
      </x:c>
      <x:c r="K3467" s="33" t="str"/>
      <x:c r="L3467" s="33" t="str"/>
      <x:c r="M3467" s="44" t="str"/>
      <x:c r="N3467" s="50" t="n">
        <x:v>42</x:v>
      </x:c>
      <x:c r="O3467" s="53" t="str">
        <x:v>The 2-7 arrests an unlikely suspect when a popular wellness personality is murdered. Price and Maroun must determine if revealing the victim's past will help or hurt their case.</x:v>
      </x:c>
      <x:c r="P3467" s="53" t="str">
        <x:v>Core Law &amp; Order franchise</x:v>
      </x:c>
      <x:c r="Q3467" s="17" t="str">
        <x:v>14017596</x:v>
      </x:c>
      <x:c r="R3467" s="17" t="str">
        <x:v>tt39346174</x:v>
      </x:c>
      <x:c r="S3467" s="17" t="str">
        <x:v>1762</x:v>
      </x:c>
    </x:row>
    <x:row r="3468">
      <x:c r="A3468" s="43" t="n">
        <x:v>3464</x:v>
      </x:c>
      <x:c r="B3468" s="44" t="str">
        <x:v>Not Started</x:v>
      </x:c>
      <x:c r="C3468" s="45" t="n">
        <x:v>46086</x:v>
      </x:c>
      <x:c r="D3468" s="33" t="str">
        <x:v>Law &amp; Order: Special Victims Unit</x:v>
      </x:c>
      <x:c r="E3468" s="33" t="str">
        <x:v>Law &amp; Order</x:v>
      </x:c>
      <x:c r="F3468" s="33" t="str">
        <x:v>core</x:v>
      </x:c>
      <x:c r="G3468" s="50" t="n">
        <x:v>27</x:v>
      </x:c>
      <x:c r="H3468" s="50" t="n">
        <x:v>14</x:v>
      </x:c>
      <x:c r="I3468" s="44" t="str">
        <x:v>27.14</x:v>
      </x:c>
      <x:c r="J3468" s="33" t="str">
        <x:v>Frequency</x:v>
      </x:c>
      <x:c r="K3468" s="33" t="str"/>
      <x:c r="L3468" s="33" t="str"/>
      <x:c r="M3468" s="44" t="str"/>
      <x:c r="N3468" s="50" t="n">
        <x:v>43</x:v>
      </x:c>
      <x:c r="O3468" s="53" t="str">
        <x:v>A family discovers a young boy in grave danger when their baby monitor picks up a rogue frequency. Griffin goes to extremes to find the boy's location. Rollins finds herself alone with a predator.</x:v>
      </x:c>
      <x:c r="P3468" s="53" t="str">
        <x:v>Core Law &amp; Order franchise</x:v>
      </x:c>
      <x:c r="Q3468" s="17" t="str">
        <x:v>13974280</x:v>
      </x:c>
      <x:c r="R3468" s="17" t="str">
        <x:v>tt39317107</x:v>
      </x:c>
      <x:c r="S3468" s="17" t="str">
        <x:v>1763</x:v>
      </x:c>
    </x:row>
    <x:row r="3469">
      <x:c r="A3469" s="43" t="n">
        <x:v>3465</x:v>
      </x:c>
      <x:c r="B3469" s="44" t="str">
        <x:v>Not Started</x:v>
      </x:c>
      <x:c r="C3469" s="45" t="n">
        <x:v>46087</x:v>
      </x:c>
      <x:c r="D3469" s="33" t="str">
        <x:v>Law &amp; Order Toronto: Criminal Intent</x:v>
      </x:c>
      <x:c r="E3469" s="33" t="str">
        <x:v>Law &amp; Order</x:v>
      </x:c>
      <x:c r="F3469" s="33" t="str">
        <x:v>core</x:v>
      </x:c>
      <x:c r="G3469" s="50" t="n">
        <x:v>3</x:v>
      </x:c>
      <x:c r="H3469" s="50" t="n">
        <x:v>1</x:v>
      </x:c>
      <x:c r="I3469" s="44" t="str">
        <x:v>03.01</x:v>
      </x:c>
      <x:c r="J3469" s="33" t="str">
        <x:v>Skin Deep</x:v>
      </x:c>
      <x:c r="K3469" s="33" t="str"/>
      <x:c r="L3469" s="33" t="str"/>
      <x:c r="M3469" s="44" t="str"/>
      <x:c r="N3469" s="50" t="n">
        <x:v>44</x:v>
      </x:c>
      <x:c r="O3469" s="53" t="str">
        <x:v>Graff and Bateman are called to investigate when an aspiring model is found dead in a landfill during Toronto's Fashion Week.</x:v>
      </x:c>
      <x:c r="P3469" s="53" t="str">
        <x:v>Law &amp; Order international franchise</x:v>
      </x:c>
      <x:c r="Q3469" s="17" t="str">
        <x:v>14022341</x:v>
      </x:c>
      <x:c r="R3469" s="17" t="str">
        <x:v>tt32598666</x:v>
      </x:c>
      <x:c r="S3469" s="17" t="str"/>
    </x:row>
    <x:row r="3470">
      <x:c r="A3470" s="43" t="n">
        <x:v>3466</x:v>
      </x:c>
      <x:c r="B3470" s="44" t="str">
        <x:v>Not Started</x:v>
      </x:c>
      <x:c r="C3470" s="45" t="n">
        <x:v>46091</x:v>
      </x:c>
      <x:c r="D3470" s="33" t="str">
        <x:v>CIA (2026)</x:v>
      </x:c>
      <x:c r="E3470" s="33" t="str">
        <x:v>FBI</x:v>
      </x:c>
      <x:c r="F3470" s="33" t="str">
        <x:v>core</x:v>
      </x:c>
      <x:c r="G3470" s="50" t="n">
        <x:v>1</x:v>
      </x:c>
      <x:c r="H3470" s="50" t="n">
        <x:v>3</x:v>
      </x:c>
      <x:c r="I3470" s="44" t="str">
        <x:v>01.03</x:v>
      </x:c>
      <x:c r="J3470" s="33" t="str">
        <x:v>Bridge of Lies</x:v>
      </x:c>
      <x:c r="K3470" s="33" t="str"/>
      <x:c r="L3470" s="33" t="str"/>
      <x:c r="M3470" s="44" t="str"/>
      <x:c r="N3470" s="50" t="n">
        <x:v>43</x:v>
      </x:c>
      <x:c r="O3470" s="53" t="str">
        <x:v>When a deeply embedded U.S. intelligence officer is detained in Hong Kong, Nikki insists on traveling there to bring him home but her cover is blown.</x:v>
      </x:c>
      <x:c r="P3470" s="53" t="str">
        <x:v>Official 2026 Dick Wolf / FBI spinoff. The unrelated 1992 CIA show at Trakt slug cia / IMDb tt0250140 is intentionally excluded.</x:v>
      </x:c>
      <x:c r="Q3470" s="17" t="str">
        <x:v>14003319</x:v>
      </x:c>
      <x:c r="R3470" s="17" t="str">
        <x:v>tt37526984</x:v>
      </x:c>
      <x:c r="S3470" s="17" t="str"/>
    </x:row>
    <x:row r="3471">
      <x:c r="A3471" s="43" t="n">
        <x:v>3467</x:v>
      </x:c>
      <x:c r="B3471" s="44" t="str">
        <x:v>Not Started</x:v>
      </x:c>
      <x:c r="C3471" s="45" t="n">
        <x:v>46091</x:v>
      </x:c>
      <x:c r="D3471" s="33" t="str">
        <x:v>FBI</x:v>
      </x:c>
      <x:c r="E3471" s="33" t="str">
        <x:v>FBI</x:v>
      </x:c>
      <x:c r="F3471" s="33" t="str">
        <x:v>core</x:v>
      </x:c>
      <x:c r="G3471" s="50" t="n">
        <x:v>8</x:v>
      </x:c>
      <x:c r="H3471" s="50" t="n">
        <x:v>13</x:v>
      </x:c>
      <x:c r="I3471" s="44" t="str">
        <x:v>08.13</x:v>
      </x:c>
      <x:c r="J3471" s="33" t="str">
        <x:v>Fanatics</x:v>
      </x:c>
      <x:c r="K3471" s="33" t="str"/>
      <x:c r="L3471" s="33" t="str"/>
      <x:c r="M3471" s="44" t="str"/>
      <x:c r="N3471" s="50" t="n">
        <x:v>43</x:v>
      </x:c>
      <x:c r="O3471" s="53" t="str">
        <x:v>After the son of a professional basketball team owner is taken for ransom, Jubal and the team race to catch the kidnappers. Soon, they discover the perpetrators have been planning a larger revenge plot that they must act quickly to stop.</x:v>
      </x:c>
      <x:c r="P3471" s="53" t="str">
        <x:v>Core FBI franchise</x:v>
      </x:c>
      <x:c r="Q3471" s="17" t="str">
        <x:v>14015513</x:v>
      </x:c>
      <x:c r="R3471" s="17" t="str">
        <x:v>tt38206287</x:v>
      </x:c>
      <x:c r="S3471" s="17" t="str"/>
    </x:row>
    <x:row r="3472">
      <x:c r="A3472" s="43" t="n">
        <x:v>3468</x:v>
      </x:c>
      <x:c r="B3472" s="44" t="str">
        <x:v>Not Started</x:v>
      </x:c>
      <x:c r="C3472" s="45" t="n">
        <x:v>46093</x:v>
      </x:c>
      <x:c r="D3472" s="33" t="str">
        <x:v>Chicago Med</x:v>
      </x:c>
      <x:c r="E3472" s="33" t="str">
        <x:v>One Chicago</x:v>
      </x:c>
      <x:c r="F3472" s="33" t="str">
        <x:v>core</x:v>
      </x:c>
      <x:c r="G3472" s="50" t="n">
        <x:v>11</x:v>
      </x:c>
      <x:c r="H3472" s="50" t="n">
        <x:v>14</x:v>
      </x:c>
      <x:c r="I3472" s="44" t="str">
        <x:v>11.14</x:v>
      </x:c>
      <x:c r="J3472" s="33" t="str">
        <x:v>Twist &amp; Shout</x:v>
      </x:c>
      <x:c r="K3472" s="33" t="str"/>
      <x:c r="L3472" s="33" t="str"/>
      <x:c r="M3472" s="44" t="str"/>
      <x:c r="N3472" s="50" t="n">
        <x:v>43</x:v>
      </x:c>
      <x:c r="O3472" s="53" t="str">
        <x:v>Archer and Lenox treat two friends who were injured in St. Patrick's Day festivities. Hannah and Ripley treat a woman in the middle of a messy divorce.</x:v>
      </x:c>
      <x:c r="P3472" s="53" t="str">
        <x:v>Core One Chicago franchise</x:v>
      </x:c>
      <x:c r="Q3472" s="17" t="str">
        <x:v>13965635</x:v>
      </x:c>
      <x:c r="R3472" s="17" t="str">
        <x:v>tt38744567</x:v>
      </x:c>
      <x:c r="S3472" s="17" t="str"/>
    </x:row>
    <x:row r="3473">
      <x:c r="A3473" s="43" t="n">
        <x:v>3469</x:v>
      </x:c>
      <x:c r="B3473" s="44" t="str">
        <x:v>Not Started</x:v>
      </x:c>
      <x:c r="C3473" s="45" t="n">
        <x:v>46093</x:v>
      </x:c>
      <x:c r="D3473" s="33" t="str">
        <x:v>Chicago P.D.</x:v>
      </x:c>
      <x:c r="E3473" s="33" t="str">
        <x:v>One Chicago</x:v>
      </x:c>
      <x:c r="F3473" s="33" t="str">
        <x:v>core</x:v>
      </x:c>
      <x:c r="G3473" s="50" t="n">
        <x:v>13</x:v>
      </x:c>
      <x:c r="H3473" s="50" t="n">
        <x:v>14</x:v>
      </x:c>
      <x:c r="I3473" s="44" t="str">
        <x:v>13.14</x:v>
      </x:c>
      <x:c r="J3473" s="33" t="str">
        <x:v>Meant to Be</x:v>
      </x:c>
      <x:c r="K3473" s="33" t="str"/>
      <x:c r="L3473" s="33" t="str"/>
      <x:c r="M3473" s="44" t="str"/>
      <x:c r="N3473" s="50" t="n">
        <x:v>43</x:v>
      </x:c>
      <x:c r="O3473" s="53" t="str">
        <x:v>Burgess takes a rookie officer under her wing as the team investigates a volatile drug case.</x:v>
      </x:c>
      <x:c r="P3473" s="53" t="str">
        <x:v>Core One Chicago franchise; crossovers with SVU/FBI</x:v>
      </x:c>
      <x:c r="Q3473" s="17" t="str">
        <x:v>13965561</x:v>
      </x:c>
      <x:c r="R3473" s="17" t="str">
        <x:v>tt38744678</x:v>
      </x:c>
      <x:c r="S3473" s="17" t="str"/>
    </x:row>
    <x:row r="3474">
      <x:c r="A3474" s="43" t="n">
        <x:v>3470</x:v>
      </x:c>
      <x:c r="B3474" s="44" t="str">
        <x:v>Not Started</x:v>
      </x:c>
      <x:c r="C3474" s="45" t="n">
        <x:v>46093</x:v>
      </x:c>
      <x:c r="D3474" s="33" t="str">
        <x:v>Chicago Fire</x:v>
      </x:c>
      <x:c r="E3474" s="33" t="str">
        <x:v>One Chicago</x:v>
      </x:c>
      <x:c r="F3474" s="33" t="str">
        <x:v>core</x:v>
      </x:c>
      <x:c r="G3474" s="50" t="n">
        <x:v>14</x:v>
      </x:c>
      <x:c r="H3474" s="50" t="n">
        <x:v>14</x:v>
      </x:c>
      <x:c r="I3474" s="44" t="str">
        <x:v>14.14</x:v>
      </x:c>
      <x:c r="J3474" s="33" t="str">
        <x:v>Hit and Run</x:v>
      </x:c>
      <x:c r="K3474" s="33" t="str"/>
      <x:c r="L3474" s="33" t="str"/>
      <x:c r="M3474" s="44" t="str"/>
      <x:c r="N3474" s="50" t="n">
        <x:v>42</x:v>
      </x:c>
      <x:c r="O3474" s="53" t="str">
        <x:v>Severide is on high alert to track down a reckless driver who puts one of their own in harm's way. A member of Firehouse 51 struggles with a potentially life-changing decision.</x:v>
      </x:c>
      <x:c r="P3474" s="53" t="str">
        <x:v>Core One Chicago franchise</x:v>
      </x:c>
      <x:c r="Q3474" s="17" t="str">
        <x:v>13840459</x:v>
      </x:c>
      <x:c r="R3474" s="17" t="str">
        <x:v>tt38744613</x:v>
      </x:c>
      <x:c r="S3474" s="17" t="str"/>
    </x:row>
    <x:row r="3475">
      <x:c r="A3475" s="43" t="n">
        <x:v>3471</x:v>
      </x:c>
      <x:c r="B3475" s="44" t="str">
        <x:v>Not Started</x:v>
      </x:c>
      <x:c r="C3475" s="45" t="n">
        <x:v>46093</x:v>
      </x:c>
      <x:c r="D3475" s="33" t="str">
        <x:v>Law &amp; Order</x:v>
      </x:c>
      <x:c r="E3475" s="33" t="str">
        <x:v>Law &amp; Order</x:v>
      </x:c>
      <x:c r="F3475" s="33" t="str">
        <x:v>core</x:v>
      </x:c>
      <x:c r="G3475" s="50" t="n">
        <x:v>25</x:v>
      </x:c>
      <x:c r="H3475" s="50" t="n">
        <x:v>15</x:v>
      </x:c>
      <x:c r="I3475" s="44" t="str">
        <x:v>25.15</x:v>
      </x:c>
      <x:c r="J3475" s="33" t="str">
        <x:v>Bright Lights</x:v>
      </x:c>
      <x:c r="K3475" s="33" t="str"/>
      <x:c r="L3475" s="33" t="str"/>
      <x:c r="M3475" s="44" t="str"/>
      <x:c r="N3475" s="50" t="n">
        <x:v>42</x:v>
      </x:c>
      <x:c r="O3475" s="53" t="str">
        <x:v>A fashion designer is murdered with a stolen gun. With only circumstantial evidence supporting the case, Price and Maroun must expose a witness' private life to get a conviction.</x:v>
      </x:c>
      <x:c r="P3475" s="53" t="str">
        <x:v>Core Law &amp; Order franchise</x:v>
      </x:c>
      <x:c r="Q3475" s="17" t="str">
        <x:v>14017597</x:v>
      </x:c>
      <x:c r="R3475" s="17" t="str">
        <x:v>tt39402067</x:v>
      </x:c>
      <x:c r="S3475" s="17" t="str">
        <x:v>1764</x:v>
      </x:c>
    </x:row>
    <x:row r="3476">
      <x:c r="A3476" s="43" t="n">
        <x:v>3472</x:v>
      </x:c>
      <x:c r="B3476" s="44" t="str">
        <x:v>Not Started</x:v>
      </x:c>
      <x:c r="C3476" s="45" t="n">
        <x:v>46093</x:v>
      </x:c>
      <x:c r="D3476" s="33" t="str">
        <x:v>Law &amp; Order: Special Victims Unit</x:v>
      </x:c>
      <x:c r="E3476" s="33" t="str">
        <x:v>Law &amp; Order</x:v>
      </x:c>
      <x:c r="F3476" s="33" t="str">
        <x:v>core</x:v>
      </x:c>
      <x:c r="G3476" s="50" t="n">
        <x:v>27</x:v>
      </x:c>
      <x:c r="H3476" s="50" t="n">
        <x:v>15</x:v>
      </x:c>
      <x:c r="I3476" s="44" t="str">
        <x:v>27.15</x:v>
      </x:c>
      <x:c r="J3476" s="33" t="str">
        <x:v>Thirsty</x:v>
      </x:c>
      <x:c r="K3476" s="33" t="str"/>
      <x:c r="L3476" s="33" t="str"/>
      <x:c r="M3476" s="44" t="str"/>
      <x:c r="N3476" s="50" t="n">
        <x:v>43</x:v>
      </x:c>
      <x:c r="O3476" s="53" t="str">
        <x:v>Reports of an assault by a guest at a fan convention leads to a murder investigation. Tynan presents Capt. Curry with a career opportunity.</x:v>
      </x:c>
      <x:c r="P3476" s="53" t="str">
        <x:v>Core Law &amp; Order franchise</x:v>
      </x:c>
      <x:c r="Q3476" s="17" t="str">
        <x:v>14013559</x:v>
      </x:c>
      <x:c r="R3476" s="17" t="str">
        <x:v>tt39366093</x:v>
      </x:c>
      <x:c r="S3476" s="17" t="str">
        <x:v>1765</x:v>
      </x:c>
    </x:row>
    <x:row r="3477">
      <x:c r="A3477" s="43" t="n">
        <x:v>3473</x:v>
      </x:c>
      <x:c r="B3477" s="44" t="str">
        <x:v>Not Started</x:v>
      </x:c>
      <x:c r="C3477" s="45" t="n">
        <x:v>46094</x:v>
      </x:c>
      <x:c r="D3477" s="33" t="str">
        <x:v>Law &amp; Order Toronto: Criminal Intent</x:v>
      </x:c>
      <x:c r="E3477" s="33" t="str">
        <x:v>Law &amp; Order</x:v>
      </x:c>
      <x:c r="F3477" s="33" t="str">
        <x:v>core</x:v>
      </x:c>
      <x:c r="G3477" s="50" t="n">
        <x:v>3</x:v>
      </x:c>
      <x:c r="H3477" s="50" t="n">
        <x:v>2</x:v>
      </x:c>
      <x:c r="I3477" s="44" t="str">
        <x:v>03.02</x:v>
      </x:c>
      <x:c r="J3477" s="33" t="str">
        <x:v>WAGMI</x:v>
      </x:c>
      <x:c r="K3477" s="33" t="str"/>
      <x:c r="L3477" s="33" t="str"/>
      <x:c r="M3477" s="44" t="str"/>
      <x:c r="N3477" s="50" t="n">
        <x:v>44</x:v>
      </x:c>
      <x:c r="O3477" s="53" t="str">
        <x:v>When a body is found hanging in a tree, Graff and Bateman are called to investigate the death of a reclusive math tutor.</x:v>
      </x:c>
      <x:c r="P3477" s="53" t="str">
        <x:v>Law &amp; Order international franchise</x:v>
      </x:c>
      <x:c r="Q3477" s="17" t="str">
        <x:v>14022342</x:v>
      </x:c>
      <x:c r="R3477" s="17" t="str">
        <x:v>tt37626230</x:v>
      </x:c>
      <x:c r="S3477" s="17" t="str"/>
    </x:row>
    <x:row r="3478">
      <x:c r="A3478" s="43" t="n">
        <x:v>3474</x:v>
      </x:c>
      <x:c r="B3478" s="44" t="str">
        <x:v>Not Started</x:v>
      </x:c>
      <x:c r="C3478" s="45" t="n">
        <x:v>46098</x:v>
      </x:c>
      <x:c r="D3478" s="33" t="str">
        <x:v>CIA (2026)</x:v>
      </x:c>
      <x:c r="E3478" s="33" t="str">
        <x:v>FBI</x:v>
      </x:c>
      <x:c r="F3478" s="33" t="str">
        <x:v>core</x:v>
      </x:c>
      <x:c r="G3478" s="50" t="n">
        <x:v>1</x:v>
      </x:c>
      <x:c r="H3478" s="50" t="n">
        <x:v>4</x:v>
      </x:c>
      <x:c r="I3478" s="44" t="str">
        <x:v>01.04</x:v>
      </x:c>
      <x:c r="J3478" s="33" t="str">
        <x:v>Forced Labor</x:v>
      </x:c>
      <x:c r="K3478" s="33" t="str"/>
      <x:c r="L3478" s="33" t="str"/>
      <x:c r="M3478" s="44" t="str"/>
      <x:c r="N3478" s="50" t="n">
        <x:v>40</x:v>
      </x:c>
      <x:c r="O3478" s="53" t="str">
        <x:v>When a wanted Belarusian national is discovered posing as an expecting father, Colin and Bill work to expose an international illegal baby smuggling ring.</x:v>
      </x:c>
      <x:c r="P3478" s="53" t="str">
        <x:v>Official 2026 Dick Wolf / FBI spinoff. The unrelated 1992 CIA show at Trakt slug cia / IMDb tt0250140 is intentionally excluded.</x:v>
      </x:c>
      <x:c r="Q3478" s="17" t="str">
        <x:v>14022337</x:v>
      </x:c>
      <x:c r="R3478" s="17" t="str">
        <x:v>tt37526985</x:v>
      </x:c>
      <x:c r="S3478" s="17" t="str"/>
    </x:row>
    <x:row r="3479">
      <x:c r="A3479" s="43" t="n">
        <x:v>3475</x:v>
      </x:c>
      <x:c r="B3479" s="44" t="str">
        <x:v>Not Started</x:v>
      </x:c>
      <x:c r="C3479" s="45" t="n">
        <x:v>46098</x:v>
      </x:c>
      <x:c r="D3479" s="33" t="str">
        <x:v>FBI</x:v>
      </x:c>
      <x:c r="E3479" s="33" t="str">
        <x:v>FBI</x:v>
      </x:c>
      <x:c r="F3479" s="33" t="str">
        <x:v>core</x:v>
      </x:c>
      <x:c r="G3479" s="50" t="n">
        <x:v>8</x:v>
      </x:c>
      <x:c r="H3479" s="50" t="n">
        <x:v>14</x:v>
      </x:c>
      <x:c r="I3479" s="44" t="str">
        <x:v>08.14</x:v>
      </x:c>
      <x:c r="J3479" s="33" t="str">
        <x:v>Forgiven</x:v>
      </x:c>
      <x:c r="K3479" s="33" t="str"/>
      <x:c r="L3479" s="33" t="str"/>
      <x:c r="M3479" s="44" t="str"/>
      <x:c r="N3479" s="50" t="n">
        <x:v>43</x:v>
      </x:c>
      <x:c r="O3479" s="53" t="str">
        <x:v>After Maggie's sister, Erin, goes missing, the team begins an all-out search to recover her. But when Maggie discovers Erin was kidnapped by a sinister figure from her past, she must race to save her before it's too late.</x:v>
      </x:c>
      <x:c r="P3479" s="53" t="str">
        <x:v>Core FBI franchise</x:v>
      </x:c>
      <x:c r="Q3479" s="17" t="str">
        <x:v>14028371</x:v>
      </x:c>
      <x:c r="R3479" s="17" t="str">
        <x:v>tt38206290</x:v>
      </x:c>
      <x:c r="S3479" s="17" t="str"/>
    </x:row>
    <x:row r="3480">
      <x:c r="A3480" s="43" t="n">
        <x:v>3476</x:v>
      </x:c>
      <x:c r="B3480" s="44" t="str">
        <x:v>Not Started</x:v>
      </x:c>
      <x:c r="C3480" s="45" t="n">
        <x:v>46100</x:v>
      </x:c>
      <x:c r="D3480" s="33" t="str">
        <x:v>Chicago Med</x:v>
      </x:c>
      <x:c r="E3480" s="33" t="str">
        <x:v>One Chicago</x:v>
      </x:c>
      <x:c r="F3480" s="33" t="str">
        <x:v>core</x:v>
      </x:c>
      <x:c r="G3480" s="50" t="n">
        <x:v>11</x:v>
      </x:c>
      <x:c r="H3480" s="50" t="n">
        <x:v>15</x:v>
      </x:c>
      <x:c r="I3480" s="44" t="str">
        <x:v>11.15</x:v>
      </x:c>
      <x:c r="J3480" s="33" t="str">
        <x:v>The Cost of Living</x:v>
      </x:c>
      <x:c r="K3480" s="33" t="str"/>
      <x:c r="L3480" s="33" t="str"/>
      <x:c r="M3480" s="44" t="str"/>
      <x:c r="N3480" s="50" t="n">
        <x:v>42</x:v>
      </x:c>
      <x:c r="O3480" s="53" t="str">
        <x:v>Archer confronts his own mortality while on a complex case. One patient's quirky habit baffles Charles and Theo. A fatal diagnosis shocks one of the doctors at Gaffney.</x:v>
      </x:c>
      <x:c r="P3480" s="53" t="str">
        <x:v>Core One Chicago franchise</x:v>
      </x:c>
      <x:c r="Q3480" s="17" t="str">
        <x:v>13965636</x:v>
      </x:c>
      <x:c r="R3480" s="17" t="str">
        <x:v>tt38744568</x:v>
      </x:c>
      <x:c r="S3480" s="17" t="str"/>
    </x:row>
    <x:row r="3481">
      <x:c r="A3481" s="43" t="n">
        <x:v>3477</x:v>
      </x:c>
      <x:c r="B3481" s="44" t="str">
        <x:v>Not Started</x:v>
      </x:c>
      <x:c r="C3481" s="45" t="n">
        <x:v>46100</x:v>
      </x:c>
      <x:c r="D3481" s="33" t="str">
        <x:v>Chicago P.D.</x:v>
      </x:c>
      <x:c r="E3481" s="33" t="str">
        <x:v>One Chicago</x:v>
      </x:c>
      <x:c r="F3481" s="33" t="str">
        <x:v>core</x:v>
      </x:c>
      <x:c r="G3481" s="50" t="n">
        <x:v>13</x:v>
      </x:c>
      <x:c r="H3481" s="50" t="n">
        <x:v>15</x:v>
      </x:c>
      <x:c r="I3481" s="44" t="str">
        <x:v>13.15</x:v>
      </x:c>
      <x:c r="J3481" s="33" t="str">
        <x:v>Live or Die by Your CI</x:v>
      </x:c>
      <x:c r="K3481" s="33" t="str"/>
      <x:c r="L3481" s="33" t="str"/>
      <x:c r="M3481" s="44" t="str"/>
      <x:c r="N3481" s="50" t="n">
        <x:v>43</x:v>
      </x:c>
      <x:c r="O3481" s="53" t="str">
        <x:v>Ruzek grows suspicious when a DEA agent contacts him for details surrounding a missing informant.</x:v>
      </x:c>
      <x:c r="P3481" s="53" t="str">
        <x:v>Core One Chicago franchise; crossovers with SVU/FBI</x:v>
      </x:c>
      <x:c r="Q3481" s="17" t="str">
        <x:v>13965562</x:v>
      </x:c>
      <x:c r="R3481" s="17" t="str">
        <x:v>tt38744679</x:v>
      </x:c>
      <x:c r="S3481" s="17" t="str"/>
    </x:row>
    <x:row r="3482">
      <x:c r="A3482" s="43" t="n">
        <x:v>3478</x:v>
      </x:c>
      <x:c r="B3482" s="44" t="str">
        <x:v>Not Started</x:v>
      </x:c>
      <x:c r="C3482" s="45" t="n">
        <x:v>46100</x:v>
      </x:c>
      <x:c r="D3482" s="33" t="str">
        <x:v>Chicago Fire</x:v>
      </x:c>
      <x:c r="E3482" s="33" t="str">
        <x:v>One Chicago</x:v>
      </x:c>
      <x:c r="F3482" s="33" t="str">
        <x:v>core</x:v>
      </x:c>
      <x:c r="G3482" s="50" t="n">
        <x:v>14</x:v>
      </x:c>
      <x:c r="H3482" s="50" t="n">
        <x:v>15</x:v>
      </x:c>
      <x:c r="I3482" s="44" t="str">
        <x:v>14.15</x:v>
      </x:c>
      <x:c r="J3482" s="33" t="str">
        <x:v>Do Not Resuscitate</x:v>
      </x:c>
      <x:c r="K3482" s="33" t="str"/>
      <x:c r="L3482" s="33" t="str"/>
      <x:c r="M3482" s="44" t="str"/>
      <x:c r="N3482" s="50" t="n">
        <x:v>43</x:v>
      </x:c>
      <x:c r="O3482" s="53" t="str">
        <x:v>A car crash puzzles Kidd and Vasquez. Herrmann gets his chance in the spotlight. Violet and Novak deal with a moral dilemma.</x:v>
      </x:c>
      <x:c r="P3482" s="53" t="str">
        <x:v>Core One Chicago franchise</x:v>
      </x:c>
      <x:c r="Q3482" s="17" t="str">
        <x:v>13965640</x:v>
      </x:c>
      <x:c r="R3482" s="17" t="str">
        <x:v>tt38744615</x:v>
      </x:c>
      <x:c r="S3482" s="17" t="str"/>
    </x:row>
    <x:row r="3483">
      <x:c r="A3483" s="43" t="n">
        <x:v>3479</x:v>
      </x:c>
      <x:c r="B3483" s="44" t="str">
        <x:v>Not Started</x:v>
      </x:c>
      <x:c r="C3483" s="45" t="n">
        <x:v>46101</x:v>
      </x:c>
      <x:c r="D3483" s="33" t="str">
        <x:v>Law &amp; Order Toronto: Criminal Intent</x:v>
      </x:c>
      <x:c r="E3483" s="33" t="str">
        <x:v>Law &amp; Order</x:v>
      </x:c>
      <x:c r="F3483" s="33" t="str">
        <x:v>core</x:v>
      </x:c>
      <x:c r="G3483" s="50" t="n">
        <x:v>3</x:v>
      </x:c>
      <x:c r="H3483" s="50" t="n">
        <x:v>3</x:v>
      </x:c>
      <x:c r="I3483" s="44" t="str">
        <x:v>03.03</x:v>
      </x:c>
      <x:c r="J3483" s="33" t="str">
        <x:v>Uncertain Justice</x:v>
      </x:c>
      <x:c r="K3483" s="33" t="str"/>
      <x:c r="L3483" s="33" t="str"/>
      <x:c r="M3483" s="44" t="str"/>
      <x:c r="N3483" s="50" t="n">
        <x:v>44</x:v>
      </x:c>
      <x:c r="O3483" s="53" t="str">
        <x:v>The team is brought in to investigate when a mother convicted of infanticide is found dead in a motel bathroom after being released on an appeal.</x:v>
      </x:c>
      <x:c r="P3483" s="53" t="str">
        <x:v>Law &amp; Order international franchise</x:v>
      </x:c>
      <x:c r="Q3483" s="17" t="str">
        <x:v>14022343</x:v>
      </x:c>
      <x:c r="R3483" s="17" t="str">
        <x:v>tt37626231</x:v>
      </x:c>
      <x:c r="S3483" s="17" t="str"/>
    </x:row>
    <x:row r="3484">
      <x:c r="A3484" s="43" t="n">
        <x:v>3480</x:v>
      </x:c>
      <x:c r="B3484" s="44" t="str">
        <x:v>Not Started</x:v>
      </x:c>
      <x:c r="C3484" s="45" t="n">
        <x:v>46105</x:v>
      </x:c>
      <x:c r="D3484" s="33" t="str">
        <x:v>CIA (2026)</x:v>
      </x:c>
      <x:c r="E3484" s="33" t="str">
        <x:v>FBI</x:v>
      </x:c>
      <x:c r="F3484" s="33" t="str">
        <x:v>core</x:v>
      </x:c>
      <x:c r="G3484" s="50" t="n">
        <x:v>1</x:v>
      </x:c>
      <x:c r="H3484" s="50" t="n">
        <x:v>5</x:v>
      </x:c>
      <x:c r="I3484" s="44" t="str">
        <x:v>01.05</x:v>
      </x:c>
      <x:c r="J3484" s="33" t="str">
        <x:v>Deep Cover</x:v>
      </x:c>
      <x:c r="K3484" s="33" t="str"/>
      <x:c r="L3484" s="33" t="str"/>
      <x:c r="M3484" s="44" t="str"/>
      <x:c r="N3484" s="50" t="n">
        <x:v>42</x:v>
      </x:c>
      <x:c r="O3484" s="53" t="str">
        <x:v>After a cyber engineer and her family are killed in a targeted attack, Colin and Bill rush to stop the culprits before they strike again.</x:v>
      </x:c>
      <x:c r="P3484" s="53" t="str">
        <x:v>Official 2026 Dick Wolf / FBI spinoff. The unrelated 1992 CIA show at Trakt slug cia / IMDb tt0250140 is intentionally excluded.</x:v>
      </x:c>
      <x:c r="Q3484" s="17" t="str">
        <x:v>14022338</x:v>
      </x:c>
      <x:c r="R3484" s="17" t="str">
        <x:v>tt37526986</x:v>
      </x:c>
      <x:c r="S3484" s="17" t="str"/>
    </x:row>
    <x:row r="3485">
      <x:c r="A3485" s="43" t="n">
        <x:v>3481</x:v>
      </x:c>
      <x:c r="B3485" s="44" t="str">
        <x:v>Not Started</x:v>
      </x:c>
      <x:c r="C3485" s="45" t="n">
        <x:v>46105</x:v>
      </x:c>
      <x:c r="D3485" s="33" t="str">
        <x:v>FBI</x:v>
      </x:c>
      <x:c r="E3485" s="33" t="str">
        <x:v>FBI</x:v>
      </x:c>
      <x:c r="F3485" s="33" t="str">
        <x:v>core</x:v>
      </x:c>
      <x:c r="G3485" s="50" t="n">
        <x:v>8</x:v>
      </x:c>
      <x:c r="H3485" s="50" t="n">
        <x:v>15</x:v>
      </x:c>
      <x:c r="I3485" s="44" t="str">
        <x:v>08.15</x:v>
      </x:c>
      <x:c r="J3485" s="33" t="str">
        <x:v>Crusader</x:v>
      </x:c>
      <x:c r="K3485" s="33" t="str"/>
      <x:c r="L3485" s="33" t="str"/>
      <x:c r="M3485" s="44" t="str"/>
      <x:c r="N3485" s="50" t="n">
        <x:v>43</x:v>
      </x:c>
      <x:c r="O3485" s="53" t="str">
        <x:v>A dangerous drug kingpin from Eva's past resurfaces when two children and a daycare worker are killed due to an accidental drug exposure. While the team works the case, Eva wavers between her mission as an agent and her personal vendetta.</x:v>
      </x:c>
      <x:c r="P3485" s="53" t="str">
        <x:v>Core FBI franchise</x:v>
      </x:c>
      <x:c r="Q3485" s="17" t="str">
        <x:v>14044372</x:v>
      </x:c>
      <x:c r="R3485" s="17" t="str">
        <x:v>tt38206293</x:v>
      </x:c>
      <x:c r="S3485" s="17" t="str"/>
    </x:row>
    <x:row r="3486">
      <x:c r="A3486" s="43" t="n">
        <x:v>3482</x:v>
      </x:c>
      <x:c r="B3486" s="44" t="str">
        <x:v>Not Started</x:v>
      </x:c>
      <x:c r="C3486" s="45" t="n">
        <x:v>46108</x:v>
      </x:c>
      <x:c r="D3486" s="33" t="str">
        <x:v>Law &amp; Order Toronto: Criminal Intent</x:v>
      </x:c>
      <x:c r="E3486" s="33" t="str">
        <x:v>Law &amp; Order</x:v>
      </x:c>
      <x:c r="F3486" s="33" t="str">
        <x:v>core</x:v>
      </x:c>
      <x:c r="G3486" s="50" t="n">
        <x:v>3</x:v>
      </x:c>
      <x:c r="H3486" s="50" t="n">
        <x:v>4</x:v>
      </x:c>
      <x:c r="I3486" s="44" t="str">
        <x:v>03.04</x:v>
      </x:c>
      <x:c r="J3486" s="33" t="str">
        <x:v>Forget Me Not</x:v>
      </x:c>
      <x:c r="K3486" s="33" t="str"/>
      <x:c r="L3486" s="33" t="str"/>
      <x:c r="M3486" s="44" t="str"/>
      <x:c r="N3486" s="50" t="n">
        <x:v>44</x:v>
      </x:c>
      <x:c r="O3486" s="53" t="str">
        <x:v>Graff and Bateman are called to investigate, when a beloved resident at a retirement home is found dead of exposure, frozen to death in a nearby park.</x:v>
      </x:c>
      <x:c r="P3486" s="53" t="str">
        <x:v>Law &amp; Order international franchise</x:v>
      </x:c>
      <x:c r="Q3486" s="17" t="str">
        <x:v>14022344</x:v>
      </x:c>
      <x:c r="R3486" s="17" t="str">
        <x:v>tt37148419</x:v>
      </x:c>
      <x:c r="S3486" s="17" t="str"/>
    </x:row>
    <x:row r="3487">
      <x:c r="A3487" s="43" t="n">
        <x:v>3483</x:v>
      </x:c>
      <x:c r="B3487" s="44" t="str">
        <x:v>Not Started</x:v>
      </x:c>
      <x:c r="C3487" s="45" t="n">
        <x:v>46112</x:v>
      </x:c>
      <x:c r="D3487" s="33" t="str">
        <x:v>CIA (2026)</x:v>
      </x:c>
      <x:c r="E3487" s="33" t="str">
        <x:v>FBI</x:v>
      </x:c>
      <x:c r="F3487" s="33" t="str">
        <x:v>core</x:v>
      </x:c>
      <x:c r="G3487" s="50" t="n">
        <x:v>1</x:v>
      </x:c>
      <x:c r="H3487" s="50" t="n">
        <x:v>6</x:v>
      </x:c>
      <x:c r="I3487" s="44" t="str">
        <x:v>01.06</x:v>
      </x:c>
      <x:c r="J3487" s="33" t="str">
        <x:v>Pledge of Allegiance</x:v>
      </x:c>
      <x:c r="K3487" s="33" t="str"/>
      <x:c r="L3487" s="33" t="str"/>
      <x:c r="M3487" s="44" t="str"/>
      <x:c r="N3487" s="50" t="n">
        <x:v>43</x:v>
      </x:c>
      <x:c r="O3487" s="53" t="str">
        <x:v>After Colin receives a tip on an upcoming terror plot, the team recovers a young man who was kidnapped nine years ago in Turkey and dig into his time in captivity to help stop the attack. Meanwhile, Bill looks into someone very close to Colin.</x:v>
      </x:c>
      <x:c r="P3487" s="53" t="str">
        <x:v>Official 2026 Dick Wolf / FBI spinoff. The unrelated 1992 CIA show at Trakt slug cia / IMDb tt0250140 is intentionally excluded.</x:v>
      </x:c>
      <x:c r="Q3487" s="17" t="str">
        <x:v>14042971</x:v>
      </x:c>
      <x:c r="R3487" s="17" t="str">
        <x:v>tt37526987</x:v>
      </x:c>
      <x:c r="S3487" s="17" t="str"/>
    </x:row>
    <x:row r="3488">
      <x:c r="A3488" s="43" t="n">
        <x:v>3484</x:v>
      </x:c>
      <x:c r="B3488" s="44" t="str">
        <x:v>Not Started</x:v>
      </x:c>
      <x:c r="C3488" s="45" t="n">
        <x:v>46112</x:v>
      </x:c>
      <x:c r="D3488" s="33" t="str">
        <x:v>FBI</x:v>
      </x:c>
      <x:c r="E3488" s="33" t="str">
        <x:v>FBI</x:v>
      </x:c>
      <x:c r="F3488" s="33" t="str">
        <x:v>core</x:v>
      </x:c>
      <x:c r="G3488" s="50" t="n">
        <x:v>8</x:v>
      </x:c>
      <x:c r="H3488" s="50" t="n">
        <x:v>16</x:v>
      </x:c>
      <x:c r="I3488" s="44" t="str">
        <x:v>08.16</x:v>
      </x:c>
      <x:c r="J3488" s="33" t="str">
        <x:v>3 Up, 3 Down</x:v>
      </x:c>
      <x:c r="K3488" s="33" t="str"/>
      <x:c r="L3488" s="33" t="str"/>
      <x:c r="M3488" s="44" t="str"/>
      <x:c r="N3488" s="50" t="n">
        <x:v>43</x:v>
      </x:c>
      <x:c r="O3488" s="53" t="str">
        <x:v>A double homicide in Brooklyn sets the team after a corrupt longshoreman but they soon discover something sinister has been smuggled into NY. As they race to stop the threat, Isobel enlists the help of CIA's Deputy Chief of Station Nikki Reynard.</x:v>
      </x:c>
      <x:c r="P3488" s="53" t="str">
        <x:v>Core FBI franchise</x:v>
      </x:c>
      <x:c r="Q3488" s="17" t="str">
        <x:v>14047856</x:v>
      </x:c>
      <x:c r="R3488" s="17" t="str">
        <x:v>tt38206295</x:v>
      </x:c>
      <x:c r="S3488" s="17" t="str"/>
    </x:row>
    <x:row r="3489">
      <x:c r="A3489" s="43" t="n">
        <x:v>3485</x:v>
      </x:c>
      <x:c r="B3489" s="44" t="str">
        <x:v>Not Started</x:v>
      </x:c>
      <x:c r="C3489" s="45" t="n">
        <x:v>46114</x:v>
      </x:c>
      <x:c r="D3489" s="33" t="str">
        <x:v>Chicago Med</x:v>
      </x:c>
      <x:c r="E3489" s="33" t="str">
        <x:v>One Chicago</x:v>
      </x:c>
      <x:c r="F3489" s="33" t="str">
        <x:v>core</x:v>
      </x:c>
      <x:c r="G3489" s="50" t="n">
        <x:v>11</x:v>
      </x:c>
      <x:c r="H3489" s="50" t="n">
        <x:v>16</x:v>
      </x:c>
      <x:c r="I3489" s="44" t="str">
        <x:v>11.16</x:v>
      </x:c>
      <x:c r="J3489" s="33" t="str">
        <x:v>The Book of Charles</x:v>
      </x:c>
      <x:c r="K3489" s="33" t="str"/>
      <x:c r="L3489" s="33" t="str"/>
      <x:c r="M3489" s="44" t="str"/>
      <x:c r="N3489" s="50" t="n">
        <x:v>43</x:v>
      </x:c>
      <x:c r="O3489" s="53" t="str">
        <x:v>Dr. Charles grapples with his own mental health following a harrowing experience working the suicide prevention line.</x:v>
      </x:c>
      <x:c r="P3489" s="53" t="str">
        <x:v>Core One Chicago franchise</x:v>
      </x:c>
      <x:c r="Q3489" s="17" t="str">
        <x:v>13965637</x:v>
      </x:c>
      <x:c r="R3489" s="17" t="str">
        <x:v>tt38744573</x:v>
      </x:c>
      <x:c r="S3489" s="17" t="str"/>
    </x:row>
    <x:row r="3490">
      <x:c r="A3490" s="43" t="n">
        <x:v>3486</x:v>
      </x:c>
      <x:c r="B3490" s="44" t="str">
        <x:v>Not Started</x:v>
      </x:c>
      <x:c r="C3490" s="45" t="n">
        <x:v>46114</x:v>
      </x:c>
      <x:c r="D3490" s="33" t="str">
        <x:v>Chicago P.D.</x:v>
      </x:c>
      <x:c r="E3490" s="33" t="str">
        <x:v>One Chicago</x:v>
      </x:c>
      <x:c r="F3490" s="33" t="str">
        <x:v>core</x:v>
      </x:c>
      <x:c r="G3490" s="50" t="n">
        <x:v>13</x:v>
      </x:c>
      <x:c r="H3490" s="50" t="n">
        <x:v>16</x:v>
      </x:c>
      <x:c r="I3490" s="44" t="str">
        <x:v>13.16</x:v>
      </x:c>
      <x:c r="J3490" s="33" t="str">
        <x:v>Restored</x:v>
      </x:c>
      <x:c r="K3490" s="33" t="str"/>
      <x:c r="L3490" s="33" t="str"/>
      <x:c r="M3490" s="44" t="str"/>
      <x:c r="N3490" s="50" t="n">
        <x:v>43</x:v>
      </x:c>
      <x:c r="O3490" s="53" t="str">
        <x:v>Torres tries to stop the cycle of violence after a teenager is killed in an act of revenge.</x:v>
      </x:c>
      <x:c r="P3490" s="53" t="str">
        <x:v>Core One Chicago franchise; crossovers with SVU/FBI</x:v>
      </x:c>
      <x:c r="Q3490" s="17" t="str">
        <x:v>14044498</x:v>
      </x:c>
      <x:c r="R3490" s="17" t="str">
        <x:v>tt38744681</x:v>
      </x:c>
      <x:c r="S3490" s="17" t="str"/>
    </x:row>
    <x:row r="3491">
      <x:c r="A3491" s="43" t="n">
        <x:v>3487</x:v>
      </x:c>
      <x:c r="B3491" s="44" t="str">
        <x:v>Not Started</x:v>
      </x:c>
      <x:c r="C3491" s="45" t="n">
        <x:v>46114</x:v>
      </x:c>
      <x:c r="D3491" s="33" t="str">
        <x:v>Chicago Fire</x:v>
      </x:c>
      <x:c r="E3491" s="33" t="str">
        <x:v>One Chicago</x:v>
      </x:c>
      <x:c r="F3491" s="33" t="str">
        <x:v>core</x:v>
      </x:c>
      <x:c r="G3491" s="50" t="n">
        <x:v>14</x:v>
      </x:c>
      <x:c r="H3491" s="50" t="n">
        <x:v>16</x:v>
      </x:c>
      <x:c r="I3491" s="44" t="str">
        <x:v>14.16</x:v>
      </x:c>
      <x:c r="J3491" s="33" t="str">
        <x:v>Firehouse 66</x:v>
      </x:c>
      <x:c r="K3491" s="33" t="str"/>
      <x:c r="L3491" s="33" t="str"/>
      <x:c r="M3491" s="44" t="str"/>
      <x:c r="N3491" s="50" t="n">
        <x:v>42</x:v>
      </x:c>
      <x:c r="O3491" s="53" t="str">
        <x:v>Severide is forced to overcome obstacles at the firehouse. Cruz finds himself at a loss amid the new changes in his family.</x:v>
      </x:c>
      <x:c r="P3491" s="53" t="str">
        <x:v>Core One Chicago franchise</x:v>
      </x:c>
      <x:c r="Q3491" s="17" t="str">
        <x:v>13985831</x:v>
      </x:c>
      <x:c r="R3491" s="17" t="str">
        <x:v>tt38744617</x:v>
      </x:c>
      <x:c r="S3491" s="17" t="str"/>
    </x:row>
    <x:row r="3492">
      <x:c r="A3492" s="43" t="n">
        <x:v>3488</x:v>
      </x:c>
      <x:c r="B3492" s="44" t="str">
        <x:v>Not Started</x:v>
      </x:c>
      <x:c r="C3492" s="45" t="n">
        <x:v>46114</x:v>
      </x:c>
      <x:c r="D3492" s="33" t="str">
        <x:v>Law &amp; Order</x:v>
      </x:c>
      <x:c r="E3492" s="33" t="str">
        <x:v>Law &amp; Order</x:v>
      </x:c>
      <x:c r="F3492" s="33" t="str">
        <x:v>core</x:v>
      </x:c>
      <x:c r="G3492" s="50" t="n">
        <x:v>25</x:v>
      </x:c>
      <x:c r="H3492" s="50" t="n">
        <x:v>16</x:v>
      </x:c>
      <x:c r="I3492" s="44" t="str">
        <x:v>25.16</x:v>
      </x:c>
      <x:c r="J3492" s="33" t="str">
        <x:v>Fate's Cruel Joke</x:v>
      </x:c>
      <x:c r="K3492" s="33" t="str"/>
      <x:c r="L3492" s="33" t="str"/>
      <x:c r="M3492" s="44" t="str"/>
      <x:c r="N3492" s="50" t="n">
        <x:v>42</x:v>
      </x:c>
      <x:c r="O3492" s="53" t="str">
        <x:v>After a woman's body is discovered in a suitcase, Price and Maroun disagree over the charges to bring against the prime suspect. Riley faces scrutiny when he's involved in an on-duty car accident.</x:v>
      </x:c>
      <x:c r="P3492" s="53" t="str">
        <x:v>Core Law &amp; Order franchise</x:v>
      </x:c>
      <x:c r="Q3492" s="17" t="str">
        <x:v>14017598</x:v>
      </x:c>
      <x:c r="R3492" s="17" t="str">
        <x:v>tt39528017</x:v>
      </x:c>
      <x:c r="S3492" s="17" t="str">
        <x:v>1766</x:v>
      </x:c>
    </x:row>
    <x:row r="3493">
      <x:c r="A3493" s="43" t="n">
        <x:v>3489</x:v>
      </x:c>
      <x:c r="B3493" s="44" t="str">
        <x:v>Not Started</x:v>
      </x:c>
      <x:c r="C3493" s="45" t="n">
        <x:v>46114</x:v>
      </x:c>
      <x:c r="D3493" s="33" t="str">
        <x:v>Law &amp; Order: Special Victims Unit</x:v>
      </x:c>
      <x:c r="E3493" s="33" t="str">
        <x:v>Law &amp; Order</x:v>
      </x:c>
      <x:c r="F3493" s="33" t="str">
        <x:v>core</x:v>
      </x:c>
      <x:c r="G3493" s="50" t="n">
        <x:v>27</x:v>
      </x:c>
      <x:c r="H3493" s="50" t="n">
        <x:v>16</x:v>
      </x:c>
      <x:c r="I3493" s="44" t="str">
        <x:v>27.16</x:v>
      </x:c>
      <x:c r="J3493" s="33" t="str">
        <x:v>Vivid</x:v>
      </x:c>
      <x:c r="K3493" s="33" t="str"/>
      <x:c r="L3493" s="33" t="str"/>
      <x:c r="M3493" s="44" t="str"/>
      <x:c r="N3493" s="50" t="n">
        <x:v>43</x:v>
      </x:c>
      <x:c r="O3493" s="53" t="str">
        <x:v>With little evidence to guide them, the SVU steps in when a woman undergoing psychedelic-assisted therapy recovers a buried memory of assault. Curry starts a new position at SVU.</x:v>
      </x:c>
      <x:c r="P3493" s="53" t="str">
        <x:v>Core Law &amp; Order franchise</x:v>
      </x:c>
      <x:c r="Q3493" s="17" t="str">
        <x:v>14015424</x:v>
      </x:c>
      <x:c r="R3493" s="17" t="str">
        <x:v>tt39402077</x:v>
      </x:c>
      <x:c r="S3493" s="17" t="str">
        <x:v>1767</x:v>
      </x:c>
    </x:row>
    <x:row r="3494">
      <x:c r="A3494" s="43" t="n">
        <x:v>3490</x:v>
      </x:c>
      <x:c r="B3494" s="44" t="str">
        <x:v>Not Started</x:v>
      </x:c>
      <x:c r="C3494" s="45" t="n">
        <x:v>46115</x:v>
      </x:c>
      <x:c r="D3494" s="33" t="str">
        <x:v>Law &amp; Order Toronto: Criminal Intent</x:v>
      </x:c>
      <x:c r="E3494" s="33" t="str">
        <x:v>Law &amp; Order</x:v>
      </x:c>
      <x:c r="F3494" s="33" t="str">
        <x:v>core</x:v>
      </x:c>
      <x:c r="G3494" s="50" t="n">
        <x:v>3</x:v>
      </x:c>
      <x:c r="H3494" s="50" t="n">
        <x:v>5</x:v>
      </x:c>
      <x:c r="I3494" s="44" t="str">
        <x:v>03.05</x:v>
      </x:c>
      <x:c r="J3494" s="33" t="str">
        <x:v>Up To Snuff</x:v>
      </x:c>
      <x:c r="K3494" s="33" t="str"/>
      <x:c r="L3494" s="33" t="str"/>
      <x:c r="M3494" s="44" t="str"/>
      <x:c r="N3494" s="50" t="n">
        <x:v>44</x:v>
      </x:c>
      <x:c r="O3494" s="53" t="str">
        <x:v>When a genuine snuff film is aired at a local film festival, Graff and Bateman are asked to investigate.</x:v>
      </x:c>
      <x:c r="P3494" s="53" t="str">
        <x:v>Law &amp; Order international franchise</x:v>
      </x:c>
      <x:c r="Q3494" s="17" t="str">
        <x:v>14022345</x:v>
      </x:c>
      <x:c r="R3494" s="17" t="str">
        <x:v>tt37305492</x:v>
      </x:c>
      <x:c r="S3494" s="17" t="str"/>
    </x:row>
    <x:row r="3495">
      <x:c r="A3495" s="43" t="n">
        <x:v>3491</x:v>
      </x:c>
      <x:c r="B3495" s="44" t="str">
        <x:v>Not Started</x:v>
      </x:c>
      <x:c r="C3495" s="45" t="n">
        <x:v>46121</x:v>
      </x:c>
      <x:c r="D3495" s="33" t="str">
        <x:v>Chicago Med</x:v>
      </x:c>
      <x:c r="E3495" s="33" t="str">
        <x:v>One Chicago</x:v>
      </x:c>
      <x:c r="F3495" s="33" t="str">
        <x:v>core</x:v>
      </x:c>
      <x:c r="G3495" s="50" t="n">
        <x:v>11</x:v>
      </x:c>
      <x:c r="H3495" s="50" t="n">
        <x:v>17</x:v>
      </x:c>
      <x:c r="I3495" s="44" t="str">
        <x:v>11.17</x:v>
      </x:c>
      <x:c r="J3495" s="33" t="str">
        <x:v>Altered States</x:v>
      </x:c>
      <x:c r="K3495" s="33" t="str"/>
      <x:c r="L3495" s="33" t="str"/>
      <x:c r="M3495" s="44" t="str"/>
      <x:c r="N3495" s="50" t="n">
        <x:v>43</x:v>
      </x:c>
      <x:c r="O3495" s="53" t="str">
        <x:v>The doctors at Gaffney work to save one of their own in critical danger. Hannah finds herself at odds with the ob-gyn who will fill in for her maternity leave.</x:v>
      </x:c>
      <x:c r="P3495" s="53" t="str">
        <x:v>Core One Chicago franchise</x:v>
      </x:c>
      <x:c r="Q3495" s="17" t="str">
        <x:v>14044491</x:v>
      </x:c>
      <x:c r="R3495" s="17" t="str">
        <x:v>tt38744577</x:v>
      </x:c>
      <x:c r="S3495" s="17" t="str"/>
    </x:row>
    <x:row r="3496">
      <x:c r="A3496" s="43" t="n">
        <x:v>3492</x:v>
      </x:c>
      <x:c r="B3496" s="44" t="str">
        <x:v>Not Started</x:v>
      </x:c>
      <x:c r="C3496" s="45" t="n">
        <x:v>46121</x:v>
      </x:c>
      <x:c r="D3496" s="33" t="str">
        <x:v>Chicago P.D.</x:v>
      </x:c>
      <x:c r="E3496" s="33" t="str">
        <x:v>One Chicago</x:v>
      </x:c>
      <x:c r="F3496" s="33" t="str">
        <x:v>core</x:v>
      </x:c>
      <x:c r="G3496" s="50" t="n">
        <x:v>13</x:v>
      </x:c>
      <x:c r="H3496" s="50" t="n">
        <x:v>17</x:v>
      </x:c>
      <x:c r="I3496" s="44" t="str">
        <x:v>13.17</x:v>
      </x:c>
      <x:c r="J3496" s="33" t="str">
        <x:v>Partners</x:v>
      </x:c>
      <x:c r="K3496" s="33" t="str"/>
      <x:c r="L3496" s="33" t="str"/>
      <x:c r="M3496" s="44" t="str"/>
      <x:c r="N3496" s="50" t="n">
        <x:v>42</x:v>
      </x:c>
      <x:c r="O3496" s="53" t="str">
        <x:v>Tensions between Voight and Imani begin to form when a series of ATM robberies hits the city.</x:v>
      </x:c>
      <x:c r="P3496" s="53" t="str">
        <x:v>Core One Chicago franchise; crossovers with SVU/FBI</x:v>
      </x:c>
      <x:c r="Q3496" s="17" t="str">
        <x:v>14044499</x:v>
      </x:c>
      <x:c r="R3496" s="17" t="str">
        <x:v>tt38744685</x:v>
      </x:c>
      <x:c r="S3496" s="17" t="str"/>
    </x:row>
    <x:row r="3497">
      <x:c r="A3497" s="43" t="n">
        <x:v>3493</x:v>
      </x:c>
      <x:c r="B3497" s="44" t="str">
        <x:v>Not Started</x:v>
      </x:c>
      <x:c r="C3497" s="45" t="n">
        <x:v>46121</x:v>
      </x:c>
      <x:c r="D3497" s="33" t="str">
        <x:v>Chicago Fire</x:v>
      </x:c>
      <x:c r="E3497" s="33" t="str">
        <x:v>One Chicago</x:v>
      </x:c>
      <x:c r="F3497" s="33" t="str">
        <x:v>core</x:v>
      </x:c>
      <x:c r="G3497" s="50" t="n">
        <x:v>14</x:v>
      </x:c>
      <x:c r="H3497" s="50" t="n">
        <x:v>17</x:v>
      </x:c>
      <x:c r="I3497" s="44" t="str">
        <x:v>14.17</x:v>
      </x:c>
      <x:c r="J3497" s="33" t="str">
        <x:v>Sway</x:v>
      </x:c>
      <x:c r="K3497" s="33" t="str"/>
      <x:c r="L3497" s="33" t="str"/>
      <x:c r="M3497" s="44" t="str"/>
      <x:c r="N3497" s="50" t="n">
        <x:v>43</x:v>
      </x:c>
      <x:c r="O3497" s="53" t="str">
        <x:v>After a devastating fire erupts at a surgery center, Kidd works to hunt down the true cause. Violet, Novak and Vasquez grapple with shifting relationships. Molly's hosts its first trivia night.</x:v>
      </x:c>
      <x:c r="P3497" s="53" t="str">
        <x:v>Core One Chicago franchise</x:v>
      </x:c>
      <x:c r="Q3497" s="17" t="str">
        <x:v>14046783</x:v>
      </x:c>
      <x:c r="R3497" s="17" t="str">
        <x:v>tt38744620</x:v>
      </x:c>
      <x:c r="S3497" s="17" t="str"/>
    </x:row>
    <x:row r="3498">
      <x:c r="A3498" s="43" t="n">
        <x:v>3494</x:v>
      </x:c>
      <x:c r="B3498" s="44" t="str">
        <x:v>Not Started</x:v>
      </x:c>
      <x:c r="C3498" s="45" t="n">
        <x:v>46121</x:v>
      </x:c>
      <x:c r="D3498" s="33" t="str">
        <x:v>Law &amp; Order</x:v>
      </x:c>
      <x:c r="E3498" s="33" t="str">
        <x:v>Law &amp; Order</x:v>
      </x:c>
      <x:c r="F3498" s="33" t="str">
        <x:v>core</x:v>
      </x:c>
      <x:c r="G3498" s="50" t="n">
        <x:v>25</x:v>
      </x:c>
      <x:c r="H3498" s="50" t="n">
        <x:v>17</x:v>
      </x:c>
      <x:c r="I3498" s="44" t="str">
        <x:v>25.17</x:v>
      </x:c>
      <x:c r="J3498" s="33" t="str">
        <x:v>Beyond Measure</x:v>
      </x:c>
      <x:c r="K3498" s="33" t="str"/>
      <x:c r="L3498" s="33" t="str"/>
      <x:c r="M3498" s="44" t="str"/>
      <x:c r="N3498" s="50" t="n">
        <x:v>41</x:v>
      </x:c>
      <x:c r="O3498" s="53" t="str">
        <x:v>Riley and Walker investigate the murder of a beloved museum security guard and the theft of a priceless artifact. Baxter and Price must balance their pursuit of justice with public pressure to return the artifact.</x:v>
      </x:c>
      <x:c r="P3498" s="53" t="str">
        <x:v>Core Law &amp; Order franchise</x:v>
      </x:c>
      <x:c r="Q3498" s="17" t="str">
        <x:v>14090676</x:v>
      </x:c>
      <x:c r="R3498" s="17" t="str">
        <x:v>tt39753117</x:v>
      </x:c>
      <x:c r="S3498" s="17" t="str">
        <x:v>1768</x:v>
      </x:c>
    </x:row>
    <x:row r="3499">
      <x:c r="A3499" s="43" t="n">
        <x:v>3495</x:v>
      </x:c>
      <x:c r="B3499" s="44" t="str">
        <x:v>Not Started</x:v>
      </x:c>
      <x:c r="C3499" s="45" t="n">
        <x:v>46121</x:v>
      </x:c>
      <x:c r="D3499" s="33" t="str">
        <x:v>Law &amp; Order: Special Victims Unit</x:v>
      </x:c>
      <x:c r="E3499" s="33" t="str">
        <x:v>Law &amp; Order</x:v>
      </x:c>
      <x:c r="F3499" s="33" t="str">
        <x:v>core</x:v>
      </x:c>
      <x:c r="G3499" s="50" t="n">
        <x:v>27</x:v>
      </x:c>
      <x:c r="H3499" s="50" t="n">
        <x:v>17</x:v>
      </x:c>
      <x:c r="I3499" s="44" t="str">
        <x:v>27.17</x:v>
      </x:c>
      <x:c r="J3499" s="33" t="str">
        <x:v>Deep Under</x:v>
      </x:c>
      <x:c r="K3499" s="33" t="str"/>
      <x:c r="L3499" s="33" t="str"/>
      <x:c r="M3499" s="44" t="str"/>
      <x:c r="N3499" s="50" t="n">
        <x:v>43</x:v>
      </x:c>
      <x:c r="O3499" s="53" t="str">
        <x:v>Benson is shocked to find undercover Detective Velasco at the center of a sex trafficking bust. When more women are smuggled into the city, a rescued victim begs SVU to help save her sister.</x:v>
      </x:c>
      <x:c r="P3499" s="53" t="str">
        <x:v>Core Law &amp; Order franchise</x:v>
      </x:c>
      <x:c r="Q3499" s="17" t="str">
        <x:v>14059837</x:v>
      </x:c>
      <x:c r="R3499" s="17" t="str">
        <x:v>tt39392379</x:v>
      </x:c>
      <x:c r="S3499" s="17" t="str">
        <x:v>1769</x:v>
      </x:c>
    </x:row>
    <x:row r="3500">
      <x:c r="A3500" s="43" t="n">
        <x:v>3496</x:v>
      </x:c>
      <x:c r="B3500" s="44" t="str">
        <x:v>Not Started</x:v>
      </x:c>
      <x:c r="C3500" s="45" t="n">
        <x:v>46122</x:v>
      </x:c>
      <x:c r="D3500" s="33" t="str">
        <x:v>Law &amp; Order Toronto: Criminal Intent</x:v>
      </x:c>
      <x:c r="E3500" s="33" t="str">
        <x:v>Law &amp; Order</x:v>
      </x:c>
      <x:c r="F3500" s="33" t="str">
        <x:v>core</x:v>
      </x:c>
      <x:c r="G3500" s="50" t="n">
        <x:v>3</x:v>
      </x:c>
      <x:c r="H3500" s="50" t="n">
        <x:v>6</x:v>
      </x:c>
      <x:c r="I3500" s="44" t="str">
        <x:v>03.06</x:v>
      </x:c>
      <x:c r="J3500" s="33" t="str">
        <x:v>Family Meal</x:v>
      </x:c>
      <x:c r="K3500" s="33" t="str"/>
      <x:c r="L3500" s="33" t="str"/>
      <x:c r="M3500" s="44" t="str"/>
      <x:c r="N3500" s="50" t="n">
        <x:v>44</x:v>
      </x:c>
      <x:c r="O3500" s="53" t="str">
        <x:v>Graff and Bateman investigate the death of a high-flying corporate consultant, who lives for facts and numbers.</x:v>
      </x:c>
      <x:c r="P3500" s="53" t="str">
        <x:v>Law &amp; Order international franchise</x:v>
      </x:c>
      <x:c r="Q3500" s="17" t="str">
        <x:v>14022346</x:v>
      </x:c>
      <x:c r="R3500" s="17" t="str">
        <x:v>tt37626232</x:v>
      </x:c>
      <x:c r="S3500" s="17" t="str"/>
    </x:row>
    <x:row r="3501">
      <x:c r="A3501" s="43" t="n">
        <x:v>3497</x:v>
      </x:c>
      <x:c r="B3501" s="44" t="str">
        <x:v>Not Started</x:v>
      </x:c>
      <x:c r="C3501" s="45" t="n">
        <x:v>46126</x:v>
      </x:c>
      <x:c r="D3501" s="33" t="str">
        <x:v>CIA (2026)</x:v>
      </x:c>
      <x:c r="E3501" s="33" t="str">
        <x:v>FBI</x:v>
      </x:c>
      <x:c r="F3501" s="33" t="str">
        <x:v>core</x:v>
      </x:c>
      <x:c r="G3501" s="50" t="n">
        <x:v>1</x:v>
      </x:c>
      <x:c r="H3501" s="50" t="n">
        <x:v>7</x:v>
      </x:c>
      <x:c r="I3501" s="44" t="str">
        <x:v>01.07</x:v>
      </x:c>
      <x:c r="J3501" s="33" t="str">
        <x:v>Elimination Game</x:v>
      </x:c>
      <x:c r="K3501" s="33" t="str"/>
      <x:c r="L3501" s="33" t="str"/>
      <x:c r="M3501" s="44" t="str"/>
      <x:c r="N3501" s="50" t="n">
        <x:v>41</x:v>
      </x:c>
      <x:c r="O3501" s="53" t="str">
        <x:v>When handling security for an international soccer game, a bomb threat leads Colin and Bill to two players who are being hunted after they go missing. As the case evolves, the team leans on FBI's Special Agent in Charge Isobel Castille.</x:v>
      </x:c>
      <x:c r="P3501" s="53" t="str">
        <x:v>Official 2026 Dick Wolf / FBI spinoff. The unrelated 1992 CIA show at Trakt slug cia / IMDb tt0250140 is intentionally excluded.</x:v>
      </x:c>
      <x:c r="Q3501" s="17" t="str">
        <x:v>14044459</x:v>
      </x:c>
      <x:c r="R3501" s="17" t="str">
        <x:v>tt37526989</x:v>
      </x:c>
      <x:c r="S3501" s="17" t="str"/>
    </x:row>
    <x:row r="3502">
      <x:c r="A3502" s="43" t="n">
        <x:v>3498</x:v>
      </x:c>
      <x:c r="B3502" s="44" t="str">
        <x:v>Not Started</x:v>
      </x:c>
      <x:c r="C3502" s="45" t="n">
        <x:v>46126</x:v>
      </x:c>
      <x:c r="D3502" s="33" t="str">
        <x:v>FBI</x:v>
      </x:c>
      <x:c r="E3502" s="33" t="str">
        <x:v>FBI</x:v>
      </x:c>
      <x:c r="F3502" s="33" t="str">
        <x:v>core</x:v>
      </x:c>
      <x:c r="G3502" s="50" t="n">
        <x:v>8</x:v>
      </x:c>
      <x:c r="H3502" s="50" t="n">
        <x:v>17</x:v>
      </x:c>
      <x:c r="I3502" s="44" t="str">
        <x:v>08.17</x:v>
      </x:c>
      <x:c r="J3502" s="33" t="str">
        <x:v>Shahadah</x:v>
      </x:c>
      <x:c r="K3502" s="33" t="str"/>
      <x:c r="L3502" s="33" t="str"/>
      <x:c r="M3502" s="44" t="str"/>
      <x:c r="N3502" s="50" t="n">
        <x:v>43</x:v>
      </x:c>
      <x:c r="O3502" s="53" t="str">
        <x:v>When the body of a VA psychiatrist is found tortured and deceased under a nearby overpass, the team is led to a suspicious religious leader with a hefty online presence. Meanwhile, OA builds a connection with Special Agent Zara Ushruf who assists on the case.</x:v>
      </x:c>
      <x:c r="P3502" s="53" t="str">
        <x:v>Core FBI franchise</x:v>
      </x:c>
      <x:c r="Q3502" s="17" t="str">
        <x:v>14079981</x:v>
      </x:c>
      <x:c r="R3502" s="17" t="str">
        <x:v>tt38206298</x:v>
      </x:c>
      <x:c r="S3502" s="17" t="str"/>
    </x:row>
    <x:row r="3503">
      <x:c r="A3503" s="43" t="n">
        <x:v>3499</x:v>
      </x:c>
      <x:c r="B3503" s="44" t="str">
        <x:v>Not Started</x:v>
      </x:c>
      <x:c r="C3503" s="45" t="n">
        <x:v>46133</x:v>
      </x:c>
      <x:c r="D3503" s="33" t="str">
        <x:v>CIA (2026)</x:v>
      </x:c>
      <x:c r="E3503" s="33" t="str">
        <x:v>FBI</x:v>
      </x:c>
      <x:c r="F3503" s="33" t="str">
        <x:v>core</x:v>
      </x:c>
      <x:c r="G3503" s="50" t="n">
        <x:v>1</x:v>
      </x:c>
      <x:c r="H3503" s="50" t="n">
        <x:v>8</x:v>
      </x:c>
      <x:c r="I3503" s="44" t="str">
        <x:v>01.08</x:v>
      </x:c>
      <x:c r="J3503" s="33" t="str">
        <x:v>Orbital</x:v>
      </x:c>
      <x:c r="K3503" s="33" t="str"/>
      <x:c r="L3503" s="33" t="str"/>
      <x:c r="M3503" s="44" t="str"/>
      <x:c r="N3503" s="50" t="n">
        <x:v>43</x:v>
      </x:c>
      <x:c r="O3503" s="53" t="str">
        <x:v>When a crashed satellite containing dangerous nuclear material disappears, Bill and Colin work with an undercover Gina to recruit the help of a retired arms dealer to help track it down.</x:v>
      </x:c>
      <x:c r="P3503" s="53" t="str">
        <x:v>Official 2026 Dick Wolf / FBI spinoff. The unrelated 1992 CIA show at Trakt slug cia / IMDb tt0250140 is intentionally excluded.</x:v>
      </x:c>
      <x:c r="Q3503" s="17" t="str">
        <x:v>14044460</x:v>
      </x:c>
      <x:c r="R3503" s="17" t="str">
        <x:v>tt37526991</x:v>
      </x:c>
      <x:c r="S3503" s="17" t="str"/>
    </x:row>
    <x:row r="3504">
      <x:c r="A3504" s="43" t="n">
        <x:v>3500</x:v>
      </x:c>
      <x:c r="B3504" s="44" t="str">
        <x:v>Not Started</x:v>
      </x:c>
      <x:c r="C3504" s="45" t="n">
        <x:v>46133</x:v>
      </x:c>
      <x:c r="D3504" s="33" t="str">
        <x:v>FBI</x:v>
      </x:c>
      <x:c r="E3504" s="33" t="str">
        <x:v>FBI</x:v>
      </x:c>
      <x:c r="F3504" s="33" t="str">
        <x:v>core</x:v>
      </x:c>
      <x:c r="G3504" s="50" t="n">
        <x:v>8</x:v>
      </x:c>
      <x:c r="H3504" s="50" t="n">
        <x:v>18</x:v>
      </x:c>
      <x:c r="I3504" s="44" t="str">
        <x:v>08.18</x:v>
      </x:c>
      <x:c r="J3504" s="33" t="str">
        <x:v>Behavior</x:v>
      </x:c>
      <x:c r="K3504" s="33" t="str"/>
      <x:c r="L3504" s="33" t="str"/>
      <x:c r="M3504" s="44" t="str"/>
      <x:c r="N3504" s="50" t="n">
        <x:v>43</x:v>
      </x:c>
      <x:c r="O3504" s="53" t="str">
        <x:v>When a single mother and her son are abducted while visiting a state park, Maggie brings in Peter Olsen to help profile their suspect. But as the team works, they make a harrowing discovery about an old case.</x:v>
      </x:c>
      <x:c r="P3504" s="53" t="str">
        <x:v>Core FBI franchise</x:v>
      </x:c>
      <x:c r="Q3504" s="17" t="str">
        <x:v>14085187</x:v>
      </x:c>
      <x:c r="R3504" s="17" t="str">
        <x:v>tt38206299</x:v>
      </x:c>
      <x:c r="S3504" s="17" t="str"/>
    </x:row>
    <x:row r="3505">
      <x:c r="A3505" s="43" t="n">
        <x:v>3501</x:v>
      </x:c>
      <x:c r="B3505" s="44" t="str">
        <x:v>Not Started</x:v>
      </x:c>
      <x:c r="C3505" s="45" t="n">
        <x:v>46135</x:v>
      </x:c>
      <x:c r="D3505" s="33" t="str">
        <x:v>Chicago Med</x:v>
      </x:c>
      <x:c r="E3505" s="33" t="str">
        <x:v>One Chicago</x:v>
      </x:c>
      <x:c r="F3505" s="33" t="str">
        <x:v>core</x:v>
      </x:c>
      <x:c r="G3505" s="50" t="n">
        <x:v>11</x:v>
      </x:c>
      <x:c r="H3505" s="50" t="n">
        <x:v>18</x:v>
      </x:c>
      <x:c r="I3505" s="44" t="str">
        <x:v>11.18</x:v>
      </x:c>
      <x:c r="J3505" s="33" t="str">
        <x:v>Things Left Unsaid</x:v>
      </x:c>
      <x:c r="K3505" s="33" t="str"/>
      <x:c r="L3505" s="33" t="str"/>
      <x:c r="M3505" s="44" t="str"/>
      <x:c r="N3505" s="50" t="n">
        <x:v>43</x:v>
      </x:c>
      <x:c r="O3505" s="53" t="str">
        <x:v>A horrific car accident puts a family's fate in the hands of the Gaffney staff. Ripley questions Lenox and her increasingly reckless behavior.</x:v>
      </x:c>
      <x:c r="P3505" s="53" t="str">
        <x:v>Core One Chicago franchise</x:v>
      </x:c>
      <x:c r="Q3505" s="17" t="str">
        <x:v>14069632</x:v>
      </x:c>
      <x:c r="R3505" s="17" t="str">
        <x:v>tt38744581</x:v>
      </x:c>
      <x:c r="S3505" s="17" t="str"/>
    </x:row>
    <x:row r="3506">
      <x:c r="A3506" s="43" t="n">
        <x:v>3502</x:v>
      </x:c>
      <x:c r="B3506" s="44" t="str">
        <x:v>Not Started</x:v>
      </x:c>
      <x:c r="C3506" s="45" t="n">
        <x:v>46135</x:v>
      </x:c>
      <x:c r="D3506" s="33" t="str">
        <x:v>Chicago P.D.</x:v>
      </x:c>
      <x:c r="E3506" s="33" t="str">
        <x:v>One Chicago</x:v>
      </x:c>
      <x:c r="F3506" s="33" t="str">
        <x:v>core</x:v>
      </x:c>
      <x:c r="G3506" s="50" t="n">
        <x:v>13</x:v>
      </x:c>
      <x:c r="H3506" s="50" t="n">
        <x:v>18</x:v>
      </x:c>
      <x:c r="I3506" s="44" t="str">
        <x:v>13.18</x:v>
      </x:c>
      <x:c r="J3506" s="33" t="str">
        <x:v>The Wicked River</x:v>
      </x:c>
      <x:c r="K3506" s="33" t="str"/>
      <x:c r="L3506" s="33" t="str"/>
      <x:c r="M3506" s="44" t="str"/>
      <x:c r="N3506" s="50" t="n">
        <x:v>43</x:v>
      </x:c>
      <x:c r="O3506" s="53" t="str">
        <x:v>A deadly house party leads the Intelligence Unit to uncover a family's alarming secret. Atwater faces a personal turning point.</x:v>
      </x:c>
      <x:c r="P3506" s="53" t="str">
        <x:v>Core One Chicago franchise; crossovers with SVU/FBI</x:v>
      </x:c>
      <x:c r="Q3506" s="17" t="str">
        <x:v>14069670</x:v>
      </x:c>
      <x:c r="R3506" s="17" t="str">
        <x:v>tt38744688</x:v>
      </x:c>
      <x:c r="S3506" s="17" t="str"/>
    </x:row>
    <x:row r="3507">
      <x:c r="A3507" s="43" t="n">
        <x:v>3503</x:v>
      </x:c>
      <x:c r="B3507" s="44" t="str">
        <x:v>Not Started</x:v>
      </x:c>
      <x:c r="C3507" s="45" t="n">
        <x:v>46135</x:v>
      </x:c>
      <x:c r="D3507" s="33" t="str">
        <x:v>Chicago Fire</x:v>
      </x:c>
      <x:c r="E3507" s="33" t="str">
        <x:v>One Chicago</x:v>
      </x:c>
      <x:c r="F3507" s="33" t="str">
        <x:v>core</x:v>
      </x:c>
      <x:c r="G3507" s="50" t="n">
        <x:v>14</x:v>
      </x:c>
      <x:c r="H3507" s="50" t="n">
        <x:v>18</x:v>
      </x:c>
      <x:c r="I3507" s="44" t="str">
        <x:v>14.18</x:v>
      </x:c>
      <x:c r="J3507" s="33" t="str">
        <x:v>Instinct</x:v>
      </x:c>
      <x:c r="K3507" s="33" t="str"/>
      <x:c r="L3507" s="33" t="str"/>
      <x:c r="M3507" s="44" t="str"/>
      <x:c r="N3507" s="50" t="n">
        <x:v>43</x:v>
      </x:c>
      <x:c r="O3507" s="53" t="str">
        <x:v>While in the field, Violet and Novak are thrust into a dangerous and rapidly escalating situation, forcing them to rely on their instincts to protect both themselves and a vulnerable patient.</x:v>
      </x:c>
      <x:c r="P3507" s="53" t="str">
        <x:v>Core One Chicago franchise</x:v>
      </x:c>
      <x:c r="Q3507" s="17" t="str">
        <x:v>14069663</x:v>
      </x:c>
      <x:c r="R3507" s="17" t="str">
        <x:v>tt38744623</x:v>
      </x:c>
      <x:c r="S3507" s="17" t="str"/>
    </x:row>
    <x:row r="3508">
      <x:c r="A3508" s="43" t="n">
        <x:v>3504</x:v>
      </x:c>
      <x:c r="B3508" s="44" t="str">
        <x:v>Not Started</x:v>
      </x:c>
      <x:c r="C3508" s="45" t="n">
        <x:v>46135</x:v>
      </x:c>
      <x:c r="D3508" s="33" t="str">
        <x:v>Law &amp; Order</x:v>
      </x:c>
      <x:c r="E3508" s="33" t="str">
        <x:v>Law &amp; Order</x:v>
      </x:c>
      <x:c r="F3508" s="33" t="str">
        <x:v>core</x:v>
      </x:c>
      <x:c r="G3508" s="50" t="n">
        <x:v>25</x:v>
      </x:c>
      <x:c r="H3508" s="50" t="n">
        <x:v>18</x:v>
      </x:c>
      <x:c r="I3508" s="44" t="str">
        <x:v>25.18</x:v>
      </x:c>
      <x:c r="J3508" s="33" t="str">
        <x:v>Ride or Die</x:v>
      </x:c>
      <x:c r="K3508" s="33" t="str"/>
      <x:c r="L3508" s="33" t="str"/>
      <x:c r="M3508" s="44" t="str"/>
      <x:c r="N3508" s="50" t="n">
        <x:v>43</x:v>
      </x:c>
      <x:c r="O3508" s="53" t="str">
        <x:v>A talented local news reporter is brutally murdered. Maroun's mentor takes the case for the defense, pitting Maroun against the woman who shaped her career.</x:v>
      </x:c>
      <x:c r="P3508" s="53" t="str">
        <x:v>Core Law &amp; Order franchise</x:v>
      </x:c>
      <x:c r="Q3508" s="17" t="str">
        <x:v>14090677</x:v>
      </x:c>
      <x:c r="R3508" s="17" t="str">
        <x:v>tt40061015</x:v>
      </x:c>
      <x:c r="S3508" s="17" t="str">
        <x:v>1770</x:v>
      </x:c>
    </x:row>
    <x:row r="3509">
      <x:c r="A3509" s="43" t="n">
        <x:v>3505</x:v>
      </x:c>
      <x:c r="B3509" s="44" t="str">
        <x:v>Not Started</x:v>
      </x:c>
      <x:c r="C3509" s="45" t="n">
        <x:v>46135</x:v>
      </x:c>
      <x:c r="D3509" s="33" t="str">
        <x:v>Law &amp; Order: Special Victims Unit</x:v>
      </x:c>
      <x:c r="E3509" s="33" t="str">
        <x:v>Law &amp; Order</x:v>
      </x:c>
      <x:c r="F3509" s="33" t="str">
        <x:v>core</x:v>
      </x:c>
      <x:c r="G3509" s="50" t="n">
        <x:v>27</x:v>
      </x:c>
      <x:c r="H3509" s="50" t="n">
        <x:v>18</x:v>
      </x:c>
      <x:c r="I3509" s="44" t="str">
        <x:v>27.18</x:v>
      </x:c>
      <x:c r="J3509" s="33" t="str">
        <x:v>Gimmick</x:v>
      </x:c>
      <x:c r="K3509" s="33" t="str"/>
      <x:c r="L3509" s="33" t="str"/>
      <x:c r="M3509" s="44" t="str"/>
      <x:c r="N3509" s="50" t="n">
        <x:v>43</x:v>
      </x:c>
      <x:c r="O3509" s="53" t="str">
        <x:v>A mysterious death in a hotel leads the squad into the world of professional fighting. Benson tries to convince a victim to come forward for the sake of his friend.</x:v>
      </x:c>
      <x:c r="P3509" s="53" t="str">
        <x:v>Core Law &amp; Order franchise</x:v>
      </x:c>
      <x:c r="Q3509" s="17" t="str">
        <x:v>14088196</x:v>
      </x:c>
      <x:c r="R3509" s="17" t="str">
        <x:v>tt39469487</x:v>
      </x:c>
      <x:c r="S3509" s="17" t="str">
        <x:v>1771</x:v>
      </x:c>
    </x:row>
    <x:row r="3510">
      <x:c r="A3510" s="43" t="n">
        <x:v>3506</x:v>
      </x:c>
      <x:c r="B3510" s="44" t="str">
        <x:v>Not Started</x:v>
      </x:c>
      <x:c r="C3510" s="45" t="n">
        <x:v>46136</x:v>
      </x:c>
      <x:c r="D3510" s="33" t="str">
        <x:v>Law &amp; Order Toronto: Criminal Intent</x:v>
      </x:c>
      <x:c r="E3510" s="33" t="str">
        <x:v>Law &amp; Order</x:v>
      </x:c>
      <x:c r="F3510" s="33" t="str">
        <x:v>core</x:v>
      </x:c>
      <x:c r="G3510" s="50" t="n">
        <x:v>3</x:v>
      </x:c>
      <x:c r="H3510" s="50" t="n">
        <x:v>7</x:v>
      </x:c>
      <x:c r="I3510" s="44" t="str">
        <x:v>03.07</x:v>
      </x:c>
      <x:c r="J3510" s="33" t="str">
        <x:v>Whole Lotta Love</x:v>
      </x:c>
      <x:c r="K3510" s="33" t="str"/>
      <x:c r="L3510" s="33" t="str"/>
      <x:c r="M3510" s="44" t="str"/>
      <x:c r="N3510" s="50" t="n">
        <x:v>44</x:v>
      </x:c>
      <x:c r="O3510" s="53" t="str">
        <x:v>When a promising student is found stabbed to death on her university campus, Graff and Bateman are called in to investigate her murder.</x:v>
      </x:c>
      <x:c r="P3510" s="53" t="str">
        <x:v>Law &amp; Order international franchise</x:v>
      </x:c>
      <x:c r="Q3510" s="17" t="str">
        <x:v>14022347</x:v>
      </x:c>
      <x:c r="R3510" s="17" t="str">
        <x:v>tt37181133</x:v>
      </x:c>
      <x:c r="S3510" s="17" t="str"/>
    </x:row>
    <x:row r="3511">
      <x:c r="A3511" s="43" t="n">
        <x:v>3507</x:v>
      </x:c>
      <x:c r="B3511" s="44" t="str">
        <x:v>Not Started</x:v>
      </x:c>
      <x:c r="C3511" s="45" t="n">
        <x:v>46140</x:v>
      </x:c>
      <x:c r="D3511" s="33" t="str">
        <x:v>CIA (2026)</x:v>
      </x:c>
      <x:c r="E3511" s="33" t="str">
        <x:v>FBI</x:v>
      </x:c>
      <x:c r="F3511" s="33" t="str">
        <x:v>core</x:v>
      </x:c>
      <x:c r="G3511" s="50" t="n">
        <x:v>1</x:v>
      </x:c>
      <x:c r="H3511" s="50" t="n">
        <x:v>9</x:v>
      </x:c>
      <x:c r="I3511" s="44" t="str">
        <x:v>01.09</x:v>
      </x:c>
      <x:c r="J3511" s="33" t="str">
        <x:v>Blood Money</x:v>
      </x:c>
      <x:c r="K3511" s="33" t="str"/>
      <x:c r="L3511" s="33" t="str"/>
      <x:c r="M3511" s="44" t="str"/>
      <x:c r="N3511" s="50" t="n">
        <x:v>43</x:v>
      </x:c>
      <x:c r="O3511" s="53" t="str">
        <x:v>A woman with intel on a dangerous terror leader connects Colin and Bill to a family business engaged in terror operations. Now, they must find and turn a new asset to take down the entire operation. Meanwhile, Bill makes a shocking discovery.</x:v>
      </x:c>
      <x:c r="P3511" s="53" t="str">
        <x:v>Official 2026 Dick Wolf / FBI spinoff. The unrelated 1992 CIA show at Trakt slug cia / IMDb tt0250140 is intentionally excluded.</x:v>
      </x:c>
      <x:c r="Q3511" s="17" t="str">
        <x:v>14044461</x:v>
      </x:c>
      <x:c r="R3511" s="17" t="str">
        <x:v>tt37526992</x:v>
      </x:c>
      <x:c r="S3511" s="17" t="str"/>
    </x:row>
    <x:row r="3512">
      <x:c r="A3512" s="43" t="n">
        <x:v>3508</x:v>
      </x:c>
      <x:c r="B3512" s="44" t="str">
        <x:v>Not Started</x:v>
      </x:c>
      <x:c r="C3512" s="45" t="n">
        <x:v>46140</x:v>
      </x:c>
      <x:c r="D3512" s="33" t="str">
        <x:v>FBI</x:v>
      </x:c>
      <x:c r="E3512" s="33" t="str">
        <x:v>FBI</x:v>
      </x:c>
      <x:c r="F3512" s="33" t="str">
        <x:v>core</x:v>
      </x:c>
      <x:c r="G3512" s="50" t="n">
        <x:v>8</x:v>
      </x:c>
      <x:c r="H3512" s="50" t="n">
        <x:v>19</x:v>
      </x:c>
      <x:c r="I3512" s="44" t="str">
        <x:v>08.19</x:v>
      </x:c>
      <x:c r="J3512" s="33" t="str">
        <x:v>Fidelity</x:v>
      </x:c>
      <x:c r="K3512" s="33" t="str"/>
      <x:c r="L3512" s="33" t="str"/>
      <x:c r="M3512" s="44" t="str"/>
      <x:c r="N3512" s="50" t="n">
        <x:v>43</x:v>
      </x:c>
      <x:c r="O3512" s="53" t="str">
        <x:v>When an FBI evidence locker is robbed, leaving behind a dead ERT agent, the team discovers a vigilante duo looking to take down a high-scale pedophile ring. Meanwhile, Isobel meets the new Assistant Director in Charge.</x:v>
      </x:c>
      <x:c r="P3512" s="53" t="str">
        <x:v>Core FBI franchise</x:v>
      </x:c>
      <x:c r="Q3512" s="17" t="str">
        <x:v>14085188</x:v>
      </x:c>
      <x:c r="R3512" s="17" t="str">
        <x:v>tt38206305</x:v>
      </x:c>
      <x:c r="S3512" s="17" t="str"/>
    </x:row>
    <x:row r="3513">
      <x:c r="A3513" s="43" t="n">
        <x:v>3509</x:v>
      </x:c>
      <x:c r="B3513" s="44" t="str">
        <x:v>Not Started</x:v>
      </x:c>
      <x:c r="C3513" s="45" t="n">
        <x:v>46142</x:v>
      </x:c>
      <x:c r="D3513" s="33" t="str">
        <x:v>Chicago Med</x:v>
      </x:c>
      <x:c r="E3513" s="33" t="str">
        <x:v>One Chicago</x:v>
      </x:c>
      <x:c r="F3513" s="33" t="str">
        <x:v>core</x:v>
      </x:c>
      <x:c r="G3513" s="50" t="n">
        <x:v>11</x:v>
      </x:c>
      <x:c r="H3513" s="50" t="n">
        <x:v>19</x:v>
      </x:c>
      <x:c r="I3513" s="44" t="str">
        <x:v>11.19</x:v>
      </x:c>
      <x:c r="J3513" s="33" t="str">
        <x:v>Exit Strategies</x:v>
      </x:c>
      <x:c r="K3513" s="33" t="str"/>
      <x:c r="L3513" s="33" t="str"/>
      <x:c r="M3513" s="44" t="str"/>
      <x:c r="N3513" s="50" t="n">
        <x:v>43</x:v>
      </x:c>
      <x:c r="O3513" s="53" t="str">
        <x:v>A patient's dangerous and complicated labor forces Hannah to confront her past. Lenox's brother Kip shows up at Gaffney asking her for her help with a co-worker who was injured on the job.</x:v>
      </x:c>
      <x:c r="P3513" s="53" t="str">
        <x:v>Core One Chicago franchise</x:v>
      </x:c>
      <x:c r="Q3513" s="17" t="str">
        <x:v>14079669</x:v>
      </x:c>
      <x:c r="R3513" s="17" t="str">
        <x:v>tt38744583</x:v>
      </x:c>
      <x:c r="S3513" s="17" t="str"/>
    </x:row>
    <x:row r="3514">
      <x:c r="A3514" s="43" t="n">
        <x:v>3510</x:v>
      </x:c>
      <x:c r="B3514" s="44" t="str">
        <x:v>Not Started</x:v>
      </x:c>
      <x:c r="C3514" s="45" t="n">
        <x:v>46142</x:v>
      </x:c>
      <x:c r="D3514" s="33" t="str">
        <x:v>Chicago P.D.</x:v>
      </x:c>
      <x:c r="E3514" s="33" t="str">
        <x:v>One Chicago</x:v>
      </x:c>
      <x:c r="F3514" s="33" t="str">
        <x:v>core</x:v>
      </x:c>
      <x:c r="G3514" s="50" t="n">
        <x:v>13</x:v>
      </x:c>
      <x:c r="H3514" s="50" t="n">
        <x:v>19</x:v>
      </x:c>
      <x:c r="I3514" s="44" t="str">
        <x:v>13.19</x:v>
      </x:c>
      <x:c r="J3514" s="33" t="str">
        <x:v>Going Back</x:v>
      </x:c>
      <x:c r="K3514" s="33" t="str"/>
      <x:c r="L3514" s="33" t="str"/>
      <x:c r="M3514" s="44" t="str"/>
      <x:c r="N3514" s="50" t="n">
        <x:v>43</x:v>
      </x:c>
      <x:c r="O3514" s="53" t="str">
        <x:v>Ruzek's investigation into a mysterious VHS tape found among his father's belongings has unexpected consequences, sending the Intelligence Unit scrambling to uncover the truth behind a cold case.</x:v>
      </x:c>
      <x:c r="P3514" s="53" t="str">
        <x:v>Core One Chicago franchise; crossovers with SVU/FBI</x:v>
      </x:c>
      <x:c r="Q3514" s="17" t="str">
        <x:v>14079077</x:v>
      </x:c>
      <x:c r="R3514" s="17" t="str">
        <x:v>tt38744689</x:v>
      </x:c>
      <x:c r="S3514" s="17" t="str"/>
    </x:row>
    <x:row r="3515">
      <x:c r="A3515" s="43" t="n">
        <x:v>3511</x:v>
      </x:c>
      <x:c r="B3515" s="44" t="str">
        <x:v>Not Started</x:v>
      </x:c>
      <x:c r="C3515" s="45" t="n">
        <x:v>46142</x:v>
      </x:c>
      <x:c r="D3515" s="33" t="str">
        <x:v>Chicago Fire</x:v>
      </x:c>
      <x:c r="E3515" s="33" t="str">
        <x:v>One Chicago</x:v>
      </x:c>
      <x:c r="F3515" s="33" t="str">
        <x:v>core</x:v>
      </x:c>
      <x:c r="G3515" s="50" t="n">
        <x:v>14</x:v>
      </x:c>
      <x:c r="H3515" s="50" t="n">
        <x:v>19</x:v>
      </x:c>
      <x:c r="I3515" s="44" t="str">
        <x:v>14.19</x:v>
      </x:c>
      <x:c r="J3515" s="33" t="str">
        <x:v>Exit Point</x:v>
      </x:c>
      <x:c r="K3515" s="33" t="str"/>
      <x:c r="L3515" s="33" t="str"/>
      <x:c r="M3515" s="44" t="str"/>
      <x:c r="N3515" s="50" t="n">
        <x:v>43</x:v>
      </x:c>
      <x:c r="O3515" s="53" t="str">
        <x:v>Severide investigates a fire at an abandoned store inhabited by squatters. Mouch pens a memoir about his life.</x:v>
      </x:c>
      <x:c r="P3515" s="53" t="str">
        <x:v>Core One Chicago franchise</x:v>
      </x:c>
      <x:c r="Q3515" s="17" t="str">
        <x:v>14079672</x:v>
      </x:c>
      <x:c r="R3515" s="17" t="str">
        <x:v>tt38744626</x:v>
      </x:c>
      <x:c r="S3515" s="17" t="str"/>
    </x:row>
    <x:row r="3516">
      <x:c r="A3516" s="43" t="n">
        <x:v>3512</x:v>
      </x:c>
      <x:c r="B3516" s="44" t="str">
        <x:v>Not Started</x:v>
      </x:c>
      <x:c r="C3516" s="45" t="n">
        <x:v>46142</x:v>
      </x:c>
      <x:c r="D3516" s="33" t="str">
        <x:v>Law &amp; Order</x:v>
      </x:c>
      <x:c r="E3516" s="33" t="str">
        <x:v>Law &amp; Order</x:v>
      </x:c>
      <x:c r="F3516" s="33" t="str">
        <x:v>core</x:v>
      </x:c>
      <x:c r="G3516" s="50" t="n">
        <x:v>25</x:v>
      </x:c>
      <x:c r="H3516" s="50" t="n">
        <x:v>19</x:v>
      </x:c>
      <x:c r="I3516" s="44" t="str">
        <x:v>25.19</x:v>
      </x:c>
      <x:c r="J3516" s="33" t="str">
        <x:v>Accidentally Like a Martyr</x:v>
      </x:c>
      <x:c r="K3516" s="33" t="str"/>
      <x:c r="L3516" s="33" t="str"/>
      <x:c r="M3516" s="44" t="str"/>
      <x:c r="N3516" s="50" t="n">
        <x:v>43</x:v>
      </x:c>
      <x:c r="O3516" s="53" t="str">
        <x:v>A woman from a famous family is found dead on her birthday. Price and Maroun have an uphill battle in court when the defense presents two viable suspects in the crime.</x:v>
      </x:c>
      <x:c r="P3516" s="53" t="str">
        <x:v>Core Law &amp; Order franchise</x:v>
      </x:c>
      <x:c r="Q3516" s="17" t="str">
        <x:v>14090678</x:v>
      </x:c>
      <x:c r="R3516" s="17" t="str">
        <x:v>tt40259918</x:v>
      </x:c>
      <x:c r="S3516" s="17" t="str">
        <x:v>1772</x:v>
      </x:c>
    </x:row>
    <x:row r="3517">
      <x:c r="A3517" s="43" t="n">
        <x:v>3513</x:v>
      </x:c>
      <x:c r="B3517" s="44" t="str">
        <x:v>Not Started</x:v>
      </x:c>
      <x:c r="C3517" s="45" t="n">
        <x:v>46142</x:v>
      </x:c>
      <x:c r="D3517" s="33" t="str">
        <x:v>Law &amp; Order: Special Victims Unit</x:v>
      </x:c>
      <x:c r="E3517" s="33" t="str">
        <x:v>Law &amp; Order</x:v>
      </x:c>
      <x:c r="F3517" s="33" t="str">
        <x:v>core</x:v>
      </x:c>
      <x:c r="G3517" s="50" t="n">
        <x:v>27</x:v>
      </x:c>
      <x:c r="H3517" s="50" t="n">
        <x:v>19</x:v>
      </x:c>
      <x:c r="I3517" s="44" t="str">
        <x:v>27.19</x:v>
      </x:c>
      <x:c r="J3517" s="33" t="str">
        <x:v>Impropriety</x:v>
      </x:c>
      <x:c r="K3517" s="33" t="str"/>
      <x:c r="L3517" s="33" t="str"/>
      <x:c r="M3517" s="44" t="str"/>
      <x:c r="N3517" s="50" t="n">
        <x:v>43</x:v>
      </x:c>
      <x:c r="O3517" s="53" t="str">
        <x:v>An unconscious and injured teen abandoned outside a hospital sends the SVU on a search for the people who left her there. Benson faces serious consequences when she chooses to protect a victim's secret under the pressure of cross-examination.</x:v>
      </x:c>
      <x:c r="P3517" s="53" t="str">
        <x:v>Core Law &amp; Order franchise</x:v>
      </x:c>
      <x:c r="Q3517" s="17" t="str">
        <x:v>14088197</x:v>
      </x:c>
      <x:c r="R3517" s="17" t="str">
        <x:v>tt39753143</x:v>
      </x:c>
      <x:c r="S3517" s="17" t="str">
        <x:v>1773</x:v>
      </x:c>
    </x:row>
    <x:row r="3518">
      <x:c r="A3518" s="43" t="n">
        <x:v>3514</x:v>
      </x:c>
      <x:c r="B3518" s="44" t="str">
        <x:v>Not Started</x:v>
      </x:c>
      <x:c r="C3518" s="45" t="n">
        <x:v>46143</x:v>
      </x:c>
      <x:c r="D3518" s="33" t="str">
        <x:v>Law &amp; Order Toronto: Criminal Intent</x:v>
      </x:c>
      <x:c r="E3518" s="33" t="str">
        <x:v>Law &amp; Order</x:v>
      </x:c>
      <x:c r="F3518" s="33" t="str">
        <x:v>core</x:v>
      </x:c>
      <x:c r="G3518" s="50" t="n">
        <x:v>3</x:v>
      </x:c>
      <x:c r="H3518" s="50" t="n">
        <x:v>8</x:v>
      </x:c>
      <x:c r="I3518" s="44" t="str">
        <x:v>03.08</x:v>
      </x:c>
      <x:c r="J3518" s="33" t="str">
        <x:v>The Winning Bid</x:v>
      </x:c>
      <x:c r="K3518" s="33" t="str"/>
      <x:c r="L3518" s="33" t="str"/>
      <x:c r="M3518" s="44" t="str"/>
      <x:c r="N3518" s="50" t="n">
        <x:v>43</x:v>
      </x:c>
      <x:c r="O3518" s="53" t="str">
        <x:v>A stabbing at a skatepark sends Graff and Bateman into the intricate web of Toronto real estate scams.</x:v>
      </x:c>
      <x:c r="P3518" s="53" t="str">
        <x:v>Law &amp; Order international franchise</x:v>
      </x:c>
      <x:c r="Q3518" s="17" t="str">
        <x:v>14022348</x:v>
      </x:c>
      <x:c r="R3518" s="17" t="str">
        <x:v>tt37610964</x:v>
      </x:c>
      <x:c r="S3518" s="17" t="str"/>
    </x:row>
    <x:row r="3519">
      <x:c r="A3519" s="43" t="n">
        <x:v>3515</x:v>
      </x:c>
      <x:c r="B3519" s="44" t="str">
        <x:v>Not Started</x:v>
      </x:c>
      <x:c r="C3519" s="45" t="n">
        <x:v>46147</x:v>
      </x:c>
      <x:c r="D3519" s="33" t="str">
        <x:v>CIA (2026)</x:v>
      </x:c>
      <x:c r="E3519" s="33" t="str">
        <x:v>FBI</x:v>
      </x:c>
      <x:c r="F3519" s="33" t="str">
        <x:v>core</x:v>
      </x:c>
      <x:c r="G3519" s="50" t="n">
        <x:v>1</x:v>
      </x:c>
      <x:c r="H3519" s="50" t="n">
        <x:v>10</x:v>
      </x:c>
      <x:c r="I3519" s="44" t="str">
        <x:v>01.10</x:v>
      </x:c>
      <x:c r="J3519" s="33" t="str">
        <x:v>Rare Earth</x:v>
      </x:c>
      <x:c r="K3519" s="33" t="str"/>
      <x:c r="L3519" s="33" t="str"/>
      <x:c r="M3519" s="44" t="str"/>
      <x:c r="N3519" s="50" t="n">
        <x:v>43</x:v>
      </x:c>
      <x:c r="O3519" s="53" t="str">
        <x:v>When a foreign diplomat is killed after sneaking into the U.S. under unknown circumstances, Colin and Bill discover that a rare mineral with potential to disrupt international relations may be the reason he was targeted.</x:v>
      </x:c>
      <x:c r="P3519" s="53" t="str">
        <x:v>Official 2026 Dick Wolf / FBI spinoff. The unrelated 1992 CIA show at Trakt slug cia / IMDb tt0250140 is intentionally excluded.</x:v>
      </x:c>
      <x:c r="Q3519" s="17" t="str">
        <x:v>14044462</x:v>
      </x:c>
      <x:c r="R3519" s="17" t="str">
        <x:v>tt37526994</x:v>
      </x:c>
      <x:c r="S3519" s="17" t="str"/>
    </x:row>
    <x:row r="3520">
      <x:c r="A3520" s="43" t="n">
        <x:v>3516</x:v>
      </x:c>
      <x:c r="B3520" s="44" t="str">
        <x:v>Not Started</x:v>
      </x:c>
      <x:c r="C3520" s="45" t="n">
        <x:v>46147</x:v>
      </x:c>
      <x:c r="D3520" s="33" t="str">
        <x:v>FBI</x:v>
      </x:c>
      <x:c r="E3520" s="33" t="str">
        <x:v>FBI</x:v>
      </x:c>
      <x:c r="F3520" s="33" t="str">
        <x:v>core</x:v>
      </x:c>
      <x:c r="G3520" s="50" t="n">
        <x:v>8</x:v>
      </x:c>
      <x:c r="H3520" s="50" t="n">
        <x:v>20</x:v>
      </x:c>
      <x:c r="I3520" s="44" t="str">
        <x:v>08.20</x:v>
      </x:c>
      <x:c r="J3520" s="33" t="str">
        <x:v>Roleplay</x:v>
      </x:c>
      <x:c r="K3520" s="33" t="str"/>
      <x:c r="L3520" s="33" t="str"/>
      <x:c r="M3520" s="44" t="str"/>
      <x:c r="N3520" s="50" t="n">
        <x:v>43</x:v>
      </x:c>
      <x:c r="O3520" s="53" t="str">
        <x:v>When a big city donor is murdered inside her apartment, the team tracks down the young killer who leads them into a crypto scam he's been running with one of his victims, looking to seek revenge on his family.</x:v>
      </x:c>
      <x:c r="P3520" s="53" t="str">
        <x:v>Core FBI franchise</x:v>
      </x:c>
      <x:c r="Q3520" s="17" t="str">
        <x:v>14085189</x:v>
      </x:c>
      <x:c r="R3520" s="17" t="str">
        <x:v>tt38206307</x:v>
      </x:c>
      <x:c r="S3520" s="17" t="str"/>
    </x:row>
    <x:row r="3521">
      <x:c r="A3521" s="43" t="n">
        <x:v>3517</x:v>
      </x:c>
      <x:c r="B3521" s="44" t="str">
        <x:v>Not Started</x:v>
      </x:c>
      <x:c r="C3521" s="45" t="n">
        <x:v>46149</x:v>
      </x:c>
      <x:c r="D3521" s="33" t="str">
        <x:v>Chicago Med</x:v>
      </x:c>
      <x:c r="E3521" s="33" t="str">
        <x:v>One Chicago</x:v>
      </x:c>
      <x:c r="F3521" s="33" t="str">
        <x:v>core</x:v>
      </x:c>
      <x:c r="G3521" s="50" t="n">
        <x:v>11</x:v>
      </x:c>
      <x:c r="H3521" s="50" t="n">
        <x:v>20</x:v>
      </x:c>
      <x:c r="I3521" s="44" t="str">
        <x:v>11.20</x:v>
      </x:c>
      <x:c r="J3521" s="33" t="str">
        <x:v>Hell Breaks Loose</x:v>
      </x:c>
      <x:c r="K3521" s="33" t="str"/>
      <x:c r="L3521" s="33" t="str"/>
      <x:c r="M3521" s="44" t="str"/>
      <x:c r="N3521" s="50" t="n">
        <x:v>43</x:v>
      </x:c>
      <x:c r="O3521" s="53" t="str">
        <x:v>Gaffney is thrown into chaos when a prison riot overwhelms the E.D. Goodwin and Charles prepare for a high-stakes board meeting.</x:v>
      </x:c>
      <x:c r="P3521" s="53" t="str">
        <x:v>Core One Chicago franchise</x:v>
      </x:c>
      <x:c r="Q3521" s="17" t="str">
        <x:v>14079670</x:v>
      </x:c>
      <x:c r="R3521" s="17" t="str">
        <x:v>tt38744587</x:v>
      </x:c>
      <x:c r="S3521" s="17" t="str"/>
    </x:row>
    <x:row r="3522">
      <x:c r="A3522" s="43" t="n">
        <x:v>3518</x:v>
      </x:c>
      <x:c r="B3522" s="44" t="str">
        <x:v>Not Started</x:v>
      </x:c>
      <x:c r="C3522" s="45" t="n">
        <x:v>46149</x:v>
      </x:c>
      <x:c r="D3522" s="33" t="str">
        <x:v>Chicago P.D.</x:v>
      </x:c>
      <x:c r="E3522" s="33" t="str">
        <x:v>One Chicago</x:v>
      </x:c>
      <x:c r="F3522" s="33" t="str">
        <x:v>core</x:v>
      </x:c>
      <x:c r="G3522" s="50" t="n">
        <x:v>13</x:v>
      </x:c>
      <x:c r="H3522" s="50" t="n">
        <x:v>20</x:v>
      </x:c>
      <x:c r="I3522" s="44" t="str">
        <x:v>13.20</x:v>
      </x:c>
      <x:c r="J3522" s="33" t="str">
        <x:v>The Lost Years</x:v>
      </x:c>
      <x:c r="K3522" s="33" t="str"/>
      <x:c r="L3522" s="33" t="str"/>
      <x:c r="M3522" s="44" t="str"/>
      <x:c r="N3522" s="50" t="n">
        <x:v>43</x:v>
      </x:c>
      <x:c r="O3522" s="53" t="str">
        <x:v>Imani struggles to maintain her composure when a new lead reignites her investigation into her sister's disappearance.</x:v>
      </x:c>
      <x:c r="P3522" s="53" t="str">
        <x:v>Core One Chicago franchise; crossovers with SVU/FBI</x:v>
      </x:c>
      <x:c r="Q3522" s="17" t="str">
        <x:v>14079078</x:v>
      </x:c>
      <x:c r="R3522" s="17" t="str">
        <x:v>tt38744692</x:v>
      </x:c>
      <x:c r="S3522" s="17" t="str"/>
    </x:row>
    <x:row r="3523">
      <x:c r="A3523" s="43" t="n">
        <x:v>3519</x:v>
      </x:c>
      <x:c r="B3523" s="44" t="str">
        <x:v>Not Started</x:v>
      </x:c>
      <x:c r="C3523" s="45" t="n">
        <x:v>46149</x:v>
      </x:c>
      <x:c r="D3523" s="33" t="str">
        <x:v>Chicago Fire</x:v>
      </x:c>
      <x:c r="E3523" s="33" t="str">
        <x:v>One Chicago</x:v>
      </x:c>
      <x:c r="F3523" s="33" t="str">
        <x:v>core</x:v>
      </x:c>
      <x:c r="G3523" s="50" t="n">
        <x:v>14</x:v>
      </x:c>
      <x:c r="H3523" s="50" t="n">
        <x:v>20</x:v>
      </x:c>
      <x:c r="I3523" s="44" t="str">
        <x:v>14.20</x:v>
      </x:c>
      <x:c r="J3523" s="33" t="str">
        <x:v>Speak of the Devil</x:v>
      </x:c>
      <x:c r="K3523" s="33" t="str"/>
      <x:c r="L3523" s="33" t="str"/>
      <x:c r="M3523" s="44" t="str"/>
      <x:c r="N3523" s="50" t="n">
        <x:v>43</x:v>
      </x:c>
      <x:c r="O3523" s="53" t="str">
        <x:v>Severide is forced to crack open a cold case buried for decades. A routine call hits too close to home for Novak.</x:v>
      </x:c>
      <x:c r="P3523" s="53" t="str">
        <x:v>Core One Chicago franchise</x:v>
      </x:c>
      <x:c r="Q3523" s="17" t="str">
        <x:v>14079673</x:v>
      </x:c>
      <x:c r="R3523" s="17" t="str">
        <x:v>tt38744629</x:v>
      </x:c>
      <x:c r="S3523" s="17" t="str"/>
    </x:row>
    <x:row r="3524">
      <x:c r="A3524" s="43" t="n">
        <x:v>3520</x:v>
      </x:c>
      <x:c r="B3524" s="44" t="str">
        <x:v>Not Started</x:v>
      </x:c>
      <x:c r="C3524" s="45" t="n">
        <x:v>46149</x:v>
      </x:c>
      <x:c r="D3524" s="33" t="str">
        <x:v>Law &amp; Order</x:v>
      </x:c>
      <x:c r="E3524" s="33" t="str">
        <x:v>Law &amp; Order</x:v>
      </x:c>
      <x:c r="F3524" s="33" t="str">
        <x:v>core</x:v>
      </x:c>
      <x:c r="G3524" s="50" t="n">
        <x:v>25</x:v>
      </x:c>
      <x:c r="H3524" s="50" t="n">
        <x:v>20</x:v>
      </x:c>
      <x:c r="I3524" s="44" t="str">
        <x:v>25.20</x:v>
      </x:c>
      <x:c r="J3524" s="33" t="str">
        <x:v>Once Burned</x:v>
      </x:c>
      <x:c r="K3524" s="33" t="str"/>
      <x:c r="L3524" s="33" t="str"/>
      <x:c r="M3524" s="44" t="str"/>
      <x:c r="N3524" s="50" t="n">
        <x:v>43</x:v>
      </x:c>
      <x:c r="O3524" s="53" t="str">
        <x:v>After a fire chief is found dead, Riley and Walker must uncover the truth within his squad's ranks.</x:v>
      </x:c>
      <x:c r="P3524" s="53" t="str">
        <x:v>Core Law &amp; Order franchise</x:v>
      </x:c>
      <x:c r="Q3524" s="17" t="str">
        <x:v>14090679</x:v>
      </x:c>
      <x:c r="R3524" s="17" t="str">
        <x:v>tt40484331</x:v>
      </x:c>
      <x:c r="S3524" s="17" t="str">
        <x:v>1774</x:v>
      </x:c>
    </x:row>
    <x:row r="3525">
      <x:c r="A3525" s="43" t="n">
        <x:v>3521</x:v>
      </x:c>
      <x:c r="B3525" s="44" t="str">
        <x:v>Not Started</x:v>
      </x:c>
      <x:c r="C3525" s="45" t="n">
        <x:v>46149</x:v>
      </x:c>
      <x:c r="D3525" s="33" t="str">
        <x:v>Law &amp; Order: Special Victims Unit</x:v>
      </x:c>
      <x:c r="E3525" s="33" t="str">
        <x:v>Law &amp; Order</x:v>
      </x:c>
      <x:c r="F3525" s="33" t="str">
        <x:v>core</x:v>
      </x:c>
      <x:c r="G3525" s="50" t="n">
        <x:v>27</x:v>
      </x:c>
      <x:c r="H3525" s="50" t="n">
        <x:v>20</x:v>
      </x:c>
      <x:c r="I3525" s="44" t="str">
        <x:v>27.20</x:v>
      </x:c>
      <x:c r="J3525" s="33" t="str">
        <x:v>Old Friends</x:v>
      </x:c>
      <x:c r="K3525" s="33" t="str"/>
      <x:c r="L3525" s="33" t="str"/>
      <x:c r="M3525" s="44" t="str"/>
      <x:c r="N3525" s="50" t="n">
        <x:v>43</x:v>
      </x:c>
      <x:c r="O3525" s="53" t="str">
        <x:v>The squad must untangle conflicting stories and long-buried secrets when a drug-fueled college reunion ends in sexual assault. With the squad under internal pressure by Tynan, Fin keeps the case on track.</x:v>
      </x:c>
      <x:c r="P3525" s="53" t="str">
        <x:v>Core Law &amp; Order franchise</x:v>
      </x:c>
      <x:c r="Q3525" s="17" t="str">
        <x:v>14088198</x:v>
      </x:c>
      <x:c r="R3525" s="17" t="str">
        <x:v>tt40259908</x:v>
      </x:c>
      <x:c r="S3525" s="17" t="str">
        <x:v>1775</x:v>
      </x:c>
    </x:row>
    <x:row r="3526">
      <x:c r="A3526" s="43" t="n">
        <x:v>3522</x:v>
      </x:c>
      <x:c r="B3526" s="44" t="str">
        <x:v>Not Started</x:v>
      </x:c>
      <x:c r="C3526" s="45" t="n">
        <x:v>46150</x:v>
      </x:c>
      <x:c r="D3526" s="33" t="str">
        <x:v>Law &amp; Order Toronto: Criminal Intent</x:v>
      </x:c>
      <x:c r="E3526" s="33" t="str">
        <x:v>Law &amp; Order</x:v>
      </x:c>
      <x:c r="F3526" s="33" t="str">
        <x:v>core</x:v>
      </x:c>
      <x:c r="G3526" s="50" t="n">
        <x:v>3</x:v>
      </x:c>
      <x:c r="H3526" s="50" t="n">
        <x:v>9</x:v>
      </x:c>
      <x:c r="I3526" s="44" t="str">
        <x:v>03.09</x:v>
      </x:c>
      <x:c r="J3526" s="33" t="str">
        <x:v>Lost &amp; Unfound</x:v>
      </x:c>
      <x:c r="K3526" s="33" t="str"/>
      <x:c r="L3526" s="33" t="str"/>
      <x:c r="M3526" s="44" t="str"/>
      <x:c r="N3526" s="50" t="n">
        <x:v>43</x:v>
      </x:c>
      <x:c r="O3526" s="53" t="str">
        <x:v>Graff and Bateman are called in to investigate when the body of a handyman is found on a Rosedale walking trail.</x:v>
      </x:c>
      <x:c r="P3526" s="53" t="str">
        <x:v>Law &amp; Order international franchise</x:v>
      </x:c>
      <x:c r="Q3526" s="17" t="str">
        <x:v>14022349</x:v>
      </x:c>
      <x:c r="R3526" s="17" t="str">
        <x:v>tt37626233</x:v>
      </x:c>
      <x:c r="S3526" s="17" t="str"/>
    </x:row>
    <x:row r="3527">
      <x:c r="A3527" s="43" t="n">
        <x:v>3523</x:v>
      </x:c>
      <x:c r="B3527" s="44" t="str">
        <x:v>Not Started</x:v>
      </x:c>
      <x:c r="C3527" s="45" t="n">
        <x:v>46154</x:v>
      </x:c>
      <x:c r="D3527" s="33" t="str">
        <x:v>CIA (2026)</x:v>
      </x:c>
      <x:c r="E3527" s="33" t="str">
        <x:v>FBI</x:v>
      </x:c>
      <x:c r="F3527" s="33" t="str">
        <x:v>core</x:v>
      </x:c>
      <x:c r="G3527" s="50" t="n">
        <x:v>1</x:v>
      </x:c>
      <x:c r="H3527" s="50" t="n">
        <x:v>11</x:v>
      </x:c>
      <x:c r="I3527" s="44" t="str">
        <x:v>01.11</x:v>
      </x:c>
      <x:c r="J3527" s="33" t="str">
        <x:v>Forbidden Eye</x:v>
      </x:c>
      <x:c r="K3527" s="33" t="str"/>
      <x:c r="L3527" s="33" t="str"/>
      <x:c r="M3527" s="44" t="str"/>
      <x:c r="N3527" s="50" t="n">
        <x:v>43</x:v>
      </x:c>
      <x:c r="O3527" s="53" t="str">
        <x:v>When Colin learns his CIA mentor has gone dark, he enlists Bill and the team to help track them down. But as they get closer, the operation reveals significant information about the identity of the mole.</x:v>
      </x:c>
      <x:c r="P3527" s="53" t="str">
        <x:v>Official 2026 Dick Wolf / FBI spinoff. The unrelated 1992 CIA show at Trakt slug cia / IMDb tt0250140 is intentionally excluded.</x:v>
      </x:c>
      <x:c r="Q3527" s="17" t="str">
        <x:v>14127574</x:v>
      </x:c>
      <x:c r="R3527" s="17" t="str">
        <x:v>tt42026984</x:v>
      </x:c>
      <x:c r="S3527" s="17" t="str"/>
    </x:row>
    <x:row r="3528">
      <x:c r="A3528" s="43" t="n">
        <x:v>3524</x:v>
      </x:c>
      <x:c r="B3528" s="44" t="str">
        <x:v>Not Started</x:v>
      </x:c>
      <x:c r="C3528" s="45" t="n">
        <x:v>46154</x:v>
      </x:c>
      <x:c r="D3528" s="33" t="str">
        <x:v>FBI</x:v>
      </x:c>
      <x:c r="E3528" s="33" t="str">
        <x:v>FBI</x:v>
      </x:c>
      <x:c r="F3528" s="33" t="str">
        <x:v>core</x:v>
      </x:c>
      <x:c r="G3528" s="50" t="n">
        <x:v>8</x:v>
      </x:c>
      <x:c r="H3528" s="50" t="n">
        <x:v>21</x:v>
      </x:c>
      <x:c r="I3528" s="44" t="str">
        <x:v>08.21</x:v>
      </x:c>
      <x:c r="J3528" s="33" t="str">
        <x:v>Long Shot</x:v>
      </x:c>
      <x:c r="K3528" s="33" t="str"/>
      <x:c r="L3528" s="33" t="str"/>
      <x:c r="M3528" s="44" t="str"/>
      <x:c r="N3528" s="50" t="n">
        <x:v>43</x:v>
      </x:c>
      <x:c r="O3528" s="53" t="str">
        <x:v>Following the assassination of a major corporate executive, the team races to find leaders of a dormant terrorist organization that has reemerged. Meanwhile, OA is temporarily reassigned after refusing to follow orders but is paired up with a familiar face.</x:v>
      </x:c>
      <x:c r="P3528" s="53" t="str">
        <x:v>Core FBI franchise</x:v>
      </x:c>
      <x:c r="Q3528" s="17" t="str">
        <x:v>14085190</x:v>
      </x:c>
      <x:c r="R3528" s="17" t="str">
        <x:v>tt38206314</x:v>
      </x:c>
      <x:c r="S3528" s="17" t="str"/>
    </x:row>
    <x:row r="3529">
      <x:c r="A3529" s="43" t="n">
        <x:v>3525</x:v>
      </x:c>
      <x:c r="B3529" s="44" t="str">
        <x:v>Not Started</x:v>
      </x:c>
      <x:c r="C3529" s="45" t="n">
        <x:v>46156</x:v>
      </x:c>
      <x:c r="D3529" s="33" t="str">
        <x:v>Chicago Med</x:v>
      </x:c>
      <x:c r="E3529" s="33" t="str">
        <x:v>One Chicago</x:v>
      </x:c>
      <x:c r="F3529" s="33" t="str">
        <x:v>core</x:v>
      </x:c>
      <x:c r="G3529" s="50" t="n">
        <x:v>11</x:v>
      </x:c>
      <x:c r="H3529" s="50" t="n">
        <x:v>21</x:v>
      </x:c>
      <x:c r="I3529" s="44" t="str">
        <x:v>11.21</x:v>
      </x:c>
      <x:c r="J3529" s="33" t="str">
        <x:v>Heaven Help Us</x:v>
      </x:c>
      <x:c r="K3529" s="33" t="str"/>
      <x:c r="L3529" s="33" t="str"/>
      <x:c r="M3529" s="44" t="str"/>
      <x:c r="N3529" s="50" t="n">
        <x:v>42</x:v>
      </x:c>
      <x:c r="O3529" s="53" t="str">
        <x:v>Hannah faces one of the most challenging deliveries of her career. Frost navigates demanding times.</x:v>
      </x:c>
      <x:c r="P3529" s="53" t="str">
        <x:v>Core One Chicago franchise</x:v>
      </x:c>
      <x:c r="Q3529" s="17" t="str">
        <x:v>14079671</x:v>
      </x:c>
      <x:c r="R3529" s="17" t="str">
        <x:v>tt38744588</x:v>
      </x:c>
      <x:c r="S3529" s="17" t="str"/>
    </x:row>
    <x:row r="3530">
      <x:c r="A3530" s="43" t="n">
        <x:v>3526</x:v>
      </x:c>
      <x:c r="B3530" s="44" t="str">
        <x:v>Not Started</x:v>
      </x:c>
      <x:c r="C3530" s="45" t="n">
        <x:v>46156</x:v>
      </x:c>
      <x:c r="D3530" s="33" t="str">
        <x:v>Chicago P.D.</x:v>
      </x:c>
      <x:c r="E3530" s="33" t="str">
        <x:v>One Chicago</x:v>
      </x:c>
      <x:c r="F3530" s="33" t="str">
        <x:v>core</x:v>
      </x:c>
      <x:c r="G3530" s="50" t="n">
        <x:v>13</x:v>
      </x:c>
      <x:c r="H3530" s="50" t="n">
        <x:v>21</x:v>
      </x:c>
      <x:c r="I3530" s="44" t="str">
        <x:v>13.21</x:v>
      </x:c>
      <x:c r="J3530" s="33" t="str">
        <x:v>Born or Made</x:v>
      </x:c>
      <x:c r="K3530" s="33" t="str"/>
      <x:c r="L3530" s="33" t="str"/>
      <x:c r="M3530" s="44" t="str"/>
      <x:c r="N3530" s="50" t="n">
        <x:v>43</x:v>
      </x:c>
      <x:c r="O3530" s="53" t="str">
        <x:v>When a key witness refuses to cooperate, the Intelligence Unit is forced to rethink their strategy to locate a fleeing suspect. Imani must confront her past before it's too late.</x:v>
      </x:c>
      <x:c r="P3530" s="53" t="str">
        <x:v>Core One Chicago franchise; crossovers with SVU/FBI</x:v>
      </x:c>
      <x:c r="Q3530" s="17" t="str">
        <x:v>14079079</x:v>
      </x:c>
      <x:c r="R3530" s="17" t="str">
        <x:v>tt38744695</x:v>
      </x:c>
      <x:c r="S3530" s="17" t="str"/>
    </x:row>
    <x:row r="3531">
      <x:c r="A3531" s="43" t="n">
        <x:v>3527</x:v>
      </x:c>
      <x:c r="B3531" s="44" t="str">
        <x:v>Not Started</x:v>
      </x:c>
      <x:c r="C3531" s="45" t="n">
        <x:v>46156</x:v>
      </x:c>
      <x:c r="D3531" s="33" t="str">
        <x:v>Chicago Fire</x:v>
      </x:c>
      <x:c r="E3531" s="33" t="str">
        <x:v>One Chicago</x:v>
      </x:c>
      <x:c r="F3531" s="33" t="str">
        <x:v>core</x:v>
      </x:c>
      <x:c r="G3531" s="50" t="n">
        <x:v>14</x:v>
      </x:c>
      <x:c r="H3531" s="50" t="n">
        <x:v>21</x:v>
      </x:c>
      <x:c r="I3531" s="44" t="str">
        <x:v>14.21</x:v>
      </x:c>
      <x:c r="J3531" s="33" t="str">
        <x:v>Thank You</x:v>
      </x:c>
      <x:c r="K3531" s="33" t="str"/>
      <x:c r="L3531" s="33" t="str"/>
      <x:c r="M3531" s="44" t="str"/>
      <x:c r="N3531" s="50" t="n">
        <x:v>43</x:v>
      </x:c>
      <x:c r="O3531" s="53" t="str">
        <x:v>Severide and Kidd welcome a surprise visitor. Herrmann and Cindy renew their vows. Mouch receives some encouraging news.</x:v>
      </x:c>
      <x:c r="P3531" s="53" t="str">
        <x:v>Core One Chicago franchise</x:v>
      </x:c>
      <x:c r="Q3531" s="17" t="str">
        <x:v>14079674</x:v>
      </x:c>
      <x:c r="R3531" s="17" t="str">
        <x:v>tt38744633</x:v>
      </x:c>
      <x:c r="S3531" s="17" t="str"/>
    </x:row>
    <x:row r="3532">
      <x:c r="A3532" s="43" t="n">
        <x:v>3528</x:v>
      </x:c>
      <x:c r="B3532" s="44" t="str">
        <x:v>Not Started</x:v>
      </x:c>
      <x:c r="C3532" s="45" t="n">
        <x:v>46156</x:v>
      </x:c>
      <x:c r="D3532" s="33" t="str">
        <x:v>Law &amp; Order</x:v>
      </x:c>
      <x:c r="E3532" s="33" t="str">
        <x:v>Law &amp; Order</x:v>
      </x:c>
      <x:c r="F3532" s="33" t="str">
        <x:v>core</x:v>
      </x:c>
      <x:c r="G3532" s="50" t="n">
        <x:v>25</x:v>
      </x:c>
      <x:c r="H3532" s="50" t="n">
        <x:v>21</x:v>
      </x:c>
      <x:c r="I3532" s="44" t="str">
        <x:v>25.21</x:v>
      </x:c>
      <x:c r="J3532" s="33" t="str">
        <x:v>Liberty</x:v>
      </x:c>
      <x:c r="K3532" s="33" t="str"/>
      <x:c r="L3532" s="33" t="str"/>
      <x:c r="M3532" s="44" t="str"/>
      <x:c r="N3532" s="50" t="n">
        <x:v>43</x:v>
      </x:c>
      <x:c r="O3532" s="53" t="str">
        <x:v>The murder of a military hero draws the FBI into Brady's investigation. As political pressure rises during Baxter's reelection campaign, Price and Maroun worry that a series of unusual courtroom rulings mean the judge is in the defendant's pocket.</x:v>
      </x:c>
      <x:c r="P3532" s="53" t="str">
        <x:v>Core Law &amp; Order franchise</x:v>
      </x:c>
      <x:c r="Q3532" s="17" t="str">
        <x:v>14090680</x:v>
      </x:c>
      <x:c r="R3532" s="17" t="str">
        <x:v>tt40586076</x:v>
      </x:c>
      <x:c r="S3532" s="17" t="str">
        <x:v>1776</x:v>
      </x:c>
    </x:row>
    <x:row r="3533">
      <x:c r="A3533" s="43" t="n">
        <x:v>3529</x:v>
      </x:c>
      <x:c r="B3533" s="44" t="str">
        <x:v>Not Started</x:v>
      </x:c>
      <x:c r="C3533" s="45" t="n">
        <x:v>46156</x:v>
      </x:c>
      <x:c r="D3533" s="33" t="str">
        <x:v>Law &amp; Order: Special Victims Unit</x:v>
      </x:c>
      <x:c r="E3533" s="33" t="str">
        <x:v>Law &amp; Order</x:v>
      </x:c>
      <x:c r="F3533" s="33" t="str">
        <x:v>core</x:v>
      </x:c>
      <x:c r="G3533" s="50" t="n">
        <x:v>27</x:v>
      </x:c>
      <x:c r="H3533" s="50" t="n">
        <x:v>21</x:v>
      </x:c>
      <x:c r="I3533" s="44" t="str">
        <x:v>27.21</x:v>
      </x:c>
      <x:c r="J3533" s="33" t="str">
        <x:v>Monster</x:v>
      </x:c>
      <x:c r="K3533" s="33" t="str"/>
      <x:c r="L3533" s="33" t="str"/>
      <x:c r="M3533" s="44" t="str"/>
      <x:c r="N3533" s="50" t="n">
        <x:v>43</x:v>
      </x:c>
      <x:c r="O3533" s="53" t="str">
        <x:v>A procedural mistake made during the rescue of a kidnapped boy causes the case to collapse in court. As Griffin gets closer to the truth about Tynan, he finds himself in grave danger.</x:v>
      </x:c>
      <x:c r="P3533" s="53" t="str">
        <x:v>Core Law &amp; Order franchise</x:v>
      </x:c>
      <x:c r="Q3533" s="17" t="str">
        <x:v>14088199</x:v>
      </x:c>
      <x:c r="R3533" s="17" t="str">
        <x:v>tt40298201</x:v>
      </x:c>
      <x:c r="S3533" s="17" t="str">
        <x:v>1777</x:v>
      </x:c>
    </x:row>
    <x:row r="3534">
      <x:c r="A3534" s="43" t="n">
        <x:v>3530</x:v>
      </x:c>
      <x:c r="B3534" s="44" t="str">
        <x:v>Not Started</x:v>
      </x:c>
      <x:c r="C3534" s="45" t="n">
        <x:v>46157</x:v>
      </x:c>
      <x:c r="D3534" s="33" t="str">
        <x:v>Law &amp; Order Toronto: Criminal Intent</x:v>
      </x:c>
      <x:c r="E3534" s="33" t="str">
        <x:v>Law &amp; Order</x:v>
      </x:c>
      <x:c r="F3534" s="33" t="str">
        <x:v>core</x:v>
      </x:c>
      <x:c r="G3534" s="50" t="n">
        <x:v>3</x:v>
      </x:c>
      <x:c r="H3534" s="50" t="n">
        <x:v>10</x:v>
      </x:c>
      <x:c r="I3534" s="44" t="str">
        <x:v>03.10</x:v>
      </x:c>
      <x:c r="J3534" s="33" t="str">
        <x:v>XOXO</x:v>
      </x:c>
      <x:c r="K3534" s="33" t="str"/>
      <x:c r="L3534" s="33" t="str"/>
      <x:c r="M3534" s="44" t="str"/>
      <x:c r="N3534" s="50" t="n">
        <x:v>43</x:v>
      </x:c>
      <x:c r="O3534" s="53" t="str">
        <x:v>Graff and Bateman investigate the death of a beloved politician with a troubled past.</x:v>
      </x:c>
      <x:c r="P3534" s="53" t="str">
        <x:v>Law &amp; Order international franchise</x:v>
      </x:c>
      <x:c r="Q3534" s="17" t="str">
        <x:v>14022350</x:v>
      </x:c>
      <x:c r="R3534" s="17" t="str">
        <x:v>tt37062332</x:v>
      </x:c>
      <x:c r="S3534" s="17" t="str"/>
    </x:row>
    <x:row r="3535">
      <x:c r="A3535" s="43" t="n">
        <x:v>3531</x:v>
      </x:c>
      <x:c r="B3535" s="44" t="str">
        <x:v>Not Started</x:v>
      </x:c>
      <x:c r="C3535" s="45" t="n">
        <x:v>46161</x:v>
      </x:c>
      <x:c r="D3535" s="33" t="str">
        <x:v>CIA (2026)</x:v>
      </x:c>
      <x:c r="E3535" s="33" t="str">
        <x:v>FBI</x:v>
      </x:c>
      <x:c r="F3535" s="33" t="str">
        <x:v>core</x:v>
      </x:c>
      <x:c r="G3535" s="50" t="n">
        <x:v>1</x:v>
      </x:c>
      <x:c r="H3535" s="50" t="n">
        <x:v>12</x:v>
      </x:c>
      <x:c r="I3535" s="44" t="str">
        <x:v>01.12</x:v>
      </x:c>
      <x:c r="J3535" s="33" t="str">
        <x:v>Broken Glass</x:v>
      </x:c>
      <x:c r="K3535" s="33" t="str"/>
      <x:c r="L3535" s="33" t="str"/>
      <x:c r="M3535" s="44" t="str"/>
      <x:c r="N3535" s="50" t="n">
        <x:v>43</x:v>
      </x:c>
      <x:c r="O3535" s="53" t="str">
        <x:v>Colin and Bill race to stop a company from covering up their intelligence theft while taking down a dangerous person from Colin's past.</x:v>
      </x:c>
      <x:c r="P3535" s="53" t="str">
        <x:v>Official 2026 Dick Wolf / FBI spinoff. The unrelated 1992 CIA show at Trakt slug cia / IMDb tt0250140 is intentionally excluded.</x:v>
      </x:c>
      <x:c r="Q3535" s="17" t="str">
        <x:v>14127575</x:v>
      </x:c>
      <x:c r="R3535" s="17" t="str">
        <x:v>tt42026987</x:v>
      </x:c>
      <x:c r="S3535" s="17" t="str"/>
    </x:row>
    <x:row r="3536">
      <x:c r="A3536" s="43" t="n">
        <x:v>3532</x:v>
      </x:c>
      <x:c r="B3536" s="44" t="str">
        <x:v>Not Started</x:v>
      </x:c>
      <x:c r="C3536" s="45" t="n">
        <x:v>46161</x:v>
      </x:c>
      <x:c r="D3536" s="33" t="str">
        <x:v>FBI</x:v>
      </x:c>
      <x:c r="E3536" s="33" t="str">
        <x:v>FBI</x:v>
      </x:c>
      <x:c r="F3536" s="33" t="str">
        <x:v>core</x:v>
      </x:c>
      <x:c r="G3536" s="50" t="n">
        <x:v>8</x:v>
      </x:c>
      <x:c r="H3536" s="50" t="n">
        <x:v>22</x:v>
      </x:c>
      <x:c r="I3536" s="44" t="str">
        <x:v>08.22</x:v>
      </x:c>
      <x:c r="J3536" s="33" t="str">
        <x:v>Defector</x:v>
      </x:c>
      <x:c r="K3536" s="33" t="str"/>
      <x:c r="L3536" s="33" t="str"/>
      <x:c r="M3536" s="44" t="str"/>
      <x:c r="N3536" s="50" t="n">
        <x:v>43</x:v>
      </x:c>
      <x:c r="O3536" s="53" t="str">
        <x:v>The theft of a bioweapon from an unwitting defector forces the team to work with an old foe to secure the lethal pathogen and prevent an outbreak across New York City.</x:v>
      </x:c>
      <x:c r="P3536" s="53" t="str">
        <x:v>Core FBI franchise</x:v>
      </x:c>
      <x:c r="Q3536" s="17" t="str">
        <x:v>14085191</x:v>
      </x:c>
      <x:c r="R3536" s="17" t="str">
        <x:v>tt38206315</x:v>
      </x:c>
      <x:c r="S3536" s="17" t="str"/>
    </x:row>
    <x:row r="3537">
      <x:c r="A3537" s="43" t="n">
        <x:v>3533</x:v>
      </x:c>
      <x:c r="B3537" s="44" t="str">
        <x:v>Not Started</x:v>
      </x:c>
      <x:c r="C3537" s="45" t="n">
        <x:v>46303</x:v>
      </x:c>
      <x:c r="D3537" s="33" t="str">
        <x:v>Chicago Med</x:v>
      </x:c>
      <x:c r="E3537" s="33" t="str">
        <x:v>One Chicago</x:v>
      </x:c>
      <x:c r="F3537" s="33" t="str">
        <x:v>core</x:v>
      </x:c>
      <x:c r="G3537" s="50" t="n">
        <x:v>12</x:v>
      </x:c>
      <x:c r="H3537" s="50" t="n">
        <x:v>1</x:v>
      </x:c>
      <x:c r="I3537" s="44" t="str">
        <x:v>12.01</x:v>
      </x:c>
      <x:c r="J3537" s="33" t="str">
        <x:v>Episode 1</x:v>
      </x:c>
      <x:c r="K3537" s="33" t="str"/>
      <x:c r="L3537" s="33" t="str"/>
      <x:c r="M3537" s="44" t="str"/>
      <x:c r="N3537" s="50" t="n">
        <x:v>43</x:v>
      </x:c>
      <x:c r="O3537" s="53" t="str"/>
      <x:c r="P3537" s="53" t="str">
        <x:v>Core One Chicago franchise</x:v>
      </x:c>
      <x:c r="Q3537" s="17" t="str">
        <x:v>14267359</x:v>
      </x:c>
      <x:c r="R3537" s="17" t="str"/>
      <x:c r="S3537" s="17" t="str"/>
    </x:row>
    <x:row r="3538">
      <x:c r="A3538" s="43" t="n">
        <x:v>3534</x:v>
      </x:c>
      <x:c r="B3538" s="44" t="str">
        <x:v>Not Started</x:v>
      </x:c>
      <x:c r="C3538" s="45" t="n">
        <x:v>46303</x:v>
      </x:c>
      <x:c r="D3538" s="33" t="str">
        <x:v>Chicago P.D.</x:v>
      </x:c>
      <x:c r="E3538" s="33" t="str">
        <x:v>One Chicago</x:v>
      </x:c>
      <x:c r="F3538" s="33" t="str">
        <x:v>core</x:v>
      </x:c>
      <x:c r="G3538" s="50" t="n">
        <x:v>14</x:v>
      </x:c>
      <x:c r="H3538" s="50" t="n">
        <x:v>1</x:v>
      </x:c>
      <x:c r="I3538" s="44" t="str">
        <x:v>14.01</x:v>
      </x:c>
      <x:c r="J3538" s="33" t="str">
        <x:v>Episode 1</x:v>
      </x:c>
      <x:c r="K3538" s="33" t="str"/>
      <x:c r="L3538" s="33" t="str"/>
      <x:c r="M3538" s="44" t="str"/>
      <x:c r="N3538" s="50" t="n">
        <x:v>45</x:v>
      </x:c>
      <x:c r="O3538" s="53" t="str"/>
      <x:c r="P3538" s="53" t="str">
        <x:v>Core One Chicago franchise; crossovers with SVU/FBI</x:v>
      </x:c>
      <x:c r="Q3538" s="17" t="str">
        <x:v>14267292</x:v>
      </x:c>
      <x:c r="R3538" s="17" t="str"/>
      <x:c r="S3538" s="17" t="str"/>
    </x:row>
    <x:row r="3539">
      <x:c r="A3539" s="43" t="n">
        <x:v>3535</x:v>
      </x:c>
      <x:c r="B3539" s="44" t="str">
        <x:v>Not Started</x:v>
      </x:c>
      <x:c r="C3539" s="45" t="n">
        <x:v>46303</x:v>
      </x:c>
      <x:c r="D3539" s="33" t="str">
        <x:v>Chicago Fire</x:v>
      </x:c>
      <x:c r="E3539" s="33" t="str">
        <x:v>One Chicago</x:v>
      </x:c>
      <x:c r="F3539" s="33" t="str">
        <x:v>core</x:v>
      </x:c>
      <x:c r="G3539" s="50" t="n">
        <x:v>15</x:v>
      </x:c>
      <x:c r="H3539" s="50" t="n">
        <x:v>1</x:v>
      </x:c>
      <x:c r="I3539" s="44" t="str">
        <x:v>15.01</x:v>
      </x:c>
      <x:c r="J3539" s="33" t="str">
        <x:v>Episode 1</x:v>
      </x:c>
      <x:c r="K3539" s="33" t="str"/>
      <x:c r="L3539" s="33" t="str"/>
      <x:c r="M3539" s="44" t="str"/>
      <x:c r="N3539" s="50" t="n">
        <x:v>42</x:v>
      </x:c>
      <x:c r="O3539" s="53" t="str"/>
      <x:c r="P3539" s="53" t="str">
        <x:v>Core One Chicago franchise</x:v>
      </x:c>
      <x:c r="Q3539" s="17" t="str">
        <x:v>14267347</x:v>
      </x:c>
      <x:c r="R3539" s="17" t="str"/>
      <x:c r="S3539" s="17" t="str"/>
    </x:row>
    <x:row r="3540">
      <x:c r="A3540" s="43" t="n">
        <x:v>3536</x:v>
      </x:c>
      <x:c r="B3540" s="44" t="str">
        <x:v>Not Started</x:v>
      </x:c>
      <x:c r="C3540" s="45" t="n">
        <x:v>46304</x:v>
      </x:c>
      <x:c r="D3540" s="33" t="str">
        <x:v>Law &amp; Order</x:v>
      </x:c>
      <x:c r="E3540" s="33" t="str">
        <x:v>Law &amp; Order</x:v>
      </x:c>
      <x:c r="F3540" s="33" t="str">
        <x:v>core</x:v>
      </x:c>
      <x:c r="G3540" s="50" t="n">
        <x:v>26</x:v>
      </x:c>
      <x:c r="H3540" s="50" t="n">
        <x:v>1</x:v>
      </x:c>
      <x:c r="I3540" s="44" t="str">
        <x:v>26.01</x:v>
      </x:c>
      <x:c r="J3540" s="33" t="str">
        <x:v>Episode 1</x:v>
      </x:c>
      <x:c r="K3540" s="33" t="str"/>
      <x:c r="L3540" s="33" t="str"/>
      <x:c r="M3540" s="44" t="str"/>
      <x:c r="N3540" s="50" t="n">
        <x:v>45</x:v>
      </x:c>
      <x:c r="O3540" s="53" t="str"/>
      <x:c r="P3540" s="53" t="str">
        <x:v>Core Law &amp; Order franchise</x:v>
      </x:c>
      <x:c r="Q3540" s="17" t="str">
        <x:v>14267406</x:v>
      </x:c>
      <x:c r="R3540" s="17" t="str"/>
      <x:c r="S3540" s="17" t="str"/>
    </x:row>
    <x:row r="3541">
      <x:c r="A3541" s="43" t="n">
        <x:v>3537</x:v>
      </x:c>
      <x:c r="B3541" s="44" t="str">
        <x:v>Not Started</x:v>
      </x:c>
      <x:c r="C3541" s="45" t="n">
        <x:v>46304</x:v>
      </x:c>
      <x:c r="D3541" s="33" t="str">
        <x:v>Law &amp; Order: Special Victims Unit</x:v>
      </x:c>
      <x:c r="E3541" s="33" t="str">
        <x:v>Law &amp; Order</x:v>
      </x:c>
      <x:c r="F3541" s="33" t="str">
        <x:v>core</x:v>
      </x:c>
      <x:c r="G3541" s="50" t="n">
        <x:v>28</x:v>
      </x:c>
      <x:c r="H3541" s="50" t="n">
        <x:v>1</x:v>
      </x:c>
      <x:c r="I3541" s="44" t="str">
        <x:v>28.01</x:v>
      </x:c>
      <x:c r="J3541" s="33" t="str">
        <x:v>Episode 1</x:v>
      </x:c>
      <x:c r="K3541" s="33" t="str"/>
      <x:c r="L3541" s="33" t="str"/>
      <x:c r="M3541" s="44" t="str"/>
      <x:c r="N3541" s="50" t="n">
        <x:v>40</x:v>
      </x:c>
      <x:c r="O3541" s="53" t="str"/>
      <x:c r="P3541" s="53" t="str">
        <x:v>Core Law &amp; Order franchise</x:v>
      </x:c>
      <x:c r="Q3541" s="17" t="str">
        <x:v>14266609</x:v>
      </x:c>
      <x:c r="R3541" s="17" t="str"/>
      <x:c r="S3541" s="17" t="str"/>
    </x:row>
    <x:row r="3542">
      <x:c r="A3542" s="43" t="n">
        <x:v>3538</x:v>
      </x:c>
      <x:c r="B3542" s="44" t="str">
        <x:v>Not Started</x:v>
      </x:c>
      <x:c r="C3542" s="45"/>
      <x:c r="D3542" s="33" t="str">
        <x:v>The Human Factor</x:v>
      </x:c>
      <x:c r="E3542" s="33" t="str">
        <x:v>Crossover Adjacent</x:v>
      </x:c>
      <x:c r="F3542" s="33" t="str">
        <x:v>complete</x:v>
      </x:c>
      <x:c r="G3542" s="50" t="n">
        <x:v>1</x:v>
      </x:c>
      <x:c r="H3542" s="50" t="n">
        <x:v>6</x:v>
      </x:c>
      <x:c r="I3542" s="44" t="str">
        <x:v>01.06</x:v>
      </x:c>
      <x:c r="J3542" s="33" t="str">
        <x:v>Hear No Evil</x:v>
      </x:c>
      <x:c r="K3542" s="33" t="str"/>
      <x:c r="L3542" s="33" t="str"/>
      <x:c r="M3542" s="44" t="str"/>
      <x:c r="N3542" s="50" t="n">
        <x:v>60</x:v>
      </x:c>
      <x:c r="O3542" s="53" t="str"/>
      <x:c r="P3542" s="53" t="str">
        <x:v>Wolf Entertainment / Dick Wolf archive title</x:v>
      </x:c>
      <x:c r="Q3542" s="17" t="str">
        <x:v>714296</x:v>
      </x:c>
      <x:c r="R3542" s="17" t="str"/>
      <x:c r="S3542" s="17" t="str"/>
    </x:row>
    <x:row r="3543">
      <x:c r="A3543" s="43" t="n">
        <x:v>3539</x:v>
      </x:c>
      <x:c r="B3543" s="44" t="str">
        <x:v>Not Started</x:v>
      </x:c>
      <x:c r="C3543" s="45"/>
      <x:c r="D3543" s="33" t="str">
        <x:v>The Human Factor</x:v>
      </x:c>
      <x:c r="E3543" s="33" t="str">
        <x:v>Crossover Adjacent</x:v>
      </x:c>
      <x:c r="F3543" s="33" t="str">
        <x:v>complete</x:v>
      </x:c>
      <x:c r="G3543" s="50" t="n">
        <x:v>1</x:v>
      </x:c>
      <x:c r="H3543" s="50" t="n">
        <x:v>7</x:v>
      </x:c>
      <x:c r="I3543" s="44" t="str">
        <x:v>01.07</x:v>
      </x:c>
      <x:c r="J3543" s="33" t="str">
        <x:v>A Wrongful Life</x:v>
      </x:c>
      <x:c r="K3543" s="33" t="str"/>
      <x:c r="L3543" s="33" t="str"/>
      <x:c r="M3543" s="44" t="str"/>
      <x:c r="N3543" s="50" t="n">
        <x:v>60</x:v>
      </x:c>
      <x:c r="O3543" s="53" t="str"/>
      <x:c r="P3543" s="53" t="str">
        <x:v>Wolf Entertainment / Dick Wolf archive title</x:v>
      </x:c>
      <x:c r="Q3543" s="17" t="str">
        <x:v>714297</x:v>
      </x:c>
      <x:c r="R3543" s="17" t="str"/>
      <x:c r="S3543" s="17" t="str"/>
    </x:row>
    <x:row r="3544">
      <x:c r="A3544" s="43" t="n">
        <x:v>3540</x:v>
      </x:c>
      <x:c r="B3544" s="44" t="str">
        <x:v>Not Started</x:v>
      </x:c>
      <x:c r="C3544" s="45"/>
      <x:c r="D3544" s="33" t="str">
        <x:v>The Wright Verdicts</x:v>
      </x:c>
      <x:c r="E3544" s="33" t="str">
        <x:v>Crossover Adjacent</x:v>
      </x:c>
      <x:c r="F3544" s="33" t="str">
        <x:v>complete</x:v>
      </x:c>
      <x:c r="G3544" s="50" t="n">
        <x:v>1</x:v>
      </x:c>
      <x:c r="H3544" s="50" t="n">
        <x:v>7</x:v>
      </x:c>
      <x:c r="I3544" s="44" t="str">
        <x:v>01.07</x:v>
      </x:c>
      <x:c r="J3544" s="33" t="str">
        <x:v>Unlucky Star</x:v>
      </x:c>
      <x:c r="K3544" s="33" t="str"/>
      <x:c r="L3544" s="33" t="str"/>
      <x:c r="M3544" s="44" t="str"/>
      <x:c r="N3544" s="50" t="n">
        <x:v>60</x:v>
      </x:c>
      <x:c r="O3544" s="53" t="str"/>
      <x:c r="P3544" s="53" t="str">
        <x:v>Dick Wolf-created legal drama</x:v>
      </x:c>
      <x:c r="Q3544" s="17" t="str">
        <x:v>651622</x:v>
      </x:c>
      <x:c r="R3544" s="17" t="str">
        <x:v>tt0790408</x:v>
      </x:c>
      <x:c r="S3544" s="17" t="str"/>
    </x:row>
    <x:row r="3545">
      <x:c r="A3545" s="43" t="n">
        <x:v>3541</x:v>
      </x:c>
      <x:c r="B3545" s="44" t="str">
        <x:v>Not Started</x:v>
      </x:c>
      <x:c r="C3545" s="45"/>
      <x:c r="D3545" s="33" t="str">
        <x:v>The Human Factor</x:v>
      </x:c>
      <x:c r="E3545" s="33" t="str">
        <x:v>Crossover Adjacent</x:v>
      </x:c>
      <x:c r="F3545" s="33" t="str">
        <x:v>complete</x:v>
      </x:c>
      <x:c r="G3545" s="50" t="n">
        <x:v>1</x:v>
      </x:c>
      <x:c r="H3545" s="50" t="n">
        <x:v>8</x:v>
      </x:c>
      <x:c r="I3545" s="44" t="str">
        <x:v>01.08</x:v>
      </x:c>
      <x:c r="J3545" s="33" t="str">
        <x:v>Doctor Al</x:v>
      </x:c>
      <x:c r="K3545" s="33" t="str"/>
      <x:c r="L3545" s="33" t="str"/>
      <x:c r="M3545" s="44" t="str"/>
      <x:c r="N3545" s="50" t="n">
        <x:v>60</x:v>
      </x:c>
      <x:c r="O3545" s="53" t="str"/>
      <x:c r="P3545" s="53" t="str">
        <x:v>Wolf Entertainment / Dick Wolf archive title</x:v>
      </x:c>
      <x:c r="Q3545" s="17" t="str">
        <x:v>714298</x:v>
      </x:c>
      <x:c r="R3545" s="17" t="str"/>
      <x:c r="S3545" s="17" t="str"/>
    </x:row>
    <x:row r="3546">
      <x:c r="A3546" s="43" t="n">
        <x:v>3542</x:v>
      </x:c>
      <x:c r="B3546" s="44" t="str">
        <x:v>Not Started</x:v>
      </x:c>
      <x:c r="C3546" s="45"/>
      <x:c r="D3546" s="33" t="str">
        <x:v>New York News</x:v>
      </x:c>
      <x:c r="E3546" s="33" t="str">
        <x:v>Crossover Adjacent</x:v>
      </x:c>
      <x:c r="F3546" s="33" t="str">
        <x:v>complete</x:v>
      </x:c>
      <x:c r="G3546" s="50" t="n">
        <x:v>1</x:v>
      </x:c>
      <x:c r="H3546" s="50" t="n">
        <x:v>9</x:v>
      </x:c>
      <x:c r="I3546" s="44" t="str">
        <x:v>01.09</x:v>
      </x:c>
      <x:c r="J3546" s="33" t="str">
        <x:v>Cost of Living (1)</x:v>
      </x:c>
      <x:c r="K3546" s="33" t="str"/>
      <x:c r="L3546" s="33" t="str"/>
      <x:c r="M3546" s="44" t="str"/>
      <x:c r="N3546" s="50" t="n">
        <x:v>60</x:v>
      </x:c>
      <x:c r="O3546" s="53" t="str"/>
      <x:c r="P3546" s="53" t="str">
        <x:v>Dick Wolf-produced New York drama</x:v>
      </x:c>
      <x:c r="Q3546" s="17" t="str">
        <x:v>463419</x:v>
      </x:c>
      <x:c r="R3546" s="17" t="str"/>
      <x:c r="S3546" s="17" t="str"/>
    </x:row>
    <x:row r="3547">
      <x:c r="A3547" s="43" t="n">
        <x:v>3543</x:v>
      </x:c>
      <x:c r="B3547" s="44" t="str">
        <x:v>Not Started</x:v>
      </x:c>
      <x:c r="C3547" s="45"/>
      <x:c r="D3547" s="33" t="str">
        <x:v>New York News</x:v>
      </x:c>
      <x:c r="E3547" s="33" t="str">
        <x:v>Crossover Adjacent</x:v>
      </x:c>
      <x:c r="F3547" s="33" t="str">
        <x:v>complete</x:v>
      </x:c>
      <x:c r="G3547" s="50" t="n">
        <x:v>1</x:v>
      </x:c>
      <x:c r="H3547" s="50" t="n">
        <x:v>10</x:v>
      </x:c>
      <x:c r="I3547" s="44" t="str">
        <x:v>01.10</x:v>
      </x:c>
      <x:c r="J3547" s="33" t="str">
        <x:v>Yankee Glory (2)</x:v>
      </x:c>
      <x:c r="K3547" s="33" t="str"/>
      <x:c r="L3547" s="33" t="str"/>
      <x:c r="M3547" s="44" t="str"/>
      <x:c r="N3547" s="50" t="n">
        <x:v>60</x:v>
      </x:c>
      <x:c r="O3547" s="53" t="str"/>
      <x:c r="P3547" s="53" t="str">
        <x:v>Dick Wolf-produced New York drama</x:v>
      </x:c>
      <x:c r="Q3547" s="17" t="str">
        <x:v>463420</x:v>
      </x:c>
      <x:c r="R3547" s="17" t="str"/>
      <x:c r="S3547" s="17" t="str"/>
    </x:row>
    <x:row r="3548">
      <x:c r="A3548" s="43" t="n">
        <x:v>3544</x:v>
      </x:c>
      <x:c r="B3548" s="44" t="str">
        <x:v>Not Started</x:v>
      </x:c>
      <x:c r="C3548" s="45"/>
      <x:c r="D3548" s="33" t="str">
        <x:v>New York News</x:v>
      </x:c>
      <x:c r="E3548" s="33" t="str">
        <x:v>Crossover Adjacent</x:v>
      </x:c>
      <x:c r="F3548" s="33" t="str">
        <x:v>complete</x:v>
      </x:c>
      <x:c r="G3548" s="50" t="n">
        <x:v>1</x:v>
      </x:c>
      <x:c r="H3548" s="50" t="n">
        <x:v>11</x:v>
      </x:c>
      <x:c r="I3548" s="44" t="str">
        <x:v>01.11</x:v>
      </x:c>
      <x:c r="J3548" s="33" t="str">
        <x:v>Past Imperfect</x:v>
      </x:c>
      <x:c r="K3548" s="33" t="str"/>
      <x:c r="L3548" s="33" t="str"/>
      <x:c r="M3548" s="44" t="str"/>
      <x:c r="N3548" s="50" t="n">
        <x:v>60</x:v>
      </x:c>
      <x:c r="O3548" s="53" t="str"/>
      <x:c r="P3548" s="53" t="str">
        <x:v>Dick Wolf-produced New York drama</x:v>
      </x:c>
      <x:c r="Q3548" s="17" t="str">
        <x:v>463421</x:v>
      </x:c>
      <x:c r="R3548" s="17" t="str"/>
      <x:c r="S3548" s="17" t="str"/>
    </x:row>
    <x:row r="3549">
      <x:c r="A3549" s="43" t="n">
        <x:v>3545</x:v>
      </x:c>
      <x:c r="B3549" s="44" t="str">
        <x:v>Not Started</x:v>
      </x:c>
      <x:c r="C3549" s="45"/>
      <x:c r="D3549" s="33" t="str">
        <x:v>New York News</x:v>
      </x:c>
      <x:c r="E3549" s="33" t="str">
        <x:v>Crossover Adjacent</x:v>
      </x:c>
      <x:c r="F3549" s="33" t="str">
        <x:v>complete</x:v>
      </x:c>
      <x:c r="G3549" s="50" t="n">
        <x:v>1</x:v>
      </x:c>
      <x:c r="H3549" s="50" t="n">
        <x:v>12</x:v>
      </x:c>
      <x:c r="I3549" s="44" t="str">
        <x:v>01.12</x:v>
      </x:c>
      <x:c r="J3549" s="33" t="str">
        <x:v>Forgotten</x:v>
      </x:c>
      <x:c r="K3549" s="33" t="str"/>
      <x:c r="L3549" s="33" t="str"/>
      <x:c r="M3549" s="44" t="str"/>
      <x:c r="N3549" s="50" t="n">
        <x:v>60</x:v>
      </x:c>
      <x:c r="O3549" s="53" t="str"/>
      <x:c r="P3549" s="53" t="str">
        <x:v>Dick Wolf-produced New York drama</x:v>
      </x:c>
      <x:c r="Q3549" s="17" t="str">
        <x:v>463422</x:v>
      </x:c>
      <x:c r="R3549" s="17" t="str"/>
      <x:c r="S3549" s="17" t="str"/>
    </x:row>
    <x:row r="3550">
      <x:c r="A3550" s="43" t="n">
        <x:v>3546</x:v>
      </x:c>
      <x:c r="B3550" s="44" t="str">
        <x:v>Not Started</x:v>
      </x:c>
      <x:c r="C3550" s="45"/>
      <x:c r="D3550" s="33" t="str">
        <x:v>Crime &amp; Punishment</x:v>
      </x:c>
      <x:c r="E3550" s="33" t="str">
        <x:v>Crossover Adjacent</x:v>
      </x:c>
      <x:c r="F3550" s="33" t="str">
        <x:v>complete</x:v>
      </x:c>
      <x:c r="G3550" s="50" t="n">
        <x:v>1</x:v>
      </x:c>
      <x:c r="H3550" s="50" t="n">
        <x:v>13</x:v>
      </x:c>
      <x:c r="I3550" s="44" t="str">
        <x:v>01.13</x:v>
      </x:c>
      <x:c r="J3550" s="33" t="str">
        <x:v>People v. Redondo</x:v>
      </x:c>
      <x:c r="K3550" s="33" t="str"/>
      <x:c r="L3550" s="33" t="str"/>
      <x:c r="M3550" s="44" t="str"/>
      <x:c r="N3550" s="50" t="n">
        <x:v>60</x:v>
      </x:c>
      <x:c r="O3550" s="53" t="str"/>
      <x:c r="P3550" s="53" t="str">
        <x:v>Dick Wolf reality/legal series</x:v>
      </x:c>
      <x:c r="Q3550" s="17" t="str">
        <x:v>177250</x:v>
      </x:c>
      <x:c r="R3550" s="17" t="str"/>
      <x:c r="S3550" s="17" t="str"/>
    </x:row>
    <x:row r="3551">
      <x:c r="A3551" s="43" t="n">
        <x:v>3547</x:v>
      </x:c>
      <x:c r="B3551" s="44" t="str">
        <x:v>Not Started</x:v>
      </x:c>
      <x:c r="C3551" s="45"/>
      <x:c r="D3551" s="33" t="str">
        <x:v>New York News</x:v>
      </x:c>
      <x:c r="E3551" s="33" t="str">
        <x:v>Crossover Adjacent</x:v>
      </x:c>
      <x:c r="F3551" s="33" t="str">
        <x:v>complete</x:v>
      </x:c>
      <x:c r="G3551" s="50" t="n">
        <x:v>1</x:v>
      </x:c>
      <x:c r="H3551" s="50" t="n">
        <x:v>13</x:v>
      </x:c>
      <x:c r="I3551" s="44" t="str">
        <x:v>01.13</x:v>
      </x:c>
      <x:c r="J3551" s="33" t="str">
        <x:v>The Using Game</x:v>
      </x:c>
      <x:c r="K3551" s="33" t="str"/>
      <x:c r="L3551" s="33" t="str"/>
      <x:c r="M3551" s="44" t="str"/>
      <x:c r="N3551" s="50" t="n">
        <x:v>60</x:v>
      </x:c>
      <x:c r="O3551" s="53" t="str"/>
      <x:c r="P3551" s="53" t="str">
        <x:v>Dick Wolf-produced New York drama</x:v>
      </x:c>
      <x:c r="Q3551" s="17" t="str">
        <x:v>463423</x:v>
      </x:c>
      <x:c r="R3551" s="17" t="str"/>
      <x:c r="S3551" s="17" t="str"/>
    </x:row>
    <x:row r="3552">
      <x:c r="A3552" s="43" t="n">
        <x:v>3548</x:v>
      </x:c>
      <x:c r="B3552" s="44" t="str">
        <x:v>Not Started</x:v>
      </x:c>
      <x:c r="C3552" s="45"/>
      <x:c r="D3552" s="33" t="str">
        <x:v>Crime &amp; Punishment</x:v>
      </x:c>
      <x:c r="E3552" s="33" t="str">
        <x:v>Crossover Adjacent</x:v>
      </x:c>
      <x:c r="F3552" s="33" t="str">
        <x:v>complete</x:v>
      </x:c>
      <x:c r="G3552" s="50" t="n">
        <x:v>1</x:v>
      </x:c>
      <x:c r="H3552" s="50" t="n">
        <x:v>14</x:v>
      </x:c>
      <x:c r="I3552" s="44" t="str">
        <x:v>01.14</x:v>
      </x:c>
      <x:c r="J3552" s="33" t="str">
        <x:v>#6</x:v>
      </x:c>
      <x:c r="K3552" s="33" t="str"/>
      <x:c r="L3552" s="33" t="str"/>
      <x:c r="M3552" s="44" t="str"/>
      <x:c r="N3552" s="50" t="n">
        <x:v>60</x:v>
      </x:c>
      <x:c r="O3552" s="53" t="str"/>
      <x:c r="P3552" s="53" t="str">
        <x:v>Dick Wolf reality/legal series</x:v>
      </x:c>
      <x:c r="Q3552" s="17" t="str">
        <x:v>177251</x:v>
      </x:c>
      <x:c r="R3552" s="17" t="str"/>
      <x:c r="S3552" s="17" t="str"/>
    </x:row>
    <x:row r="3553">
      <x:c r="A3553" s="43" t="n">
        <x:v>3549</x:v>
      </x:c>
      <x:c r="B3553" s="44" t="str">
        <x:v>Not Started</x:v>
      </x:c>
      <x:c r="C3553" s="45"/>
      <x:c r="D3553" s="33" t="str">
        <x:v>Law &amp; Order</x:v>
      </x:c>
      <x:c r="E3553" s="33" t="str">
        <x:v>Law &amp; Order</x:v>
      </x:c>
      <x:c r="F3553" s="33" t="str">
        <x:v>core</x:v>
      </x:c>
      <x:c r="G3553" s="50" t="n">
        <x:v>0</x:v>
      </x:c>
      <x:c r="H3553" s="50" t="n">
        <x:v>1</x:v>
      </x:c>
      <x:c r="I3553" s="44" t="str">
        <x:v>S00.01</x:v>
      </x:c>
      <x:c r="J3553" s="33" t="str">
        <x:v>Special: The Cast: The Early Years</x:v>
      </x:c>
      <x:c r="K3553" s="33" t="str"/>
      <x:c r="L3553" s="33" t="str"/>
      <x:c r="M3553" s="44" t="str"/>
      <x:c r="N3553" s="50" t="n">
        <x:v>45</x:v>
      </x:c>
      <x:c r="O3553" s="53" t="str">
        <x:v>An in-depth interview with the cast members from the early seasons.</x:v>
      </x:c>
      <x:c r="P3553" s="53" t="str">
        <x:v>Core Law &amp; Order franchise</x:v>
      </x:c>
      <x:c r="Q3553" s="17" t="str">
        <x:v>34041</x:v>
      </x:c>
      <x:c r="R3553" s="17" t="str"/>
      <x:c r="S3553" s="17" t="str"/>
    </x:row>
    <x:row r="3554">
      <x:c r="A3554" s="43" t="n">
        <x:v>3550</x:v>
      </x:c>
      <x:c r="B3554" s="44" t="str">
        <x:v>Not Started</x:v>
      </x:c>
      <x:c r="C3554" s="45"/>
      <x:c r="D3554" s="33" t="str">
        <x:v>Law &amp; Order: Criminal Intent</x:v>
      </x:c>
      <x:c r="E3554" s="33" t="str">
        <x:v>Law &amp; Order</x:v>
      </x:c>
      <x:c r="F3554" s="33" t="str">
        <x:v>core</x:v>
      </x:c>
      <x:c r="G3554" s="50" t="n">
        <x:v>0</x:v>
      </x:c>
      <x:c r="H3554" s="50" t="n">
        <x:v>1</x:v>
      </x:c>
      <x:c r="I3554" s="44" t="str">
        <x:v>S00.01</x:v>
      </x:c>
      <x:c r="J3554" s="33" t="str">
        <x:v>Special: CI Presents</x:v>
      </x:c>
      <x:c r="K3554" s="33" t="str"/>
      <x:c r="L3554" s="33" t="str"/>
      <x:c r="M3554" s="44" t="str"/>
      <x:c r="N3554" s="50" t="n">
        <x:v>60</x:v>
      </x:c>
      <x:c r="O3554" s="53" t="str">
        <x:v>An in-depth interview with the cast and crew of Law &amp; Order: Criminal Intent.</x:v>
      </x:c>
      <x:c r="P3554" s="53" t="str">
        <x:v>Core Law &amp; Order franchise</x:v>
      </x:c>
      <x:c r="Q3554" s="17" t="str">
        <x:v>341210</x:v>
      </x:c>
      <x:c r="R3554" s="17" t="str"/>
      <x:c r="S3554" s="17" t="str"/>
    </x:row>
    <x:row r="3555">
      <x:c r="A3555" s="43" t="n">
        <x:v>3551</x:v>
      </x:c>
      <x:c r="B3555" s="44" t="str">
        <x:v>Not Started</x:v>
      </x:c>
      <x:c r="C3555" s="45"/>
      <x:c r="D3555" s="33" t="str">
        <x:v>Law &amp; Order: Special Victims Unit</x:v>
      </x:c>
      <x:c r="E3555" s="33" t="str">
        <x:v>Law &amp; Order</x:v>
      </x:c>
      <x:c r="F3555" s="33" t="str">
        <x:v>core</x:v>
      </x:c>
      <x:c r="G3555" s="50" t="n">
        <x:v>0</x:v>
      </x:c>
      <x:c r="H3555" s="50" t="n">
        <x:v>1</x:v>
      </x:c>
      <x:c r="I3555" s="44" t="str">
        <x:v>S00.01</x:v>
      </x:c>
      <x:c r="J3555" s="33" t="str">
        <x:v>Police Sketch: Ice-T</x:v>
      </x:c>
      <x:c r="K3555" s="33" t="str"/>
      <x:c r="L3555" s="33" t="str"/>
      <x:c r="M3555" s="44" t="str"/>
      <x:c r="N3555" s="50" t="n">
        <x:v>43</x:v>
      </x:c>
      <x:c r="O3555" s="53" t="str">
        <x:v>Interview with Ice-T</x:v>
      </x:c>
      <x:c r="P3555" s="53" t="str">
        <x:v>Core Law &amp; Order franchise</x:v>
      </x:c>
      <x:c r="Q3555" s="17" t="str">
        <x:v>224932</x:v>
      </x:c>
      <x:c r="R3555" s="17" t="str"/>
      <x:c r="S3555" s="17" t="str"/>
    </x:row>
    <x:row r="3556">
      <x:c r="A3556" s="43" t="n">
        <x:v>3552</x:v>
      </x:c>
      <x:c r="B3556" s="44" t="str">
        <x:v>Not Started</x:v>
      </x:c>
      <x:c r="C3556" s="45"/>
      <x:c r="D3556" s="33" t="str">
        <x:v>Law &amp; Order</x:v>
      </x:c>
      <x:c r="E3556" s="33" t="str">
        <x:v>Law &amp; Order</x:v>
      </x:c>
      <x:c r="F3556" s="33" t="str">
        <x:v>core</x:v>
      </x:c>
      <x:c r="G3556" s="50" t="n">
        <x:v>0</x:v>
      </x:c>
      <x:c r="H3556" s="50" t="n">
        <x:v>2</x:v>
      </x:c>
      <x:c r="I3556" s="44" t="str">
        <x:v>S00.02</x:v>
      </x:c>
      <x:c r="J3556" s="33" t="str">
        <x:v>Interview: Dick Wolfe: Creator</x:v>
      </x:c>
      <x:c r="K3556" s="33" t="str"/>
      <x:c r="L3556" s="33" t="str"/>
      <x:c r="M3556" s="44" t="str"/>
      <x:c r="N3556" s="50" t="n">
        <x:v>45</x:v>
      </x:c>
      <x:c r="O3556" s="53" t="str">
        <x:v>An interview with Law &amp; Order creator Dick Wolfe.</x:v>
      </x:c>
      <x:c r="P3556" s="53" t="str">
        <x:v>Core Law &amp; Order franchise</x:v>
      </x:c>
      <x:c r="Q3556" s="17" t="str">
        <x:v>34042</x:v>
      </x:c>
      <x:c r="R3556" s="17" t="str"/>
      <x:c r="S3556" s="17" t="str"/>
    </x:row>
    <x:row r="3557">
      <x:c r="A3557" s="43" t="n">
        <x:v>3553</x:v>
      </x:c>
      <x:c r="B3557" s="44" t="str">
        <x:v>Not Started</x:v>
      </x:c>
      <x:c r="C3557" s="45"/>
      <x:c r="D3557" s="33" t="str">
        <x:v>Law &amp; Order: Special Victims Unit</x:v>
      </x:c>
      <x:c r="E3557" s="33" t="str">
        <x:v>Law &amp; Order</x:v>
      </x:c>
      <x:c r="F3557" s="33" t="str">
        <x:v>core</x:v>
      </x:c>
      <x:c r="G3557" s="50" t="n">
        <x:v>0</x:v>
      </x:c>
      <x:c r="H3557" s="50" t="n">
        <x:v>2</x:v>
      </x:c>
      <x:c r="I3557" s="44" t="str">
        <x:v>S00.02</x:v>
      </x:c>
      <x:c r="J3557" s="33" t="str">
        <x:v>Police Sketch: B. D. Wong</x:v>
      </x:c>
      <x:c r="K3557" s="33" t="str"/>
      <x:c r="L3557" s="33" t="str"/>
      <x:c r="M3557" s="44" t="str"/>
      <x:c r="N3557" s="50" t="n">
        <x:v>43</x:v>
      </x:c>
      <x:c r="O3557" s="53" t="str">
        <x:v>Interview with B. D. Wong</x:v>
      </x:c>
      <x:c r="P3557" s="53" t="str">
        <x:v>Core Law &amp; Order franchise</x:v>
      </x:c>
      <x:c r="Q3557" s="17" t="str">
        <x:v>224933</x:v>
      </x:c>
      <x:c r="R3557" s="17" t="str"/>
      <x:c r="S3557" s="17" t="str"/>
    </x:row>
    <x:row r="3558">
      <x:c r="A3558" s="43" t="n">
        <x:v>3554</x:v>
      </x:c>
      <x:c r="B3558" s="44" t="str">
        <x:v>Not Started</x:v>
      </x:c>
      <x:c r="C3558" s="45"/>
      <x:c r="D3558" s="33" t="str">
        <x:v>Law &amp; Order</x:v>
      </x:c>
      <x:c r="E3558" s="33" t="str">
        <x:v>Law &amp; Order</x:v>
      </x:c>
      <x:c r="F3558" s="33" t="str">
        <x:v>core</x:v>
      </x:c>
      <x:c r="G3558" s="50" t="n">
        <x:v>0</x:v>
      </x:c>
      <x:c r="H3558" s="50" t="n">
        <x:v>3</x:v>
      </x:c>
      <x:c r="I3558" s="44" t="str">
        <x:v>S00.03</x:v>
      </x:c>
      <x:c r="J3558" s="33" t="str">
        <x:v>Interview: Jerry Orbach</x:v>
      </x:c>
      <x:c r="K3558" s="33" t="str"/>
      <x:c r="L3558" s="33" t="str"/>
      <x:c r="M3558" s="44" t="str"/>
      <x:c r="N3558" s="50" t="n">
        <x:v>45</x:v>
      </x:c>
      <x:c r="O3558" s="53" t="str">
        <x:v>A short interview with Law &amp; Order legend Jerry Orbach.</x:v>
      </x:c>
      <x:c r="P3558" s="53" t="str">
        <x:v>Core Law &amp; Order franchise</x:v>
      </x:c>
      <x:c r="Q3558" s="17" t="str">
        <x:v>34043</x:v>
      </x:c>
      <x:c r="R3558" s="17" t="str"/>
      <x:c r="S3558" s="17" t="str"/>
    </x:row>
    <x:row r="3559">
      <x:c r="A3559" s="43" t="n">
        <x:v>3555</x:v>
      </x:c>
      <x:c r="B3559" s="44" t="str">
        <x:v>Not Started</x:v>
      </x:c>
      <x:c r="C3559" s="45"/>
      <x:c r="D3559" s="33" t="str">
        <x:v>Law &amp; Order: Special Victims Unit</x:v>
      </x:c>
      <x:c r="E3559" s="33" t="str">
        <x:v>Law &amp; Order</x:v>
      </x:c>
      <x:c r="F3559" s="33" t="str">
        <x:v>core</x:v>
      </x:c>
      <x:c r="G3559" s="50" t="n">
        <x:v>0</x:v>
      </x:c>
      <x:c r="H3559" s="50" t="n">
        <x:v>3</x:v>
      </x:c>
      <x:c r="I3559" s="44" t="str">
        <x:v>S00.03</x:v>
      </x:c>
      <x:c r="J3559" s="33" t="str">
        <x:v>Police Sketch: Dann Florek</x:v>
      </x:c>
      <x:c r="K3559" s="33" t="str"/>
      <x:c r="L3559" s="33" t="str"/>
      <x:c r="M3559" s="44" t="str"/>
      <x:c r="N3559" s="50" t="n">
        <x:v>43</x:v>
      </x:c>
      <x:c r="O3559" s="53" t="str">
        <x:v>Interview with Dann Florek</x:v>
      </x:c>
      <x:c r="P3559" s="53" t="str">
        <x:v>Core Law &amp; Order franchise</x:v>
      </x:c>
      <x:c r="Q3559" s="17" t="str">
        <x:v>224934</x:v>
      </x:c>
      <x:c r="R3559" s="17" t="str"/>
      <x:c r="S3559" s="17" t="str"/>
    </x:row>
    <x:row r="3560">
      <x:c r="A3560" s="43" t="n">
        <x:v>3556</x:v>
      </x:c>
      <x:c r="B3560" s="44" t="str">
        <x:v>Not Started</x:v>
      </x:c>
      <x:c r="C3560" s="45"/>
      <x:c r="D3560" s="33" t="str">
        <x:v>Law &amp; Order</x:v>
      </x:c>
      <x:c r="E3560" s="33" t="str">
        <x:v>Law &amp; Order</x:v>
      </x:c>
      <x:c r="F3560" s="33" t="str">
        <x:v>core</x:v>
      </x:c>
      <x:c r="G3560" s="50" t="n">
        <x:v>0</x:v>
      </x:c>
      <x:c r="H3560" s="50" t="n">
        <x:v>4</x:v>
      </x:c>
      <x:c r="I3560" s="44" t="str">
        <x:v>S00.04</x:v>
      </x:c>
      <x:c r="J3560" s="33" t="str">
        <x:v>Interview: Jesse L. Martin</x:v>
      </x:c>
      <x:c r="K3560" s="33" t="str"/>
      <x:c r="L3560" s="33" t="str"/>
      <x:c r="M3560" s="44" t="str"/>
      <x:c r="N3560" s="50" t="n">
        <x:v>45</x:v>
      </x:c>
      <x:c r="O3560" s="53" t="str">
        <x:v>A brief interview with Law &amp; Order star Jesse L. Martin.</x:v>
      </x:c>
      <x:c r="P3560" s="53" t="str">
        <x:v>Core Law &amp; Order franchise</x:v>
      </x:c>
      <x:c r="Q3560" s="17" t="str">
        <x:v>34044</x:v>
      </x:c>
      <x:c r="R3560" s="17" t="str"/>
      <x:c r="S3560" s="17" t="str"/>
    </x:row>
    <x:row r="3561">
      <x:c r="A3561" s="43" t="n">
        <x:v>3557</x:v>
      </x:c>
      <x:c r="B3561" s="44" t="str">
        <x:v>Not Started</x:v>
      </x:c>
      <x:c r="C3561" s="45"/>
      <x:c r="D3561" s="33" t="str">
        <x:v>Law &amp; Order: Special Victims Unit</x:v>
      </x:c>
      <x:c r="E3561" s="33" t="str">
        <x:v>Law &amp; Order</x:v>
      </x:c>
      <x:c r="F3561" s="33" t="str">
        <x:v>core</x:v>
      </x:c>
      <x:c r="G3561" s="50" t="n">
        <x:v>0</x:v>
      </x:c>
      <x:c r="H3561" s="50" t="n">
        <x:v>4</x:v>
      </x:c>
      <x:c r="I3561" s="44" t="str">
        <x:v>S00.04</x:v>
      </x:c>
      <x:c r="J3561" s="33" t="str">
        <x:v>The Beginning</x:v>
      </x:c>
      <x:c r="K3561" s="33" t="str"/>
      <x:c r="L3561" s="33" t="str"/>
      <x:c r="M3561" s="44" t="str"/>
      <x:c r="N3561" s="50" t="n">
        <x:v>43</x:v>
      </x:c>
      <x:c r="O3561" s="53" t="str">
        <x:v>The Beginning features cast members and producers giving insight into the making of and success of the show.</x:v>
      </x:c>
      <x:c r="P3561" s="53" t="str">
        <x:v>Core Law &amp; Order franchise</x:v>
      </x:c>
      <x:c r="Q3561" s="17" t="str">
        <x:v>1717276</x:v>
      </x:c>
      <x:c r="R3561" s="17" t="str"/>
      <x:c r="S3561" s="17" t="str"/>
    </x:row>
    <x:row r="3562">
      <x:c r="A3562" s="43" t="n">
        <x:v>3558</x:v>
      </x:c>
      <x:c r="B3562" s="44" t="str">
        <x:v>Not Started</x:v>
      </x:c>
      <x:c r="C3562" s="45"/>
      <x:c r="D3562" s="33" t="str">
        <x:v>Law &amp; Order</x:v>
      </x:c>
      <x:c r="E3562" s="33" t="str">
        <x:v>Law &amp; Order</x:v>
      </x:c>
      <x:c r="F3562" s="33" t="str">
        <x:v>core</x:v>
      </x:c>
      <x:c r="G3562" s="50" t="n">
        <x:v>0</x:v>
      </x:c>
      <x:c r="H3562" s="50" t="n">
        <x:v>5</x:v>
      </x:c>
      <x:c r="I3562" s="44" t="str">
        <x:v>S00.05</x:v>
      </x:c>
      <x:c r="J3562" s="33" t="str">
        <x:v>Interview: Fred Dalton Thompson</x:v>
      </x:c>
      <x:c r="K3562" s="33" t="str"/>
      <x:c r="L3562" s="33" t="str"/>
      <x:c r="M3562" s="44" t="str"/>
      <x:c r="N3562" s="50" t="n">
        <x:v>45</x:v>
      </x:c>
      <x:c r="O3562" s="53" t="str">
        <x:v>A brief interview with star Fred Dalton Thompson, who left the show to run for President of the United States.</x:v>
      </x:c>
      <x:c r="P3562" s="53" t="str">
        <x:v>Core Law &amp; Order franchise</x:v>
      </x:c>
      <x:c r="Q3562" s="17" t="str">
        <x:v>34045</x:v>
      </x:c>
      <x:c r="R3562" s="17" t="str"/>
      <x:c r="S3562" s="17" t="str"/>
    </x:row>
    <x:row r="3563">
      <x:c r="A3563" s="43" t="n">
        <x:v>3559</x:v>
      </x:c>
      <x:c r="B3563" s="44" t="str">
        <x:v>Not Started</x:v>
      </x:c>
      <x:c r="C3563" s="45"/>
      <x:c r="D3563" s="33" t="str">
        <x:v>Law &amp; Order: Special Victims Unit</x:v>
      </x:c>
      <x:c r="E3563" s="33" t="str">
        <x:v>Law &amp; Order</x:v>
      </x:c>
      <x:c r="F3563" s="33" t="str">
        <x:v>core</x:v>
      </x:c>
      <x:c r="G3563" s="50" t="n">
        <x:v>0</x:v>
      </x:c>
      <x:c r="H3563" s="50" t="n">
        <x:v>5</x:v>
      </x:c>
      <x:c r="I3563" s="44" t="str">
        <x:v>S00.05</x:v>
      </x:c>
      <x:c r="J3563" s="33" t="str">
        <x:v>Squad Room Walkthrough</x:v>
      </x:c>
      <x:c r="K3563" s="33" t="str"/>
      <x:c r="L3563" s="33" t="str"/>
      <x:c r="M3563" s="44" t="str"/>
      <x:c r="N3563" s="50" t="n">
        <x:v>43</x:v>
      </x:c>
      <x:c r="O3563" s="53" t="str">
        <x:v>Dann Florek's Squad Room Walk Through clues us into life on the set and little tidbits about the squadroom such as the photo on Olivia's desk (that of Mariska's real mother, Jayne Mansfield with her two dogs Momsicle and Popsicle), the wanted pictures on the bulletin board (actually crew and office workers), the rationale behind props in Captain Cragen's office, and many more insider scoops.</x:v>
      </x:c>
      <x:c r="P3563" s="53" t="str">
        <x:v>Core Law &amp; Order franchise</x:v>
      </x:c>
      <x:c r="Q3563" s="17" t="str">
        <x:v>1717279</x:v>
      </x:c>
      <x:c r="R3563" s="17" t="str"/>
      <x:c r="S3563" s="17" t="str"/>
    </x:row>
    <x:row r="3564">
      <x:c r="A3564" s="43" t="n">
        <x:v>3560</x:v>
      </x:c>
      <x:c r="B3564" s="44" t="str">
        <x:v>Not Started</x:v>
      </x:c>
      <x:c r="C3564" s="45"/>
      <x:c r="D3564" s="33" t="str">
        <x:v>Law &amp; Order</x:v>
      </x:c>
      <x:c r="E3564" s="33" t="str">
        <x:v>Law &amp; Order</x:v>
      </x:c>
      <x:c r="F3564" s="33" t="str">
        <x:v>core</x:v>
      </x:c>
      <x:c r="G3564" s="50" t="n">
        <x:v>0</x:v>
      </x:c>
      <x:c r="H3564" s="50" t="n">
        <x:v>6</x:v>
      </x:c>
      <x:c r="I3564" s="44" t="str">
        <x:v>S00.06</x:v>
      </x:c>
      <x:c r="J3564" s="33" t="str">
        <x:v>Interview: Park Dietz, MD: Inside the Criminal Mind</x:v>
      </x:c>
      <x:c r="K3564" s="33" t="str"/>
      <x:c r="L3564" s="33" t="str"/>
      <x:c r="M3564" s="44" t="str"/>
      <x:c r="N3564" s="50" t="n">
        <x:v>45</x:v>
      </x:c>
      <x:c r="O3564" s="53" t="str">
        <x:v>An interview with criminologist Park Dietz, for a look inside the criminal mind.</x:v>
      </x:c>
      <x:c r="P3564" s="53" t="str">
        <x:v>Core Law &amp; Order franchise</x:v>
      </x:c>
      <x:c r="Q3564" s="17" t="str">
        <x:v>34046</x:v>
      </x:c>
      <x:c r="R3564" s="17" t="str"/>
      <x:c r="S3564" s="17" t="str"/>
    </x:row>
    <x:row r="3565">
      <x:c r="A3565" s="43" t="n">
        <x:v>3561</x:v>
      </x:c>
      <x:c r="B3565" s="44" t="str">
        <x:v>Not Started</x:v>
      </x:c>
      <x:c r="C3565" s="45"/>
      <x:c r="D3565" s="33" t="str">
        <x:v>Law &amp; Order: Special Victims Unit</x:v>
      </x:c>
      <x:c r="E3565" s="33" t="str">
        <x:v>Law &amp; Order</x:v>
      </x:c>
      <x:c r="F3565" s="33" t="str">
        <x:v>core</x:v>
      </x:c>
      <x:c r="G3565" s="50" t="n">
        <x:v>0</x:v>
      </x:c>
      <x:c r="H3565" s="50" t="n">
        <x:v>6</x:v>
      </x:c>
      <x:c r="I3565" s="44" t="str">
        <x:v>S00.06</x:v>
      </x:c>
      <x:c r="J3565" s="33" t="str">
        <x:v>SVU Alumni</x:v>
      </x:c>
      <x:c r="K3565" s="33" t="str"/>
      <x:c r="L3565" s="33" t="str"/>
      <x:c r="M3565" s="44" t="str"/>
      <x:c r="N3565" s="50" t="n">
        <x:v>43</x:v>
      </x:c>
      <x:c r="O3565" s="53" t="str">
        <x:v>SVU guest stars review</x:v>
      </x:c>
      <x:c r="P3565" s="53" t="str">
        <x:v>Core Law &amp; Order franchise</x:v>
      </x:c>
      <x:c r="Q3565" s="17" t="str">
        <x:v>1717280</x:v>
      </x:c>
      <x:c r="R3565" s="17" t="str"/>
      <x:c r="S3565" s="17" t="str"/>
    </x:row>
    <x:row r="3566">
      <x:c r="A3566" s="43" t="n">
        <x:v>3562</x:v>
      </x:c>
      <x:c r="B3566" s="44" t="str">
        <x:v>Not Started</x:v>
      </x:c>
      <x:c r="C3566" s="45"/>
      <x:c r="D3566" s="33" t="str">
        <x:v>Law &amp; Order</x:v>
      </x:c>
      <x:c r="E3566" s="33" t="str">
        <x:v>Law &amp; Order</x:v>
      </x:c>
      <x:c r="F3566" s="33" t="str">
        <x:v>core</x:v>
      </x:c>
      <x:c r="G3566" s="50" t="n">
        <x:v>0</x:v>
      </x:c>
      <x:c r="H3566" s="50" t="n">
        <x:v>7</x:v>
      </x:c>
      <x:c r="I3566" s="44" t="str">
        <x:v>S00.07</x:v>
      </x:c>
      <x:c r="J3566" s="33" t="str">
        <x:v>Special: The First Three Years</x:v>
      </x:c>
      <x:c r="K3566" s="33" t="str"/>
      <x:c r="L3566" s="33" t="str"/>
      <x:c r="M3566" s="44" t="str"/>
      <x:c r="N3566" s="50" t="n">
        <x:v>45</x:v>
      </x:c>
      <x:c r="O3566" s="53" t="str">
        <x:v>A DVD bonus featurette with footage from the first three seasons.</x:v>
      </x:c>
      <x:c r="P3566" s="53" t="str">
        <x:v>Core Law &amp; Order franchise</x:v>
      </x:c>
      <x:c r="Q3566" s="17" t="str">
        <x:v>34047</x:v>
      </x:c>
      <x:c r="R3566" s="17" t="str"/>
      <x:c r="S3566" s="17" t="str"/>
    </x:row>
    <x:row r="3567">
      <x:c r="A3567" s="43" t="n">
        <x:v>3563</x:v>
      </x:c>
      <x:c r="B3567" s="44" t="str">
        <x:v>Not Started</x:v>
      </x:c>
      <x:c r="C3567" s="45"/>
      <x:c r="D3567" s="33" t="str">
        <x:v>Law &amp; Order: Special Victims Unit</x:v>
      </x:c>
      <x:c r="E3567" s="33" t="str">
        <x:v>Law &amp; Order</x:v>
      </x:c>
      <x:c r="F3567" s="33" t="str">
        <x:v>core</x:v>
      </x:c>
      <x:c r="G3567" s="50" t="n">
        <x:v>0</x:v>
      </x:c>
      <x:c r="H3567" s="50" t="n">
        <x:v>7</x:v>
      </x:c>
      <x:c r="I3567" s="44" t="str">
        <x:v>S00.07</x:v>
      </x:c>
      <x:c r="J3567" s="33" t="str">
        <x:v>Corrosive</x:v>
      </x:c>
      <x:c r="K3567" s="33" t="str"/>
      <x:c r="L3567" s="33" t="str"/>
      <x:c r="M3567" s="44" t="str"/>
      <x:c r="N3567" s="50" t="n">
        <x:v>40</x:v>
      </x:c>
      <x:c r="O3567" s="53" t="str">
        <x:v>An attempt on a respected judge's life is connected to an anonymous video posted to the SVU tip line. Rollins tries to help a victim come to terms with their abuse.</x:v>
      </x:c>
      <x:c r="P3567" s="53" t="str">
        <x:v>Core Law &amp; Order franchise</x:v>
      </x:c>
      <x:c r="Q3567" s="17" t="str">
        <x:v>13902339</x:v>
      </x:c>
      <x:c r="R3567" s="17" t="str">
        <x:v>tt38681608</x:v>
      </x:c>
      <x:c r="S3567" s="17" t="str"/>
    </x:row>
    <x:row r="3568">
      <x:c r="A3568" s="43" t="n">
        <x:v>3564</x:v>
      </x:c>
      <x:c r="B3568" s="44" t="str">
        <x:v>Not Started</x:v>
      </x:c>
      <x:c r="C3568" s="45"/>
      <x:c r="D3568" s="33" t="str">
        <x:v>Homicide: Life on the Street</x:v>
      </x:c>
      <x:c r="E3568" s="33" t="str">
        <x:v>Law &amp; Order</x:v>
      </x:c>
      <x:c r="F3568" s="33" t="str">
        <x:v>connected</x:v>
      </x:c>
      <x:c r="G3568" s="50" t="n">
        <x:v>0</x:v>
      </x:c>
      <x:c r="H3568" s="50" t="n">
        <x:v>9</x:v>
      </x:c>
      <x:c r="I3568" s="44" t="str">
        <x:v>S00.09</x:v>
      </x:c>
      <x:c r="J3568" s="33" t="str">
        <x:v>Interview with David Simon &amp; James Yoshimura</x:v>
      </x:c>
      <x:c r="K3568" s="33" t="str"/>
      <x:c r="L3568" s="33" t="str"/>
      <x:c r="M3568" s="44" t="str"/>
      <x:c r="N3568" s="50" t="n">
        <x:v>45</x:v>
      </x:c>
      <x:c r="O3568" s="53" t="str">
        <x:v>Season 6 Extra Content  Interview with David Simon &amp; James Yoshimura</x:v>
      </x:c>
      <x:c r="P3568" s="53" t="str">
        <x:v>Direct crossover with Law &amp; Order; Munch bridge to SVU</x:v>
      </x:c>
      <x:c r="Q3568" s="17" t="str">
        <x:v>3917191</x:v>
      </x:c>
      <x:c r="R3568" s="17" t="str"/>
      <x:c r="S3568" s="17" t="str"/>
    </x:row>
    <x:row r="3569">
      <x:c r="A3569" s="43" t="n">
        <x:v>3565</x:v>
      </x:c>
      <x:c r="B3569" s="44" t="str">
        <x:v>Not Started</x:v>
      </x:c>
      <x:c r="C3569" s="45"/>
      <x:c r="D3569" s="33" t="str">
        <x:v>Homicide: Life on the Street</x:v>
      </x:c>
      <x:c r="E3569" s="33" t="str">
        <x:v>Law &amp; Order</x:v>
      </x:c>
      <x:c r="F3569" s="33" t="str">
        <x:v>connected</x:v>
      </x:c>
      <x:c r="G3569" s="50" t="n">
        <x:v>0</x:v>
      </x:c>
      <x:c r="H3569" s="50" t="n">
        <x:v>10</x:v>
      </x:c>
      <x:c r="I3569" s="44" t="str">
        <x:v>S00.10</x:v>
      </x:c>
      <x:c r="J3569" s="33" t="str">
        <x:v>James Yoshimura on working with David Simon</x:v>
      </x:c>
      <x:c r="K3569" s="33" t="str"/>
      <x:c r="L3569" s="33" t="str"/>
      <x:c r="M3569" s="44" t="str"/>
      <x:c r="N3569" s="50" t="n">
        <x:v>45</x:v>
      </x:c>
      <x:c r="O3569" s="53" t="str">
        <x:v>DVD Season 06 extra content 0- James Yoshimura on working with David Simon</x:v>
      </x:c>
      <x:c r="P3569" s="53" t="str">
        <x:v>Direct crossover with Law &amp; Order; Munch bridge to SVU</x:v>
      </x:c>
      <x:c r="Q3569" s="17" t="str">
        <x:v>3917196</x:v>
      </x:c>
      <x:c r="R3569" s="17" t="str"/>
      <x:c r="S3569" s="17" t="str"/>
    </x:row>
    <x:row r="3570">
      <x:c r="A3570" s="43" t="n">
        <x:v>3566</x:v>
      </x:c>
      <x:c r="B3570" s="44" t="str">
        <x:v>Not Started</x:v>
      </x:c>
      <x:c r="C3570" s="45"/>
      <x:c r="D3570" s="33" t="str">
        <x:v>Homicide: Life on the Street</x:v>
      </x:c>
      <x:c r="E3570" s="33" t="str">
        <x:v>Law &amp; Order</x:v>
      </x:c>
      <x:c r="F3570" s="33" t="str">
        <x:v>connected</x:v>
      </x:c>
      <x:c r="G3570" s="50" t="n">
        <x:v>0</x:v>
      </x:c>
      <x:c r="H3570" s="50" t="n">
        <x:v>11</x:v>
      </x:c>
      <x:c r="I3570" s="44" t="str">
        <x:v>S00.11</x:v>
      </x:c>
      <x:c r="J3570" s="33" t="str">
        <x:v>David Simon on Pemblton and Bayliss switching characters</x:v>
      </x:c>
      <x:c r="K3570" s="33" t="str"/>
      <x:c r="L3570" s="33" t="str"/>
      <x:c r="M3570" s="44" t="str"/>
      <x:c r="N3570" s="50" t="n">
        <x:v>45</x:v>
      </x:c>
      <x:c r="O3570" s="53" t="str">
        <x:v>Season 5 DVD Extra Content</x:v>
      </x:c>
      <x:c r="P3570" s="53" t="str">
        <x:v>Direct crossover with Law &amp; Order; Munch bridge to SVU</x:v>
      </x:c>
      <x:c r="Q3570" s="17" t="str">
        <x:v>3917206</x:v>
      </x:c>
      <x:c r="R3570" s="17" t="str"/>
      <x:c r="S3570" s="17" t="str"/>
    </x:row>
    <x:row r="3571">
      <x:c r="A3571" s="43" t="n">
        <x:v>3567</x:v>
      </x:c>
      <x:c r="B3571" s="44" t="str">
        <x:v>Not Started</x:v>
      </x:c>
      <x:c r="C3571" s="45"/>
      <x:c r="D3571" s="33" t="str">
        <x:v>Homicide: Life on the Street</x:v>
      </x:c>
      <x:c r="E3571" s="33" t="str">
        <x:v>Law &amp; Order</x:v>
      </x:c>
      <x:c r="F3571" s="33" t="str">
        <x:v>connected</x:v>
      </x:c>
      <x:c r="G3571" s="50" t="n">
        <x:v>0</x:v>
      </x:c>
      <x:c r="H3571" s="50" t="n">
        <x:v>12</x:v>
      </x:c>
      <x:c r="I3571" s="44" t="str">
        <x:v>S00.12</x:v>
      </x:c>
      <x:c r="J3571" s="33" t="str">
        <x:v>David Simon on Melissa Leo's departure</x:v>
      </x:c>
      <x:c r="K3571" s="33" t="str"/>
      <x:c r="L3571" s="33" t="str"/>
      <x:c r="M3571" s="44" t="str"/>
      <x:c r="N3571" s="50" t="n">
        <x:v>45</x:v>
      </x:c>
      <x:c r="O3571" s="53" t="str">
        <x:v>DVD Season 05 Extra Content - David Simon on Melissa Leo's departure</x:v>
      </x:c>
      <x:c r="P3571" s="53" t="str">
        <x:v>Direct crossover with Law &amp; Order; Munch bridge to SVU</x:v>
      </x:c>
      <x:c r="Q3571" s="17" t="str">
        <x:v>3917214</x:v>
      </x:c>
      <x:c r="R3571" s="17" t="str"/>
      <x:c r="S3571" s="17" t="str"/>
    </x:row>
    <x:row r="3572">
      <x:c r="A3572" s="43" t="n">
        <x:v>3568</x:v>
      </x:c>
      <x:c r="B3572" s="44" t="str">
        <x:v>Not Started</x:v>
      </x:c>
      <x:c r="C3572" s="45"/>
      <x:c r="D3572" s="33" t="str">
        <x:v>Homicide: Life on the Street</x:v>
      </x:c>
      <x:c r="E3572" s="33" t="str">
        <x:v>Law &amp; Order</x:v>
      </x:c>
      <x:c r="F3572" s="33" t="str">
        <x:v>connected</x:v>
      </x:c>
      <x:c r="G3572" s="50" t="n">
        <x:v>0</x:v>
      </x:c>
      <x:c r="H3572" s="50" t="n">
        <x:v>13</x:v>
      </x:c>
      <x:c r="I3572" s="44" t="str">
        <x:v>S00.13</x:v>
      </x:c>
      <x:c r="J3572" s="33" t="str">
        <x:v>David Simon on the Luther Mahoney storyline</x:v>
      </x:c>
      <x:c r="K3572" s="33" t="str"/>
      <x:c r="L3572" s="33" t="str"/>
      <x:c r="M3572" s="44" t="str"/>
      <x:c r="N3572" s="50" t="n">
        <x:v>45</x:v>
      </x:c>
      <x:c r="O3572" s="53" t="str">
        <x:v>Season 05 DVD extra content - David Simon on the Luther Mahoney storyline</x:v>
      </x:c>
      <x:c r="P3572" s="53" t="str">
        <x:v>Direct crossover with Law &amp; Order; Munch bridge to SVU</x:v>
      </x:c>
      <x:c r="Q3572" s="17" t="str">
        <x:v>11705958</x:v>
      </x:c>
      <x:c r="R3572" s="17" t="str"/>
      <x:c r="S3572" s="17" t="str"/>
    </x:row>
    <x:row r="3573">
      <x:c r="A3573" s="43" t="n">
        <x:v>3569</x:v>
      </x:c>
      <x:c r="B3573" s="44" t="str">
        <x:v>Not Started</x:v>
      </x:c>
      <x:c r="C3573" s="45"/>
      <x:c r="D3573" s="33" t="str">
        <x:v>Homicide: Life on the Street</x:v>
      </x:c>
      <x:c r="E3573" s="33" t="str">
        <x:v>Law &amp; Order</x:v>
      </x:c>
      <x:c r="F3573" s="33" t="str">
        <x:v>connected</x:v>
      </x:c>
      <x:c r="G3573" s="50" t="n">
        <x:v>0</x:v>
      </x:c>
      <x:c r="H3573" s="50" t="n">
        <x:v>14</x:v>
      </x:c>
      <x:c r="I3573" s="44" t="str">
        <x:v>S00.14</x:v>
      </x:c>
      <x:c r="J3573" s="33" t="str">
        <x:v>David Simon on working for Tom Fontana</x:v>
      </x:c>
      <x:c r="K3573" s="33" t="str"/>
      <x:c r="L3573" s="33" t="str"/>
      <x:c r="M3573" s="44" t="str"/>
      <x:c r="N3573" s="50" t="n">
        <x:v>45</x:v>
      </x:c>
      <x:c r="O3573" s="53" t="str">
        <x:v>Season 05 DVD extra content - David Simon on working for Tom Fontana</x:v>
      </x:c>
      <x:c r="P3573" s="53" t="str">
        <x:v>Direct crossover with Law &amp; Order; Munch bridge to SVU</x:v>
      </x:c>
      <x:c r="Q3573" s="17" t="str">
        <x:v>11705959</x:v>
      </x:c>
      <x:c r="R3573" s="17" t="str"/>
      <x:c r="S3573" s="17" t="str"/>
    </x:row>
    <x:row r="3574">
      <x:c r="A3574" s="43" t="n">
        <x:v>3570</x:v>
      </x:c>
      <x:c r="B3574" s="44" t="str">
        <x:v>Not Started</x:v>
      </x:c>
      <x:c r="C3574" s="45"/>
      <x:c r="D3574" s="33" t="str">
        <x:v>Homicide: Life on the Street</x:v>
      </x:c>
      <x:c r="E3574" s="33" t="str">
        <x:v>Law &amp; Order</x:v>
      </x:c>
      <x:c r="F3574" s="33" t="str">
        <x:v>connected</x:v>
      </x:c>
      <x:c r="G3574" s="50" t="n">
        <x:v>0</x:v>
      </x:c>
      <x:c r="H3574" s="50" t="n">
        <x:v>15</x:v>
      </x:c>
      <x:c r="I3574" s="44" t="str">
        <x:v>S00.15</x:v>
      </x:c>
      <x:c r="J3574" s="33" t="str">
        <x:v>David Simon on Joining Homicide</x:v>
      </x:c>
      <x:c r="K3574" s="33" t="str"/>
      <x:c r="L3574" s="33" t="str"/>
      <x:c r="M3574" s="44" t="str"/>
      <x:c r="N3574" s="50" t="n">
        <x:v>45</x:v>
      </x:c>
      <x:c r="O3574" s="53" t="str">
        <x:v>Season 05 DVD extra content - David Simon on Joining Homicide</x:v>
      </x:c>
      <x:c r="P3574" s="53" t="str">
        <x:v>Direct crossover with Law &amp; Order; Munch bridge to SVU</x:v>
      </x:c>
      <x:c r="Q3574" s="17" t="str">
        <x:v>11705960</x:v>
      </x:c>
      <x:c r="R3574" s="17" t="str"/>
      <x:c r="S3574" s="17" t="str"/>
    </x:row>
    <x:row r="3575">
      <x:c r="A3575" s="46" t="n">
        <x:v>3571</x:v>
      </x:c>
      <x:c r="B3575" s="47" t="str">
        <x:v>Not Started</x:v>
      </x:c>
      <x:c r="C3575" s="48"/>
      <x:c r="D3575" s="37" t="str">
        <x:v>Law &amp; Order</x:v>
      </x:c>
      <x:c r="E3575" s="37" t="str">
        <x:v>Law &amp; Order</x:v>
      </x:c>
      <x:c r="F3575" s="37" t="str">
        <x:v>core</x:v>
      </x:c>
      <x:c r="G3575" s="51" t="n">
        <x:v>0</x:v>
      </x:c>
      <x:c r="H3575" s="51" t="n">
        <x:v>17</x:v>
      </x:c>
      <x:c r="I3575" s="47" t="str">
        <x:v>S00.17</x:v>
      </x:c>
      <x:c r="J3575" s="37" t="str">
        <x:v>Interview: Dick Wolfe: Creator</x:v>
      </x:c>
      <x:c r="K3575" s="37" t="str"/>
      <x:c r="L3575" s="37" t="str"/>
      <x:c r="M3575" s="47" t="str"/>
      <x:c r="N3575" s="51" t="n">
        <x:v>45</x:v>
      </x:c>
      <x:c r="O3575" s="54" t="str">
        <x:v>An interview with Law &amp; Order creator Dick Wolfe.</x:v>
      </x:c>
      <x:c r="P3575" s="54" t="str">
        <x:v>Core Law &amp; Order franchise</x:v>
      </x:c>
      <x:c r="Q3575" s="18" t="str">
        <x:v>1729596</x:v>
      </x:c>
      <x:c r="R3575" s="18" t="str"/>
      <x:c r="S3575" s="18" t="str"/>
    </x:row>
  </x:sheetData>
  <x:mergeCells>
    <x:mergeCell ref="A1:S2"/>
    <x:mergeCell ref="A3:S3"/>
  </x:mergeCells>
  <x:conditionalFormatting sqref="B5:B3575">
    <x:cfRule type="containsText" dxfId="0" priority="1" operator="containsText" text="Watched"/>
    <x:cfRule type="containsText" dxfId="1" priority="2" operator="containsText" text="Watching"/>
    <x:cfRule type="containsText" dxfId="2" priority="3" operator="containsText" text="Skipped"/>
  </x:conditionalFormatting>
  <x:conditionalFormatting sqref="K5:K3575">
    <x:cfRule type="notContainsBlanks" dxfId="3" priority="4"/>
  </x:conditionalFormatting>
  <x:conditionalFormatting sqref="F5:F3575">
    <x:cfRule type="containsText" dxfId="4" priority="5" operator="containsText" text="core"/>
  </x:conditionalFormatting>
  <x:dataValidations count="1">
    <x:dataValidation type="list" sqref="B5:B3575">
      <x:formula1>"Not Started,Watching,Watched,Skipped"</x:formula1>
    </x:dataValidation>
  </x:dataValidations>
  <x:pageMargins left="0.7" right="0.7" top="0.75" bottom="0.75" header="0.3" footer="0.3"/>
  <x:tableParts count="1">
    <x:tablePart xmlns:r="http://schemas.openxmlformats.org/officeDocument/2006/relationships" r:id="R22d621fad674490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9" hidden="0" customWidth="1"/>
    <x:col min="4" max="4" width="9" hidden="0" customWidth="1"/>
    <x:col min="5" max="5" width="13" hidden="0" customWidth="1"/>
    <x:col min="6" max="6" width="9" hidden="0" customWidth="1"/>
    <x:col min="7" max="7" width="31" hidden="0" customWidth="1"/>
    <x:col min="8" max="8" width="10" hidden="0" customWidth="1"/>
    <x:col min="9" max="9" width="34" hidden="0" customWidth="1"/>
    <x:col min="10" max="10" width="48" hidden="0" customWidth="1"/>
    <x:col min="11" max="11" width="58" hidden="0" customWidth="1"/>
    <x:col min="12" max="12" width="48" hidden="0" customWidth="1"/>
    <x:col min="13" max="13" width="25" hidden="0" customWidth="1"/>
  </x:cols>
  <x:sheetData>
    <x:row r="1" ht="30" customHeight="1">
      <x:c r="A1" s="5" t="str">
        <x:v>Crossovers, Launches &amp; Multi-Episode Arcs</x:v>
      </x:c>
      <x:c r="B1" s="5" t="str">
        <x:v>Crossovers, Launches &amp; Multi-Episode Arcs</x:v>
      </x:c>
      <x:c r="C1" s="5" t="str">
        <x:v>Crossovers, Launches &amp; Multi-Episode Arcs</x:v>
      </x:c>
      <x:c r="D1" s="5" t="str">
        <x:v>Crossovers, Launches &amp; Multi-Episode Arcs</x:v>
      </x:c>
      <x:c r="E1" s="5" t="str">
        <x:v>Crossovers, Launches &amp; Multi-Episode Arcs</x:v>
      </x:c>
      <x:c r="F1" s="5" t="str">
        <x:v>Crossovers, Launches &amp; Multi-Episode Arcs</x:v>
      </x:c>
      <x:c r="G1" s="5" t="str">
        <x:v>Crossovers, Launches &amp; Multi-Episode Arcs</x:v>
      </x:c>
      <x:c r="H1" s="5" t="str">
        <x:v>Crossovers, Launches &amp; Multi-Episode Arcs</x:v>
      </x:c>
      <x:c r="I1" s="5" t="str">
        <x:v>Crossovers, Launches &amp; Multi-Episode Arcs</x:v>
      </x:c>
      <x:c r="J1" s="5" t="str">
        <x:v>Crossovers, Launches &amp; Multi-Episode Arcs</x:v>
      </x:c>
      <x:c r="K1" s="5" t="str">
        <x:v>Crossovers, Launches &amp; Multi-Episode Arcs</x:v>
      </x:c>
      <x:c r="L1" s="5" t="str">
        <x:v>Crossovers, Launches &amp; Multi-Episode Arcs</x:v>
      </x:c>
      <x:c r="M1" s="5" t="str">
        <x:v>Crossovers, Launches &amp; Multi-Episode Arcs</x:v>
      </x:c>
      <x:c r="N1" s="1"/>
      <x:c r="O1" s="1"/>
      <x:c r="P1" s="1"/>
      <x:c r="Q1" s="1"/>
      <x:c r="R1" s="1"/>
      <x:c r="S1" s="1"/>
      <x:c r="T1" s="1"/>
      <x:c r="U1" s="1"/>
      <x:c r="V1" s="1"/>
      <x:c r="W1" s="1"/>
      <x:c r="X1" s="1"/>
      <x:c r="Y1" s="1"/>
      <x:c r="Z1" s="1"/>
    </x:row>
    <x:row r="2" ht="30" customHeight="1">
      <x:c r="A2" s="5" t="str">
        <x:v>Crossovers, Launches &amp; Multi-Episode Arcs</x:v>
      </x:c>
      <x:c r="B2" s="5" t="str">
        <x:v>Crossovers, Launches &amp; Multi-Episode Arcs</x:v>
      </x:c>
      <x:c r="C2" s="5" t="str">
        <x:v>Crossovers, Launches &amp; Multi-Episode Arcs</x:v>
      </x:c>
      <x:c r="D2" s="5" t="str">
        <x:v>Crossovers, Launches &amp; Multi-Episode Arcs</x:v>
      </x:c>
      <x:c r="E2" s="5" t="str">
        <x:v>Crossovers, Launches &amp; Multi-Episode Arcs</x:v>
      </x:c>
      <x:c r="F2" s="5" t="str">
        <x:v>Crossovers, Launches &amp; Multi-Episode Arcs</x:v>
      </x:c>
      <x:c r="G2" s="5" t="str">
        <x:v>Crossovers, Launches &amp; Multi-Episode Arcs</x:v>
      </x:c>
      <x:c r="H2" s="5" t="str">
        <x:v>Crossovers, Launches &amp; Multi-Episode Arcs</x:v>
      </x:c>
      <x:c r="I2" s="5" t="str">
        <x:v>Crossovers, Launches &amp; Multi-Episode Arcs</x:v>
      </x:c>
      <x:c r="J2" s="5" t="str">
        <x:v>Crossovers, Launches &amp; Multi-Episode Arcs</x:v>
      </x:c>
      <x:c r="K2" s="5" t="str">
        <x:v>Crossovers, Launches &amp; Multi-Episode Arcs</x:v>
      </x:c>
      <x:c r="L2" s="5" t="str">
        <x:v>Crossovers, Launches &amp; Multi-Episode Arcs</x:v>
      </x:c>
      <x:c r="M2" s="5" t="str">
        <x:v>Crossovers, Launches &amp; Multi-Episode Arcs</x:v>
      </x:c>
      <x:c r="N2" s="1"/>
      <x:c r="O2" s="1"/>
      <x:c r="P2" s="1"/>
      <x:c r="Q2" s="1"/>
      <x:c r="R2" s="1"/>
      <x:c r="S2" s="1"/>
      <x:c r="T2" s="1"/>
      <x:c r="U2" s="1"/>
      <x:c r="V2" s="1"/>
      <x:c r="W2" s="1"/>
      <x:c r="X2" s="1"/>
      <x:c r="Y2" s="1"/>
      <x:c r="Z2" s="1"/>
    </x:row>
    <x:row r="3" ht="24" customHeight="1">
      <x:c r="A3" s="10" t="str">
        <x:v>One row per relationship tag. Curated entries are source-backed; conservative title-based arc inferences are explicitly marked.</x:v>
      </x:c>
      <x:c r="B3" s="10" t="str">
        <x:v>One row per relationship tag. Curated entries are source-backed; conservative title-based arc inferences are explicitly marked.</x:v>
      </x:c>
      <x:c r="C3" s="10" t="str">
        <x:v>One row per relationship tag. Curated entries are source-backed; conservative title-based arc inferences are explicitly marked.</x:v>
      </x:c>
      <x:c r="D3" s="10" t="str">
        <x:v>One row per relationship tag. Curated entries are source-backed; conservative title-based arc inferences are explicitly marked.</x:v>
      </x:c>
      <x:c r="E3" s="10" t="str">
        <x:v>One row per relationship tag. Curated entries are source-backed; conservative title-based arc inferences are explicitly marked.</x:v>
      </x:c>
      <x:c r="F3" s="10" t="str">
        <x:v>One row per relationship tag. Curated entries are source-backed; conservative title-based arc inferences are explicitly marked.</x:v>
      </x:c>
      <x:c r="G3" s="10" t="str">
        <x:v>One row per relationship tag. Curated entries are source-backed; conservative title-based arc inferences are explicitly marked.</x:v>
      </x:c>
      <x:c r="H3" s="10" t="str">
        <x:v>One row per relationship tag. Curated entries are source-backed; conservative title-based arc inferences are explicitly marked.</x:v>
      </x:c>
      <x:c r="I3" s="10" t="str">
        <x:v>One row per relationship tag. Curated entries are source-backed; conservative title-based arc inferences are explicitly marked.</x:v>
      </x:c>
      <x:c r="J3" s="10" t="str">
        <x:v>One row per relationship tag. Curated entries are source-backed; conservative title-based arc inferences are explicitly marked.</x:v>
      </x:c>
      <x:c r="K3" s="10" t="str">
        <x:v>One row per relationship tag. Curated entries are source-backed; conservative title-based arc inferences are explicitly marked.</x:v>
      </x:c>
      <x:c r="L3" s="10" t="str">
        <x:v>One row per relationship tag. Curated entries are source-backed; conservative title-based arc inferences are explicitly marked.</x:v>
      </x:c>
      <x:c r="M3" s="10" t="str">
        <x:v>One row per relationship tag. Curated entries are source-backed; conservative title-based arc inferences are explicitly marked.</x:v>
      </x:c>
      <x:c r="N3" s="1"/>
      <x:c r="O3" s="1"/>
      <x:c r="P3" s="1"/>
      <x:c r="Q3" s="1"/>
      <x:c r="R3" s="1"/>
      <x:c r="S3" s="1"/>
      <x:c r="T3" s="1"/>
      <x:c r="U3" s="1"/>
      <x:c r="V3" s="1"/>
      <x:c r="W3" s="1"/>
      <x:c r="X3" s="1"/>
      <x:c r="Y3" s="1"/>
      <x:c r="Z3" s="1"/>
    </x:row>
    <x:row r="4" ht="28" customHeight="1">
      <x:c r="A4" s="59" t="str">
        <x:v>Event / Arc</x:v>
      </x:c>
      <x:c r="B4" s="59" t="str">
        <x:v>Type</x:v>
      </x:c>
      <x:c r="C4" s="59" t="str">
        <x:v>Label</x:v>
      </x:c>
      <x:c r="D4" s="59" t="str">
        <x:v>Part</x:v>
      </x:c>
      <x:c r="E4" s="59" t="str">
        <x:v>Air Date</x:v>
      </x:c>
      <x:c r="F4" s="59" t="str">
        <x:v>Order</x:v>
      </x:c>
      <x:c r="G4" s="59" t="str">
        <x:v>Show</x:v>
      </x:c>
      <x:c r="H4" s="59" t="str">
        <x:v>Code</x:v>
      </x:c>
      <x:c r="I4" s="59" t="str">
        <x:v>Episode / Film</x:v>
      </x:c>
      <x:c r="J4" s="59" t="str">
        <x:v>Narrative Role</x:v>
      </x:c>
      <x:c r="K4" s="59" t="str">
        <x:v>Related Episodes</x:v>
      </x:c>
      <x:c r="L4" s="59" t="str">
        <x:v>Evidence URL</x:v>
      </x:c>
      <x:c r="M4" s="59" t="str">
        <x:v>Confidence</x:v>
      </x:c>
      <x:c r="N4" s="1"/>
      <x:c r="O4" s="1"/>
      <x:c r="P4" s="1"/>
      <x:c r="Q4" s="1"/>
      <x:c r="R4" s="1"/>
      <x:c r="S4" s="1"/>
      <x:c r="T4" s="1"/>
      <x:c r="U4" s="1"/>
      <x:c r="V4" s="1"/>
      <x:c r="W4" s="1"/>
      <x:c r="X4" s="1"/>
      <x:c r="Y4" s="1"/>
      <x:c r="Z4" s="1"/>
    </x:row>
    <x:row r="5">
      <x:c r="A5" s="16" t="str">
        <x:v>Produced but unaired</x:v>
      </x:c>
      <x:c r="B5" s="16" t="str">
        <x:v>unaired</x:v>
      </x:c>
      <x:c r="C5" s="16" t="str">
        <x:v>Unaired episode</x:v>
      </x:c>
      <x:c r="D5" s="16" t="str"/>
      <x:c r="E5" s="19"/>
      <x:c r="F5" s="22" t="n">
        <x:v>125</x:v>
      </x:c>
      <x:c r="G5" s="16" t="str">
        <x:v>South Beach</x:v>
      </x:c>
      <x:c r="H5" s="16" t="str">
        <x:v>01.07</x:v>
      </x:c>
      <x:c r="I5" s="16" t="str">
        <x:v>School for Scandal</x:v>
      </x:c>
      <x:c r="J5" s="52" t="str">
        <x:v>Produced seventh episode; not part of the original broadcast run.</x:v>
      </x:c>
      <x:c r="K5" s="52" t="str"/>
      <x:c r="L5" s="52" t="str">
        <x:v>https://app.trakt.tv/shows/south-beach-1993</x:v>
      </x:c>
      <x:c r="M5" s="16" t="str">
        <x:v>Curated / source-backed</x:v>
      </x:c>
      <x:c r="N5" s="1"/>
      <x:c r="O5" s="1"/>
      <x:c r="P5" s="1"/>
      <x:c r="Q5" s="1"/>
      <x:c r="R5" s="1"/>
      <x:c r="S5" s="1"/>
      <x:c r="T5" s="1"/>
      <x:c r="U5" s="1"/>
      <x:c r="V5" s="1"/>
      <x:c r="W5" s="1"/>
      <x:c r="X5" s="1"/>
      <x:c r="Y5" s="1"/>
      <x:c r="Z5" s="1"/>
    </x:row>
    <x:row r="6">
      <x:c r="A6" s="17" t="str">
        <x:v>Charm City / For God and Country</x:v>
      </x:c>
      <x:c r="B6" s="17" t="str">
        <x:v>crossover</x:v>
      </x:c>
      <x:c r="C6" s="17" t="str">
        <x:v>Crossover</x:v>
      </x:c>
      <x:c r="D6" s="17" t="str">
        <x:v>1/2</x:v>
      </x:c>
      <x:c r="E6" s="20" t="n">
        <x:v>35102</x:v>
      </x:c>
      <x:c r="F6" s="23" t="n">
        <x:v>274</x:v>
      </x:c>
      <x:c r="G6" s="17" t="str">
        <x:v>Law &amp; Order</x:v>
      </x:c>
      <x:c r="H6" s="17" t="str">
        <x:v>06.13</x:v>
      </x:c>
      <x:c r="I6" s="17" t="str">
        <x:v>Charm City (I)</x:v>
      </x:c>
      <x:c r="J6" s="53" t="str">
        <x:v>Two-part Law &amp; Order / Homicide story.</x:v>
      </x:c>
      <x:c r="K6" s="53" t="str">
        <x:v>Homicide: Life on the Street S04E12 — For God and Country (II)</x:v>
      </x:c>
      <x:c r="L6" s="53" t="str">
        <x:v>https://one-chicago-fbi.fandom.com/wiki/Crossovers_and_Milestones</x:v>
      </x:c>
      <x:c r="M6" s="17" t="str">
        <x:v>Curated / source-backed</x:v>
      </x:c>
      <x:c r="N6" s="1"/>
      <x:c r="O6" s="1"/>
      <x:c r="P6" s="1"/>
      <x:c r="Q6" s="1"/>
      <x:c r="R6" s="1"/>
      <x:c r="S6" s="1"/>
      <x:c r="T6" s="1"/>
      <x:c r="U6" s="1"/>
      <x:c r="V6" s="1"/>
      <x:c r="W6" s="1"/>
      <x:c r="X6" s="1"/>
      <x:c r="Y6" s="1"/>
      <x:c r="Z6" s="1"/>
    </x:row>
    <x:row r="7">
      <x:c r="A7" s="17" t="str">
        <x:v>Charm City / For God and Country</x:v>
      </x:c>
      <x:c r="B7" s="17" t="str">
        <x:v>crossover</x:v>
      </x:c>
      <x:c r="C7" s="17" t="str">
        <x:v>Crossover</x:v>
      </x:c>
      <x:c r="D7" s="17" t="str">
        <x:v>2/2</x:v>
      </x:c>
      <x:c r="E7" s="20" t="n">
        <x:v>35105</x:v>
      </x:c>
      <x:c r="F7" s="23" t="n">
        <x:v>276</x:v>
      </x:c>
      <x:c r="G7" s="17" t="str">
        <x:v>Homicide: Life on the Street</x:v>
      </x:c>
      <x:c r="H7" s="17" t="str">
        <x:v>04.12</x:v>
      </x:c>
      <x:c r="I7" s="17" t="str">
        <x:v>For God and Country (II)</x:v>
      </x:c>
      <x:c r="J7" s="53" t="str">
        <x:v>Two-part Law &amp; Order / Homicide story.</x:v>
      </x:c>
      <x:c r="K7" s="53" t="str">
        <x:v>Law &amp; Order S06E13 — Charm City (I)</x:v>
      </x:c>
      <x:c r="L7" s="53" t="str">
        <x:v>https://one-chicago-fbi.fandom.com/wiki/Crossovers_and_Milestones</x:v>
      </x:c>
      <x:c r="M7" s="17" t="str">
        <x:v>Curated / source-backed</x:v>
      </x:c>
      <x:c r="N7" s="1"/>
      <x:c r="O7" s="1"/>
      <x:c r="P7" s="1"/>
      <x:c r="Q7" s="1"/>
      <x:c r="R7" s="1"/>
      <x:c r="S7" s="1"/>
      <x:c r="T7" s="1"/>
      <x:c r="U7" s="1"/>
      <x:c r="V7" s="1"/>
      <x:c r="W7" s="1"/>
      <x:c r="X7" s="1"/>
      <x:c r="Y7" s="1"/>
      <x:c r="Z7" s="1"/>
    </x:row>
    <x:row r="8">
      <x:c r="A8" s="17" t="str">
        <x:v>Baby, It's You</x:v>
      </x:c>
      <x:c r="B8" s="17" t="str">
        <x:v>crossover</x:v>
      </x:c>
      <x:c r="C8" s="17" t="str">
        <x:v>Crossover</x:v>
      </x:c>
      <x:c r="D8" s="17" t="str">
        <x:v>1/2</x:v>
      </x:c>
      <x:c r="E8" s="20" t="n">
        <x:v>35746</x:v>
      </x:c>
      <x:c r="F8" s="23" t="n">
        <x:v>408</x:v>
      </x:c>
      <x:c r="G8" s="17" t="str">
        <x:v>Law &amp; Order</x:v>
      </x:c>
      <x:c r="H8" s="17" t="str">
        <x:v>08.06</x:v>
      </x:c>
      <x:c r="I8" s="17" t="str">
        <x:v>Baby, It's You (I)</x:v>
      </x:c>
      <x:c r="J8" s="53" t="str">
        <x:v>Two-part Law &amp; Order / Homicide story.</x:v>
      </x:c>
      <x:c r="K8" s="53" t="str">
        <x:v>Homicide: Life on the Street S06E05 — Baby, It's You (II)</x:v>
      </x:c>
      <x:c r="L8" s="53" t="str">
        <x:v>https://one-chicago-fbi.fandom.com/wiki/Crossovers_and_Milestones</x:v>
      </x:c>
      <x:c r="M8" s="17" t="str">
        <x:v>Curated / source-backed</x:v>
      </x:c>
      <x:c r="N8" s="1"/>
      <x:c r="O8" s="1"/>
      <x:c r="P8" s="1"/>
      <x:c r="Q8" s="1"/>
      <x:c r="R8" s="1"/>
      <x:c r="S8" s="1"/>
      <x:c r="T8" s="1"/>
      <x:c r="U8" s="1"/>
      <x:c r="V8" s="1"/>
      <x:c r="W8" s="1"/>
      <x:c r="X8" s="1"/>
      <x:c r="Y8" s="1"/>
      <x:c r="Z8" s="1"/>
    </x:row>
    <x:row r="9">
      <x:c r="A9" s="17" t="str">
        <x:v>Baby, It's You</x:v>
      </x:c>
      <x:c r="B9" s="17" t="str">
        <x:v>crossover</x:v>
      </x:c>
      <x:c r="C9" s="17" t="str">
        <x:v>Crossover</x:v>
      </x:c>
      <x:c r="D9" s="17" t="str">
        <x:v>2/2</x:v>
      </x:c>
      <x:c r="E9" s="20" t="n">
        <x:v>35748</x:v>
      </x:c>
      <x:c r="F9" s="23" t="n">
        <x:v>410</x:v>
      </x:c>
      <x:c r="G9" s="17" t="str">
        <x:v>Homicide: Life on the Street</x:v>
      </x:c>
      <x:c r="H9" s="17" t="str">
        <x:v>06.05</x:v>
      </x:c>
      <x:c r="I9" s="17" t="str">
        <x:v>Baby, It's You (II)</x:v>
      </x:c>
      <x:c r="J9" s="53" t="str">
        <x:v>Two-part Law &amp; Order / Homicide story.</x:v>
      </x:c>
      <x:c r="K9" s="53" t="str">
        <x:v>Law &amp; Order S08E06 — Baby, It's You (I)</x:v>
      </x:c>
      <x:c r="L9" s="53" t="str">
        <x:v>https://one-chicago-fbi.fandom.com/wiki/Crossovers_and_Milestones</x:v>
      </x:c>
      <x:c r="M9" s="17" t="str">
        <x:v>Curated / source-backed</x:v>
      </x:c>
      <x:c r="N9" s="1"/>
      <x:c r="O9" s="1"/>
      <x:c r="P9" s="1"/>
      <x:c r="Q9" s="1"/>
      <x:c r="R9" s="1"/>
      <x:c r="S9" s="1"/>
      <x:c r="T9" s="1"/>
      <x:c r="U9" s="1"/>
      <x:c r="V9" s="1"/>
      <x:c r="W9" s="1"/>
      <x:c r="X9" s="1"/>
      <x:c r="Y9" s="1"/>
      <x:c r="Z9" s="1"/>
    </x:row>
    <x:row r="10">
      <x:c r="A10" s="17" t="str">
        <x:v>Unproduced-series pilot</x:v>
      </x:c>
      <x:c r="B10" s="17" t="str">
        <x:v>backdoor_pilot</x:v>
      </x:c>
      <x:c r="C10" s="17" t="str">
        <x:v>Unaired pilot</x:v>
      </x:c>
      <x:c r="D10" s="17" t="str"/>
      <x:c r="E10" s="20" t="n">
        <x:v>35947</x:v>
      </x:c>
      <x:c r="F10" s="23" t="n">
        <x:v>470</x:v>
      </x:c>
      <x:c r="G10" s="17" t="str">
        <x:v>The Invisible Man</x:v>
      </x:c>
      <x:c r="H10" s="17" t="str">
        <x:v>MOVIE</x:v>
      </x:c>
      <x:c r="I10" s="17" t="str">
        <x:v>The Invisible Man</x:v>
      </x:c>
      <x:c r="J10" s="53" t="str">
        <x:v>Produced as a television movie / pilot for a series that was not ordered.</x:v>
      </x:c>
      <x:c r="K10" s="53" t="str"/>
      <x:c r="L10" s="53" t="str">
        <x:v>https://variety.com/1998/voices/columns/wolf-s-disappearing-act-two-hour-sein-off-1117467116/</x:v>
      </x:c>
      <x:c r="M10" s="17" t="str">
        <x:v>Curated / source-backed</x:v>
      </x:c>
      <x:c r="N10" s="1"/>
      <x:c r="O10" s="1"/>
      <x:c r="P10" s="1"/>
      <x:c r="Q10" s="1"/>
      <x:c r="R10" s="1"/>
      <x:c r="S10" s="1"/>
      <x:c r="T10" s="1"/>
      <x:c r="U10" s="1"/>
      <x:c r="V10" s="1"/>
      <x:c r="W10" s="1"/>
      <x:c r="X10" s="1"/>
      <x:c r="Y10" s="1"/>
      <x:c r="Z10" s="1"/>
    </x:row>
    <x:row r="11">
      <x:c r="A11" s="17" t="str">
        <x:v>Mike Logan continuation</x:v>
      </x:c>
      <x:c r="B11" s="17" t="str">
        <x:v>continuation</x:v>
      </x:c>
      <x:c r="C11" s="17" t="str">
        <x:v>Series continuation</x:v>
      </x:c>
      <x:c r="D11" s="17" t="str"/>
      <x:c r="E11" s="20" t="n">
        <x:v>36107</x:v>
      </x:c>
      <x:c r="F11" s="23" t="n">
        <x:v>485</x:v>
      </x:c>
      <x:c r="G11" s="17" t="str">
        <x:v>Exiled: A Law &amp; Order Movie</x:v>
      </x:c>
      <x:c r="H11" s="17" t="str">
        <x:v>MOVIE</x:v>
      </x:c>
      <x:c r="I11" s="17" t="str">
        <x:v>Exiled: A Law &amp; Order Movie</x:v>
      </x:c>
      <x:c r="J11" s="53" t="str">
        <x:v>Feature-length continuation of Mike Logan's Law &amp; Order storyline.</x:v>
      </x:c>
      <x:c r="K11" s="53" t="str"/>
      <x:c r="L11" s="53" t="str">
        <x:v>https://one-chicago-fbi.fandom.com/wiki/Wolf_Universe</x:v>
      </x:c>
      <x:c r="M11" s="17" t="str">
        <x:v>Curated / source-backed</x:v>
      </x:c>
      <x:c r="N11" s="1"/>
      <x:c r="O11" s="1"/>
      <x:c r="P11" s="1"/>
      <x:c r="Q11" s="1"/>
      <x:c r="R11" s="1"/>
      <x:c r="S11" s="1"/>
      <x:c r="T11" s="1"/>
      <x:c r="U11" s="1"/>
      <x:c r="V11" s="1"/>
      <x:c r="W11" s="1"/>
      <x:c r="X11" s="1"/>
      <x:c r="Y11" s="1"/>
      <x:c r="Z11" s="1"/>
    </x:row>
    <x:row r="12">
      <x:c r="A12" s="17" t="str">
        <x:v>Sideshow</x:v>
      </x:c>
      <x:c r="B12" s="17" t="str">
        <x:v>crossover</x:v>
      </x:c>
      <x:c r="C12" s="17" t="str">
        <x:v>Crossover</x:v>
      </x:c>
      <x:c r="D12" s="17" t="str">
        <x:v>1/2</x:v>
      </x:c>
      <x:c r="E12" s="20" t="n">
        <x:v>36208</x:v>
      </x:c>
      <x:c r="F12" s="23" t="n">
        <x:v>505</x:v>
      </x:c>
      <x:c r="G12" s="17" t="str">
        <x:v>Law &amp; Order</x:v>
      </x:c>
      <x:c r="H12" s="17" t="str">
        <x:v>09.14</x:v>
      </x:c>
      <x:c r="I12" s="17" t="str">
        <x:v>Sideshow (I)</x:v>
      </x:c>
      <x:c r="J12" s="53" t="str">
        <x:v>Two-part Law &amp; Order / Homicide story.</x:v>
      </x:c>
      <x:c r="K12" s="53" t="str">
        <x:v>Homicide: Life on the Street S07E15 — Sideshow (II)</x:v>
      </x:c>
      <x:c r="L12" s="53" t="str">
        <x:v>https://one-chicago-fbi.fandom.com/wiki/Crossovers_and_Milestones</x:v>
      </x:c>
      <x:c r="M12" s="17" t="str">
        <x:v>Curated / source-backed</x:v>
      </x:c>
      <x:c r="N12" s="1"/>
      <x:c r="O12" s="1"/>
      <x:c r="P12" s="1"/>
      <x:c r="Q12" s="1"/>
      <x:c r="R12" s="1"/>
      <x:c r="S12" s="1"/>
      <x:c r="T12" s="1"/>
      <x:c r="U12" s="1"/>
      <x:c r="V12" s="1"/>
      <x:c r="W12" s="1"/>
      <x:c r="X12" s="1"/>
      <x:c r="Y12" s="1"/>
      <x:c r="Z12" s="1"/>
    </x:row>
    <x:row r="13">
      <x:c r="A13" s="17" t="str">
        <x:v>Sideshow</x:v>
      </x:c>
      <x:c r="B13" s="17" t="str">
        <x:v>crossover</x:v>
      </x:c>
      <x:c r="C13" s="17" t="str">
        <x:v>Crossover</x:v>
      </x:c>
      <x:c r="D13" s="17" t="str">
        <x:v>2/2</x:v>
      </x:c>
      <x:c r="E13" s="20" t="n">
        <x:v>36210</x:v>
      </x:c>
      <x:c r="F13" s="23" t="n">
        <x:v>506</x:v>
      </x:c>
      <x:c r="G13" s="17" t="str">
        <x:v>Homicide: Life on the Street</x:v>
      </x:c>
      <x:c r="H13" s="17" t="str">
        <x:v>07.15</x:v>
      </x:c>
      <x:c r="I13" s="17" t="str">
        <x:v>Sideshow (II)</x:v>
      </x:c>
      <x:c r="J13" s="53" t="str">
        <x:v>Two-part Law &amp; Order / Homicide story.</x:v>
      </x:c>
      <x:c r="K13" s="53" t="str">
        <x:v>Law &amp; Order S09E14 — Sideshow (I)</x:v>
      </x:c>
      <x:c r="L13" s="53" t="str">
        <x:v>https://one-chicago-fbi.fandom.com/wiki/Crossovers_and_Milestones</x:v>
      </x:c>
      <x:c r="M13" s="17" t="str">
        <x:v>Curated / source-backed</x:v>
      </x:c>
      <x:c r="N13" s="1"/>
      <x:c r="O13" s="1"/>
      <x:c r="P13" s="1"/>
      <x:c r="Q13" s="1"/>
      <x:c r="R13" s="1"/>
      <x:c r="S13" s="1"/>
      <x:c r="T13" s="1"/>
      <x:c r="U13" s="1"/>
      <x:c r="V13" s="1"/>
      <x:c r="W13" s="1"/>
      <x:c r="X13" s="1"/>
      <x:c r="Y13" s="1"/>
      <x:c r="Z13" s="1"/>
    </x:row>
    <x:row r="14">
      <x:c r="A14" s="17" t="str">
        <x:v>Homicide finale</x:v>
      </x:c>
      <x:c r="B14" s="17" t="str">
        <x:v>continuation</x:v>
      </x:c>
      <x:c r="C14" s="17" t="str">
        <x:v>Series finale</x:v>
      </x:c>
      <x:c r="D14" s="17" t="str"/>
      <x:c r="E14" s="20" t="n">
        <x:v>36569</x:v>
      </x:c>
      <x:c r="F14" s="23" t="n">
        <x:v>552</x:v>
      </x:c>
      <x:c r="G14" s="17" t="str">
        <x:v>Homicide: The Movie</x:v>
      </x:c>
      <x:c r="H14" s="17" t="str">
        <x:v>MOVIE</x:v>
      </x:c>
      <x:c r="I14" s="17" t="str">
        <x:v>Homicide: The Movie</x:v>
      </x:c>
      <x:c r="J14" s="53" t="str">
        <x:v>Feature-length continuation and conclusion of Homicide: Life on the Street.</x:v>
      </x:c>
      <x:c r="K14" s="53" t="str"/>
      <x:c r="L14" s="53" t="str">
        <x:v>https://one-chicago-fbi.fandom.com/wiki/Wolf_Universe</x:v>
      </x:c>
      <x:c r="M14" s="17" t="str">
        <x:v>Curated / source-backed</x:v>
      </x:c>
      <x:c r="N14" s="1"/>
      <x:c r="O14" s="1"/>
      <x:c r="P14" s="1"/>
      <x:c r="Q14" s="1"/>
      <x:c r="R14" s="1"/>
      <x:c r="S14" s="1"/>
      <x:c r="T14" s="1"/>
      <x:c r="U14" s="1"/>
      <x:c r="V14" s="1"/>
      <x:c r="W14" s="1"/>
      <x:c r="X14" s="1"/>
      <x:c r="Y14" s="1"/>
      <x:c r="Z14" s="1"/>
    </x:row>
    <x:row r="15">
      <x:c r="A15" s="17" t="str">
        <x:v>Entitled</x:v>
      </x:c>
      <x:c r="B15" s="17" t="str">
        <x:v>story_arc</x:v>
      </x:c>
      <x:c r="C15" s="17" t="str">
        <x:v>Multi-episode arc</x:v>
      </x:c>
      <x:c r="D15" s="17" t="str"/>
      <x:c r="E15" s="20" t="n">
        <x:v>36574</x:v>
      </x:c>
      <x:c r="F15" s="23" t="n">
        <x:v>555</x:v>
      </x:c>
      <x:c r="G15" s="17" t="str">
        <x:v>Law &amp; Order: Special Victims Unit</x:v>
      </x:c>
      <x:c r="H15" s="17" t="str">
        <x:v>01.15</x:v>
      </x:c>
      <x:c r="I15" s="17" t="str">
        <x:v>Entitled (I)</x:v>
      </x:c>
      <x:c r="J15" s="53" t="str">
        <x:v>Part-number notation identifies this as an installment in a multi-episode story.</x:v>
      </x:c>
      <x:c r="K15" s="53" t="str"/>
      <x:c r="L15" s="53" t="str">
        <x:v>Canonical episode title notation; editorial inference.</x:v>
      </x:c>
      <x:c r="M15" s="17" t="str">
        <x:v>Conservative title inference</x:v>
      </x:c>
      <x:c r="N15" s="1"/>
      <x:c r="O15" s="1"/>
      <x:c r="P15" s="1"/>
      <x:c r="Q15" s="1"/>
      <x:c r="R15" s="1"/>
      <x:c r="S15" s="1"/>
      <x:c r="T15" s="1"/>
      <x:c r="U15" s="1"/>
      <x:c r="V15" s="1"/>
      <x:c r="W15" s="1"/>
      <x:c r="X15" s="1"/>
      <x:c r="Y15" s="1"/>
      <x:c r="Z15" s="1"/>
    </x:row>
    <x:row r="16">
      <x:c r="A16" s="17" t="str">
        <x:v>Entitled</x:v>
      </x:c>
      <x:c r="B16" s="17" t="str">
        <x:v>story_arc</x:v>
      </x:c>
      <x:c r="C16" s="17" t="str">
        <x:v>Multi-episode arc</x:v>
      </x:c>
      <x:c r="D16" s="17" t="str"/>
      <x:c r="E16" s="20" t="n">
        <x:v>36574</x:v>
      </x:c>
      <x:c r="F16" s="23" t="n">
        <x:v>556</x:v>
      </x:c>
      <x:c r="G16" s="17" t="str">
        <x:v>Law &amp; Order</x:v>
      </x:c>
      <x:c r="H16" s="17" t="str">
        <x:v>10.14</x:v>
      </x:c>
      <x:c r="I16" s="17" t="str">
        <x:v>Entitled (II)</x:v>
      </x:c>
      <x:c r="J16" s="53" t="str">
        <x:v>Part-number notation identifies this as an installment in a multi-episode story.</x:v>
      </x:c>
      <x:c r="K16" s="53" t="str"/>
      <x:c r="L16" s="53" t="str">
        <x:v>Canonical episode title notation; editorial inference.</x:v>
      </x:c>
      <x:c r="M16" s="17" t="str">
        <x:v>Conservative title inference</x:v>
      </x:c>
      <x:c r="N16" s="1"/>
      <x:c r="O16" s="1"/>
      <x:c r="P16" s="1"/>
      <x:c r="Q16" s="1"/>
      <x:c r="R16" s="1"/>
      <x:c r="S16" s="1"/>
      <x:c r="T16" s="1"/>
      <x:c r="U16" s="1"/>
      <x:c r="V16" s="1"/>
      <x:c r="W16" s="1"/>
      <x:c r="X16" s="1"/>
      <x:c r="Y16" s="1"/>
      <x:c r="Z16" s="1"/>
    </x:row>
    <x:row r="17">
      <x:c r="A17" s="17" t="str">
        <x:v>Tombstone</x:v>
      </x:c>
      <x:c r="B17" s="17" t="str">
        <x:v>story_arc</x:v>
      </x:c>
      <x:c r="C17" s="17" t="str">
        <x:v>Multi-episode arc</x:v>
      </x:c>
      <x:c r="D17" s="17" t="str"/>
      <x:c r="E17" s="20" t="n">
        <x:v>38455</x:v>
      </x:c>
      <x:c r="F17" s="23" t="n">
        <x:v>1160</x:v>
      </x:c>
      <x:c r="G17" s="17" t="str">
        <x:v>Law &amp; Order</x:v>
      </x:c>
      <x:c r="H17" s="17" t="str">
        <x:v>15.20</x:v>
      </x:c>
      <x:c r="I17" s="17" t="str">
        <x:v>Tombstone (I)</x:v>
      </x:c>
      <x:c r="J17" s="53" t="str">
        <x:v>Part-number notation identifies this as an installment in a multi-episode story.</x:v>
      </x:c>
      <x:c r="K17" s="53" t="str"/>
      <x:c r="L17" s="53" t="str">
        <x:v>Canonical episode title notation; editorial inference.</x:v>
      </x:c>
      <x:c r="M17" s="17" t="str">
        <x:v>Conservative title inference</x:v>
      </x:c>
      <x:c r="N17" s="1"/>
      <x:c r="O17" s="1"/>
      <x:c r="P17" s="1"/>
      <x:c r="Q17" s="1"/>
      <x:c r="R17" s="1"/>
      <x:c r="S17" s="1"/>
      <x:c r="T17" s="1"/>
      <x:c r="U17" s="1"/>
      <x:c r="V17" s="1"/>
      <x:c r="W17" s="1"/>
      <x:c r="X17" s="1"/>
      <x:c r="Y17" s="1"/>
      <x:c r="Z17" s="1"/>
    </x:row>
    <x:row r="18">
      <x:c r="A18" s="17" t="str">
        <x:v>Skeleton</x:v>
      </x:c>
      <x:c r="B18" s="17" t="str">
        <x:v>story_arc</x:v>
      </x:c>
      <x:c r="C18" s="17" t="str">
        <x:v>Multi-episode arc</x:v>
      </x:c>
      <x:c r="D18" s="17" t="str"/>
      <x:c r="E18" s="20" t="n">
        <x:v>38457</x:v>
      </x:c>
      <x:c r="F18" s="23" t="n">
        <x:v>1162</x:v>
      </x:c>
      <x:c r="G18" s="17" t="str">
        <x:v>Law &amp; Order: Trial by Jury</x:v>
      </x:c>
      <x:c r="H18" s="17" t="str">
        <x:v>01.08</x:v>
      </x:c>
      <x:c r="I18" s="17" t="str">
        <x:v>Skeleton (II)</x:v>
      </x:c>
      <x:c r="J18" s="53" t="str">
        <x:v>Part-number notation identifies this as an installment in a multi-episode story.</x:v>
      </x:c>
      <x:c r="K18" s="53" t="str"/>
      <x:c r="L18" s="53" t="str">
        <x:v>Canonical episode title notation; editorial inference.</x:v>
      </x:c>
      <x:c r="M18" s="17" t="str">
        <x:v>Conservative title inference</x:v>
      </x:c>
      <x:c r="N18" s="1"/>
      <x:c r="O18" s="1"/>
      <x:c r="P18" s="1"/>
      <x:c r="Q18" s="1"/>
      <x:c r="R18" s="1"/>
      <x:c r="S18" s="1"/>
      <x:c r="T18" s="1"/>
      <x:c r="U18" s="1"/>
      <x:c r="V18" s="1"/>
      <x:c r="W18" s="1"/>
      <x:c r="X18" s="1"/>
      <x:c r="Y18" s="1"/>
      <x:c r="Z18" s="1"/>
    </x:row>
    <x:row r="19">
      <x:c r="A19" s="17" t="str">
        <x:v>Day</x:v>
      </x:c>
      <x:c r="B19" s="17" t="str">
        <x:v>story_arc</x:v>
      </x:c>
      <x:c r="C19" s="17" t="str">
        <x:v>Multi-episode arc</x:v>
      </x:c>
      <x:c r="D19" s="17" t="str"/>
      <x:c r="E19" s="20" t="n">
        <x:v>38475</x:v>
      </x:c>
      <x:c r="F19" s="23" t="n">
        <x:v>1168</x:v>
      </x:c>
      <x:c r="G19" s="17" t="str">
        <x:v>Law &amp; Order: Trial by Jury</x:v>
      </x:c>
      <x:c r="H19" s="17" t="str">
        <x:v>01.11</x:v>
      </x:c>
      <x:c r="I19" s="17" t="str">
        <x:v>Day (II)</x:v>
      </x:c>
      <x:c r="J19" s="53" t="str">
        <x:v>Part-number notation identifies this as an installment in a multi-episode story.</x:v>
      </x:c>
      <x:c r="K19" s="53" t="str"/>
      <x:c r="L19" s="53" t="str">
        <x:v>Canonical episode title notation; editorial inference.</x:v>
      </x:c>
      <x:c r="M19" s="17" t="str">
        <x:v>Conservative title inference</x:v>
      </x:c>
      <x:c r="N19" s="1"/>
      <x:c r="O19" s="1"/>
      <x:c r="P19" s="1"/>
      <x:c r="Q19" s="1"/>
      <x:c r="R19" s="1"/>
      <x:c r="S19" s="1"/>
      <x:c r="T19" s="1"/>
      <x:c r="U19" s="1"/>
      <x:c r="V19" s="1"/>
      <x:c r="W19" s="1"/>
      <x:c r="X19" s="1"/>
      <x:c r="Y19" s="1"/>
      <x:c r="Z19" s="1"/>
    </x:row>
    <x:row r="20">
      <x:c r="A20" s="17" t="str">
        <x:v>Night</x:v>
      </x:c>
      <x:c r="B20" s="17" t="str">
        <x:v>story_arc</x:v>
      </x:c>
      <x:c r="C20" s="17" t="str">
        <x:v>Multi-episode arc</x:v>
      </x:c>
      <x:c r="D20" s="17" t="str"/>
      <x:c r="E20" s="20" t="n">
        <x:v>38475</x:v>
      </x:c>
      <x:c r="F20" s="23" t="n">
        <x:v>1169</x:v>
      </x:c>
      <x:c r="G20" s="17" t="str">
        <x:v>Law &amp; Order: Special Victims Unit</x:v>
      </x:c>
      <x:c r="H20" s="17" t="str">
        <x:v>06.20</x:v>
      </x:c>
      <x:c r="I20" s="17" t="str">
        <x:v>Night (I)</x:v>
      </x:c>
      <x:c r="J20" s="53" t="str">
        <x:v>Part-number notation identifies this as an installment in a multi-episode story.</x:v>
      </x:c>
      <x:c r="K20" s="53" t="str"/>
      <x:c r="L20" s="53" t="str">
        <x:v>Canonical episode title notation; editorial inference.</x:v>
      </x:c>
      <x:c r="M20" s="17" t="str">
        <x:v>Conservative title inference</x:v>
      </x:c>
      <x:c r="N20" s="1"/>
      <x:c r="O20" s="1"/>
      <x:c r="P20" s="1"/>
      <x:c r="Q20" s="1"/>
      <x:c r="R20" s="1"/>
      <x:c r="S20" s="1"/>
      <x:c r="T20" s="1"/>
      <x:c r="U20" s="1"/>
      <x:c r="V20" s="1"/>
      <x:c r="W20" s="1"/>
      <x:c r="X20" s="1"/>
      <x:c r="Y20" s="1"/>
      <x:c r="Z20" s="1"/>
    </x:row>
    <x:row r="21">
      <x:c r="A21" s="17" t="str">
        <x:v>Design</x:v>
      </x:c>
      <x:c r="B21" s="17" t="str">
        <x:v>story_arc</x:v>
      </x:c>
      <x:c r="C21" s="17" t="str">
        <x:v>Multi-episode arc</x:v>
      </x:c>
      <x:c r="D21" s="17" t="str"/>
      <x:c r="E21" s="20" t="n">
        <x:v>38622</x:v>
      </x:c>
      <x:c r="F21" s="23" t="n">
        <x:v>1185</x:v>
      </x:c>
      <x:c r="G21" s="17" t="str">
        <x:v>Law &amp; Order: Special Victims Unit</x:v>
      </x:c>
      <x:c r="H21" s="17" t="str">
        <x:v>07.02</x:v>
      </x:c>
      <x:c r="I21" s="17" t="str">
        <x:v>Design (I)</x:v>
      </x:c>
      <x:c r="J21" s="53" t="str">
        <x:v>Part-number notation identifies this as an installment in a multi-episode story.</x:v>
      </x:c>
      <x:c r="K21" s="53" t="str"/>
      <x:c r="L21" s="53" t="str">
        <x:v>Canonical episode title notation; editorial inference.</x:v>
      </x:c>
      <x:c r="M21" s="17" t="str">
        <x:v>Conservative title inference</x:v>
      </x:c>
      <x:c r="N21" s="1"/>
      <x:c r="O21" s="1"/>
      <x:c r="P21" s="1"/>
      <x:c r="Q21" s="1"/>
      <x:c r="R21" s="1"/>
      <x:c r="S21" s="1"/>
      <x:c r="T21" s="1"/>
      <x:c r="U21" s="1"/>
      <x:c r="V21" s="1"/>
      <x:c r="W21" s="1"/>
      <x:c r="X21" s="1"/>
      <x:c r="Y21" s="1"/>
      <x:c r="Z21" s="1"/>
    </x:row>
    <x:row r="22">
      <x:c r="A22" s="17" t="str">
        <x:v>Flaw</x:v>
      </x:c>
      <x:c r="B22" s="17" t="str">
        <x:v>story_arc</x:v>
      </x:c>
      <x:c r="C22" s="17" t="str">
        <x:v>Multi-episode arc</x:v>
      </x:c>
      <x:c r="D22" s="17" t="str"/>
      <x:c r="E22" s="20" t="n">
        <x:v>38623</x:v>
      </x:c>
      <x:c r="F22" s="23" t="n">
        <x:v>1186</x:v>
      </x:c>
      <x:c r="G22" s="17" t="str">
        <x:v>Law &amp; Order</x:v>
      </x:c>
      <x:c r="H22" s="17" t="str">
        <x:v>16.02</x:v>
      </x:c>
      <x:c r="I22" s="17" t="str">
        <x:v>Flaw (II)</x:v>
      </x:c>
      <x:c r="J22" s="53" t="str">
        <x:v>Part-number notation identifies this as an installment in a multi-episode story.</x:v>
      </x:c>
      <x:c r="K22" s="53" t="str"/>
      <x:c r="L22" s="53" t="str">
        <x:v>Canonical episode title notation; editorial inference.</x:v>
      </x:c>
      <x:c r="M22" s="17" t="str">
        <x:v>Conservative title inference</x:v>
      </x:c>
      <x:c r="N22" s="1"/>
      <x:c r="O22" s="1"/>
      <x:c r="P22" s="1"/>
      <x:c r="Q22" s="1"/>
      <x:c r="R22" s="1"/>
      <x:c r="S22" s="1"/>
      <x:c r="T22" s="1"/>
      <x:c r="U22" s="1"/>
      <x:c r="V22" s="1"/>
      <x:c r="W22" s="1"/>
      <x:c r="X22" s="1"/>
      <x:c r="Y22" s="1"/>
      <x:c r="Z22" s="1"/>
    </x:row>
    <x:row r="23">
      <x:c r="A23" s="17" t="str">
        <x:v>Chicago P.D. launch</x:v>
      </x:c>
      <x:c r="B23" s="17" t="str">
        <x:v>backdoor_pilot</x:v>
      </x:c>
      <x:c r="C23" s="17" t="str">
        <x:v>Backdoor pilot</x:v>
      </x:c>
      <x:c r="D23" s="17" t="str"/>
      <x:c r="E23" s="20" t="n">
        <x:v>41410</x:v>
      </x:c>
      <x:c r="F23" s="23" t="n">
        <x:v>1754</x:v>
      </x:c>
      <x:c r="G23" s="17" t="str">
        <x:v>Chicago Fire</x:v>
      </x:c>
      <x:c r="H23" s="17" t="str">
        <x:v>01.23</x:v>
      </x:c>
      <x:c r="I23" s="17" t="str">
        <x:v>Let Her Go</x:v>
      </x:c>
      <x:c r="J23" s="53" t="str">
        <x:v>Introduces the Chicago P.D. spinoff team and launch story.</x:v>
      </x:c>
      <x:c r="K23" s="53" t="str"/>
      <x:c r="L23" s="53" t="str">
        <x:v>https://one-chicago-fbi.fandom.com/wiki/Crossovers_and_Milestones</x:v>
      </x:c>
      <x:c r="M23" s="17" t="str">
        <x:v>Curated / source-backed</x:v>
      </x:c>
      <x:c r="N23" s="1"/>
      <x:c r="O23" s="1"/>
      <x:c r="P23" s="1"/>
      <x:c r="Q23" s="1"/>
      <x:c r="R23" s="1"/>
      <x:c r="S23" s="1"/>
      <x:c r="T23" s="1"/>
      <x:c r="U23" s="1"/>
      <x:c r="V23" s="1"/>
      <x:c r="W23" s="1"/>
      <x:c r="X23" s="1"/>
      <x:c r="Y23" s="1"/>
      <x:c r="Z23" s="1"/>
    </x:row>
    <x:row r="24">
      <x:c r="A24" s="17" t="str">
        <x:v>Comic Perversion / Conventions</x:v>
      </x:c>
      <x:c r="B24" s="17" t="str">
        <x:v>crossover</x:v>
      </x:c>
      <x:c r="C24" s="17" t="str">
        <x:v>Crossover</x:v>
      </x:c>
      <x:c r="D24" s="17" t="str">
        <x:v>1/2</x:v>
      </x:c>
      <x:c r="E24" s="20" t="n">
        <x:v>41696</x:v>
      </x:c>
      <x:c r="F24" s="23" t="n">
        <x:v>1811</x:v>
      </x:c>
      <x:c r="G24" s="17" t="str">
        <x:v>Law &amp; Order: Special Victims Unit</x:v>
      </x:c>
      <x:c r="H24" s="17" t="str">
        <x:v>15.15</x:v>
      </x:c>
      <x:c r="I24" s="17" t="str">
        <x:v>Comic Perversion (I)</x:v>
      </x:c>
      <x:c r="J24" s="53" t="str">
        <x:v>Two-part SVU / Chicago P.D. case.</x:v>
      </x:c>
      <x:c r="K24" s="53" t="str">
        <x:v>Chicago P.D. S01E06 — Conventions (II)</x:v>
      </x:c>
      <x:c r="L24" s="53" t="str">
        <x:v>https://one-chicago-fbi.fandom.com/wiki/Crossovers_and_Milestones</x:v>
      </x:c>
      <x:c r="M24" s="17" t="str">
        <x:v>Curated / source-backed</x:v>
      </x:c>
      <x:c r="N24" s="1"/>
      <x:c r="O24" s="1"/>
      <x:c r="P24" s="1"/>
      <x:c r="Q24" s="1"/>
      <x:c r="R24" s="1"/>
      <x:c r="S24" s="1"/>
      <x:c r="T24" s="1"/>
      <x:c r="U24" s="1"/>
      <x:c r="V24" s="1"/>
      <x:c r="W24" s="1"/>
      <x:c r="X24" s="1"/>
      <x:c r="Y24" s="1"/>
      <x:c r="Z24" s="1"/>
    </x:row>
    <x:row r="25">
      <x:c r="A25" s="17" t="str">
        <x:v>Comic Perversion / Conventions</x:v>
      </x:c>
      <x:c r="B25" s="17" t="str">
        <x:v>crossover</x:v>
      </x:c>
      <x:c r="C25" s="17" t="str">
        <x:v>Crossover</x:v>
      </x:c>
      <x:c r="D25" s="17" t="str">
        <x:v>2/2</x:v>
      </x:c>
      <x:c r="E25" s="20" t="n">
        <x:v>41697</x:v>
      </x:c>
      <x:c r="F25" s="23" t="n">
        <x:v>1812</x:v>
      </x:c>
      <x:c r="G25" s="17" t="str">
        <x:v>Chicago P.D.</x:v>
      </x:c>
      <x:c r="H25" s="17" t="str">
        <x:v>01.06</x:v>
      </x:c>
      <x:c r="I25" s="17" t="str">
        <x:v>Conventions (II)</x:v>
      </x:c>
      <x:c r="J25" s="53" t="str">
        <x:v>Two-part SVU / Chicago P.D. case.</x:v>
      </x:c>
      <x:c r="K25" s="53" t="str">
        <x:v>Law &amp; Order: Special Victims Unit S15E15 — Comic Perversion (I)</x:v>
      </x:c>
      <x:c r="L25" s="53" t="str">
        <x:v>https://one-chicago-fbi.fandom.com/wiki/Crossovers_and_Milestones</x:v>
      </x:c>
      <x:c r="M25" s="17" t="str">
        <x:v>Curated / source-backed</x:v>
      </x:c>
      <x:c r="N25" s="1"/>
      <x:c r="O25" s="1"/>
      <x:c r="P25" s="1"/>
      <x:c r="Q25" s="1"/>
      <x:c r="R25" s="1"/>
      <x:c r="S25" s="1"/>
      <x:c r="T25" s="1"/>
      <x:c r="U25" s="1"/>
      <x:c r="V25" s="1"/>
      <x:c r="W25" s="1"/>
      <x:c r="X25" s="1"/>
      <x:c r="Y25" s="1"/>
      <x:c r="Z25" s="1"/>
    </x:row>
    <x:row r="26">
      <x:c r="A26" s="17" t="str">
        <x:v>A Dark Day / 8:30 PM</x:v>
      </x:c>
      <x:c r="B26" s="17" t="str">
        <x:v>crossover</x:v>
      </x:c>
      <x:c r="C26" s="17" t="str">
        <x:v>Crossover</x:v>
      </x:c>
      <x:c r="D26" s="17" t="str">
        <x:v>1/2</x:v>
      </x:c>
      <x:c r="E26" s="20" t="n">
        <x:v>41759</x:v>
      </x:c>
      <x:c r="F26" s="23" t="n">
        <x:v>1839</x:v>
      </x:c>
      <x:c r="G26" s="17" t="str">
        <x:v>Chicago Fire</x:v>
      </x:c>
      <x:c r="H26" s="17" t="str">
        <x:v>02.20</x:v>
      </x:c>
      <x:c r="I26" s="17" t="str">
        <x:v>A Dark Day (I)</x:v>
      </x:c>
      <x:c r="J26" s="53" t="str">
        <x:v>Two-part Chicago Fire / Chicago P.D. story.</x:v>
      </x:c>
      <x:c r="K26" s="53" t="str">
        <x:v>Chicago P.D. S01E12 — 8:30 PM (II)</x:v>
      </x:c>
      <x:c r="L26" s="53" t="str">
        <x:v>https://one-chicago-fbi.fandom.com/wiki/Crossovers_and_Milestones</x:v>
      </x:c>
      <x:c r="M26" s="17" t="str">
        <x:v>Curated / source-backed</x:v>
      </x:c>
      <x:c r="N26" s="1"/>
      <x:c r="O26" s="1"/>
      <x:c r="P26" s="1"/>
      <x:c r="Q26" s="1"/>
      <x:c r="R26" s="1"/>
      <x:c r="S26" s="1"/>
      <x:c r="T26" s="1"/>
      <x:c r="U26" s="1"/>
      <x:c r="V26" s="1"/>
      <x:c r="W26" s="1"/>
      <x:c r="X26" s="1"/>
      <x:c r="Y26" s="1"/>
      <x:c r="Z26" s="1"/>
    </x:row>
    <x:row r="27">
      <x:c r="A27" s="17" t="str">
        <x:v>A Dark Day / 8:30 PM</x:v>
      </x:c>
      <x:c r="B27" s="17" t="str">
        <x:v>crossover</x:v>
      </x:c>
      <x:c r="C27" s="17" t="str">
        <x:v>Crossover</x:v>
      </x:c>
      <x:c r="D27" s="17" t="str">
        <x:v>2/2</x:v>
      </x:c>
      <x:c r="E27" s="20" t="n">
        <x:v>41760</x:v>
      </x:c>
      <x:c r="F27" s="23" t="n">
        <x:v>1841</x:v>
      </x:c>
      <x:c r="G27" s="17" t="str">
        <x:v>Chicago P.D.</x:v>
      </x:c>
      <x:c r="H27" s="17" t="str">
        <x:v>01.12</x:v>
      </x:c>
      <x:c r="I27" s="17" t="str">
        <x:v>8:30 PM (II)</x:v>
      </x:c>
      <x:c r="J27" s="53" t="str">
        <x:v>Two-part Chicago Fire / Chicago P.D. story.</x:v>
      </x:c>
      <x:c r="K27" s="53" t="str">
        <x:v>Chicago Fire S02E20 — A Dark Day (I)</x:v>
      </x:c>
      <x:c r="L27" s="53" t="str">
        <x:v>https://one-chicago-fbi.fandom.com/wiki/Crossovers_and_Milestones</x:v>
      </x:c>
      <x:c r="M27" s="17" t="str">
        <x:v>Curated / source-backed</x:v>
      </x:c>
      <x:c r="N27" s="1"/>
      <x:c r="O27" s="1"/>
      <x:c r="P27" s="1"/>
      <x:c r="Q27" s="1"/>
      <x:c r="R27" s="1"/>
      <x:c r="S27" s="1"/>
      <x:c r="T27" s="1"/>
      <x:c r="U27" s="1"/>
      <x:c r="V27" s="1"/>
      <x:c r="W27" s="1"/>
      <x:c r="X27" s="1"/>
      <x:c r="Y27" s="1"/>
      <x:c r="Z27" s="1"/>
    </x:row>
    <x:row r="28">
      <x:c r="A28" s="17" t="str">
        <x:v>Nobody Touches Anything</x:v>
      </x:c>
      <x:c r="B28" s="17" t="str">
        <x:v>crossover</x:v>
      </x:c>
      <x:c r="C28" s="17" t="str">
        <x:v>Crossover</x:v>
      </x:c>
      <x:c r="D28" s="17" t="str">
        <x:v>1/3</x:v>
      </x:c>
      <x:c r="E28" s="20" t="n">
        <x:v>41955</x:v>
      </x:c>
      <x:c r="F28" s="23" t="n">
        <x:v>1877</x:v>
      </x:c>
      <x:c r="G28" s="17" t="str">
        <x:v>Chicago Fire</x:v>
      </x:c>
      <x:c r="H28" s="17" t="str">
        <x:v>03.07</x:v>
      </x:c>
      <x:c r="I28" s="17" t="str">
        <x:v>Nobody Touches Anything (I)</x:v>
      </x:c>
      <x:c r="J28" s="53" t="str">
        <x:v>Three-part Chicago Fire / SVU / Chicago P.D. case.</x:v>
      </x:c>
      <x:c r="K28" s="53" t="str">
        <x:v>Law &amp; Order: Special Victims Unit S16E07 — Chicago Crossover (II) | Chicago P.D. S02E07 — They'll Have to Go Through Me (III)</x:v>
      </x:c>
      <x:c r="L28" s="53" t="str">
        <x:v>https://one-chicago-fbi.fandom.com/wiki/Crossovers_and_Milestones</x:v>
      </x:c>
      <x:c r="M28" s="17" t="str">
        <x:v>Curated / source-backed</x:v>
      </x:c>
      <x:c r="N28" s="1"/>
      <x:c r="O28" s="1"/>
      <x:c r="P28" s="1"/>
      <x:c r="Q28" s="1"/>
      <x:c r="R28" s="1"/>
      <x:c r="S28" s="1"/>
      <x:c r="T28" s="1"/>
      <x:c r="U28" s="1"/>
      <x:c r="V28" s="1"/>
      <x:c r="W28" s="1"/>
      <x:c r="X28" s="1"/>
      <x:c r="Y28" s="1"/>
      <x:c r="Z28" s="1"/>
    </x:row>
    <x:row r="29">
      <x:c r="A29" s="17" t="str">
        <x:v>Nobody Touches Anything</x:v>
      </x:c>
      <x:c r="B29" s="17" t="str">
        <x:v>crossover</x:v>
      </x:c>
      <x:c r="C29" s="17" t="str">
        <x:v>Crossover</x:v>
      </x:c>
      <x:c r="D29" s="17" t="str">
        <x:v>2/3</x:v>
      </x:c>
      <x:c r="E29" s="20" t="n">
        <x:v>41955</x:v>
      </x:c>
      <x:c r="F29" s="23" t="n">
        <x:v>1878</x:v>
      </x:c>
      <x:c r="G29" s="17" t="str">
        <x:v>Law &amp; Order: Special Victims Unit</x:v>
      </x:c>
      <x:c r="H29" s="17" t="str">
        <x:v>16.07</x:v>
      </x:c>
      <x:c r="I29" s="17" t="str">
        <x:v>Chicago Crossover (II)</x:v>
      </x:c>
      <x:c r="J29" s="53" t="str">
        <x:v>Three-part Chicago Fire / SVU / Chicago P.D. case.</x:v>
      </x:c>
      <x:c r="K29" s="53" t="str">
        <x:v>Chicago Fire S03E07 — Nobody Touches Anything (I) | Chicago P.D. S02E07 — They'll Have to Go Through Me (III)</x:v>
      </x:c>
      <x:c r="L29" s="53" t="str">
        <x:v>https://one-chicago-fbi.fandom.com/wiki/Crossovers_and_Milestones</x:v>
      </x:c>
      <x:c r="M29" s="17" t="str">
        <x:v>Curated / source-backed</x:v>
      </x:c>
      <x:c r="N29" s="1"/>
      <x:c r="O29" s="1"/>
      <x:c r="P29" s="1"/>
      <x:c r="Q29" s="1"/>
      <x:c r="R29" s="1"/>
      <x:c r="S29" s="1"/>
      <x:c r="T29" s="1"/>
      <x:c r="U29" s="1"/>
      <x:c r="V29" s="1"/>
      <x:c r="W29" s="1"/>
      <x:c r="X29" s="1"/>
      <x:c r="Y29" s="1"/>
      <x:c r="Z29" s="1"/>
    </x:row>
    <x:row r="30">
      <x:c r="A30" s="17" t="str">
        <x:v>Nobody Touches Anything</x:v>
      </x:c>
      <x:c r="B30" s="17" t="str">
        <x:v>crossover</x:v>
      </x:c>
      <x:c r="C30" s="17" t="str">
        <x:v>Crossover</x:v>
      </x:c>
      <x:c r="D30" s="17" t="str">
        <x:v>3/3</x:v>
      </x:c>
      <x:c r="E30" s="20" t="n">
        <x:v>41956</x:v>
      </x:c>
      <x:c r="F30" s="23" t="n">
        <x:v>1879</x:v>
      </x:c>
      <x:c r="G30" s="17" t="str">
        <x:v>Chicago P.D.</x:v>
      </x:c>
      <x:c r="H30" s="17" t="str">
        <x:v>02.07</x:v>
      </x:c>
      <x:c r="I30" s="17" t="str">
        <x:v>They'll Have to Go Through Me (III)</x:v>
      </x:c>
      <x:c r="J30" s="53" t="str">
        <x:v>Three-part Chicago Fire / SVU / Chicago P.D. case.</x:v>
      </x:c>
      <x:c r="K30" s="53" t="str">
        <x:v>Chicago Fire S03E07 — Nobody Touches Anything (I) | Law &amp; Order: Special Victims Unit S16E07 — Chicago Crossover (II)</x:v>
      </x:c>
      <x:c r="L30" s="53" t="str">
        <x:v>https://one-chicago-fbi.fandom.com/wiki/Crossovers_and_Milestones</x:v>
      </x:c>
      <x:c r="M30" s="17" t="str">
        <x:v>Curated / source-backed</x:v>
      </x:c>
      <x:c r="N30" s="1"/>
      <x:c r="O30" s="1"/>
      <x:c r="P30" s="1"/>
      <x:c r="Q30" s="1"/>
      <x:c r="R30" s="1"/>
      <x:c r="S30" s="1"/>
      <x:c r="T30" s="1"/>
      <x:c r="U30" s="1"/>
      <x:c r="V30" s="1"/>
      <x:c r="W30" s="1"/>
      <x:c r="X30" s="1"/>
      <x:c r="Y30" s="1"/>
      <x:c r="Z30" s="1"/>
    </x:row>
    <x:row r="31">
      <x:c r="A31" s="17" t="str">
        <x:v>Three Bells</x:v>
      </x:c>
      <x:c r="B31" s="17" t="str">
        <x:v>crossover</x:v>
      </x:c>
      <x:c r="C31" s="17" t="str">
        <x:v>Crossover</x:v>
      </x:c>
      <x:c r="D31" s="17" t="str">
        <x:v>1/2</x:v>
      </x:c>
      <x:c r="E31" s="20" t="n">
        <x:v>42039</x:v>
      </x:c>
      <x:c r="F31" s="23" t="n">
        <x:v>1899</x:v>
      </x:c>
      <x:c r="G31" s="17" t="str">
        <x:v>Chicago Fire</x:v>
      </x:c>
      <x:c r="H31" s="17" t="str">
        <x:v>03.13</x:v>
      </x:c>
      <x:c r="I31" s="17" t="str">
        <x:v>Three Bells (I)</x:v>
      </x:c>
      <x:c r="J31" s="53" t="str">
        <x:v>Two-part Chicago Fire / Chicago P.D. story.</x:v>
      </x:c>
      <x:c r="K31" s="53" t="str">
        <x:v>Chicago P.D. S02E13 — A Little Devil Complex (II)</x:v>
      </x:c>
      <x:c r="L31" s="53" t="str">
        <x:v>https://one-chicago-fbi.fandom.com/wiki/Crossovers_and_Milestones</x:v>
      </x:c>
      <x:c r="M31" s="17" t="str">
        <x:v>Curated / source-backed</x:v>
      </x:c>
      <x:c r="N31" s="1"/>
      <x:c r="O31" s="1"/>
      <x:c r="P31" s="1"/>
      <x:c r="Q31" s="1"/>
      <x:c r="R31" s="1"/>
      <x:c r="S31" s="1"/>
      <x:c r="T31" s="1"/>
      <x:c r="U31" s="1"/>
      <x:c r="V31" s="1"/>
      <x:c r="W31" s="1"/>
      <x:c r="X31" s="1"/>
      <x:c r="Y31" s="1"/>
      <x:c r="Z31" s="1"/>
    </x:row>
    <x:row r="32">
      <x:c r="A32" s="17" t="str">
        <x:v>Three Bells</x:v>
      </x:c>
      <x:c r="B32" s="17" t="str">
        <x:v>crossover</x:v>
      </x:c>
      <x:c r="C32" s="17" t="str">
        <x:v>Crossover</x:v>
      </x:c>
      <x:c r="D32" s="17" t="str">
        <x:v>2/2</x:v>
      </x:c>
      <x:c r="E32" s="20" t="n">
        <x:v>42040</x:v>
      </x:c>
      <x:c r="F32" s="23" t="n">
        <x:v>1901</x:v>
      </x:c>
      <x:c r="G32" s="17" t="str">
        <x:v>Chicago P.D.</x:v>
      </x:c>
      <x:c r="H32" s="17" t="str">
        <x:v>02.13</x:v>
      </x:c>
      <x:c r="I32" s="17" t="str">
        <x:v>A Little Devil Complex (II)</x:v>
      </x:c>
      <x:c r="J32" s="53" t="str">
        <x:v>Two-part Chicago Fire / Chicago P.D. story.</x:v>
      </x:c>
      <x:c r="K32" s="53" t="str">
        <x:v>Chicago Fire S03E13 — Three Bells (I)</x:v>
      </x:c>
      <x:c r="L32" s="53" t="str">
        <x:v>https://one-chicago-fbi.fandom.com/wiki/Crossovers_and_Milestones</x:v>
      </x:c>
      <x:c r="M32" s="17" t="str">
        <x:v>Curated / source-backed</x:v>
      </x:c>
      <x:c r="N32" s="1"/>
      <x:c r="O32" s="1"/>
      <x:c r="P32" s="1"/>
      <x:c r="Q32" s="1"/>
      <x:c r="R32" s="1"/>
      <x:c r="S32" s="1"/>
      <x:c r="T32" s="1"/>
      <x:c r="U32" s="1"/>
      <x:c r="V32" s="1"/>
      <x:c r="W32" s="1"/>
      <x:c r="X32" s="1"/>
      <x:c r="Y32" s="1"/>
      <x:c r="Z32" s="1"/>
    </x:row>
    <x:row r="33">
      <x:c r="A33" s="17" t="str">
        <x:v>Chicago Med launch</x:v>
      </x:c>
      <x:c r="B33" s="17" t="str">
        <x:v>backdoor_pilot</x:v>
      </x:c>
      <x:c r="C33" s="17" t="str">
        <x:v>Backdoor pilot</x:v>
      </x:c>
      <x:c r="D33" s="17" t="str"/>
      <x:c r="E33" s="20" t="n">
        <x:v>42102</x:v>
      </x:c>
      <x:c r="F33" s="23" t="n">
        <x:v>1921</x:v>
      </x:c>
      <x:c r="G33" s="17" t="str">
        <x:v>Chicago Fire</x:v>
      </x:c>
      <x:c r="H33" s="17" t="str">
        <x:v>03.19</x:v>
      </x:c>
      <x:c r="I33" s="17" t="str">
        <x:v>I Am the Apocalypse</x:v>
      </x:c>
      <x:c r="J33" s="53" t="str">
        <x:v>Introduces the hospital and principal characters who launch Chicago Med.</x:v>
      </x:c>
      <x:c r="K33" s="53" t="str"/>
      <x:c r="L33" s="53" t="str">
        <x:v>https://one-chicago-fbi.fandom.com/wiki/Crossovers_and_Milestones</x:v>
      </x:c>
      <x:c r="M33" s="17" t="str">
        <x:v>Curated / source-backed</x:v>
      </x:c>
      <x:c r="N33" s="1"/>
      <x:c r="O33" s="1"/>
      <x:c r="P33" s="1"/>
      <x:c r="Q33" s="1"/>
      <x:c r="R33" s="1"/>
      <x:c r="S33" s="1"/>
      <x:c r="T33" s="1"/>
      <x:c r="U33" s="1"/>
      <x:c r="V33" s="1"/>
      <x:c r="W33" s="1"/>
      <x:c r="X33" s="1"/>
      <x:c r="Y33" s="1"/>
      <x:c r="Z33" s="1"/>
    </x:row>
    <x:row r="34">
      <x:c r="A34" s="17" t="str">
        <x:v>We Called Her Jellybean</x:v>
      </x:c>
      <x:c r="B34" s="17" t="str">
        <x:v>crossover</x:v>
      </x:c>
      <x:c r="C34" s="17" t="str">
        <x:v>Crossover</x:v>
      </x:c>
      <x:c r="D34" s="17" t="str">
        <x:v>1/3</x:v>
      </x:c>
      <x:c r="E34" s="20" t="n">
        <x:v>42123</x:v>
      </x:c>
      <x:c r="F34" s="23" t="n">
        <x:v>1928</x:v>
      </x:c>
      <x:c r="G34" s="17" t="str">
        <x:v>Chicago Fire</x:v>
      </x:c>
      <x:c r="H34" s="17" t="str">
        <x:v>03.21</x:v>
      </x:c>
      <x:c r="I34" s="17" t="str">
        <x:v>We Called Her Jellybean (I)</x:v>
      </x:c>
      <x:c r="J34" s="53" t="str">
        <x:v>Three-part Chicago Fire / Chicago P.D. / SVU case.</x:v>
      </x:c>
      <x:c r="K34" s="53" t="str">
        <x:v>Chicago P.D. S02E20 — The Number of Rats (II) | Law &amp; Order: Special Victims Unit S16E20 — Daydream Believer (III)</x:v>
      </x:c>
      <x:c r="L34" s="53" t="str">
        <x:v>https://one-chicago-fbi.fandom.com/wiki/Crossovers_and_Milestones</x:v>
      </x:c>
      <x:c r="M34" s="17" t="str">
        <x:v>Curated / source-backed</x:v>
      </x:c>
      <x:c r="N34" s="1"/>
      <x:c r="O34" s="1"/>
      <x:c r="P34" s="1"/>
      <x:c r="Q34" s="1"/>
      <x:c r="R34" s="1"/>
      <x:c r="S34" s="1"/>
      <x:c r="T34" s="1"/>
      <x:c r="U34" s="1"/>
      <x:c r="V34" s="1"/>
      <x:c r="W34" s="1"/>
      <x:c r="X34" s="1"/>
      <x:c r="Y34" s="1"/>
      <x:c r="Z34" s="1"/>
    </x:row>
    <x:row r="35">
      <x:c r="A35" s="17" t="str">
        <x:v>We Called Her Jellybean</x:v>
      </x:c>
      <x:c r="B35" s="17" t="str">
        <x:v>crossover</x:v>
      </x:c>
      <x:c r="C35" s="17" t="str">
        <x:v>Crossover</x:v>
      </x:c>
      <x:c r="D35" s="17" t="str">
        <x:v>3/3</x:v>
      </x:c>
      <x:c r="E35" s="20" t="n">
        <x:v>42123</x:v>
      </x:c>
      <x:c r="F35" s="23" t="n">
        <x:v>1929</x:v>
      </x:c>
      <x:c r="G35" s="17" t="str">
        <x:v>Law &amp; Order: Special Victims Unit</x:v>
      </x:c>
      <x:c r="H35" s="17" t="str">
        <x:v>16.20</x:v>
      </x:c>
      <x:c r="I35" s="17" t="str">
        <x:v>Daydream Believer (III)</x:v>
      </x:c>
      <x:c r="J35" s="53" t="str">
        <x:v>Three-part Chicago Fire / Chicago P.D. / SVU case.</x:v>
      </x:c>
      <x:c r="K35" s="53" t="str">
        <x:v>Chicago Fire S03E21 — We Called Her Jellybean (I) | Chicago P.D. S02E20 — The Number of Rats (II)</x:v>
      </x:c>
      <x:c r="L35" s="53" t="str">
        <x:v>https://one-chicago-fbi.fandom.com/wiki/Crossovers_and_Milestones</x:v>
      </x:c>
      <x:c r="M35" s="17" t="str">
        <x:v>Curated / source-backed</x:v>
      </x:c>
      <x:c r="N35" s="1"/>
      <x:c r="O35" s="1"/>
      <x:c r="P35" s="1"/>
      <x:c r="Q35" s="1"/>
      <x:c r="R35" s="1"/>
      <x:c r="S35" s="1"/>
      <x:c r="T35" s="1"/>
      <x:c r="U35" s="1"/>
      <x:c r="V35" s="1"/>
      <x:c r="W35" s="1"/>
      <x:c r="X35" s="1"/>
      <x:c r="Y35" s="1"/>
      <x:c r="Z35" s="1"/>
    </x:row>
    <x:row r="36">
      <x:c r="A36" s="17" t="str">
        <x:v>We Called Her Jellybean</x:v>
      </x:c>
      <x:c r="B36" s="17" t="str">
        <x:v>crossover</x:v>
      </x:c>
      <x:c r="C36" s="17" t="str">
        <x:v>Crossover</x:v>
      </x:c>
      <x:c r="D36" s="17" t="str">
        <x:v>2/3</x:v>
      </x:c>
      <x:c r="E36" s="20" t="n">
        <x:v>42124</x:v>
      </x:c>
      <x:c r="F36" s="23" t="n">
        <x:v>1930</x:v>
      </x:c>
      <x:c r="G36" s="17" t="str">
        <x:v>Chicago P.D.</x:v>
      </x:c>
      <x:c r="H36" s="17" t="str">
        <x:v>02.20</x:v>
      </x:c>
      <x:c r="I36" s="17" t="str">
        <x:v>The Number of Rats (II)</x:v>
      </x:c>
      <x:c r="J36" s="53" t="str">
        <x:v>Three-part Chicago Fire / Chicago P.D. / SVU case.</x:v>
      </x:c>
      <x:c r="K36" s="53" t="str">
        <x:v>Chicago Fire S03E21 — We Called Her Jellybean (I) | Law &amp; Order: Special Victims Unit S16E20 — Daydream Believer (III)</x:v>
      </x:c>
      <x:c r="L36" s="53" t="str">
        <x:v>https://one-chicago-fbi.fandom.com/wiki/Crossovers_and_Milestones</x:v>
      </x:c>
      <x:c r="M36" s="17" t="str">
        <x:v>Curated / source-backed</x:v>
      </x:c>
      <x:c r="N36" s="1"/>
      <x:c r="O36" s="1"/>
      <x:c r="P36" s="1"/>
      <x:c r="Q36" s="1"/>
      <x:c r="R36" s="1"/>
      <x:c r="S36" s="1"/>
      <x:c r="T36" s="1"/>
      <x:c r="U36" s="1"/>
      <x:c r="V36" s="1"/>
      <x:c r="W36" s="1"/>
      <x:c r="X36" s="1"/>
      <x:c r="Y36" s="1"/>
      <x:c r="Z36" s="1"/>
    </x:row>
    <x:row r="37">
      <x:c r="A37" s="17" t="str">
        <x:v>The Beating Heart</x:v>
      </x:c>
      <x:c r="B37" s="17" t="str">
        <x:v>crossover</x:v>
      </x:c>
      <x:c r="C37" s="17" t="str">
        <x:v>Crossover</x:v>
      </x:c>
      <x:c r="D37" s="17" t="str">
        <x:v>2/3</x:v>
      </x:c>
      <x:c r="E37" s="20" t="n">
        <x:v>42375</x:v>
      </x:c>
      <x:c r="F37" s="23" t="n">
        <x:v>1983</x:v>
      </x:c>
      <x:c r="G37" s="17" t="str">
        <x:v>Chicago Med</x:v>
      </x:c>
      <x:c r="H37" s="17" t="str">
        <x:v>01.05</x:v>
      </x:c>
      <x:c r="I37" s="17" t="str">
        <x:v>Malignant (II)</x:v>
      </x:c>
      <x:c r="J37" s="53" t="str">
        <x:v>Three-part Chicago Fire / Chicago Med / Chicago P.D. story.</x:v>
      </x:c>
      <x:c r="K37" s="53" t="str">
        <x:v>Chicago Fire S04E10 — The Beating Heart (I) | Chicago P.D. S03E10 — Now I'm God (III)</x:v>
      </x:c>
      <x:c r="L37" s="53" t="str">
        <x:v>https://one-chicago-fbi.fandom.com/wiki/Crossovers_and_Milestones</x:v>
      </x:c>
      <x:c r="M37" s="17" t="str">
        <x:v>Curated / source-backed</x:v>
      </x:c>
      <x:c r="N37" s="1"/>
      <x:c r="O37" s="1"/>
      <x:c r="P37" s="1"/>
      <x:c r="Q37" s="1"/>
      <x:c r="R37" s="1"/>
      <x:c r="S37" s="1"/>
      <x:c r="T37" s="1"/>
      <x:c r="U37" s="1"/>
      <x:c r="V37" s="1"/>
      <x:c r="W37" s="1"/>
      <x:c r="X37" s="1"/>
      <x:c r="Y37" s="1"/>
      <x:c r="Z37" s="1"/>
    </x:row>
    <x:row r="38">
      <x:c r="A38" s="17" t="str">
        <x:v>The Beating Heart</x:v>
      </x:c>
      <x:c r="B38" s="17" t="str">
        <x:v>crossover</x:v>
      </x:c>
      <x:c r="C38" s="17" t="str">
        <x:v>Crossover</x:v>
      </x:c>
      <x:c r="D38" s="17" t="str">
        <x:v>1/3</x:v>
      </x:c>
      <x:c r="E38" s="20" t="n">
        <x:v>42375</x:v>
      </x:c>
      <x:c r="F38" s="23" t="n">
        <x:v>1984</x:v>
      </x:c>
      <x:c r="G38" s="17" t="str">
        <x:v>Chicago Fire</x:v>
      </x:c>
      <x:c r="H38" s="17" t="str">
        <x:v>04.10</x:v>
      </x:c>
      <x:c r="I38" s="17" t="str">
        <x:v>The Beating Heart (I)</x:v>
      </x:c>
      <x:c r="J38" s="53" t="str">
        <x:v>Three-part Chicago Fire / Chicago Med / Chicago P.D. story.</x:v>
      </x:c>
      <x:c r="K38" s="53" t="str">
        <x:v>Chicago Med S01E05 — Malignant (II) | Chicago P.D. S03E10 — Now I'm God (III)</x:v>
      </x:c>
      <x:c r="L38" s="53" t="str">
        <x:v>https://one-chicago-fbi.fandom.com/wiki/Crossovers_and_Milestones</x:v>
      </x:c>
      <x:c r="M38" s="17" t="str">
        <x:v>Curated / source-backed</x:v>
      </x:c>
      <x:c r="N38" s="1"/>
      <x:c r="O38" s="1"/>
      <x:c r="P38" s="1"/>
      <x:c r="Q38" s="1"/>
      <x:c r="R38" s="1"/>
      <x:c r="S38" s="1"/>
      <x:c r="T38" s="1"/>
      <x:c r="U38" s="1"/>
      <x:c r="V38" s="1"/>
      <x:c r="W38" s="1"/>
      <x:c r="X38" s="1"/>
      <x:c r="Y38" s="1"/>
      <x:c r="Z38" s="1"/>
    </x:row>
    <x:row r="39">
      <x:c r="A39" s="17" t="str">
        <x:v>The Beating Heart</x:v>
      </x:c>
      <x:c r="B39" s="17" t="str">
        <x:v>crossover</x:v>
      </x:c>
      <x:c r="C39" s="17" t="str">
        <x:v>Crossover</x:v>
      </x:c>
      <x:c r="D39" s="17" t="str">
        <x:v>3/3</x:v>
      </x:c>
      <x:c r="E39" s="20" t="n">
        <x:v>42376</x:v>
      </x:c>
      <x:c r="F39" s="23" t="n">
        <x:v>1986</x:v>
      </x:c>
      <x:c r="G39" s="17" t="str">
        <x:v>Chicago P.D.</x:v>
      </x:c>
      <x:c r="H39" s="17" t="str">
        <x:v>03.10</x:v>
      </x:c>
      <x:c r="I39" s="17" t="str">
        <x:v>Now I'm God (III)</x:v>
      </x:c>
      <x:c r="J39" s="53" t="str">
        <x:v>Three-part Chicago Fire / Chicago Med / Chicago P.D. story.</x:v>
      </x:c>
      <x:c r="K39" s="53" t="str">
        <x:v>Chicago Fire S04E10 — The Beating Heart (I) | Chicago Med S01E05 — Malignant (II)</x:v>
      </x:c>
      <x:c r="L39" s="53" t="str">
        <x:v>https://one-chicago-fbi.fandom.com/wiki/Crossovers_and_Milestones</x:v>
      </x:c>
      <x:c r="M39" s="17" t="str">
        <x:v>Curated / source-backed</x:v>
      </x:c>
      <x:c r="N39" s="1"/>
      <x:c r="O39" s="1"/>
      <x:c r="P39" s="1"/>
      <x:c r="Q39" s="1"/>
      <x:c r="R39" s="1"/>
      <x:c r="S39" s="1"/>
      <x:c r="T39" s="1"/>
      <x:c r="U39" s="1"/>
      <x:c r="V39" s="1"/>
      <x:c r="W39" s="1"/>
      <x:c r="X39" s="1"/>
      <x:c r="Y39" s="1"/>
      <x:c r="Z39" s="1"/>
    </x:row>
    <x:row r="40">
      <x:c r="A40" s="17" t="str">
        <x:v>Gregory Williams Yates manhunt</x:v>
      </x:c>
      <x:c r="B40" s="17" t="str">
        <x:v>crossover</x:v>
      </x:c>
      <x:c r="C40" s="17" t="str">
        <x:v>Crossover</x:v>
      </x:c>
      <x:c r="D40" s="17" t="str">
        <x:v>1/2</x:v>
      </x:c>
      <x:c r="E40" s="20" t="n">
        <x:v>42410</x:v>
      </x:c>
      <x:c r="F40" s="23" t="n">
        <x:v>2001</x:v>
      </x:c>
      <x:c r="G40" s="17" t="str">
        <x:v>Law &amp; Order: Special Victims Unit</x:v>
      </x:c>
      <x:c r="H40" s="17" t="str">
        <x:v>17.14</x:v>
      </x:c>
      <x:c r="I40" s="17" t="str">
        <x:v>Nationwide Manhunt (I)</x:v>
      </x:c>
      <x:c r="J40" s="53" t="str">
        <x:v>Two-part SVU / Chicago P.D. pursuit.</x:v>
      </x:c>
      <x:c r="K40" s="53" t="str">
        <x:v>Chicago P.D. S03E14 — The Song of Gregory Williams Yates (II)</x:v>
      </x:c>
      <x:c r="L40" s="53" t="str">
        <x:v>https://one-chicago-fbi.fandom.com/wiki/Crossovers_and_Milestones</x:v>
      </x:c>
      <x:c r="M40" s="17" t="str">
        <x:v>Curated / source-backed</x:v>
      </x:c>
      <x:c r="N40" s="1"/>
      <x:c r="O40" s="1"/>
      <x:c r="P40" s="1"/>
      <x:c r="Q40" s="1"/>
      <x:c r="R40" s="1"/>
      <x:c r="S40" s="1"/>
      <x:c r="T40" s="1"/>
      <x:c r="U40" s="1"/>
      <x:c r="V40" s="1"/>
      <x:c r="W40" s="1"/>
      <x:c r="X40" s="1"/>
      <x:c r="Y40" s="1"/>
      <x:c r="Z40" s="1"/>
    </x:row>
    <x:row r="41">
      <x:c r="A41" s="17" t="str">
        <x:v>Gregory Williams Yates manhunt</x:v>
      </x:c>
      <x:c r="B41" s="17" t="str">
        <x:v>crossover</x:v>
      </x:c>
      <x:c r="C41" s="17" t="str">
        <x:v>Crossover</x:v>
      </x:c>
      <x:c r="D41" s="17" t="str">
        <x:v>2/2</x:v>
      </x:c>
      <x:c r="E41" s="20" t="n">
        <x:v>42411</x:v>
      </x:c>
      <x:c r="F41" s="23" t="n">
        <x:v>2002</x:v>
      </x:c>
      <x:c r="G41" s="17" t="str">
        <x:v>Chicago P.D.</x:v>
      </x:c>
      <x:c r="H41" s="17" t="str">
        <x:v>03.14</x:v>
      </x:c>
      <x:c r="I41" s="17" t="str">
        <x:v>The Song of Gregory Williams Yates (II)</x:v>
      </x:c>
      <x:c r="J41" s="53" t="str">
        <x:v>Two-part SVU / Chicago P.D. pursuit.</x:v>
      </x:c>
      <x:c r="K41" s="53" t="str">
        <x:v>Law &amp; Order: Special Victims Unit S17E14 — Nationwide Manhunt (I)</x:v>
      </x:c>
      <x:c r="L41" s="53" t="str">
        <x:v>https://one-chicago-fbi.fandom.com/wiki/Crossovers_and_Milestones</x:v>
      </x:c>
      <x:c r="M41" s="17" t="str">
        <x:v>Curated / source-backed</x:v>
      </x:c>
      <x:c r="N41" s="1"/>
      <x:c r="O41" s="1"/>
      <x:c r="P41" s="1"/>
      <x:c r="Q41" s="1"/>
      <x:c r="R41" s="1"/>
      <x:c r="S41" s="1"/>
      <x:c r="T41" s="1"/>
      <x:c r="U41" s="1"/>
      <x:c r="V41" s="1"/>
      <x:c r="W41" s="1"/>
      <x:c r="X41" s="1"/>
      <x:c r="Y41" s="1"/>
      <x:c r="Z41" s="1"/>
    </x:row>
    <x:row r="42">
      <x:c r="A42" s="17" t="str">
        <x:v>Chicago Justice launch</x:v>
      </x:c>
      <x:c r="B42" s="17" t="str">
        <x:v>backdoor_pilot</x:v>
      </x:c>
      <x:c r="C42" s="17" t="str">
        <x:v>Backdoor pilot</x:v>
      </x:c>
      <x:c r="D42" s="17" t="str"/>
      <x:c r="E42" s="20" t="n">
        <x:v>42502</x:v>
      </x:c>
      <x:c r="F42" s="23" t="n">
        <x:v>2032</x:v>
      </x:c>
      <x:c r="G42" s="17" t="str">
        <x:v>Chicago P.D.</x:v>
      </x:c>
      <x:c r="H42" s="17" t="str">
        <x:v>03.21</x:v>
      </x:c>
      <x:c r="I42" s="17" t="str">
        <x:v>Justice</x:v>
      </x:c>
      <x:c r="J42" s="53" t="str">
        <x:v>Launches the Chicago Justice legal spinoff.</x:v>
      </x:c>
      <x:c r="K42" s="53" t="str"/>
      <x:c r="L42" s="53" t="str">
        <x:v>https://one-chicago-fbi.fandom.com/wiki/Crossovers_and_Milestones</x:v>
      </x:c>
      <x:c r="M42" s="17" t="str">
        <x:v>Curated / source-backed</x:v>
      </x:c>
      <x:c r="N42" s="1"/>
      <x:c r="O42" s="1"/>
      <x:c r="P42" s="1"/>
      <x:c r="Q42" s="1"/>
      <x:c r="R42" s="1"/>
      <x:c r="S42" s="1"/>
      <x:c r="T42" s="1"/>
      <x:c r="U42" s="1"/>
      <x:c r="V42" s="1"/>
      <x:c r="W42" s="1"/>
      <x:c r="X42" s="1"/>
      <x:c r="Y42" s="1"/>
      <x:c r="Z42" s="1"/>
    </x:row>
    <x:row r="43">
      <x:c r="A43" s="17" t="str">
        <x:v>Some Make It, Some Don't</x:v>
      </x:c>
      <x:c r="B43" s="17" t="str">
        <x:v>crossover</x:v>
      </x:c>
      <x:c r="C43" s="17" t="str">
        <x:v>Crossover</x:v>
      </x:c>
      <x:c r="D43" s="17" t="str">
        <x:v>2/2</x:v>
      </x:c>
      <x:c r="E43" s="20" t="n">
        <x:v>42739</x:v>
      </x:c>
      <x:c r="F43" s="23" t="n">
        <x:v>2069</x:v>
      </x:c>
      <x:c r="G43" s="17" t="str">
        <x:v>Chicago P.D.</x:v>
      </x:c>
      <x:c r="H43" s="17" t="str">
        <x:v>04.09</x:v>
      </x:c>
      <x:c r="I43" s="17" t="str">
        <x:v>Don't Bury This Case (II)</x:v>
      </x:c>
      <x:c r="J43" s="53" t="str">
        <x:v>Two-part Chicago Fire / Chicago P.D. story.</x:v>
      </x:c>
      <x:c r="K43" s="53" t="str">
        <x:v>Chicago Fire S05E09 — Some Make It, Some Don't (I)</x:v>
      </x:c>
      <x:c r="L43" s="53" t="str">
        <x:v>https://one-chicago-fbi.fandom.com/wiki/Crossovers_and_Milestones</x:v>
      </x:c>
      <x:c r="M43" s="17" t="str">
        <x:v>Curated / source-backed</x:v>
      </x:c>
      <x:c r="N43" s="1"/>
      <x:c r="O43" s="1"/>
      <x:c r="P43" s="1"/>
      <x:c r="Q43" s="1"/>
      <x:c r="R43" s="1"/>
      <x:c r="S43" s="1"/>
      <x:c r="T43" s="1"/>
      <x:c r="U43" s="1"/>
      <x:c r="V43" s="1"/>
      <x:c r="W43" s="1"/>
      <x:c r="X43" s="1"/>
      <x:c r="Y43" s="1"/>
      <x:c r="Z43" s="1"/>
    </x:row>
    <x:row r="44">
      <x:c r="A44" s="17" t="str">
        <x:v>Some Make It, Some Don't</x:v>
      </x:c>
      <x:c r="B44" s="17" t="str">
        <x:v>crossover</x:v>
      </x:c>
      <x:c r="C44" s="17" t="str">
        <x:v>Crossover</x:v>
      </x:c>
      <x:c r="D44" s="17" t="str">
        <x:v>1/2</x:v>
      </x:c>
      <x:c r="E44" s="20" t="n">
        <x:v>42739</x:v>
      </x:c>
      <x:c r="F44" s="23" t="n">
        <x:v>2070</x:v>
      </x:c>
      <x:c r="G44" s="17" t="str">
        <x:v>Chicago Fire</x:v>
      </x:c>
      <x:c r="H44" s="17" t="str">
        <x:v>05.09</x:v>
      </x:c>
      <x:c r="I44" s="17" t="str">
        <x:v>Some Make It, Some Don't (I)</x:v>
      </x:c>
      <x:c r="J44" s="53" t="str">
        <x:v>Two-part Chicago Fire / Chicago P.D. story.</x:v>
      </x:c>
      <x:c r="K44" s="53" t="str">
        <x:v>Chicago P.D. S04E09 — Don't Bury This Case (II)</x:v>
      </x:c>
      <x:c r="L44" s="53" t="str">
        <x:v>https://one-chicago-fbi.fandom.com/wiki/Crossovers_and_Milestones</x:v>
      </x:c>
      <x:c r="M44" s="17" t="str">
        <x:v>Curated / source-backed</x:v>
      </x:c>
      <x:c r="N44" s="1"/>
      <x:c r="O44" s="1"/>
      <x:c r="P44" s="1"/>
      <x:c r="Q44" s="1"/>
      <x:c r="R44" s="1"/>
      <x:c r="S44" s="1"/>
      <x:c r="T44" s="1"/>
      <x:c r="U44" s="1"/>
      <x:c r="V44" s="1"/>
      <x:c r="W44" s="1"/>
      <x:c r="X44" s="1"/>
      <x:c r="Y44" s="1"/>
      <x:c r="Z44" s="1"/>
    </x:row>
    <x:row r="45">
      <x:c r="A45" s="17" t="str">
        <x:v>Deathtrap</x:v>
      </x:c>
      <x:c r="B45" s="17" t="str">
        <x:v>crossover</x:v>
      </x:c>
      <x:c r="C45" s="17" t="str">
        <x:v>Crossover</x:v>
      </x:c>
      <x:c r="D45" s="17" t="str">
        <x:v>3/3</x:v>
      </x:c>
      <x:c r="E45" s="20" t="n">
        <x:v>42796</x:v>
      </x:c>
      <x:c r="F45" s="23" t="n">
        <x:v>2094</x:v>
      </x:c>
      <x:c r="G45" s="17" t="str">
        <x:v>Chicago Justice</x:v>
      </x:c>
      <x:c r="H45" s="17" t="str">
        <x:v>01.01</x:v>
      </x:c>
      <x:c r="I45" s="17" t="str">
        <x:v>Fake (III)</x:v>
      </x:c>
      <x:c r="J45" s="53" t="str">
        <x:v>Three-part Chicago Fire / Chicago P.D. / Chicago Justice story.</x:v>
      </x:c>
      <x:c r="K45" s="53" t="str">
        <x:v>Chicago Fire S05E15 — Deathtrap (I) | Chicago P.D. S04E16 — Emotional Proximity (II)</x:v>
      </x:c>
      <x:c r="L45" s="53" t="str">
        <x:v>https://one-chicago-fbi.fandom.com/wiki/Crossovers_and_Milestones</x:v>
      </x:c>
      <x:c r="M45" s="17" t="str">
        <x:v>Curated / source-backed</x:v>
      </x:c>
      <x:c r="N45" s="1"/>
      <x:c r="O45" s="1"/>
      <x:c r="P45" s="1"/>
      <x:c r="Q45" s="1"/>
      <x:c r="R45" s="1"/>
      <x:c r="S45" s="1"/>
      <x:c r="T45" s="1"/>
      <x:c r="U45" s="1"/>
      <x:c r="V45" s="1"/>
      <x:c r="W45" s="1"/>
      <x:c r="X45" s="1"/>
      <x:c r="Y45" s="1"/>
      <x:c r="Z45" s="1"/>
    </x:row>
    <x:row r="46">
      <x:c r="A46" s="17" t="str">
        <x:v>Deathtrap</x:v>
      </x:c>
      <x:c r="B46" s="17" t="str">
        <x:v>crossover</x:v>
      </x:c>
      <x:c r="C46" s="17" t="str">
        <x:v>Crossover</x:v>
      </x:c>
      <x:c r="D46" s="17" t="str">
        <x:v>2/3</x:v>
      </x:c>
      <x:c r="E46" s="20" t="n">
        <x:v>42796</x:v>
      </x:c>
      <x:c r="F46" s="23" t="n">
        <x:v>2095</x:v>
      </x:c>
      <x:c r="G46" s="17" t="str">
        <x:v>Chicago P.D.</x:v>
      </x:c>
      <x:c r="H46" s="17" t="str">
        <x:v>04.16</x:v>
      </x:c>
      <x:c r="I46" s="17" t="str">
        <x:v>Emotional Proximity (II)</x:v>
      </x:c>
      <x:c r="J46" s="53" t="str">
        <x:v>Three-part Chicago Fire / Chicago P.D. / Chicago Justice story.</x:v>
      </x:c>
      <x:c r="K46" s="53" t="str">
        <x:v>Chicago Fire S05E15 — Deathtrap (I) | Chicago Justice S01E01 — Fake (III)</x:v>
      </x:c>
      <x:c r="L46" s="53" t="str">
        <x:v>https://one-chicago-fbi.fandom.com/wiki/Crossovers_and_Milestones</x:v>
      </x:c>
      <x:c r="M46" s="17" t="str">
        <x:v>Curated / source-backed</x:v>
      </x:c>
      <x:c r="N46" s="1"/>
      <x:c r="O46" s="1"/>
      <x:c r="P46" s="1"/>
      <x:c r="Q46" s="1"/>
      <x:c r="R46" s="1"/>
      <x:c r="S46" s="1"/>
      <x:c r="T46" s="1"/>
      <x:c r="U46" s="1"/>
      <x:c r="V46" s="1"/>
      <x:c r="W46" s="1"/>
      <x:c r="X46" s="1"/>
      <x:c r="Y46" s="1"/>
      <x:c r="Z46" s="1"/>
    </x:row>
    <x:row r="47">
      <x:c r="A47" s="17" t="str">
        <x:v>Deathtrap</x:v>
      </x:c>
      <x:c r="B47" s="17" t="str">
        <x:v>crossover</x:v>
      </x:c>
      <x:c r="C47" s="17" t="str">
        <x:v>Crossover</x:v>
      </x:c>
      <x:c r="D47" s="17" t="str">
        <x:v>1/3</x:v>
      </x:c>
      <x:c r="E47" s="20" t="n">
        <x:v>42796</x:v>
      </x:c>
      <x:c r="F47" s="23" t="n">
        <x:v>2096</x:v>
      </x:c>
      <x:c r="G47" s="17" t="str">
        <x:v>Chicago Fire</x:v>
      </x:c>
      <x:c r="H47" s="17" t="str">
        <x:v>05.15</x:v>
      </x:c>
      <x:c r="I47" s="17" t="str">
        <x:v>Deathtrap (I)</x:v>
      </x:c>
      <x:c r="J47" s="53" t="str">
        <x:v>Three-part Chicago Fire / Chicago P.D. / Chicago Justice story.</x:v>
      </x:c>
      <x:c r="K47" s="53" t="str">
        <x:v>Chicago P.D. S04E16 — Emotional Proximity (II) | Chicago Justice S01E01 — Fake (III)</x:v>
      </x:c>
      <x:c r="L47" s="53" t="str">
        <x:v>https://one-chicago-fbi.fandom.com/wiki/Crossovers_and_Milestones</x:v>
      </x:c>
      <x:c r="M47" s="17" t="str">
        <x:v>Curated / source-backed</x:v>
      </x:c>
      <x:c r="N47" s="1"/>
      <x:c r="O47" s="1"/>
      <x:c r="P47" s="1"/>
      <x:c r="Q47" s="1"/>
      <x:c r="R47" s="1"/>
      <x:c r="S47" s="1"/>
      <x:c r="T47" s="1"/>
      <x:c r="U47" s="1"/>
      <x:c r="V47" s="1"/>
      <x:c r="W47" s="1"/>
      <x:c r="X47" s="1"/>
      <x:c r="Y47" s="1"/>
      <x:c r="Z47" s="1"/>
    </x:row>
    <x:row r="48">
      <x:c r="A48" s="17" t="str">
        <x:v>SVU legal bridge</x:v>
      </x:c>
      <x:c r="B48" s="17" t="str">
        <x:v>character_bridge</x:v>
      </x:c>
      <x:c r="C48" s="17" t="str">
        <x:v>Character bridge</x:v>
      </x:c>
      <x:c r="D48" s="17" t="str"/>
      <x:c r="E48" s="20" t="n">
        <x:v>42800</x:v>
      </x:c>
      <x:c r="F48" s="23" t="n">
        <x:v>2098</x:v>
      </x:c>
      <x:c r="G48" s="17" t="str">
        <x:v>Chicago Justice</x:v>
      </x:c>
      <x:c r="H48" s="17" t="str">
        <x:v>01.02</x:v>
      </x:c>
      <x:c r="I48" s="17" t="str">
        <x:v>Uncertainty Principle</x:v>
      </x:c>
      <x:c r="J48" s="53" t="str">
        <x:v>Law &amp; Order: SVU character crossover into Chicago Justice.</x:v>
      </x:c>
      <x:c r="K48" s="53" t="str"/>
      <x:c r="L48" s="53" t="str">
        <x:v>https://one-chicago-fbi.fandom.com/wiki/Crossovers_and_Milestones</x:v>
      </x:c>
      <x:c r="M48" s="17" t="str">
        <x:v>Curated / source-backed</x:v>
      </x:c>
      <x:c r="N48" s="1"/>
      <x:c r="O48" s="1"/>
      <x:c r="P48" s="1"/>
      <x:c r="Q48" s="1"/>
      <x:c r="R48" s="1"/>
      <x:c r="S48" s="1"/>
      <x:c r="T48" s="1"/>
      <x:c r="U48" s="1"/>
      <x:c r="V48" s="1"/>
      <x:c r="W48" s="1"/>
      <x:c r="X48" s="1"/>
      <x:c r="Y48" s="1"/>
      <x:c r="Z48" s="1"/>
    </x:row>
    <x:row r="49">
      <x:c r="A49" s="17" t="str">
        <x:v>Profiles / Hiding Not Seeking</x:v>
      </x:c>
      <x:c r="B49" s="17" t="str">
        <x:v>crossover</x:v>
      </x:c>
      <x:c r="C49" s="17" t="str">
        <x:v>Crossover</x:v>
      </x:c>
      <x:c r="D49" s="17" t="str">
        <x:v>1/2</x:v>
      </x:c>
      <x:c r="E49" s="20" t="n">
        <x:v>43167</x:v>
      </x:c>
      <x:c r="F49" s="23" t="n">
        <x:v>2212</x:v>
      </x:c>
      <x:c r="G49" s="17" t="str">
        <x:v>Chicago P.D.</x:v>
      </x:c>
      <x:c r="H49" s="17" t="str">
        <x:v>05.16</x:v>
      </x:c>
      <x:c r="I49" s="17" t="str">
        <x:v>Profiles (I)</x:v>
      </x:c>
      <x:c r="J49" s="53" t="str">
        <x:v>Two-part Chicago P.D. / Chicago Fire story.</x:v>
      </x:c>
      <x:c r="K49" s="53" t="str">
        <x:v>Chicago Fire S06E13 — Hiding Not Seeking (II)</x:v>
      </x:c>
      <x:c r="L49" s="53" t="str">
        <x:v>https://one-chicago-fbi.fandom.com/wiki/Crossovers_and_Milestones</x:v>
      </x:c>
      <x:c r="M49" s="17" t="str">
        <x:v>Curated / source-backed</x:v>
      </x:c>
      <x:c r="N49" s="1"/>
      <x:c r="O49" s="1"/>
      <x:c r="P49" s="1"/>
      <x:c r="Q49" s="1"/>
      <x:c r="R49" s="1"/>
      <x:c r="S49" s="1"/>
      <x:c r="T49" s="1"/>
      <x:c r="U49" s="1"/>
      <x:c r="V49" s="1"/>
      <x:c r="W49" s="1"/>
      <x:c r="X49" s="1"/>
      <x:c r="Y49" s="1"/>
      <x:c r="Z49" s="1"/>
    </x:row>
    <x:row r="50">
      <x:c r="A50" s="17" t="str">
        <x:v>Profiles / Hiding Not Seeking</x:v>
      </x:c>
      <x:c r="B50" s="17" t="str">
        <x:v>crossover</x:v>
      </x:c>
      <x:c r="C50" s="17" t="str">
        <x:v>Crossover</x:v>
      </x:c>
      <x:c r="D50" s="17" t="str">
        <x:v>2/2</x:v>
      </x:c>
      <x:c r="E50" s="20" t="n">
        <x:v>43168</x:v>
      </x:c>
      <x:c r="F50" s="23" t="n">
        <x:v>2213</x:v>
      </x:c>
      <x:c r="G50" s="17" t="str">
        <x:v>Chicago Fire</x:v>
      </x:c>
      <x:c r="H50" s="17" t="str">
        <x:v>06.13</x:v>
      </x:c>
      <x:c r="I50" s="17" t="str">
        <x:v>Hiding Not Seeking (II)</x:v>
      </x:c>
      <x:c r="J50" s="53" t="str">
        <x:v>Two-part Chicago P.D. / Chicago Fire story.</x:v>
      </x:c>
      <x:c r="K50" s="53" t="str">
        <x:v>Chicago P.D. S05E16 — Profiles (I)</x:v>
      </x:c>
      <x:c r="L50" s="53" t="str">
        <x:v>https://one-chicago-fbi.fandom.com/wiki/Crossovers_and_Milestones</x:v>
      </x:c>
      <x:c r="M50" s="17" t="str">
        <x:v>Curated / source-backed</x:v>
      </x:c>
      <x:c r="N50" s="1"/>
      <x:c r="O50" s="1"/>
      <x:c r="P50" s="1"/>
      <x:c r="Q50" s="1"/>
      <x:c r="R50" s="1"/>
      <x:c r="S50" s="1"/>
      <x:c r="T50" s="1"/>
      <x:c r="U50" s="1"/>
      <x:c r="V50" s="1"/>
      <x:c r="W50" s="1"/>
      <x:c r="X50" s="1"/>
      <x:c r="Y50" s="1"/>
      <x:c r="Z50" s="1"/>
    </x:row>
    <x:row r="51">
      <x:c r="A51" s="17" t="str">
        <x:v>Going to War</x:v>
      </x:c>
      <x:c r="B51" s="17" t="str">
        <x:v>crossover</x:v>
      </x:c>
      <x:c r="C51" s="17" t="str">
        <x:v>Crossover</x:v>
      </x:c>
      <x:c r="D51" s="17" t="str">
        <x:v>2/3</x:v>
      </x:c>
      <x:c r="E51" s="20" t="n">
        <x:v>43377</x:v>
      </x:c>
      <x:c r="F51" s="23" t="n">
        <x:v>2264</x:v>
      </x:c>
      <x:c r="G51" s="17" t="str">
        <x:v>Chicago Med</x:v>
      </x:c>
      <x:c r="H51" s="17" t="str">
        <x:v>04.02</x:v>
      </x:c>
      <x:c r="I51" s="17" t="str">
        <x:v>When to Let Go (II)</x:v>
      </x:c>
      <x:c r="J51" s="53" t="str">
        <x:v>Three-part Chicago Fire / Chicago Med / Chicago P.D. story.</x:v>
      </x:c>
      <x:c r="K51" s="53" t="str">
        <x:v>Chicago Fire S07E02 — Going to War (I) | Chicago P.D. S06E02 — Endings (III)</x:v>
      </x:c>
      <x:c r="L51" s="53" t="str">
        <x:v>https://one-chicago-fbi.fandom.com/wiki/Crossovers_and_Milestones</x:v>
      </x:c>
      <x:c r="M51" s="17" t="str">
        <x:v>Curated / source-backed</x:v>
      </x:c>
      <x:c r="N51" s="1"/>
      <x:c r="O51" s="1"/>
      <x:c r="P51" s="1"/>
      <x:c r="Q51" s="1"/>
      <x:c r="R51" s="1"/>
      <x:c r="S51" s="1"/>
      <x:c r="T51" s="1"/>
      <x:c r="U51" s="1"/>
      <x:c r="V51" s="1"/>
      <x:c r="W51" s="1"/>
      <x:c r="X51" s="1"/>
      <x:c r="Y51" s="1"/>
      <x:c r="Z51" s="1"/>
    </x:row>
    <x:row r="52">
      <x:c r="A52" s="17" t="str">
        <x:v>Going to War</x:v>
      </x:c>
      <x:c r="B52" s="17" t="str">
        <x:v>crossover</x:v>
      </x:c>
      <x:c r="C52" s="17" t="str">
        <x:v>Crossover</x:v>
      </x:c>
      <x:c r="D52" s="17" t="str">
        <x:v>3/3</x:v>
      </x:c>
      <x:c r="E52" s="20" t="n">
        <x:v>43377</x:v>
      </x:c>
      <x:c r="F52" s="23" t="n">
        <x:v>2265</x:v>
      </x:c>
      <x:c r="G52" s="17" t="str">
        <x:v>Chicago P.D.</x:v>
      </x:c>
      <x:c r="H52" s="17" t="str">
        <x:v>06.02</x:v>
      </x:c>
      <x:c r="I52" s="17" t="str">
        <x:v>Endings (III)</x:v>
      </x:c>
      <x:c r="J52" s="53" t="str">
        <x:v>Three-part Chicago Fire / Chicago Med / Chicago P.D. story.</x:v>
      </x:c>
      <x:c r="K52" s="53" t="str">
        <x:v>Chicago Fire S07E02 — Going to War (I) | Chicago Med S04E02 — When to Let Go (II)</x:v>
      </x:c>
      <x:c r="L52" s="53" t="str">
        <x:v>https://one-chicago-fbi.fandom.com/wiki/Crossovers_and_Milestones</x:v>
      </x:c>
      <x:c r="M52" s="17" t="str">
        <x:v>Curated / source-backed</x:v>
      </x:c>
      <x:c r="N52" s="1"/>
      <x:c r="O52" s="1"/>
      <x:c r="P52" s="1"/>
      <x:c r="Q52" s="1"/>
      <x:c r="R52" s="1"/>
      <x:c r="S52" s="1"/>
      <x:c r="T52" s="1"/>
      <x:c r="U52" s="1"/>
      <x:c r="V52" s="1"/>
      <x:c r="W52" s="1"/>
      <x:c r="X52" s="1"/>
      <x:c r="Y52" s="1"/>
      <x:c r="Z52" s="1"/>
    </x:row>
    <x:row r="53">
      <x:c r="A53" s="17" t="str">
        <x:v>Going to War</x:v>
      </x:c>
      <x:c r="B53" s="17" t="str">
        <x:v>crossover</x:v>
      </x:c>
      <x:c r="C53" s="17" t="str">
        <x:v>Crossover</x:v>
      </x:c>
      <x:c r="D53" s="17" t="str">
        <x:v>1/3</x:v>
      </x:c>
      <x:c r="E53" s="20" t="n">
        <x:v>43377</x:v>
      </x:c>
      <x:c r="F53" s="23" t="n">
        <x:v>2266</x:v>
      </x:c>
      <x:c r="G53" s="17" t="str">
        <x:v>Chicago Fire</x:v>
      </x:c>
      <x:c r="H53" s="17" t="str">
        <x:v>07.02</x:v>
      </x:c>
      <x:c r="I53" s="17" t="str">
        <x:v>Going to War (I)</x:v>
      </x:c>
      <x:c r="J53" s="53" t="str">
        <x:v>Three-part Chicago Fire / Chicago Med / Chicago P.D. story.</x:v>
      </x:c>
      <x:c r="K53" s="53" t="str">
        <x:v>Chicago Med S04E02 — When to Let Go (II) | Chicago P.D. S06E02 — Endings (III)</x:v>
      </x:c>
      <x:c r="L53" s="53" t="str">
        <x:v>https://one-chicago-fbi.fandom.com/wiki/Crossovers_and_Milestones</x:v>
      </x:c>
      <x:c r="M53" s="17" t="str">
        <x:v>Curated / source-backed</x:v>
      </x:c>
      <x:c r="N53" s="1"/>
      <x:c r="O53" s="1"/>
      <x:c r="P53" s="1"/>
      <x:c r="Q53" s="1"/>
      <x:c r="R53" s="1"/>
      <x:c r="S53" s="1"/>
      <x:c r="T53" s="1"/>
      <x:c r="U53" s="1"/>
      <x:c r="V53" s="1"/>
      <x:c r="W53" s="1"/>
      <x:c r="X53" s="1"/>
      <x:c r="Y53" s="1"/>
      <x:c r="Z53" s="1"/>
    </x:row>
    <x:row r="54">
      <x:c r="A54" s="17" t="str">
        <x:v>What I Saw / Good Men</x:v>
      </x:c>
      <x:c r="B54" s="17" t="str">
        <x:v>crossover</x:v>
      </x:c>
      <x:c r="C54" s="17" t="str">
        <x:v>Crossover</x:v>
      </x:c>
      <x:c r="D54" s="17" t="str">
        <x:v>2/2</x:v>
      </x:c>
      <x:c r="E54" s="20" t="n">
        <x:v>43517</x:v>
      </x:c>
      <x:c r="F54" s="23" t="n">
        <x:v>2331</x:v>
      </x:c>
      <x:c r="G54" s="17" t="str">
        <x:v>Chicago P.D.</x:v>
      </x:c>
      <x:c r="H54" s="17" t="str">
        <x:v>06.15</x:v>
      </x:c>
      <x:c r="I54" s="17" t="str">
        <x:v>Good Men (II)</x:v>
      </x:c>
      <x:c r="J54" s="53" t="str">
        <x:v>Two-part Chicago Fire / Chicago P.D. story.</x:v>
      </x:c>
      <x:c r="K54" s="53" t="str">
        <x:v>Chicago Fire S07E15 — What I Saw (I)</x:v>
      </x:c>
      <x:c r="L54" s="53" t="str">
        <x:v>https://one-chicago-fbi.fandom.com/wiki/Crossovers_and_Milestones</x:v>
      </x:c>
      <x:c r="M54" s="17" t="str">
        <x:v>Curated / source-backed</x:v>
      </x:c>
      <x:c r="N54" s="1"/>
      <x:c r="O54" s="1"/>
      <x:c r="P54" s="1"/>
      <x:c r="Q54" s="1"/>
      <x:c r="R54" s="1"/>
      <x:c r="S54" s="1"/>
      <x:c r="T54" s="1"/>
      <x:c r="U54" s="1"/>
      <x:c r="V54" s="1"/>
      <x:c r="W54" s="1"/>
      <x:c r="X54" s="1"/>
      <x:c r="Y54" s="1"/>
      <x:c r="Z54" s="1"/>
    </x:row>
    <x:row r="55">
      <x:c r="A55" s="17" t="str">
        <x:v>What I Saw / Good Men</x:v>
      </x:c>
      <x:c r="B55" s="17" t="str">
        <x:v>crossover</x:v>
      </x:c>
      <x:c r="C55" s="17" t="str">
        <x:v>Crossover</x:v>
      </x:c>
      <x:c r="D55" s="17" t="str">
        <x:v>1/2</x:v>
      </x:c>
      <x:c r="E55" s="20" t="n">
        <x:v>43517</x:v>
      </x:c>
      <x:c r="F55" s="23" t="n">
        <x:v>2332</x:v>
      </x:c>
      <x:c r="G55" s="17" t="str">
        <x:v>Chicago Fire</x:v>
      </x:c>
      <x:c r="H55" s="17" t="str">
        <x:v>07.15</x:v>
      </x:c>
      <x:c r="I55" s="17" t="str">
        <x:v>What I Saw (I)</x:v>
      </x:c>
      <x:c r="J55" s="53" t="str">
        <x:v>Two-part Chicago Fire / Chicago P.D. story.</x:v>
      </x:c>
      <x:c r="K55" s="53" t="str">
        <x:v>Chicago P.D. S06E15 — Good Men (II)</x:v>
      </x:c>
      <x:c r="L55" s="53" t="str">
        <x:v>https://one-chicago-fbi.fandom.com/wiki/Crossovers_and_Milestones</x:v>
      </x:c>
      <x:c r="M55" s="17" t="str">
        <x:v>Curated / source-backed</x:v>
      </x:c>
      <x:c r="N55" s="1"/>
      <x:c r="O55" s="1"/>
      <x:c r="P55" s="1"/>
      <x:c r="Q55" s="1"/>
      <x:c r="R55" s="1"/>
      <x:c r="S55" s="1"/>
      <x:c r="T55" s="1"/>
      <x:c r="U55" s="1"/>
      <x:c r="V55" s="1"/>
      <x:c r="W55" s="1"/>
      <x:c r="X55" s="1"/>
      <x:c r="Y55" s="1"/>
      <x:c r="Z55" s="1"/>
    </x:row>
    <x:row r="56">
      <x:c r="A56" s="17" t="str">
        <x:v>FBI: Most Wanted launch</x:v>
      </x:c>
      <x:c r="B56" s="17" t="str">
        <x:v>backdoor_pilot</x:v>
      </x:c>
      <x:c r="C56" s="17" t="str">
        <x:v>Backdoor pilot</x:v>
      </x:c>
      <x:c r="D56" s="17" t="str"/>
      <x:c r="E56" s="20" t="n">
        <x:v>43558</x:v>
      </x:c>
      <x:c r="F56" s="23" t="n">
        <x:v>2351</x:v>
      </x:c>
      <x:c r="G56" s="17" t="str">
        <x:v>FBI</x:v>
      </x:c>
      <x:c r="H56" s="17" t="str">
        <x:v>01.18</x:v>
      </x:c>
      <x:c r="I56" s="17" t="str">
        <x:v>Most Wanted</x:v>
      </x:c>
      <x:c r="J56" s="53" t="str">
        <x:v>Introduces the Fugitive Task Force before FBI: Most Wanted.</x:v>
      </x:c>
      <x:c r="K56" s="53" t="str"/>
      <x:c r="L56" s="53" t="str">
        <x:v>https://one-chicago-fbi.fandom.com/wiki/Crossovers_and_Milestones</x:v>
      </x:c>
      <x:c r="M56" s="17" t="str">
        <x:v>Curated / source-backed</x:v>
      </x:c>
      <x:c r="N56" s="1"/>
      <x:c r="O56" s="1"/>
      <x:c r="P56" s="1"/>
      <x:c r="Q56" s="1"/>
      <x:c r="R56" s="1"/>
      <x:c r="S56" s="1"/>
      <x:c r="T56" s="1"/>
      <x:c r="U56" s="1"/>
      <x:c r="V56" s="1"/>
      <x:c r="W56" s="1"/>
      <x:c r="X56" s="1"/>
      <x:c r="Y56" s="1"/>
      <x:c r="Z56" s="1"/>
    </x:row>
    <x:row r="57">
      <x:c r="A57" s="17" t="str">
        <x:v>Infection</x:v>
      </x:c>
      <x:c r="B57" s="17" t="str">
        <x:v>crossover</x:v>
      </x:c>
      <x:c r="C57" s="17" t="str">
        <x:v>Crossover</x:v>
      </x:c>
      <x:c r="D57" s="17" t="str">
        <x:v>2/3</x:v>
      </x:c>
      <x:c r="E57" s="20" t="n">
        <x:v>43755</x:v>
      </x:c>
      <x:c r="F57" s="23" t="n">
        <x:v>2394</x:v>
      </x:c>
      <x:c r="G57" s="17" t="str">
        <x:v>Chicago Med</x:v>
      </x:c>
      <x:c r="H57" s="17" t="str">
        <x:v>05.04</x:v>
      </x:c>
      <x:c r="I57" s="17" t="str">
        <x:v>Infection, Part II (II)</x:v>
      </x:c>
      <x:c r="J57" s="53" t="str">
        <x:v>Three-part One Chicago crossover.</x:v>
      </x:c>
      <x:c r="K57" s="53" t="str">
        <x:v>Chicago Fire S08E04 — Infection (I) | Chicago P.D. S07E04 — Infection, Part III (III)</x:v>
      </x:c>
      <x:c r="L57" s="53" t="str">
        <x:v>https://one-chicago-fbi.fandom.com/wiki/Crossovers_and_Milestones</x:v>
      </x:c>
      <x:c r="M57" s="17" t="str">
        <x:v>Curated / source-backed</x:v>
      </x:c>
      <x:c r="N57" s="1"/>
      <x:c r="O57" s="1"/>
      <x:c r="P57" s="1"/>
      <x:c r="Q57" s="1"/>
      <x:c r="R57" s="1"/>
      <x:c r="S57" s="1"/>
      <x:c r="T57" s="1"/>
      <x:c r="U57" s="1"/>
      <x:c r="V57" s="1"/>
      <x:c r="W57" s="1"/>
      <x:c r="X57" s="1"/>
      <x:c r="Y57" s="1"/>
      <x:c r="Z57" s="1"/>
    </x:row>
    <x:row r="58">
      <x:c r="A58" s="17" t="str">
        <x:v>Infection</x:v>
      </x:c>
      <x:c r="B58" s="17" t="str">
        <x:v>crossover</x:v>
      </x:c>
      <x:c r="C58" s="17" t="str">
        <x:v>Crossover</x:v>
      </x:c>
      <x:c r="D58" s="17" t="str">
        <x:v>3/3</x:v>
      </x:c>
      <x:c r="E58" s="20" t="n">
        <x:v>43755</x:v>
      </x:c>
      <x:c r="F58" s="23" t="n">
        <x:v>2395</x:v>
      </x:c>
      <x:c r="G58" s="17" t="str">
        <x:v>Chicago P.D.</x:v>
      </x:c>
      <x:c r="H58" s="17" t="str">
        <x:v>07.04</x:v>
      </x:c>
      <x:c r="I58" s="17" t="str">
        <x:v>Infection, Part III (III)</x:v>
      </x:c>
      <x:c r="J58" s="53" t="str">
        <x:v>Three-part One Chicago crossover.</x:v>
      </x:c>
      <x:c r="K58" s="53" t="str">
        <x:v>Chicago Fire S08E04 — Infection (I) | Chicago Med S05E04 — Infection, Part II (II)</x:v>
      </x:c>
      <x:c r="L58" s="53" t="str">
        <x:v>https://one-chicago-fbi.fandom.com/wiki/Crossovers_and_Milestones</x:v>
      </x:c>
      <x:c r="M58" s="17" t="str">
        <x:v>Curated / source-backed</x:v>
      </x:c>
      <x:c r="N58" s="1"/>
      <x:c r="O58" s="1"/>
      <x:c r="P58" s="1"/>
      <x:c r="Q58" s="1"/>
      <x:c r="R58" s="1"/>
      <x:c r="S58" s="1"/>
      <x:c r="T58" s="1"/>
      <x:c r="U58" s="1"/>
      <x:c r="V58" s="1"/>
      <x:c r="W58" s="1"/>
      <x:c r="X58" s="1"/>
      <x:c r="Y58" s="1"/>
      <x:c r="Z58" s="1"/>
    </x:row>
    <x:row r="59">
      <x:c r="A59" s="17" t="str">
        <x:v>Infection</x:v>
      </x:c>
      <x:c r="B59" s="17" t="str">
        <x:v>crossover</x:v>
      </x:c>
      <x:c r="C59" s="17" t="str">
        <x:v>Crossover</x:v>
      </x:c>
      <x:c r="D59" s="17" t="str">
        <x:v>1/3</x:v>
      </x:c>
      <x:c r="E59" s="20" t="n">
        <x:v>43755</x:v>
      </x:c>
      <x:c r="F59" s="23" t="n">
        <x:v>2396</x:v>
      </x:c>
      <x:c r="G59" s="17" t="str">
        <x:v>Chicago Fire</x:v>
      </x:c>
      <x:c r="H59" s="17" t="str">
        <x:v>08.04</x:v>
      </x:c>
      <x:c r="I59" s="17" t="str">
        <x:v>Infection (I)</x:v>
      </x:c>
      <x:c r="J59" s="53" t="str">
        <x:v>Three-part One Chicago crossover.</x:v>
      </x:c>
      <x:c r="K59" s="53" t="str">
        <x:v>Chicago Med S05E04 — Infection, Part II (II) | Chicago P.D. S07E04 — Infection, Part III (III)</x:v>
      </x:c>
      <x:c r="L59" s="53" t="str">
        <x:v>https://one-chicago-fbi.fandom.com/wiki/Crossovers_and_Milestones</x:v>
      </x:c>
      <x:c r="M59" s="17" t="str">
        <x:v>Curated / source-backed</x:v>
      </x:c>
      <x:c r="N59" s="1"/>
      <x:c r="O59" s="1"/>
      <x:c r="P59" s="1"/>
      <x:c r="Q59" s="1"/>
      <x:c r="R59" s="1"/>
      <x:c r="S59" s="1"/>
      <x:c r="T59" s="1"/>
      <x:c r="U59" s="1"/>
      <x:c r="V59" s="1"/>
      <x:c r="W59" s="1"/>
      <x:c r="X59" s="1"/>
      <x:c r="Y59" s="1"/>
      <x:c r="Z59" s="1"/>
    </x:row>
    <x:row r="60">
      <x:c r="A60" s="17" t="str">
        <x:v>Off the Grid / Burden of Truth</x:v>
      </x:c>
      <x:c r="B60" s="17" t="str">
        <x:v>crossover</x:v>
      </x:c>
      <x:c r="C60" s="17" t="str">
        <x:v>Crossover</x:v>
      </x:c>
      <x:c r="D60" s="17" t="str">
        <x:v>2/2</x:v>
      </x:c>
      <x:c r="E60" s="20" t="n">
        <x:v>43888</x:v>
      </x:c>
      <x:c r="F60" s="23" t="n">
        <x:v>2458</x:v>
      </x:c>
      <x:c r="G60" s="17" t="str">
        <x:v>Chicago P.D.</x:v>
      </x:c>
      <x:c r="H60" s="17" t="str">
        <x:v>07.15</x:v>
      </x:c>
      <x:c r="I60" s="17" t="str">
        <x:v>Burden of Truth (II)</x:v>
      </x:c>
      <x:c r="J60" s="53" t="str">
        <x:v>Two-part Chicago Fire / Chicago P.D. story.</x:v>
      </x:c>
      <x:c r="K60" s="53" t="str">
        <x:v>Chicago Fire S08E15 — Off the Grid (I)</x:v>
      </x:c>
      <x:c r="L60" s="53" t="str">
        <x:v>https://one-chicago-fbi.fandom.com/wiki/Crossovers_and_Milestones</x:v>
      </x:c>
      <x:c r="M60" s="17" t="str">
        <x:v>Curated / source-backed</x:v>
      </x:c>
      <x:c r="N60" s="1"/>
      <x:c r="O60" s="1"/>
      <x:c r="P60" s="1"/>
      <x:c r="Q60" s="1"/>
      <x:c r="R60" s="1"/>
      <x:c r="S60" s="1"/>
      <x:c r="T60" s="1"/>
      <x:c r="U60" s="1"/>
      <x:c r="V60" s="1"/>
      <x:c r="W60" s="1"/>
      <x:c r="X60" s="1"/>
      <x:c r="Y60" s="1"/>
      <x:c r="Z60" s="1"/>
    </x:row>
    <x:row r="61">
      <x:c r="A61" s="17" t="str">
        <x:v>Off the Grid / Burden of Truth</x:v>
      </x:c>
      <x:c r="B61" s="17" t="str">
        <x:v>crossover</x:v>
      </x:c>
      <x:c r="C61" s="17" t="str">
        <x:v>Crossover</x:v>
      </x:c>
      <x:c r="D61" s="17" t="str">
        <x:v>1/2</x:v>
      </x:c>
      <x:c r="E61" s="20" t="n">
        <x:v>43888</x:v>
      </x:c>
      <x:c r="F61" s="23" t="n">
        <x:v>2459</x:v>
      </x:c>
      <x:c r="G61" s="17" t="str">
        <x:v>Chicago Fire</x:v>
      </x:c>
      <x:c r="H61" s="17" t="str">
        <x:v>08.15</x:v>
      </x:c>
      <x:c r="I61" s="17" t="str">
        <x:v>Off the Grid (I)</x:v>
      </x:c>
      <x:c r="J61" s="53" t="str">
        <x:v>Two-part Chicago Fire / Chicago P.D. story.</x:v>
      </x:c>
      <x:c r="K61" s="53" t="str">
        <x:v>Chicago P.D. S07E15 — Burden of Truth (II)</x:v>
      </x:c>
      <x:c r="L61" s="53" t="str">
        <x:v>https://one-chicago-fbi.fandom.com/wiki/Crossovers_and_Milestones</x:v>
      </x:c>
      <x:c r="M61" s="17" t="str">
        <x:v>Curated / source-backed</x:v>
      </x:c>
      <x:c r="N61" s="1"/>
      <x:c r="O61" s="1"/>
      <x:c r="P61" s="1"/>
      <x:c r="Q61" s="1"/>
      <x:c r="R61" s="1"/>
      <x:c r="S61" s="1"/>
      <x:c r="T61" s="1"/>
      <x:c r="U61" s="1"/>
      <x:c r="V61" s="1"/>
      <x:c r="W61" s="1"/>
      <x:c r="X61" s="1"/>
      <x:c r="Y61" s="1"/>
      <x:c r="Z61" s="1"/>
    </x:row>
    <x:row r="62">
      <x:c r="A62" s="17" t="str">
        <x:v>American Dreams / Reveille</x:v>
      </x:c>
      <x:c r="B62" s="17" t="str">
        <x:v>crossover</x:v>
      </x:c>
      <x:c r="C62" s="17" t="str">
        <x:v>Crossover</x:v>
      </x:c>
      <x:c r="D62" s="17" t="str">
        <x:v>2/2</x:v>
      </x:c>
      <x:c r="E62" s="20" t="n">
        <x:v>43915</x:v>
      </x:c>
      <x:c r="F62" s="23" t="n">
        <x:v>2472</x:v>
      </x:c>
      <x:c r="G62" s="17" t="str">
        <x:v>FBI: Most Wanted</x:v>
      </x:c>
      <x:c r="H62" s="17" t="str">
        <x:v>01.09</x:v>
      </x:c>
      <x:c r="I62" s="17" t="str">
        <x:v>Reveille (II)</x:v>
      </x:c>
      <x:c r="J62" s="53" t="str">
        <x:v>Two-part FBI / FBI: Most Wanted case.</x:v>
      </x:c>
      <x:c r="K62" s="53" t="str">
        <x:v>FBI S02E18 — American Dreams (I)</x:v>
      </x:c>
      <x:c r="L62" s="53" t="str">
        <x:v>https://one-chicago-fbi.fandom.com/wiki/Crossovers_and_Milestones</x:v>
      </x:c>
      <x:c r="M62" s="17" t="str">
        <x:v>Curated / source-backed</x:v>
      </x:c>
      <x:c r="N62" s="1"/>
      <x:c r="O62" s="1"/>
      <x:c r="P62" s="1"/>
      <x:c r="Q62" s="1"/>
      <x:c r="R62" s="1"/>
      <x:c r="S62" s="1"/>
      <x:c r="T62" s="1"/>
      <x:c r="U62" s="1"/>
      <x:c r="V62" s="1"/>
      <x:c r="W62" s="1"/>
      <x:c r="X62" s="1"/>
      <x:c r="Y62" s="1"/>
      <x:c r="Z62" s="1"/>
    </x:row>
    <x:row r="63">
      <x:c r="A63" s="17" t="str">
        <x:v>American Dreams / Reveille</x:v>
      </x:c>
      <x:c r="B63" s="17" t="str">
        <x:v>crossover</x:v>
      </x:c>
      <x:c r="C63" s="17" t="str">
        <x:v>Crossover</x:v>
      </x:c>
      <x:c r="D63" s="17" t="str">
        <x:v>1/2</x:v>
      </x:c>
      <x:c r="E63" s="20" t="n">
        <x:v>43915</x:v>
      </x:c>
      <x:c r="F63" s="23" t="n">
        <x:v>2473</x:v>
      </x:c>
      <x:c r="G63" s="17" t="str">
        <x:v>FBI</x:v>
      </x:c>
      <x:c r="H63" s="17" t="str">
        <x:v>02.18</x:v>
      </x:c>
      <x:c r="I63" s="17" t="str">
        <x:v>American Dreams (I)</x:v>
      </x:c>
      <x:c r="J63" s="53" t="str">
        <x:v>Two-part FBI / FBI: Most Wanted case.</x:v>
      </x:c>
      <x:c r="K63" s="53" t="str">
        <x:v>FBI: Most Wanted S01E09 — Reveille (II)</x:v>
      </x:c>
      <x:c r="L63" s="53" t="str">
        <x:v>https://one-chicago-fbi.fandom.com/wiki/Crossovers_and_Milestones</x:v>
      </x:c>
      <x:c r="M63" s="17" t="str">
        <x:v>Curated / source-backed</x:v>
      </x:c>
      <x:c r="N63" s="1"/>
      <x:c r="O63" s="1"/>
      <x:c r="P63" s="1"/>
      <x:c r="Q63" s="1"/>
      <x:c r="R63" s="1"/>
      <x:c r="S63" s="1"/>
      <x:c r="T63" s="1"/>
      <x:c r="U63" s="1"/>
      <x:c r="V63" s="1"/>
      <x:c r="W63" s="1"/>
      <x:c r="X63" s="1"/>
      <x:c r="Y63" s="1"/>
      <x:c r="Z63" s="1"/>
    </x:row>
    <x:row r="64">
      <x:c r="A64" s="17" t="str">
        <x:v>Chicago P.D. agent exchange</x:v>
      </x:c>
      <x:c r="B64" s="17" t="str">
        <x:v>character_bridge</x:v>
      </x:c>
      <x:c r="C64" s="17" t="str">
        <x:v>Character bridge</x:v>
      </x:c>
      <x:c r="D64" s="17" t="str"/>
      <x:c r="E64" s="20" t="n">
        <x:v>43922</x:v>
      </x:c>
      <x:c r="F64" s="23" t="n">
        <x:v>2480</x:v>
      </x:c>
      <x:c r="G64" s="17" t="str">
        <x:v>FBI</x:v>
      </x:c>
      <x:c r="H64" s="17" t="str">
        <x:v>02.19</x:v>
      </x:c>
      <x:c r="I64" s="17" t="str">
        <x:v>Emotional Rescue</x:v>
      </x:c>
      <x:c r="J64" s="53" t="str">
        <x:v>Chicago P.D.'s Hailey Upton joins the FBI team for this case.</x:v>
      </x:c>
      <x:c r="K64" s="53" t="str"/>
      <x:c r="L64" s="53" t="str">
        <x:v>https://one-chicago-fbi.fandom.com/wiki/Crossovers_and_Milestones</x:v>
      </x:c>
      <x:c r="M64" s="17" t="str">
        <x:v>Curated / source-backed</x:v>
      </x:c>
      <x:c r="N64" s="1"/>
      <x:c r="O64" s="1"/>
      <x:c r="P64" s="1"/>
      <x:c r="Q64" s="1"/>
      <x:c r="R64" s="1"/>
      <x:c r="S64" s="1"/>
      <x:c r="T64" s="1"/>
      <x:c r="U64" s="1"/>
      <x:c r="V64" s="1"/>
      <x:c r="W64" s="1"/>
      <x:c r="X64" s="1"/>
      <x:c r="Y64" s="1"/>
      <x:c r="Z64" s="1"/>
    </x:row>
    <x:row r="65">
      <x:c r="A65" s="17" t="str">
        <x:v>Return of the Prodigal Son</x:v>
      </x:c>
      <x:c r="B65" s="17" t="str">
        <x:v>crossover</x:v>
      </x:c>
      <x:c r="C65" s="17" t="str">
        <x:v>Crossover</x:v>
      </x:c>
      <x:c r="D65" s="17" t="str">
        <x:v>2/2</x:v>
      </x:c>
      <x:c r="E65" s="20" t="n">
        <x:v>44287</x:v>
      </x:c>
      <x:c r="F65" s="23" t="n">
        <x:v>2553</x:v>
      </x:c>
      <x:c r="G65" s="17" t="str">
        <x:v>Law &amp; Order: Organized Crime</x:v>
      </x:c>
      <x:c r="H65" s="17" t="str">
        <x:v>01.01</x:v>
      </x:c>
      <x:c r="I65" s="17" t="str">
        <x:v>What Happens in Puglia (II)</x:v>
      </x:c>
      <x:c r="J65" s="53" t="str">
        <x:v>Two-part SVU / Organized Crime launch crossover.</x:v>
      </x:c>
      <x:c r="K65" s="53" t="str">
        <x:v>Law &amp; Order: Special Victims Unit S22E09 — Return of the Prodigal Son (I)</x:v>
      </x:c>
      <x:c r="L65" s="53" t="str">
        <x:v>https://one-chicago-fbi.fandom.com/wiki/Crossovers_and_Milestones</x:v>
      </x:c>
      <x:c r="M65" s="17" t="str">
        <x:v>Curated / source-backed</x:v>
      </x:c>
      <x:c r="N65" s="1"/>
      <x:c r="O65" s="1"/>
      <x:c r="P65" s="1"/>
      <x:c r="Q65" s="1"/>
      <x:c r="R65" s="1"/>
      <x:c r="S65" s="1"/>
      <x:c r="T65" s="1"/>
      <x:c r="U65" s="1"/>
      <x:c r="V65" s="1"/>
      <x:c r="W65" s="1"/>
      <x:c r="X65" s="1"/>
      <x:c r="Y65" s="1"/>
      <x:c r="Z65" s="1"/>
    </x:row>
    <x:row r="66">
      <x:c r="A66" s="17" t="str">
        <x:v>Return of the Prodigal Son</x:v>
      </x:c>
      <x:c r="B66" s="17" t="str">
        <x:v>crossover</x:v>
      </x:c>
      <x:c r="C66" s="17" t="str">
        <x:v>Crossover</x:v>
      </x:c>
      <x:c r="D66" s="17" t="str">
        <x:v>1/2</x:v>
      </x:c>
      <x:c r="E66" s="20" t="n">
        <x:v>44287</x:v>
      </x:c>
      <x:c r="F66" s="23" t="n">
        <x:v>2557</x:v>
      </x:c>
      <x:c r="G66" s="17" t="str">
        <x:v>Law &amp; Order: Special Victims Unit</x:v>
      </x:c>
      <x:c r="H66" s="17" t="str">
        <x:v>22.09</x:v>
      </x:c>
      <x:c r="I66" s="17" t="str">
        <x:v>Return of the Prodigal Son (I)</x:v>
      </x:c>
      <x:c r="J66" s="53" t="str">
        <x:v>Two-part SVU / Organized Crime launch crossover.</x:v>
      </x:c>
      <x:c r="K66" s="53" t="str">
        <x:v>Law &amp; Order: Organized Crime S01E01 — What Happens in Puglia (II)</x:v>
      </x:c>
      <x:c r="L66" s="53" t="str">
        <x:v>https://one-chicago-fbi.fandom.com/wiki/Crossovers_and_Milestones</x:v>
      </x:c>
      <x:c r="M66" s="17" t="str">
        <x:v>Curated / source-backed</x:v>
      </x:c>
      <x:c r="N66" s="1"/>
      <x:c r="O66" s="1"/>
      <x:c r="P66" s="1"/>
      <x:c r="Q66" s="1"/>
      <x:c r="R66" s="1"/>
      <x:c r="S66" s="1"/>
      <x:c r="T66" s="1"/>
      <x:c r="U66" s="1"/>
      <x:c r="V66" s="1"/>
      <x:c r="W66" s="1"/>
      <x:c r="X66" s="1"/>
      <x:c r="Y66" s="1"/>
      <x:c r="Z66" s="1"/>
    </x:row>
    <x:row r="67">
      <x:c r="A67" s="17" t="str">
        <x:v>An Inferior Product</x:v>
      </x:c>
      <x:c r="B67" s="17" t="str">
        <x:v>story_arc</x:v>
      </x:c>
      <x:c r="C67" s="17" t="str">
        <x:v>Multi-episode arc</x:v>
      </x:c>
      <x:c r="D67" s="17" t="str"/>
      <x:c r="E67" s="20" t="n">
        <x:v>44329</x:v>
      </x:c>
      <x:c r="F67" s="23" t="n">
        <x:v>2581</x:v>
      </x:c>
      <x:c r="G67" s="17" t="str">
        <x:v>Law &amp; Order: Organized Crime</x:v>
      </x:c>
      <x:c r="H67" s="17" t="str">
        <x:v>01.05</x:v>
      </x:c>
      <x:c r="I67" s="17" t="str">
        <x:v>An Inferior Product (II)</x:v>
      </x:c>
      <x:c r="J67" s="53" t="str">
        <x:v>Part-number notation identifies this as an installment in a multi-episode story.</x:v>
      </x:c>
      <x:c r="K67" s="53" t="str"/>
      <x:c r="L67" s="53" t="str">
        <x:v>Canonical episode title notation; editorial inference.</x:v>
      </x:c>
      <x:c r="M67" s="17" t="str">
        <x:v>Conservative title inference</x:v>
      </x:c>
      <x:c r="N67" s="1"/>
      <x:c r="O67" s="1"/>
      <x:c r="P67" s="1"/>
      <x:c r="Q67" s="1"/>
      <x:c r="R67" s="1"/>
      <x:c r="S67" s="1"/>
      <x:c r="T67" s="1"/>
      <x:c r="U67" s="1"/>
      <x:c r="V67" s="1"/>
      <x:c r="W67" s="1"/>
      <x:c r="X67" s="1"/>
      <x:c r="Y67" s="1"/>
      <x:c r="Z67" s="1"/>
    </x:row>
    <x:row r="68">
      <x:c r="A68" s="17" t="str">
        <x:v>Trick-Rolled at the Moulin</x:v>
      </x:c>
      <x:c r="B68" s="17" t="str">
        <x:v>story_arc</x:v>
      </x:c>
      <x:c r="C68" s="17" t="str">
        <x:v>Multi-episode arc</x:v>
      </x:c>
      <x:c r="D68" s="17" t="str"/>
      <x:c r="E68" s="20" t="n">
        <x:v>44329</x:v>
      </x:c>
      <x:c r="F68" s="23" t="n">
        <x:v>2585</x:v>
      </x:c>
      <x:c r="G68" s="17" t="str">
        <x:v>Law &amp; Order: Special Victims Unit</x:v>
      </x:c>
      <x:c r="H68" s="17" t="str">
        <x:v>22.13</x:v>
      </x:c>
      <x:c r="I68" s="17" t="str">
        <x:v>Trick-Rolled at the Moulin (I)</x:v>
      </x:c>
      <x:c r="J68" s="53" t="str">
        <x:v>Part-number notation identifies this as an installment in a multi-episode story.</x:v>
      </x:c>
      <x:c r="K68" s="53" t="str"/>
      <x:c r="L68" s="53" t="str">
        <x:v>Canonical episode title notation; editorial inference.</x:v>
      </x:c>
      <x:c r="M68" s="17" t="str">
        <x:v>Conservative title inference</x:v>
      </x:c>
      <x:c r="N68" s="1"/>
      <x:c r="O68" s="1"/>
      <x:c r="P68" s="1"/>
      <x:c r="Q68" s="1"/>
      <x:c r="R68" s="1"/>
      <x:c r="S68" s="1"/>
      <x:c r="T68" s="1"/>
      <x:c r="U68" s="1"/>
      <x:c r="V68" s="1"/>
      <x:c r="W68" s="1"/>
      <x:c r="X68" s="1"/>
      <x:c r="Y68" s="1"/>
      <x:c r="Z68" s="1"/>
    </x:row>
    <x:row r="69">
      <x:c r="A69" s="17" t="str">
        <x:v>FBI global crossover launch</x:v>
      </x:c>
      <x:c r="B69" s="17" t="str">
        <x:v>crossover</x:v>
      </x:c>
      <x:c r="C69" s="17" t="str">
        <x:v>Crossover</x:v>
      </x:c>
      <x:c r="D69" s="17" t="str">
        <x:v>3/3</x:v>
      </x:c>
      <x:c r="E69" s="20" t="n">
        <x:v>44461</x:v>
      </x:c>
      <x:c r="F69" s="23" t="n">
        <x:v>2606</x:v>
      </x:c>
      <x:c r="G69" s="17" t="str">
        <x:v>FBI: International</x:v>
      </x:c>
      <x:c r="H69" s="17" t="str">
        <x:v>01.01</x:v>
      </x:c>
      <x:c r="I69" s="17" t="str">
        <x:v>Pilot (III)</x:v>
      </x:c>
      <x:c r="J69" s="53" t="str">
        <x:v>Three-part FBI / Most Wanted / International event and International launch.</x:v>
      </x:c>
      <x:c r="K69" s="53" t="str">
        <x:v>FBI S04E01 — All That Glitters (I) | FBI: Most Wanted S03E01 — Exposed (II)</x:v>
      </x:c>
      <x:c r="L69" s="53" t="str">
        <x:v>https://one-chicago-fbi.fandom.com/wiki/Crossovers_and_Milestones</x:v>
      </x:c>
      <x:c r="M69" s="17" t="str">
        <x:v>Curated / source-backed</x:v>
      </x:c>
      <x:c r="N69" s="1"/>
      <x:c r="O69" s="1"/>
      <x:c r="P69" s="1"/>
      <x:c r="Q69" s="1"/>
      <x:c r="R69" s="1"/>
      <x:c r="S69" s="1"/>
      <x:c r="T69" s="1"/>
      <x:c r="U69" s="1"/>
      <x:c r="V69" s="1"/>
      <x:c r="W69" s="1"/>
      <x:c r="X69" s="1"/>
      <x:c r="Y69" s="1"/>
      <x:c r="Z69" s="1"/>
    </x:row>
    <x:row r="70">
      <x:c r="A70" s="17" t="str">
        <x:v>FBI global crossover launch</x:v>
      </x:c>
      <x:c r="B70" s="17" t="str">
        <x:v>crossover</x:v>
      </x:c>
      <x:c r="C70" s="17" t="str">
        <x:v>Crossover</x:v>
      </x:c>
      <x:c r="D70" s="17" t="str">
        <x:v>2/3</x:v>
      </x:c>
      <x:c r="E70" s="20" t="n">
        <x:v>44461</x:v>
      </x:c>
      <x:c r="F70" s="23" t="n">
        <x:v>2607</x:v>
      </x:c>
      <x:c r="G70" s="17" t="str">
        <x:v>FBI: Most Wanted</x:v>
      </x:c>
      <x:c r="H70" s="17" t="str">
        <x:v>03.01</x:v>
      </x:c>
      <x:c r="I70" s="17" t="str">
        <x:v>Exposed (II)</x:v>
      </x:c>
      <x:c r="J70" s="53" t="str">
        <x:v>Three-part FBI / Most Wanted / International event and International launch.</x:v>
      </x:c>
      <x:c r="K70" s="53" t="str">
        <x:v>FBI S04E01 — All That Glitters (I) | FBI: International S01E01 — Pilot (III)</x:v>
      </x:c>
      <x:c r="L70" s="53" t="str">
        <x:v>https://one-chicago-fbi.fandom.com/wiki/Crossovers_and_Milestones</x:v>
      </x:c>
      <x:c r="M70" s="17" t="str">
        <x:v>Curated / source-backed</x:v>
      </x:c>
      <x:c r="N70" s="1"/>
      <x:c r="O70" s="1"/>
      <x:c r="P70" s="1"/>
      <x:c r="Q70" s="1"/>
      <x:c r="R70" s="1"/>
      <x:c r="S70" s="1"/>
      <x:c r="T70" s="1"/>
      <x:c r="U70" s="1"/>
      <x:c r="V70" s="1"/>
      <x:c r="W70" s="1"/>
      <x:c r="X70" s="1"/>
      <x:c r="Y70" s="1"/>
      <x:c r="Z70" s="1"/>
    </x:row>
    <x:row r="71">
      <x:c r="A71" s="17" t="str">
        <x:v>FBI global crossover launch</x:v>
      </x:c>
      <x:c r="B71" s="17" t="str">
        <x:v>crossover</x:v>
      </x:c>
      <x:c r="C71" s="17" t="str">
        <x:v>Crossover</x:v>
      </x:c>
      <x:c r="D71" s="17" t="str">
        <x:v>1/3</x:v>
      </x:c>
      <x:c r="E71" s="20" t="n">
        <x:v>44461</x:v>
      </x:c>
      <x:c r="F71" s="23" t="n">
        <x:v>2608</x:v>
      </x:c>
      <x:c r="G71" s="17" t="str">
        <x:v>FBI</x:v>
      </x:c>
      <x:c r="H71" s="17" t="str">
        <x:v>04.01</x:v>
      </x:c>
      <x:c r="I71" s="17" t="str">
        <x:v>All That Glitters (I)</x:v>
      </x:c>
      <x:c r="J71" s="53" t="str">
        <x:v>Three-part FBI / Most Wanted / International event and International launch.</x:v>
      </x:c>
      <x:c r="K71" s="53" t="str">
        <x:v>FBI: Most Wanted S03E01 — Exposed (II) | FBI: International S01E01 — Pilot (III)</x:v>
      </x:c>
      <x:c r="L71" s="53" t="str">
        <x:v>https://one-chicago-fbi.fandom.com/wiki/Crossovers_and_Milestones</x:v>
      </x:c>
      <x:c r="M71" s="17" t="str">
        <x:v>Curated / source-backed</x:v>
      </x:c>
      <x:c r="N71" s="1"/>
      <x:c r="O71" s="1"/>
      <x:c r="P71" s="1"/>
      <x:c r="Q71" s="1"/>
      <x:c r="R71" s="1"/>
      <x:c r="S71" s="1"/>
      <x:c r="T71" s="1"/>
      <x:c r="U71" s="1"/>
      <x:c r="V71" s="1"/>
      <x:c r="W71" s="1"/>
      <x:c r="X71" s="1"/>
      <x:c r="Y71" s="1"/>
      <x:c r="Z71" s="1"/>
    </x:row>
    <x:row r="72">
      <x:c r="A72" s="17" t="str">
        <x:v>The Christmas Episode</x:v>
      </x:c>
      <x:c r="B72" s="17" t="str">
        <x:v>story_arc</x:v>
      </x:c>
      <x:c r="C72" s="17" t="str">
        <x:v>Multi-episode arc</x:v>
      </x:c>
      <x:c r="D72" s="17" t="str"/>
      <x:c r="E72" s="20" t="n">
        <x:v>44539</x:v>
      </x:c>
      <x:c r="F72" s="23" t="n">
        <x:v>2675</x:v>
      </x:c>
      <x:c r="G72" s="17" t="str">
        <x:v>Law &amp; Order: Organized Crime</x:v>
      </x:c>
      <x:c r="H72" s="17" t="str">
        <x:v>02.09</x:v>
      </x:c>
      <x:c r="I72" s="17" t="str">
        <x:v>The Christmas Episode (II)</x:v>
      </x:c>
      <x:c r="J72" s="53" t="str">
        <x:v>Part-number notation identifies this as an installment in a multi-episode story.</x:v>
      </x:c>
      <x:c r="K72" s="53" t="str"/>
      <x:c r="L72" s="53" t="str">
        <x:v>Canonical episode title notation; editorial inference.</x:v>
      </x:c>
      <x:c r="M72" s="17" t="str">
        <x:v>Conservative title inference</x:v>
      </x:c>
      <x:c r="N72" s="1"/>
      <x:c r="O72" s="1"/>
      <x:c r="P72" s="1"/>
      <x:c r="Q72" s="1"/>
      <x:c r="R72" s="1"/>
      <x:c r="S72" s="1"/>
      <x:c r="T72" s="1"/>
      <x:c r="U72" s="1"/>
      <x:c r="V72" s="1"/>
      <x:c r="W72" s="1"/>
      <x:c r="X72" s="1"/>
      <x:c r="Y72" s="1"/>
      <x:c r="Z72" s="1"/>
    </x:row>
    <x:row r="73">
      <x:c r="A73" s="17" t="str">
        <x:v>People vs. Richard Wheatley</x:v>
      </x:c>
      <x:c r="B73" s="17" t="str">
        <x:v>story_arc</x:v>
      </x:c>
      <x:c r="C73" s="17" t="str">
        <x:v>Multi-episode arc</x:v>
      </x:c>
      <x:c r="D73" s="17" t="str"/>
      <x:c r="E73" s="20" t="n">
        <x:v>44539</x:v>
      </x:c>
      <x:c r="F73" s="23" t="n">
        <x:v>2679</x:v>
      </x:c>
      <x:c r="G73" s="17" t="str">
        <x:v>Law &amp; Order: Special Victims Unit</x:v>
      </x:c>
      <x:c r="H73" s="17" t="str">
        <x:v>23.09</x:v>
      </x:c>
      <x:c r="I73" s="17" t="str">
        <x:v>People vs. Richard Wheatley (I)</x:v>
      </x:c>
      <x:c r="J73" s="53" t="str">
        <x:v>Part-number notation identifies this as an installment in a multi-episode story.</x:v>
      </x:c>
      <x:c r="K73" s="53" t="str"/>
      <x:c r="L73" s="53" t="str">
        <x:v>Canonical episode title notation; editorial inference.</x:v>
      </x:c>
      <x:c r="M73" s="17" t="str">
        <x:v>Conservative title inference</x:v>
      </x:c>
      <x:c r="N73" s="1"/>
      <x:c r="O73" s="1"/>
      <x:c r="P73" s="1"/>
      <x:c r="Q73" s="1"/>
      <x:c r="R73" s="1"/>
      <x:c r="S73" s="1"/>
      <x:c r="T73" s="1"/>
      <x:c r="U73" s="1"/>
      <x:c r="V73" s="1"/>
      <x:c r="W73" s="1"/>
      <x:c r="X73" s="1"/>
      <x:c r="Y73" s="1"/>
      <x:c r="Z73" s="1"/>
    </x:row>
    <x:row r="74">
      <x:c r="A74" s="17" t="str">
        <x:v>Lost One</x:v>
      </x:c>
      <x:c r="B74" s="17" t="str">
        <x:v>story_arc</x:v>
      </x:c>
      <x:c r="C74" s="17" t="str">
        <x:v>Multi-episode arc</x:v>
      </x:c>
      <x:c r="D74" s="17" t="str"/>
      <x:c r="E74" s="20" t="n">
        <x:v>44686</x:v>
      </x:c>
      <x:c r="F74" s="23" t="n">
        <x:v>2772</x:v>
      </x:c>
      <x:c r="G74" s="17" t="str">
        <x:v>Law &amp; Order: Organized Crime</x:v>
      </x:c>
      <x:c r="H74" s="17" t="str">
        <x:v>02.20</x:v>
      </x:c>
      <x:c r="I74" s="17" t="str">
        <x:v>Lost One (II)</x:v>
      </x:c>
      <x:c r="J74" s="53" t="str">
        <x:v>Part-number notation identifies this as an installment in a multi-episode story.</x:v>
      </x:c>
      <x:c r="K74" s="53" t="str"/>
      <x:c r="L74" s="53" t="str">
        <x:v>Canonical episode title notation; editorial inference.</x:v>
      </x:c>
      <x:c r="M74" s="17" t="str">
        <x:v>Conservative title inference</x:v>
      </x:c>
      <x:c r="N74" s="1"/>
      <x:c r="O74" s="1"/>
      <x:c r="P74" s="1"/>
      <x:c r="Q74" s="1"/>
      <x:c r="R74" s="1"/>
      <x:c r="S74" s="1"/>
      <x:c r="T74" s="1"/>
      <x:c r="U74" s="1"/>
      <x:c r="V74" s="1"/>
      <x:c r="W74" s="1"/>
      <x:c r="X74" s="1"/>
      <x:c r="Y74" s="1"/>
      <x:c r="Z74" s="1"/>
    </x:row>
    <x:row r="75">
      <x:c r="A75" s="17" t="str">
        <x:v>Did You Believe in Miracles?</x:v>
      </x:c>
      <x:c r="B75" s="17" t="str">
        <x:v>story_arc</x:v>
      </x:c>
      <x:c r="C75" s="17" t="str">
        <x:v>Multi-episode arc</x:v>
      </x:c>
      <x:c r="D75" s="17" t="str"/>
      <x:c r="E75" s="20" t="n">
        <x:v>44686</x:v>
      </x:c>
      <x:c r="F75" s="23" t="n">
        <x:v>2774</x:v>
      </x:c>
      <x:c r="G75" s="17" t="str">
        <x:v>Law &amp; Order: Special Victims Unit</x:v>
      </x:c>
      <x:c r="H75" s="17" t="str">
        <x:v>23.20</x:v>
      </x:c>
      <x:c r="I75" s="17" t="str">
        <x:v>Did You Believe in Miracles? (I)</x:v>
      </x:c>
      <x:c r="J75" s="53" t="str">
        <x:v>Part-number notation identifies this as an installment in a multi-episode story.</x:v>
      </x:c>
      <x:c r="K75" s="53" t="str"/>
      <x:c r="L75" s="53" t="str">
        <x:v>Canonical episode title notation; editorial inference.</x:v>
      </x:c>
      <x:c r="M75" s="17" t="str">
        <x:v>Conservative title inference</x:v>
      </x:c>
      <x:c r="N75" s="1"/>
      <x:c r="O75" s="1"/>
      <x:c r="P75" s="1"/>
      <x:c r="Q75" s="1"/>
      <x:c r="R75" s="1"/>
      <x:c r="S75" s="1"/>
      <x:c r="T75" s="1"/>
      <x:c r="U75" s="1"/>
      <x:c r="V75" s="1"/>
      <x:c r="W75" s="1"/>
      <x:c r="X75" s="1"/>
      <x:c r="Y75" s="1"/>
      <x:c r="Z75" s="1"/>
    </x:row>
    <x:row r="76">
      <x:c r="A76" s="17" t="str">
        <x:v>Gimme Shelter</x:v>
      </x:c>
      <x:c r="B76" s="17" t="str">
        <x:v>crossover</x:v>
      </x:c>
      <x:c r="C76" s="17" t="str">
        <x:v>Crossover</x:v>
      </x:c>
      <x:c r="D76" s="17" t="str">
        <x:v>1/3</x:v>
      </x:c>
      <x:c r="E76" s="20" t="n">
        <x:v>44826</x:v>
      </x:c>
      <x:c r="F76" s="23" t="n">
        <x:v>2805</x:v>
      </x:c>
      <x:c r="G76" s="17" t="str">
        <x:v>Law &amp; Order: Organized Crime</x:v>
      </x:c>
      <x:c r="H76" s="17" t="str">
        <x:v>03.01</x:v>
      </x:c>
      <x:c r="I76" s="17" t="str">
        <x:v>Gimme Shelter (I)</x:v>
      </x:c>
      <x:c r="J76" s="53" t="str">
        <x:v>Three-part Organized Crime / SVU / Law &amp; Order premiere event.</x:v>
      </x:c>
      <x:c r="K76" s="53" t="str">
        <x:v>Law &amp; Order: Special Victims Unit S24E01 — Gimme Shelter (II) | Law &amp; Order S22E01 — Gimme Shelter (III)</x:v>
      </x:c>
      <x:c r="L76" s="53" t="str">
        <x:v>https://lawandorder.fandom.com/wiki/Gimme_Shelter</x:v>
      </x:c>
      <x:c r="M76" s="17" t="str">
        <x:v>Curated / source-backed</x:v>
      </x:c>
      <x:c r="N76" s="1"/>
      <x:c r="O76" s="1"/>
      <x:c r="P76" s="1"/>
      <x:c r="Q76" s="1"/>
      <x:c r="R76" s="1"/>
      <x:c r="S76" s="1"/>
      <x:c r="T76" s="1"/>
      <x:c r="U76" s="1"/>
      <x:c r="V76" s="1"/>
      <x:c r="W76" s="1"/>
      <x:c r="X76" s="1"/>
      <x:c r="Y76" s="1"/>
      <x:c r="Z76" s="1"/>
    </x:row>
    <x:row r="77">
      <x:c r="A77" s="17" t="str">
        <x:v>Gimme Shelter</x:v>
      </x:c>
      <x:c r="B77" s="17" t="str">
        <x:v>crossover</x:v>
      </x:c>
      <x:c r="C77" s="17" t="str">
        <x:v>Crossover</x:v>
      </x:c>
      <x:c r="D77" s="17" t="str">
        <x:v>3/3</x:v>
      </x:c>
      <x:c r="E77" s="20" t="n">
        <x:v>44826</x:v>
      </x:c>
      <x:c r="F77" s="23" t="n">
        <x:v>2809</x:v>
      </x:c>
      <x:c r="G77" s="17" t="str">
        <x:v>Law &amp; Order</x:v>
      </x:c>
      <x:c r="H77" s="17" t="str">
        <x:v>22.01</x:v>
      </x:c>
      <x:c r="I77" s="17" t="str">
        <x:v>Gimme Shelter (III)</x:v>
      </x:c>
      <x:c r="J77" s="53" t="str">
        <x:v>Three-part Organized Crime / SVU / Law &amp; Order premiere event.</x:v>
      </x:c>
      <x:c r="K77" s="53" t="str">
        <x:v>Law &amp; Order: Organized Crime S03E01 — Gimme Shelter (I) | Law &amp; Order: Special Victims Unit S24E01 — Gimme Shelter (II)</x:v>
      </x:c>
      <x:c r="L77" s="53" t="str">
        <x:v>https://lawandorder.fandom.com/wiki/Gimme_Shelter</x:v>
      </x:c>
      <x:c r="M77" s="17" t="str">
        <x:v>Curated / source-backed</x:v>
      </x:c>
      <x:c r="N77" s="1"/>
      <x:c r="O77" s="1"/>
      <x:c r="P77" s="1"/>
      <x:c r="Q77" s="1"/>
      <x:c r="R77" s="1"/>
      <x:c r="S77" s="1"/>
      <x:c r="T77" s="1"/>
      <x:c r="U77" s="1"/>
      <x:c r="V77" s="1"/>
      <x:c r="W77" s="1"/>
      <x:c r="X77" s="1"/>
      <x:c r="Y77" s="1"/>
      <x:c r="Z77" s="1"/>
    </x:row>
    <x:row r="78">
      <x:c r="A78" s="17" t="str">
        <x:v>Gimme Shelter</x:v>
      </x:c>
      <x:c r="B78" s="17" t="str">
        <x:v>crossover</x:v>
      </x:c>
      <x:c r="C78" s="17" t="str">
        <x:v>Crossover</x:v>
      </x:c>
      <x:c r="D78" s="17" t="str">
        <x:v>2/3</x:v>
      </x:c>
      <x:c r="E78" s="20" t="n">
        <x:v>44826</x:v>
      </x:c>
      <x:c r="F78" s="23" t="n">
        <x:v>2810</x:v>
      </x:c>
      <x:c r="G78" s="17" t="str">
        <x:v>Law &amp; Order: Special Victims Unit</x:v>
      </x:c>
      <x:c r="H78" s="17" t="str">
        <x:v>24.01</x:v>
      </x:c>
      <x:c r="I78" s="17" t="str">
        <x:v>Gimme Shelter (II)</x:v>
      </x:c>
      <x:c r="J78" s="53" t="str">
        <x:v>Three-part Organized Crime / SVU / Law &amp; Order premiere event.</x:v>
      </x:c>
      <x:c r="K78" s="53" t="str">
        <x:v>Law &amp; Order: Organized Crime S03E01 — Gimme Shelter (I) | Law &amp; Order S22E01 — Gimme Shelter (III)</x:v>
      </x:c>
      <x:c r="L78" s="53" t="str">
        <x:v>https://lawandorder.fandom.com/wiki/Gimme_Shelter</x:v>
      </x:c>
      <x:c r="M78" s="17" t="str">
        <x:v>Curated / source-backed</x:v>
      </x:c>
      <x:c r="N78" s="1"/>
      <x:c r="O78" s="1"/>
      <x:c r="P78" s="1"/>
      <x:c r="Q78" s="1"/>
      <x:c r="R78" s="1"/>
      <x:c r="S78" s="1"/>
      <x:c r="T78" s="1"/>
      <x:c r="U78" s="1"/>
      <x:c r="V78" s="1"/>
      <x:c r="W78" s="1"/>
      <x:c r="X78" s="1"/>
      <x:c r="Y78" s="1"/>
      <x:c r="Z78" s="1"/>
    </x:row>
    <x:row r="79">
      <x:c r="A79" s="17" t="str">
        <x:v>Imminent Threat</x:v>
      </x:c>
      <x:c r="B79" s="17" t="str">
        <x:v>crossover</x:v>
      </x:c>
      <x:c r="C79" s="17" t="str">
        <x:v>Crossover</x:v>
      </x:c>
      <x:c r="D79" s="17" t="str">
        <x:v>1/3</x:v>
      </x:c>
      <x:c r="E79" s="20" t="n">
        <x:v>45021</x:v>
      </x:c>
      <x:c r="F79" s="23" t="n">
        <x:v>2963</x:v>
      </x:c>
      <x:c r="G79" s="17" t="str">
        <x:v>FBI: International</x:v>
      </x:c>
      <x:c r="H79" s="17" t="str">
        <x:v>02.16</x:v>
      </x:c>
      <x:c r="I79" s="17" t="str">
        <x:v>Imminent Threat (I)</x:v>
      </x:c>
      <x:c r="J79" s="53" t="str">
        <x:v>Three-part FBI franchise crossover.</x:v>
      </x:c>
      <x:c r="K79" s="53" t="str">
        <x:v>FBI S05E17 — Imminent Threat  (II) | FBI: Most Wanted S04E16 — Imminent Threat (III)</x:v>
      </x:c>
      <x:c r="L79" s="53" t="str">
        <x:v>https://one-chicago-fbi.fandom.com/wiki/Crossovers_and_Milestones</x:v>
      </x:c>
      <x:c r="M79" s="17" t="str">
        <x:v>Curated / source-backed</x:v>
      </x:c>
      <x:c r="N79" s="1"/>
      <x:c r="O79" s="1"/>
      <x:c r="P79" s="1"/>
      <x:c r="Q79" s="1"/>
      <x:c r="R79" s="1"/>
      <x:c r="S79" s="1"/>
      <x:c r="T79" s="1"/>
      <x:c r="U79" s="1"/>
      <x:c r="V79" s="1"/>
      <x:c r="W79" s="1"/>
      <x:c r="X79" s="1"/>
      <x:c r="Y79" s="1"/>
      <x:c r="Z79" s="1"/>
    </x:row>
    <x:row r="80">
      <x:c r="A80" s="17" t="str">
        <x:v>Imminent Threat</x:v>
      </x:c>
      <x:c r="B80" s="17" t="str">
        <x:v>crossover</x:v>
      </x:c>
      <x:c r="C80" s="17" t="str">
        <x:v>Crossover</x:v>
      </x:c>
      <x:c r="D80" s="17" t="str">
        <x:v>3/3</x:v>
      </x:c>
      <x:c r="E80" s="20" t="n">
        <x:v>45021</x:v>
      </x:c>
      <x:c r="F80" s="23" t="n">
        <x:v>2964</x:v>
      </x:c>
      <x:c r="G80" s="17" t="str">
        <x:v>FBI: Most Wanted</x:v>
      </x:c>
      <x:c r="H80" s="17" t="str">
        <x:v>04.16</x:v>
      </x:c>
      <x:c r="I80" s="17" t="str">
        <x:v>Imminent Threat (III)</x:v>
      </x:c>
      <x:c r="J80" s="53" t="str">
        <x:v>Three-part FBI franchise crossover.</x:v>
      </x:c>
      <x:c r="K80" s="53" t="str">
        <x:v>FBI: International S02E16 — Imminent Threat (I) | FBI S05E17 — Imminent Threat  (II)</x:v>
      </x:c>
      <x:c r="L80" s="53" t="str">
        <x:v>https://one-chicago-fbi.fandom.com/wiki/Crossovers_and_Milestones</x:v>
      </x:c>
      <x:c r="M80" s="17" t="str">
        <x:v>Curated / source-backed</x:v>
      </x:c>
      <x:c r="N80" s="1"/>
      <x:c r="O80" s="1"/>
      <x:c r="P80" s="1"/>
      <x:c r="Q80" s="1"/>
      <x:c r="R80" s="1"/>
      <x:c r="S80" s="1"/>
      <x:c r="T80" s="1"/>
      <x:c r="U80" s="1"/>
      <x:c r="V80" s="1"/>
      <x:c r="W80" s="1"/>
      <x:c r="X80" s="1"/>
      <x:c r="Y80" s="1"/>
      <x:c r="Z80" s="1"/>
    </x:row>
    <x:row r="81">
      <x:c r="A81" s="17" t="str">
        <x:v>Imminent Threat</x:v>
      </x:c>
      <x:c r="B81" s="17" t="str">
        <x:v>crossover</x:v>
      </x:c>
      <x:c r="C81" s="17" t="str">
        <x:v>Crossover</x:v>
      </x:c>
      <x:c r="D81" s="17" t="str">
        <x:v>2/3</x:v>
      </x:c>
      <x:c r="E81" s="20" t="n">
        <x:v>45021</x:v>
      </x:c>
      <x:c r="F81" s="23" t="n">
        <x:v>2965</x:v>
      </x:c>
      <x:c r="G81" s="17" t="str">
        <x:v>FBI</x:v>
      </x:c>
      <x:c r="H81" s="17" t="str">
        <x:v>05.17</x:v>
      </x:c>
      <x:c r="I81" s="17" t="str">
        <x:v>Imminent Threat  (II)</x:v>
      </x:c>
      <x:c r="J81" s="53" t="str">
        <x:v>Three-part FBI franchise crossover.</x:v>
      </x:c>
      <x:c r="K81" s="53" t="str">
        <x:v>FBI: International S02E16 — Imminent Threat (I) | FBI: Most Wanted S04E16 — Imminent Threat (III)</x:v>
      </x:c>
      <x:c r="L81" s="53" t="str">
        <x:v>https://one-chicago-fbi.fandom.com/wiki/Crossovers_and_Milestones</x:v>
      </x:c>
      <x:c r="M81" s="17" t="str">
        <x:v>Curated / source-backed</x:v>
      </x:c>
      <x:c r="N81" s="1"/>
      <x:c r="O81" s="1"/>
      <x:c r="P81" s="1"/>
      <x:c r="Q81" s="1"/>
      <x:c r="R81" s="1"/>
      <x:c r="S81" s="1"/>
      <x:c r="T81" s="1"/>
      <x:c r="U81" s="1"/>
      <x:c r="V81" s="1"/>
      <x:c r="W81" s="1"/>
      <x:c r="X81" s="1"/>
      <x:c r="Y81" s="1"/>
      <x:c r="Z81" s="1"/>
    </x:row>
    <x:row r="82">
      <x:c r="A82" s="17" t="str">
        <x:v>Shadowërk</x:v>
      </x:c>
      <x:c r="B82" s="17" t="str">
        <x:v>crossover</x:v>
      </x:c>
      <x:c r="C82" s="17" t="str">
        <x:v>Crossover</x:v>
      </x:c>
      <x:c r="D82" s="17" t="str">
        <x:v>2/4</x:v>
      </x:c>
      <x:c r="E82" s="20" t="n">
        <x:v>45057</x:v>
      </x:c>
      <x:c r="F82" s="23" t="n">
        <x:v>2998</x:v>
      </x:c>
      <x:c r="G82" s="17" t="str">
        <x:v>Law &amp; Order: Organized Crime</x:v>
      </x:c>
      <x:c r="H82" s="17" t="str">
        <x:v>03.21</x:v>
      </x:c>
      <x:c r="I82" s="17" t="str">
        <x:v>Shadowërk (II)</x:v>
      </x:c>
      <x:c r="J82" s="53" t="str">
        <x:v>Four-part SVU / Organized Crime season-ending event.</x:v>
      </x:c>
      <x:c r="K82" s="53" t="str">
        <x:v>Law &amp; Order: Special Victims Unit S24E21 — Bad Things (I) | Law &amp; Order: Special Victims Unit S24E22 — All Pain Is One Malady (III) | Law &amp; Order: Organized Crime S03E22 — With Many Names (IV)</x:v>
      </x:c>
      <x:c r="L82" s="53" t="str">
        <x:v>https://one-chicago-fbi.fandom.com/wiki/Crossovers_and_Milestones</x:v>
      </x:c>
      <x:c r="M82" s="17" t="str">
        <x:v>Curated / source-backed</x:v>
      </x:c>
      <x:c r="N82" s="1"/>
      <x:c r="O82" s="1"/>
      <x:c r="P82" s="1"/>
      <x:c r="Q82" s="1"/>
      <x:c r="R82" s="1"/>
      <x:c r="S82" s="1"/>
      <x:c r="T82" s="1"/>
      <x:c r="U82" s="1"/>
      <x:c r="V82" s="1"/>
      <x:c r="W82" s="1"/>
      <x:c r="X82" s="1"/>
      <x:c r="Y82" s="1"/>
      <x:c r="Z82" s="1"/>
    </x:row>
    <x:row r="83">
      <x:c r="A83" s="17" t="str">
        <x:v>Shadowërk</x:v>
      </x:c>
      <x:c r="B83" s="17" t="str">
        <x:v>crossover</x:v>
      </x:c>
      <x:c r="C83" s="17" t="str">
        <x:v>Crossover</x:v>
      </x:c>
      <x:c r="D83" s="17" t="str">
        <x:v>1/4</x:v>
      </x:c>
      <x:c r="E83" s="20" t="n">
        <x:v>45057</x:v>
      </x:c>
      <x:c r="F83" s="23" t="n">
        <x:v>3003</x:v>
      </x:c>
      <x:c r="G83" s="17" t="str">
        <x:v>Law &amp; Order: Special Victims Unit</x:v>
      </x:c>
      <x:c r="H83" s="17" t="str">
        <x:v>24.21</x:v>
      </x:c>
      <x:c r="I83" s="17" t="str">
        <x:v>Bad Things (I)</x:v>
      </x:c>
      <x:c r="J83" s="53" t="str">
        <x:v>Four-part SVU / Organized Crime season-ending event.</x:v>
      </x:c>
      <x:c r="K83" s="53" t="str">
        <x:v>Law &amp; Order: Organized Crime S03E21 — Shadowërk (II) | Law &amp; Order: Special Victims Unit S24E22 — All Pain Is One Malady (III) | Law &amp; Order: Organized Crime S03E22 — With Many Names (IV)</x:v>
      </x:c>
      <x:c r="L83" s="53" t="str">
        <x:v>https://one-chicago-fbi.fandom.com/wiki/Crossovers_and_Milestones</x:v>
      </x:c>
      <x:c r="M83" s="17" t="str">
        <x:v>Curated / source-backed</x:v>
      </x:c>
      <x:c r="N83" s="1"/>
      <x:c r="O83" s="1"/>
      <x:c r="P83" s="1"/>
      <x:c r="Q83" s="1"/>
      <x:c r="R83" s="1"/>
      <x:c r="S83" s="1"/>
      <x:c r="T83" s="1"/>
      <x:c r="U83" s="1"/>
      <x:c r="V83" s="1"/>
      <x:c r="W83" s="1"/>
      <x:c r="X83" s="1"/>
      <x:c r="Y83" s="1"/>
      <x:c r="Z83" s="1"/>
    </x:row>
    <x:row r="84">
      <x:c r="A84" s="17" t="str">
        <x:v>Shadowërk</x:v>
      </x:c>
      <x:c r="B84" s="17" t="str">
        <x:v>crossover</x:v>
      </x:c>
      <x:c r="C84" s="17" t="str">
        <x:v>Crossover</x:v>
      </x:c>
      <x:c r="D84" s="17" t="str">
        <x:v>4/4</x:v>
      </x:c>
      <x:c r="E84" s="20" t="n">
        <x:v>45064</x:v>
      </x:c>
      <x:c r="F84" s="23" t="n">
        <x:v>3008</x:v>
      </x:c>
      <x:c r="G84" s="17" t="str">
        <x:v>Law &amp; Order: Organized Crime</x:v>
      </x:c>
      <x:c r="H84" s="17" t="str">
        <x:v>03.22</x:v>
      </x:c>
      <x:c r="I84" s="17" t="str">
        <x:v>With Many Names (IV)</x:v>
      </x:c>
      <x:c r="J84" s="53" t="str">
        <x:v>Four-part SVU / Organized Crime season-ending event.</x:v>
      </x:c>
      <x:c r="K84" s="53" t="str">
        <x:v>Law &amp; Order: Special Victims Unit S24E21 — Bad Things (I) | Law &amp; Order: Organized Crime S03E21 — Shadowërk (II) | Law &amp; Order: Special Victims Unit S24E22 — All Pain Is One Malady (III)</x:v>
      </x:c>
      <x:c r="L84" s="53" t="str">
        <x:v>https://one-chicago-fbi.fandom.com/wiki/Crossovers_and_Milestones</x:v>
      </x:c>
      <x:c r="M84" s="17" t="str">
        <x:v>Curated / source-backed</x:v>
      </x:c>
      <x:c r="N84" s="1"/>
      <x:c r="O84" s="1"/>
      <x:c r="P84" s="1"/>
      <x:c r="Q84" s="1"/>
      <x:c r="R84" s="1"/>
      <x:c r="S84" s="1"/>
      <x:c r="T84" s="1"/>
      <x:c r="U84" s="1"/>
      <x:c r="V84" s="1"/>
      <x:c r="W84" s="1"/>
      <x:c r="X84" s="1"/>
      <x:c r="Y84" s="1"/>
      <x:c r="Z84" s="1"/>
    </x:row>
    <x:row r="85">
      <x:c r="A85" s="17" t="str">
        <x:v>Shadowërk</x:v>
      </x:c>
      <x:c r="B85" s="17" t="str">
        <x:v>crossover</x:v>
      </x:c>
      <x:c r="C85" s="17" t="str">
        <x:v>Crossover</x:v>
      </x:c>
      <x:c r="D85" s="17" t="str">
        <x:v>3/4</x:v>
      </x:c>
      <x:c r="E85" s="20" t="n">
        <x:v>45064</x:v>
      </x:c>
      <x:c r="F85" s="23" t="n">
        <x:v>3013</x:v>
      </x:c>
      <x:c r="G85" s="17" t="str">
        <x:v>Law &amp; Order: Special Victims Unit</x:v>
      </x:c>
      <x:c r="H85" s="17" t="str">
        <x:v>24.22</x:v>
      </x:c>
      <x:c r="I85" s="17" t="str">
        <x:v>All Pain Is One Malady (III)</x:v>
      </x:c>
      <x:c r="J85" s="53" t="str">
        <x:v>Four-part SVU / Organized Crime season-ending event.</x:v>
      </x:c>
      <x:c r="K85" s="53" t="str">
        <x:v>Law &amp; Order: Special Victims Unit S24E21 — Bad Things (I) | Law &amp; Order: Organized Crime S03E21 — Shadowërk (II) | Law &amp; Order: Organized Crime S03E22 — With Many Names (IV)</x:v>
      </x:c>
      <x:c r="L85" s="53" t="str">
        <x:v>https://one-chicago-fbi.fandom.com/wiki/Crossovers_and_Milestones</x:v>
      </x:c>
      <x:c r="M85" s="17" t="str">
        <x:v>Curated / source-backed</x:v>
      </x:c>
      <x:c r="N85" s="1"/>
      <x:c r="O85" s="1"/>
      <x:c r="P85" s="1"/>
      <x:c r="Q85" s="1"/>
      <x:c r="R85" s="1"/>
      <x:c r="S85" s="1"/>
      <x:c r="T85" s="1"/>
      <x:c r="U85" s="1"/>
      <x:c r="V85" s="1"/>
      <x:c r="W85" s="1"/>
      <x:c r="X85" s="1"/>
      <x:c r="Y85" s="1"/>
      <x:c r="Z85" s="1"/>
    </x:row>
    <x:row r="86">
      <x:c r="A86" s="17" t="str">
        <x:v>In the Trenches</x:v>
      </x:c>
      <x:c r="B86" s="17" t="str">
        <x:v>crossover</x:v>
      </x:c>
      <x:c r="C86" s="17" t="str">
        <x:v>Crossover</x:v>
      </x:c>
      <x:c r="D86" s="17" t="str">
        <x:v>2/3</x:v>
      </x:c>
      <x:c r="E86" s="20" t="n">
        <x:v>45687</x:v>
      </x:c>
      <x:c r="F86" s="23" t="n">
        <x:v>3254</x:v>
      </x:c>
      <x:c r="G86" s="17" t="str">
        <x:v>Chicago Med</x:v>
      </x:c>
      <x:c r="H86" s="17" t="str">
        <x:v>10.11</x:v>
      </x:c>
      <x:c r="I86" s="17" t="str">
        <x:v>In the Trenches (II)</x:v>
      </x:c>
      <x:c r="J86" s="53" t="str">
        <x:v>Three-part One Chicago crossover.</x:v>
      </x:c>
      <x:c r="K86" s="53" t="str">
        <x:v>Chicago Fire S13E11 — In the Trenches (I) | Chicago P.D. S12E11 — In the Trenches (III)</x:v>
      </x:c>
      <x:c r="L86" s="53" t="str">
        <x:v>https://one-chicago-fbi.fandom.com/wiki/Crossovers_and_Milestones</x:v>
      </x:c>
      <x:c r="M86" s="17" t="str">
        <x:v>Curated / source-backed</x:v>
      </x:c>
      <x:c r="N86" s="1"/>
      <x:c r="O86" s="1"/>
      <x:c r="P86" s="1"/>
      <x:c r="Q86" s="1"/>
      <x:c r="R86" s="1"/>
      <x:c r="S86" s="1"/>
      <x:c r="T86" s="1"/>
      <x:c r="U86" s="1"/>
      <x:c r="V86" s="1"/>
      <x:c r="W86" s="1"/>
      <x:c r="X86" s="1"/>
      <x:c r="Y86" s="1"/>
      <x:c r="Z86" s="1"/>
    </x:row>
    <x:row r="87">
      <x:c r="A87" s="17" t="str">
        <x:v>In the Trenches</x:v>
      </x:c>
      <x:c r="B87" s="17" t="str">
        <x:v>crossover</x:v>
      </x:c>
      <x:c r="C87" s="17" t="str">
        <x:v>Crossover</x:v>
      </x:c>
      <x:c r="D87" s="17" t="str">
        <x:v>3/3</x:v>
      </x:c>
      <x:c r="E87" s="20" t="n">
        <x:v>45687</x:v>
      </x:c>
      <x:c r="F87" s="23" t="n">
        <x:v>3255</x:v>
      </x:c>
      <x:c r="G87" s="17" t="str">
        <x:v>Chicago P.D.</x:v>
      </x:c>
      <x:c r="H87" s="17" t="str">
        <x:v>12.11</x:v>
      </x:c>
      <x:c r="I87" s="17" t="str">
        <x:v>In the Trenches (III)</x:v>
      </x:c>
      <x:c r="J87" s="53" t="str">
        <x:v>Three-part One Chicago crossover.</x:v>
      </x:c>
      <x:c r="K87" s="53" t="str">
        <x:v>Chicago Fire S13E11 — In the Trenches (I) | Chicago Med S10E11 — In the Trenches (II)</x:v>
      </x:c>
      <x:c r="L87" s="53" t="str">
        <x:v>https://one-chicago-fbi.fandom.com/wiki/Crossovers_and_Milestones</x:v>
      </x:c>
      <x:c r="M87" s="17" t="str">
        <x:v>Curated / source-backed</x:v>
      </x:c>
      <x:c r="N87" s="1"/>
      <x:c r="O87" s="1"/>
      <x:c r="P87" s="1"/>
      <x:c r="Q87" s="1"/>
      <x:c r="R87" s="1"/>
      <x:c r="S87" s="1"/>
      <x:c r="T87" s="1"/>
      <x:c r="U87" s="1"/>
      <x:c r="V87" s="1"/>
      <x:c r="W87" s="1"/>
      <x:c r="X87" s="1"/>
      <x:c r="Y87" s="1"/>
      <x:c r="Z87" s="1"/>
    </x:row>
    <x:row r="88">
      <x:c r="A88" s="17" t="str">
        <x:v>In the Trenches</x:v>
      </x:c>
      <x:c r="B88" s="17" t="str">
        <x:v>crossover</x:v>
      </x:c>
      <x:c r="C88" s="17" t="str">
        <x:v>Crossover</x:v>
      </x:c>
      <x:c r="D88" s="17" t="str">
        <x:v>1/3</x:v>
      </x:c>
      <x:c r="E88" s="20" t="n">
        <x:v>45687</x:v>
      </x:c>
      <x:c r="F88" s="23" t="n">
        <x:v>3256</x:v>
      </x:c>
      <x:c r="G88" s="17" t="str">
        <x:v>Chicago Fire</x:v>
      </x:c>
      <x:c r="H88" s="17" t="str">
        <x:v>13.11</x:v>
      </x:c>
      <x:c r="I88" s="17" t="str">
        <x:v>In the Trenches (I)</x:v>
      </x:c>
      <x:c r="J88" s="53" t="str">
        <x:v>Three-part One Chicago crossover.</x:v>
      </x:c>
      <x:c r="K88" s="53" t="str">
        <x:v>Chicago Med S10E11 — In the Trenches (II) | Chicago P.D. S12E11 — In the Trenches (III)</x:v>
      </x:c>
      <x:c r="L88" s="53" t="str">
        <x:v>https://one-chicago-fbi.fandom.com/wiki/Crossovers_and_Milestones</x:v>
      </x:c>
      <x:c r="M88" s="17" t="str">
        <x:v>Curated / source-backed</x:v>
      </x:c>
      <x:c r="N88" s="1"/>
      <x:c r="O88" s="1"/>
      <x:c r="P88" s="1"/>
      <x:c r="Q88" s="1"/>
      <x:c r="R88" s="1"/>
      <x:c r="S88" s="1"/>
      <x:c r="T88" s="1"/>
      <x:c r="U88" s="1"/>
      <x:c r="V88" s="1"/>
      <x:c r="W88" s="1"/>
      <x:c r="X88" s="1"/>
      <x:c r="Y88" s="1"/>
      <x:c r="Z88" s="1"/>
    </x:row>
    <x:row r="89">
      <x:c r="A89" s="17" t="str">
        <x:v>Play with Fire</x:v>
      </x:c>
      <x:c r="B89" s="17" t="str">
        <x:v>crossover</x:v>
      </x:c>
      <x:c r="C89" s="17" t="str">
        <x:v>Crossover</x:v>
      </x:c>
      <x:c r="D89" s="17" t="str">
        <x:v>1/2</x:v>
      </x:c>
      <x:c r="E89" s="20" t="n">
        <x:v>45764</x:v>
      </x:c>
      <x:c r="F89" s="23" t="n">
        <x:v>3331</x:v>
      </x:c>
      <x:c r="G89" s="17" t="str">
        <x:v>Law &amp; Order</x:v>
      </x:c>
      <x:c r="H89" s="17" t="str">
        <x:v>24.19</x:v>
      </x:c>
      <x:c r="I89" s="17" t="str">
        <x:v>Play with Fire (I)</x:v>
      </x:c>
      <x:c r="J89" s="53" t="str">
        <x:v>Two-part Law &amp; Order / SVU case.</x:v>
      </x:c>
      <x:c r="K89" s="53" t="str">
        <x:v>Law &amp; Order: Special Victims Unit S26E19 — Play with Fire (II)</x:v>
      </x:c>
      <x:c r="L89" s="53" t="str">
        <x:v>https://www.nbc.com/nbc-insider/what-time-does-the-law-order-crossover-event-start-april-17-2025</x:v>
      </x:c>
      <x:c r="M89" s="17" t="str">
        <x:v>Curated / source-backed</x:v>
      </x:c>
      <x:c r="N89" s="1"/>
      <x:c r="O89" s="1"/>
      <x:c r="P89" s="1"/>
      <x:c r="Q89" s="1"/>
      <x:c r="R89" s="1"/>
      <x:c r="S89" s="1"/>
      <x:c r="T89" s="1"/>
      <x:c r="U89" s="1"/>
      <x:c r="V89" s="1"/>
      <x:c r="W89" s="1"/>
      <x:c r="X89" s="1"/>
      <x:c r="Y89" s="1"/>
      <x:c r="Z89" s="1"/>
    </x:row>
    <x:row r="90">
      <x:c r="A90" s="17" t="str">
        <x:v>Play with Fire</x:v>
      </x:c>
      <x:c r="B90" s="17" t="str">
        <x:v>crossover</x:v>
      </x:c>
      <x:c r="C90" s="17" t="str">
        <x:v>Crossover</x:v>
      </x:c>
      <x:c r="D90" s="17" t="str">
        <x:v>2/2</x:v>
      </x:c>
      <x:c r="E90" s="20" t="n">
        <x:v>45764</x:v>
      </x:c>
      <x:c r="F90" s="23" t="n">
        <x:v>3332</x:v>
      </x:c>
      <x:c r="G90" s="17" t="str">
        <x:v>Law &amp; Order: Special Victims Unit</x:v>
      </x:c>
      <x:c r="H90" s="17" t="str">
        <x:v>26.19</x:v>
      </x:c>
      <x:c r="I90" s="17" t="str">
        <x:v>Play with Fire (II)</x:v>
      </x:c>
      <x:c r="J90" s="53" t="str">
        <x:v>Two-part Law &amp; Order / SVU case.</x:v>
      </x:c>
      <x:c r="K90" s="53" t="str">
        <x:v>Law &amp; Order S24E19 — Play with Fire (I)</x:v>
      </x:c>
      <x:c r="L90" s="53" t="str">
        <x:v>https://www.nbc.com/nbc-insider/what-time-does-the-law-order-crossover-event-start-april-17-2025</x:v>
      </x:c>
      <x:c r="M90" s="17" t="str">
        <x:v>Curated / source-backed</x:v>
      </x:c>
      <x:c r="N90" s="1"/>
      <x:c r="O90" s="1"/>
      <x:c r="P90" s="1"/>
      <x:c r="Q90" s="1"/>
      <x:c r="R90" s="1"/>
      <x:c r="S90" s="1"/>
      <x:c r="T90" s="1"/>
      <x:c r="U90" s="1"/>
      <x:c r="V90" s="1"/>
      <x:c r="W90" s="1"/>
      <x:c r="X90" s="1"/>
      <x:c r="Y90" s="1"/>
      <x:c r="Z90" s="1"/>
    </x:row>
    <x:row r="91">
      <x:c r="A91" s="17" t="str">
        <x:v>Snowflakes / Purity</x:v>
      </x:c>
      <x:c r="B91" s="17" t="str">
        <x:v>crossover</x:v>
      </x:c>
      <x:c r="C91" s="17" t="str">
        <x:v>Crossover</x:v>
      </x:c>
      <x:c r="D91" s="17" t="str">
        <x:v>1/2</x:v>
      </x:c>
      <x:c r="E91" s="20" t="n">
        <x:v>46030</x:v>
      </x:c>
      <x:c r="F91" s="23" t="n">
        <x:v>3434</x:v>
      </x:c>
      <x:c r="G91" s="17" t="str">
        <x:v>Law &amp; Order</x:v>
      </x:c>
      <x:c r="H91" s="17" t="str">
        <x:v>25.09</x:v>
      </x:c>
      <x:c r="I91" s="17" t="str">
        <x:v>Snowflakes (I)</x:v>
      </x:c>
      <x:c r="J91" s="53" t="str">
        <x:v>Two-part Law &amp; Order / SVU case.</x:v>
      </x:c>
      <x:c r="K91" s="53" t="str">
        <x:v>Law &amp; Order: Special Victims Unit S27E09 — Purity (II)</x:v>
      </x:c>
      <x:c r="L91" s="53" t="str">
        <x:v>https://www.nbc.com/nbc-insider/is-law-order-svu-new-tonight-january-8-2026</x:v>
      </x:c>
      <x:c r="M91" s="17" t="str">
        <x:v>Curated / source-backed</x:v>
      </x:c>
      <x:c r="N91" s="1"/>
      <x:c r="O91" s="1"/>
      <x:c r="P91" s="1"/>
      <x:c r="Q91" s="1"/>
      <x:c r="R91" s="1"/>
      <x:c r="S91" s="1"/>
      <x:c r="T91" s="1"/>
      <x:c r="U91" s="1"/>
      <x:c r="V91" s="1"/>
      <x:c r="W91" s="1"/>
      <x:c r="X91" s="1"/>
      <x:c r="Y91" s="1"/>
      <x:c r="Z91" s="1"/>
    </x:row>
    <x:row r="92">
      <x:c r="A92" s="17" t="str">
        <x:v>Snowflakes / Purity</x:v>
      </x:c>
      <x:c r="B92" s="17" t="str">
        <x:v>crossover</x:v>
      </x:c>
      <x:c r="C92" s="17" t="str">
        <x:v>Crossover</x:v>
      </x:c>
      <x:c r="D92" s="17" t="str">
        <x:v>2/2</x:v>
      </x:c>
      <x:c r="E92" s="20" t="n">
        <x:v>46030</x:v>
      </x:c>
      <x:c r="F92" s="23" t="n">
        <x:v>3435</x:v>
      </x:c>
      <x:c r="G92" s="17" t="str">
        <x:v>Law &amp; Order: Special Victims Unit</x:v>
      </x:c>
      <x:c r="H92" s="17" t="str">
        <x:v>27.09</x:v>
      </x:c>
      <x:c r="I92" s="17" t="str">
        <x:v>Purity (II)</x:v>
      </x:c>
      <x:c r="J92" s="53" t="str">
        <x:v>Two-part Law &amp; Order / SVU case.</x:v>
      </x:c>
      <x:c r="K92" s="53" t="str">
        <x:v>Law &amp; Order S25E09 — Snowflakes (I)</x:v>
      </x:c>
      <x:c r="L92" s="53" t="str">
        <x:v>https://www.nbc.com/nbc-insider/is-law-order-svu-new-tonight-january-8-2026</x:v>
      </x:c>
      <x:c r="M92" s="17" t="str">
        <x:v>Curated / source-backed</x:v>
      </x:c>
      <x:c r="N92" s="1"/>
      <x:c r="O92" s="1"/>
      <x:c r="P92" s="1"/>
      <x:c r="Q92" s="1"/>
      <x:c r="R92" s="1"/>
      <x:c r="S92" s="1"/>
      <x:c r="T92" s="1"/>
      <x:c r="U92" s="1"/>
      <x:c r="V92" s="1"/>
      <x:c r="W92" s="1"/>
      <x:c r="X92" s="1"/>
      <x:c r="Y92" s="1"/>
      <x:c r="Z92" s="1"/>
    </x:row>
    <x:row r="93">
      <x:c r="A93" s="17" t="str">
        <x:v>Reckoning</x:v>
      </x:c>
      <x:c r="B93" s="17" t="str">
        <x:v>crossover</x:v>
      </x:c>
      <x:c r="C93" s="17" t="str">
        <x:v>Crossover</x:v>
      </x:c>
      <x:c r="D93" s="17" t="str">
        <x:v>2/3</x:v>
      </x:c>
      <x:c r="E93" s="20" t="n">
        <x:v>46086</x:v>
      </x:c>
      <x:c r="F93" s="23" t="n">
        <x:v>3460</x:v>
      </x:c>
      <x:c r="G93" s="17" t="str">
        <x:v>Chicago Med</x:v>
      </x:c>
      <x:c r="H93" s="17" t="str">
        <x:v>11.13</x:v>
      </x:c>
      <x:c r="I93" s="17" t="str">
        <x:v>Reckoning (II)</x:v>
      </x:c>
      <x:c r="J93" s="53" t="str">
        <x:v>Three-part One Chicago crossover.</x:v>
      </x:c>
      <x:c r="K93" s="53" t="str">
        <x:v>Chicago Fire S14E13 — Reckoning (I) | Chicago P.D. S13E13 — Reckoning (III)</x:v>
      </x:c>
      <x:c r="L93" s="53" t="str">
        <x:v>https://one-chicago-fbi.fandom.com/wiki/Crossovers_and_Milestones</x:v>
      </x:c>
      <x:c r="M93" s="17" t="str">
        <x:v>Curated / source-backed</x:v>
      </x:c>
      <x:c r="N93" s="1"/>
      <x:c r="O93" s="1"/>
      <x:c r="P93" s="1"/>
      <x:c r="Q93" s="1"/>
      <x:c r="R93" s="1"/>
      <x:c r="S93" s="1"/>
      <x:c r="T93" s="1"/>
      <x:c r="U93" s="1"/>
      <x:c r="V93" s="1"/>
      <x:c r="W93" s="1"/>
      <x:c r="X93" s="1"/>
      <x:c r="Y93" s="1"/>
      <x:c r="Z93" s="1"/>
    </x:row>
    <x:row r="94">
      <x:c r="A94" s="17" t="str">
        <x:v>Reckoning</x:v>
      </x:c>
      <x:c r="B94" s="17" t="str">
        <x:v>crossover</x:v>
      </x:c>
      <x:c r="C94" s="17" t="str">
        <x:v>Crossover</x:v>
      </x:c>
      <x:c r="D94" s="17" t="str">
        <x:v>3/3</x:v>
      </x:c>
      <x:c r="E94" s="20" t="n">
        <x:v>46086</x:v>
      </x:c>
      <x:c r="F94" s="23" t="n">
        <x:v>3461</x:v>
      </x:c>
      <x:c r="G94" s="17" t="str">
        <x:v>Chicago P.D.</x:v>
      </x:c>
      <x:c r="H94" s="17" t="str">
        <x:v>13.13</x:v>
      </x:c>
      <x:c r="I94" s="17" t="str">
        <x:v>Reckoning (III)</x:v>
      </x:c>
      <x:c r="J94" s="53" t="str">
        <x:v>Three-part One Chicago crossover.</x:v>
      </x:c>
      <x:c r="K94" s="53" t="str">
        <x:v>Chicago Fire S14E13 — Reckoning (I) | Chicago Med S11E13 — Reckoning (II)</x:v>
      </x:c>
      <x:c r="L94" s="53" t="str">
        <x:v>https://one-chicago-fbi.fandom.com/wiki/Crossovers_and_Milestones</x:v>
      </x:c>
      <x:c r="M94" s="17" t="str">
        <x:v>Curated / source-backed</x:v>
      </x:c>
      <x:c r="N94" s="1"/>
      <x:c r="O94" s="1"/>
      <x:c r="P94" s="1"/>
      <x:c r="Q94" s="1"/>
      <x:c r="R94" s="1"/>
      <x:c r="S94" s="1"/>
      <x:c r="T94" s="1"/>
      <x:c r="U94" s="1"/>
      <x:c r="V94" s="1"/>
      <x:c r="W94" s="1"/>
      <x:c r="X94" s="1"/>
      <x:c r="Y94" s="1"/>
      <x:c r="Z94" s="1"/>
    </x:row>
    <x:row r="95">
      <x:c r="A95" s="18" t="str">
        <x:v>Reckoning</x:v>
      </x:c>
      <x:c r="B95" s="18" t="str">
        <x:v>crossover</x:v>
      </x:c>
      <x:c r="C95" s="18" t="str">
        <x:v>Crossover</x:v>
      </x:c>
      <x:c r="D95" s="18" t="str">
        <x:v>1/3</x:v>
      </x:c>
      <x:c r="E95" s="21" t="n">
        <x:v>46086</x:v>
      </x:c>
      <x:c r="F95" s="24" t="n">
        <x:v>3462</x:v>
      </x:c>
      <x:c r="G95" s="18" t="str">
        <x:v>Chicago Fire</x:v>
      </x:c>
      <x:c r="H95" s="18" t="str">
        <x:v>14.13</x:v>
      </x:c>
      <x:c r="I95" s="18" t="str">
        <x:v>Reckoning (I)</x:v>
      </x:c>
      <x:c r="J95" s="54" t="str">
        <x:v>Three-part One Chicago crossover.</x:v>
      </x:c>
      <x:c r="K95" s="54" t="str">
        <x:v>Chicago Med S11E13 — Reckoning (II) | Chicago P.D. S13E13 — Reckoning (III)</x:v>
      </x:c>
      <x:c r="L95" s="54" t="str">
        <x:v>https://one-chicago-fbi.fandom.com/wiki/Crossovers_and_Milestones</x:v>
      </x:c>
      <x:c r="M95" s="18" t="str">
        <x:v>Curated / source-backed</x:v>
      </x:c>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M2"/>
    <x:mergeCell ref="A3:M3"/>
  </x:mergeCells>
  <x:conditionalFormatting sqref="B5:B95">
    <x:cfRule type="containsText" dxfId="5" priority="1" operator="containsText" text="crossover"/>
    <x:cfRule type="containsText" dxfId="6" priority="2" operator="containsText" text="backdoor_pilot"/>
  </x:conditionalFormatting>
  <x:conditionalFormatting sqref="M5:M95">
    <x:cfRule type="containsText" dxfId="7" priority="3" operator="containsText" text="Curated"/>
  </x:conditionalFormatting>
  <x:pageMargins left="0.7" right="0.7" top="0.75" bottom="0.75" header="0.3" footer="0.3"/>
  <x:tableParts count="1">
    <x:tablePart xmlns:r="http://schemas.openxmlformats.org/officeDocument/2006/relationships" r:id="Rb9f210f1b84343c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13" hidden="0" customWidth="1"/>
    <x:col min="4" max="4" width="10" hidden="0" customWidth="1"/>
    <x:col min="5" max="5" width="10" hidden="0" customWidth="1"/>
    <x:col min="6" max="6" width="13" hidden="0" customWidth="1"/>
    <x:col min="7" max="7" width="13" hidden="0" customWidth="1"/>
    <x:col min="8" max="8" width="30" hidden="0" customWidth="1"/>
    <x:col min="9" max="9" width="13" hidden="0" customWidth="1"/>
    <x:col min="10" max="10" width="15" hidden="0" customWidth="1"/>
    <x:col min="11" max="11" width="27" hidden="0" customWidth="1"/>
    <x:col min="12" max="12" width="55" hidden="0" customWidth="1"/>
  </x:cols>
  <x:sheetData>
    <x:row r="1" ht="30" customHeight="1">
      <x:c r="A1" s="5" t="str">
        <x:v>Verified Show Catalogue</x:v>
      </x:c>
      <x:c r="B1" s="5" t="str">
        <x:v>Verified Show Catalogue</x:v>
      </x:c>
      <x:c r="C1" s="5" t="str">
        <x:v>Verified Show Catalogue</x:v>
      </x:c>
      <x:c r="D1" s="5" t="str">
        <x:v>Verified Show Catalogue</x:v>
      </x:c>
      <x:c r="E1" s="5" t="str">
        <x:v>Verified Show Catalogue</x:v>
      </x:c>
      <x:c r="F1" s="5" t="str">
        <x:v>Verified Show Catalogue</x:v>
      </x:c>
      <x:c r="G1" s="5" t="str">
        <x:v>Verified Show Catalogue</x:v>
      </x:c>
      <x:c r="H1" s="5" t="str">
        <x:v>Verified Show Catalogue</x:v>
      </x:c>
      <x:c r="I1" s="5" t="str">
        <x:v>Verified Show Catalogue</x:v>
      </x:c>
      <x:c r="J1" s="5" t="str">
        <x:v>Verified Show Catalogue</x:v>
      </x:c>
      <x:c r="K1" s="5" t="str">
        <x:v>Verified Show Catalogue</x:v>
      </x:c>
      <x:c r="L1" s="5" t="str">
        <x:v>Verified Show Catalogue</x:v>
      </x:c>
      <x:c r="M1" s="1"/>
      <x:c r="N1" s="1"/>
      <x:c r="O1" s="1"/>
      <x:c r="P1" s="1"/>
      <x:c r="Q1" s="1"/>
      <x:c r="R1" s="1"/>
      <x:c r="S1" s="1"/>
      <x:c r="T1" s="1"/>
      <x:c r="U1" s="1"/>
      <x:c r="V1" s="1"/>
      <x:c r="W1" s="1"/>
      <x:c r="X1" s="1"/>
      <x:c r="Y1" s="1"/>
      <x:c r="Z1" s="1"/>
    </x:row>
    <x:row r="2" ht="30" customHeight="1">
      <x:c r="A2" s="5" t="str">
        <x:v>Verified Show Catalogue</x:v>
      </x:c>
      <x:c r="B2" s="5" t="str">
        <x:v>Verified Show Catalogue</x:v>
      </x:c>
      <x:c r="C2" s="5" t="str">
        <x:v>Verified Show Catalogue</x:v>
      </x:c>
      <x:c r="D2" s="5" t="str">
        <x:v>Verified Show Catalogue</x:v>
      </x:c>
      <x:c r="E2" s="5" t="str">
        <x:v>Verified Show Catalogue</x:v>
      </x:c>
      <x:c r="F2" s="5" t="str">
        <x:v>Verified Show Catalogue</x:v>
      </x:c>
      <x:c r="G2" s="5" t="str">
        <x:v>Verified Show Catalogue</x:v>
      </x:c>
      <x:c r="H2" s="5" t="str">
        <x:v>Verified Show Catalogue</x:v>
      </x:c>
      <x:c r="I2" s="5" t="str">
        <x:v>Verified Show Catalogue</x:v>
      </x:c>
      <x:c r="J2" s="5" t="str">
        <x:v>Verified Show Catalogue</x:v>
      </x:c>
      <x:c r="K2" s="5" t="str">
        <x:v>Verified Show Catalogue</x:v>
      </x:c>
      <x:c r="L2" s="5" t="str">
        <x:v>Verified Show Catalogue</x:v>
      </x:c>
      <x:c r="M2" s="1"/>
      <x:c r="N2" s="1"/>
      <x:c r="O2" s="1"/>
      <x:c r="P2" s="1"/>
      <x:c r="Q2" s="1"/>
      <x:c r="R2" s="1"/>
      <x:c r="S2" s="1"/>
      <x:c r="T2" s="1"/>
      <x:c r="U2" s="1"/>
      <x:c r="V2" s="1"/>
      <x:c r="W2" s="1"/>
      <x:c r="X2" s="1"/>
      <x:c r="Y2" s="1"/>
      <x:c r="Z2" s="1"/>
    </x:row>
    <x:row r="3" ht="24" customHeight="1">
      <x:c r="A3" s="10" t="str">
        <x:v>All titles represented in the corrected guide, with scope, identifiers, supplied-source coverage, and inclusion rationale.</x:v>
      </x:c>
      <x:c r="B3" s="10" t="str">
        <x:v>All titles represented in the corrected guide, with scope, identifiers, supplied-source coverage, and inclusion rationale.</x:v>
      </x:c>
      <x:c r="C3" s="10" t="str">
        <x:v>All titles represented in the corrected guide, with scope, identifiers, supplied-source coverage, and inclusion rationale.</x:v>
      </x:c>
      <x:c r="D3" s="10" t="str">
        <x:v>All titles represented in the corrected guide, with scope, identifiers, supplied-source coverage, and inclusion rationale.</x:v>
      </x:c>
      <x:c r="E3" s="10" t="str">
        <x:v>All titles represented in the corrected guide, with scope, identifiers, supplied-source coverage, and inclusion rationale.</x:v>
      </x:c>
      <x:c r="F3" s="10" t="str">
        <x:v>All titles represented in the corrected guide, with scope, identifiers, supplied-source coverage, and inclusion rationale.</x:v>
      </x:c>
      <x:c r="G3" s="10" t="str">
        <x:v>All titles represented in the corrected guide, with scope, identifiers, supplied-source coverage, and inclusion rationale.</x:v>
      </x:c>
      <x:c r="H3" s="10" t="str">
        <x:v>All titles represented in the corrected guide, with scope, identifiers, supplied-source coverage, and inclusion rationale.</x:v>
      </x:c>
      <x:c r="I3" s="10" t="str">
        <x:v>All titles represented in the corrected guide, with scope, identifiers, supplied-source coverage, and inclusion rationale.</x:v>
      </x:c>
      <x:c r="J3" s="10" t="str">
        <x:v>All titles represented in the corrected guide, with scope, identifiers, supplied-source coverage, and inclusion rationale.</x:v>
      </x:c>
      <x:c r="K3" s="10" t="str">
        <x:v>All titles represented in the corrected guide, with scope, identifiers, supplied-source coverage, and inclusion rationale.</x:v>
      </x:c>
      <x:c r="L3" s="10" t="str">
        <x:v>All titles represented in the corrected guide, with scope, identifiers, supplied-source coverage, and inclusion rationale.</x:v>
      </x:c>
      <x:c r="M3" s="1"/>
      <x:c r="N3" s="1"/>
      <x:c r="O3" s="1"/>
      <x:c r="P3" s="1"/>
      <x:c r="Q3" s="1"/>
      <x:c r="R3" s="1"/>
      <x:c r="S3" s="1"/>
      <x:c r="T3" s="1"/>
      <x:c r="U3" s="1"/>
      <x:c r="V3" s="1"/>
      <x:c r="W3" s="1"/>
      <x:c r="X3" s="1"/>
      <x:c r="Y3" s="1"/>
      <x:c r="Z3" s="1"/>
    </x:row>
    <x:row r="4" ht="28" customHeight="1">
      <x:c r="A4" s="14" t="str">
        <x:v>Show</x:v>
      </x:c>
      <x:c r="B4" s="14" t="str">
        <x:v>Franchise</x:v>
      </x:c>
      <x:c r="C4" s="14" t="str">
        <x:v>Scope</x:v>
      </x:c>
      <x:c r="D4" s="14" t="str">
        <x:v>Items</x:v>
      </x:c>
      <x:c r="E4" s="14" t="str">
        <x:v>Tagged</x:v>
      </x:c>
      <x:c r="F4" s="14" t="str">
        <x:v>First Date</x:v>
      </x:c>
      <x:c r="G4" s="14" t="str">
        <x:v>Last Date</x:v>
      </x:c>
      <x:c r="H4" s="14" t="str">
        <x:v>Trakt Slug</x:v>
      </x:c>
      <x:c r="I4" s="14" t="str">
        <x:v>Trakt ID</x:v>
      </x:c>
      <x:c r="J4" s="14" t="str">
        <x:v>IMDb ID</x:v>
      </x:c>
      <x:c r="K4" s="14" t="str">
        <x:v>Supplied-Source Coverage</x:v>
      </x:c>
      <x:c r="L4" s="14" t="str">
        <x:v>Inclusion Rationale</x:v>
      </x:c>
      <x:c r="M4" s="1"/>
      <x:c r="N4" s="1"/>
      <x:c r="O4" s="1"/>
      <x:c r="P4" s="1"/>
      <x:c r="Q4" s="1"/>
      <x:c r="R4" s="1"/>
      <x:c r="S4" s="1"/>
      <x:c r="T4" s="1"/>
      <x:c r="U4" s="1"/>
      <x:c r="V4" s="1"/>
      <x:c r="W4" s="1"/>
      <x:c r="X4" s="1"/>
      <x:c r="Y4" s="1"/>
      <x:c r="Z4" s="1"/>
    </x:row>
    <x:row r="5">
      <x:c r="A5" s="16" t="str">
        <x:v>Arrest &amp; Trial</x:v>
      </x:c>
      <x:c r="B5" s="16" t="str">
        <x:v>Crossover Adjacent</x:v>
      </x:c>
      <x:c r="C5" s="16" t="str">
        <x:v>complete</x:v>
      </x:c>
      <x:c r="D5" s="22" t="n">
        <x:v>195</x:v>
      </x:c>
      <x:c r="E5" s="22" t="n">
        <x:v>0</x:v>
      </x:c>
      <x:c r="F5" s="19" t="n">
        <x:v>36808</x:v>
      </x:c>
      <x:c r="G5" s="19" t="n">
        <x:v>37148</x:v>
      </x:c>
      <x:c r="H5" s="16" t="str">
        <x:v>arrest-trial</x:v>
      </x:c>
      <x:c r="I5" s="16" t="str">
        <x:v>167274</x:v>
      </x:c>
      <x:c r="J5" s="16" t="str">
        <x:v>tt0260598</x:v>
      </x:c>
      <x:c r="K5" s="16" t="str">
        <x:v>Extended verified archive</x:v>
      </x:c>
      <x:c r="L5" s="52" t="str">
        <x:v>Dick Wolf reality/legal anthology</x:v>
      </x:c>
      <x:c r="M5" s="1"/>
      <x:c r="N5" s="1"/>
      <x:c r="O5" s="1"/>
      <x:c r="P5" s="1"/>
      <x:c r="Q5" s="1"/>
      <x:c r="R5" s="1"/>
      <x:c r="S5" s="1"/>
      <x:c r="T5" s="1"/>
      <x:c r="U5" s="1"/>
      <x:c r="V5" s="1"/>
      <x:c r="W5" s="1"/>
      <x:c r="X5" s="1"/>
      <x:c r="Y5" s="1"/>
      <x:c r="Z5" s="1"/>
    </x:row>
    <x:row r="6">
      <x:c r="A6" s="17" t="str">
        <x:v>Blood &amp; Money</x:v>
      </x:c>
      <x:c r="B6" s="17" t="str">
        <x:v>Wolf Archive</x:v>
      </x:c>
      <x:c r="C6" s="17" t="str">
        <x:v>complete</x:v>
      </x:c>
      <x:c r="D6" s="23" t="n">
        <x:v>10</x:v>
      </x:c>
      <x:c r="E6" s="23" t="n">
        <x:v>0</x:v>
      </x:c>
      <x:c r="F6" s="20" t="n">
        <x:v>44996</x:v>
      </x:c>
      <x:c r="G6" s="20" t="n">
        <x:v>45059</x:v>
      </x:c>
      <x:c r="H6" s="17" t="str">
        <x:v>blood-money-2023</x:v>
      </x:c>
      <x:c r="I6" s="17" t="str">
        <x:v>202727</x:v>
      </x:c>
      <x:c r="J6" s="17" t="str">
        <x:v>tt26746481</x:v>
      </x:c>
      <x:c r="K6" s="17" t="str">
        <x:v>Extended verified archive</x:v>
      </x:c>
      <x:c r="L6" s="53" t="str">
        <x:v>2023 Wolf Entertainment true-crime series created by Dick Wolf; the unrelated 1981 series is excluded.</x:v>
      </x:c>
      <x:c r="M6" s="1"/>
      <x:c r="N6" s="1"/>
      <x:c r="O6" s="1"/>
      <x:c r="P6" s="1"/>
      <x:c r="Q6" s="1"/>
      <x:c r="R6" s="1"/>
      <x:c r="S6" s="1"/>
      <x:c r="T6" s="1"/>
      <x:c r="U6" s="1"/>
      <x:c r="V6" s="1"/>
      <x:c r="W6" s="1"/>
      <x:c r="X6" s="1"/>
      <x:c r="Y6" s="1"/>
      <x:c r="Z6" s="1"/>
    </x:row>
    <x:row r="7">
      <x:c r="A7" s="17" t="str">
        <x:v>Chicago Fire</x:v>
      </x:c>
      <x:c r="B7" s="17" t="str">
        <x:v>One Chicago</x:v>
      </x:c>
      <x:c r="C7" s="17" t="str">
        <x:v>core</x:v>
      </x:c>
      <x:c r="D7" s="23" t="n">
        <x:v>297</x:v>
      </x:c>
      <x:c r="E7" s="23" t="n">
        <x:v>16</x:v>
      </x:c>
      <x:c r="F7" s="20" t="n">
        <x:v>41193</x:v>
      </x:c>
      <x:c r="G7" s="20" t="n">
        <x:v>46303</x:v>
      </x:c>
      <x:c r="H7" s="17" t="str">
        <x:v>chicago-fire</x:v>
      </x:c>
      <x:c r="I7" s="17" t="str">
        <x:v>43764</x:v>
      </x:c>
      <x:c r="J7" s="17" t="str">
        <x:v>tt2261391</x:v>
      </x:c>
      <x:c r="K7" s="17" t="str">
        <x:v>IMDb list + Wolf Universe</x:v>
      </x:c>
      <x:c r="L7" s="53" t="str">
        <x:v>Core One Chicago franchise</x:v>
      </x:c>
      <x:c r="M7" s="1"/>
      <x:c r="N7" s="1"/>
      <x:c r="O7" s="1"/>
      <x:c r="P7" s="1"/>
      <x:c r="Q7" s="1"/>
      <x:c r="R7" s="1"/>
      <x:c r="S7" s="1"/>
      <x:c r="T7" s="1"/>
      <x:c r="U7" s="1"/>
      <x:c r="V7" s="1"/>
      <x:c r="W7" s="1"/>
      <x:c r="X7" s="1"/>
      <x:c r="Y7" s="1"/>
      <x:c r="Z7" s="1"/>
    </x:row>
    <x:row r="8">
      <x:c r="A8" s="17" t="str">
        <x:v>Chicago Justice</x:v>
      </x:c>
      <x:c r="B8" s="17" t="str">
        <x:v>One Chicago</x:v>
      </x:c>
      <x:c r="C8" s="17" t="str">
        <x:v>core</x:v>
      </x:c>
      <x:c r="D8" s="23" t="n">
        <x:v>13</x:v>
      </x:c>
      <x:c r="E8" s="23" t="n">
        <x:v>2</x:v>
      </x:c>
      <x:c r="F8" s="20" t="n">
        <x:v>42796</x:v>
      </x:c>
      <x:c r="G8" s="20" t="n">
        <x:v>42870</x:v>
      </x:c>
      <x:c r="H8" s="17" t="str">
        <x:v>chicago-justice</x:v>
      </x:c>
      <x:c r="I8" s="17" t="str">
        <x:v>107803</x:v>
      </x:c>
      <x:c r="J8" s="17" t="str">
        <x:v>tt5640060</x:v>
      </x:c>
      <x:c r="K8" s="17" t="str">
        <x:v>IMDb list + Wolf Universe</x:v>
      </x:c>
      <x:c r="L8" s="53" t="str">
        <x:v>Core One Chicago legal spinoff</x:v>
      </x:c>
      <x:c r="M8" s="1"/>
      <x:c r="N8" s="1"/>
      <x:c r="O8" s="1"/>
      <x:c r="P8" s="1"/>
      <x:c r="Q8" s="1"/>
      <x:c r="R8" s="1"/>
      <x:c r="S8" s="1"/>
      <x:c r="T8" s="1"/>
      <x:c r="U8" s="1"/>
      <x:c r="V8" s="1"/>
      <x:c r="W8" s="1"/>
      <x:c r="X8" s="1"/>
      <x:c r="Y8" s="1"/>
      <x:c r="Z8" s="1"/>
    </x:row>
    <x:row r="9">
      <x:c r="A9" s="17" t="str">
        <x:v>Chicago Med</x:v>
      </x:c>
      <x:c r="B9" s="17" t="str">
        <x:v>One Chicago</x:v>
      </x:c>
      <x:c r="C9" s="17" t="str">
        <x:v>core</x:v>
      </x:c>
      <x:c r="D9" s="23" t="n">
        <x:v>220</x:v>
      </x:c>
      <x:c r="E9" s="23" t="n">
        <x:v>5</x:v>
      </x:c>
      <x:c r="F9" s="20" t="n">
        <x:v>42326</x:v>
      </x:c>
      <x:c r="G9" s="20" t="n">
        <x:v>46303</x:v>
      </x:c>
      <x:c r="H9" s="17" t="str">
        <x:v>chicago-med</x:v>
      </x:c>
      <x:c r="I9" s="17" t="str">
        <x:v>98934</x:v>
      </x:c>
      <x:c r="J9" s="17" t="str">
        <x:v>tt4655480</x:v>
      </x:c>
      <x:c r="K9" s="17" t="str">
        <x:v>IMDb list + Wolf Universe</x:v>
      </x:c>
      <x:c r="L9" s="53" t="str">
        <x:v>Core One Chicago franchise</x:v>
      </x:c>
      <x:c r="M9" s="1"/>
      <x:c r="N9" s="1"/>
      <x:c r="O9" s="1"/>
      <x:c r="P9" s="1"/>
      <x:c r="Q9" s="1"/>
      <x:c r="R9" s="1"/>
      <x:c r="S9" s="1"/>
      <x:c r="T9" s="1"/>
      <x:c r="U9" s="1"/>
      <x:c r="V9" s="1"/>
      <x:c r="W9" s="1"/>
      <x:c r="X9" s="1"/>
      <x:c r="Y9" s="1"/>
      <x:c r="Z9" s="1"/>
    </x:row>
    <x:row r="10">
      <x:c r="A10" s="17" t="str">
        <x:v>Chicago P.D.</x:v>
      </x:c>
      <x:c r="B10" s="17" t="str">
        <x:v>One Chicago</x:v>
      </x:c>
      <x:c r="C10" s="17" t="str">
        <x:v>core</x:v>
      </x:c>
      <x:c r="D10" s="23" t="n">
        <x:v>265</x:v>
      </x:c>
      <x:c r="E10" s="23" t="n">
        <x:v>17</x:v>
      </x:c>
      <x:c r="F10" s="20" t="n">
        <x:v>41648</x:v>
      </x:c>
      <x:c r="G10" s="20" t="n">
        <x:v>46303</x:v>
      </x:c>
      <x:c r="H10" s="17" t="str">
        <x:v>chicago-p-d</x:v>
      </x:c>
      <x:c r="I10" s="17" t="str">
        <x:v>58454</x:v>
      </x:c>
      <x:c r="J10" s="17" t="str">
        <x:v>tt2805096</x:v>
      </x:c>
      <x:c r="K10" s="17" t="str">
        <x:v>IMDb list + Wolf Universe</x:v>
      </x:c>
      <x:c r="L10" s="53" t="str">
        <x:v>Core One Chicago franchise; crossovers with SVU/FBI</x:v>
      </x:c>
      <x:c r="M10" s="1"/>
      <x:c r="N10" s="1"/>
      <x:c r="O10" s="1"/>
      <x:c r="P10" s="1"/>
      <x:c r="Q10" s="1"/>
      <x:c r="R10" s="1"/>
      <x:c r="S10" s="1"/>
      <x:c r="T10" s="1"/>
      <x:c r="U10" s="1"/>
      <x:c r="V10" s="1"/>
      <x:c r="W10" s="1"/>
      <x:c r="X10" s="1"/>
      <x:c r="Y10" s="1"/>
      <x:c r="Z10" s="1"/>
    </x:row>
    <x:row r="11">
      <x:c r="A11" s="17" t="str">
        <x:v>Christine Cromwell</x:v>
      </x:c>
      <x:c r="B11" s="17" t="str">
        <x:v>Crossover Adjacent</x:v>
      </x:c>
      <x:c r="C11" s="17" t="str">
        <x:v>complete</x:v>
      </x:c>
      <x:c r="D11" s="23" t="n">
        <x:v>4</x:v>
      </x:c>
      <x:c r="E11" s="23" t="n">
        <x:v>0</x:v>
      </x:c>
      <x:c r="F11" s="20" t="n">
        <x:v>32824</x:v>
      </x:c>
      <x:c r="G11" s="20" t="n">
        <x:v>32922</x:v>
      </x:c>
      <x:c r="H11" s="17" t="str">
        <x:v>christine-cromwell</x:v>
      </x:c>
      <x:c r="I11" s="17" t="str">
        <x:v>22486</x:v>
      </x:c>
      <x:c r="J11" s="17" t="str">
        <x:v>tt0096558</x:v>
      </x:c>
      <x:c r="K11" s="17" t="str">
        <x:v>Extended verified archive</x:v>
      </x:c>
      <x:c r="L11" s="53" t="str">
        <x:v>Early Dick Wolf legal/crime work</x:v>
      </x:c>
      <x:c r="M11" s="1"/>
      <x:c r="N11" s="1"/>
      <x:c r="O11" s="1"/>
      <x:c r="P11" s="1"/>
      <x:c r="Q11" s="1"/>
      <x:c r="R11" s="1"/>
      <x:c r="S11" s="1"/>
      <x:c r="T11" s="1"/>
      <x:c r="U11" s="1"/>
      <x:c r="V11" s="1"/>
      <x:c r="W11" s="1"/>
      <x:c r="X11" s="1"/>
      <x:c r="Y11" s="1"/>
      <x:c r="Z11" s="1"/>
    </x:row>
    <x:row r="12">
      <x:c r="A12" s="17" t="str">
        <x:v>CIA (2026)</x:v>
      </x:c>
      <x:c r="B12" s="17" t="str">
        <x:v>FBI</x:v>
      </x:c>
      <x:c r="C12" s="17" t="str">
        <x:v>core</x:v>
      </x:c>
      <x:c r="D12" s="23" t="n">
        <x:v>12</x:v>
      </x:c>
      <x:c r="E12" s="23" t="n">
        <x:v>0</x:v>
      </x:c>
      <x:c r="F12" s="20" t="n">
        <x:v>46077</x:v>
      </x:c>
      <x:c r="G12" s="20" t="n">
        <x:v>46161</x:v>
      </x:c>
      <x:c r="H12" s="17" t="str">
        <x:v>cia-2026</x:v>
      </x:c>
      <x:c r="I12" s="17" t="str">
        <x:v>283328</x:v>
      </x:c>
      <x:c r="J12" s="17" t="str">
        <x:v>tt35515227</x:v>
      </x:c>
      <x:c r="K12" s="17" t="str">
        <x:v>Wolf Universe</x:v>
      </x:c>
      <x:c r="L12" s="53" t="str">
        <x:v>Official 2026 Dick Wolf / FBI spinoff. The unrelated 1992 CIA show at Trakt slug cia / IMDb tt0250140 is intentionally excluded.</x:v>
      </x:c>
      <x:c r="M12" s="1"/>
      <x:c r="N12" s="1"/>
      <x:c r="O12" s="1"/>
      <x:c r="P12" s="1"/>
      <x:c r="Q12" s="1"/>
      <x:c r="R12" s="1"/>
      <x:c r="S12" s="1"/>
      <x:c r="T12" s="1"/>
      <x:c r="U12" s="1"/>
      <x:c r="V12" s="1"/>
      <x:c r="W12" s="1"/>
      <x:c r="X12" s="1"/>
      <x:c r="Y12" s="1"/>
      <x:c r="Z12" s="1"/>
    </x:row>
    <x:row r="13">
      <x:c r="A13" s="17" t="str">
        <x:v>Cold Justice</x:v>
      </x:c>
      <x:c r="B13" s="17" t="str">
        <x:v>Crossover Adjacent</x:v>
      </x:c>
      <x:c r="C13" s="17" t="str">
        <x:v>complete</x:v>
      </x:c>
      <x:c r="D13" s="23" t="n">
        <x:v>135</x:v>
      </x:c>
      <x:c r="E13" s="23" t="n">
        <x:v>0</x:v>
      </x:c>
      <x:c r="F13" s="20" t="n">
        <x:v>41521</x:v>
      </x:c>
      <x:c r="G13" s="20" t="n">
        <x:v>45977</x:v>
      </x:c>
      <x:c r="H13" s="17" t="str">
        <x:v>cold-justice</x:v>
      </x:c>
      <x:c r="I13" s="17" t="str">
        <x:v>58431</x:v>
      </x:c>
      <x:c r="J13" s="17" t="str">
        <x:v>tt2402569</x:v>
      </x:c>
      <x:c r="K13" s="17" t="str">
        <x:v>Extended verified archive</x:v>
      </x:c>
      <x:c r="L13" s="53" t="str">
        <x:v>Wolf Entertainment unscripted true-crime series</x:v>
      </x:c>
      <x:c r="M13" s="1"/>
      <x:c r="N13" s="1"/>
      <x:c r="O13" s="1"/>
      <x:c r="P13" s="1"/>
      <x:c r="Q13" s="1"/>
      <x:c r="R13" s="1"/>
      <x:c r="S13" s="1"/>
      <x:c r="T13" s="1"/>
      <x:c r="U13" s="1"/>
      <x:c r="V13" s="1"/>
      <x:c r="W13" s="1"/>
      <x:c r="X13" s="1"/>
      <x:c r="Y13" s="1"/>
      <x:c r="Z13" s="1"/>
    </x:row>
    <x:row r="14">
      <x:c r="A14" s="17" t="str">
        <x:v>Conviction</x:v>
      </x:c>
      <x:c r="B14" s="17" t="str">
        <x:v>Law &amp; Order</x:v>
      </x:c>
      <x:c r="C14" s="17" t="str">
        <x:v>connected</x:v>
      </x:c>
      <x:c r="D14" s="23" t="n">
        <x:v>13</x:v>
      </x:c>
      <x:c r="E14" s="23" t="n">
        <x:v>0</x:v>
      </x:c>
      <x:c r="F14" s="20" t="n">
        <x:v>38779</x:v>
      </x:c>
      <x:c r="G14" s="20" t="n">
        <x:v>38856</x:v>
      </x:c>
      <x:c r="H14" s="17" t="str">
        <x:v>conviction</x:v>
      </x:c>
      <x:c r="I14" s="17" t="str">
        <x:v>2405</x:v>
      </x:c>
      <x:c r="J14" s="17" t="str">
        <x:v>tt0494186</x:v>
      </x:c>
      <x:c r="K14" s="17" t="str">
        <x:v>Wolf Universe</x:v>
      </x:c>
      <x:c r="L14" s="53" t="str">
        <x:v>Law &amp; Order spinoff with Alexandra Cabot</x:v>
      </x:c>
      <x:c r="M14" s="1"/>
      <x:c r="N14" s="1"/>
      <x:c r="O14" s="1"/>
      <x:c r="P14" s="1"/>
      <x:c r="Q14" s="1"/>
      <x:c r="R14" s="1"/>
      <x:c r="S14" s="1"/>
      <x:c r="T14" s="1"/>
      <x:c r="U14" s="1"/>
      <x:c r="V14" s="1"/>
      <x:c r="W14" s="1"/>
      <x:c r="X14" s="1"/>
      <x:c r="Y14" s="1"/>
      <x:c r="Z14" s="1"/>
    </x:row>
    <x:row r="15">
      <x:c r="A15" s="17" t="str">
        <x:v>Crime &amp; Punishment</x:v>
      </x:c>
      <x:c r="B15" s="17" t="str">
        <x:v>Crossover Adjacent</x:v>
      </x:c>
      <x:c r="C15" s="17" t="str">
        <x:v>complete</x:v>
      </x:c>
      <x:c r="D15" s="23" t="n">
        <x:v>27</x:v>
      </x:c>
      <x:c r="E15" s="23" t="n">
        <x:v>0</x:v>
      </x:c>
      <x:c r="F15" s="20" t="n">
        <x:v>37423</x:v>
      </x:c>
      <x:c r="G15" s="20" t="n">
        <x:v>38185</x:v>
      </x:c>
      <x:c r="H15" s="17" t="str">
        <x:v>crime-punishment</x:v>
      </x:c>
      <x:c r="I15" s="17" t="str">
        <x:v>2244</x:v>
      </x:c>
      <x:c r="J15" s="17" t="str">
        <x:v>tt0278250</x:v>
      </x:c>
      <x:c r="K15" s="17" t="str">
        <x:v>Extended verified archive</x:v>
      </x:c>
      <x:c r="L15" s="53" t="str">
        <x:v>Dick Wolf reality/legal series</x:v>
      </x:c>
      <x:c r="M15" s="1"/>
      <x:c r="N15" s="1"/>
      <x:c r="O15" s="1"/>
      <x:c r="P15" s="1"/>
      <x:c r="Q15" s="1"/>
      <x:c r="R15" s="1"/>
      <x:c r="S15" s="1"/>
      <x:c r="T15" s="1"/>
      <x:c r="U15" s="1"/>
      <x:c r="V15" s="1"/>
      <x:c r="W15" s="1"/>
      <x:c r="X15" s="1"/>
      <x:c r="Y15" s="1"/>
      <x:c r="Z15" s="1"/>
    </x:row>
    <x:row r="16">
      <x:c r="A16" s="17" t="str">
        <x:v>D.C.</x:v>
      </x:c>
      <x:c r="B16" s="17" t="str">
        <x:v>Crossover Adjacent</x:v>
      </x:c>
      <x:c r="C16" s="17" t="str">
        <x:v>complete</x:v>
      </x:c>
      <x:c r="D16" s="23" t="n">
        <x:v>5</x:v>
      </x:c>
      <x:c r="E16" s="23" t="n">
        <x:v>0</x:v>
      </x:c>
      <x:c r="F16" s="20" t="n">
        <x:v>36618</x:v>
      </x:c>
      <x:c r="G16" s="20" t="n">
        <x:v>36646</x:v>
      </x:c>
      <x:c r="H16" s="17" t="str">
        <x:v>d-c</x:v>
      </x:c>
      <x:c r="I16" s="17" t="str">
        <x:v>95048</x:v>
      </x:c>
      <x:c r="J16" s="17" t="str">
        <x:v>tt0202724</x:v>
      </x:c>
      <x:c r="K16" s="17" t="str">
        <x:v>Extended verified archive</x:v>
      </x:c>
      <x:c r="L16" s="53" t="str">
        <x:v>Dick Wolf-created political drama</x:v>
      </x:c>
      <x:c r="M16" s="1"/>
      <x:c r="N16" s="1"/>
      <x:c r="O16" s="1"/>
      <x:c r="P16" s="1"/>
      <x:c r="Q16" s="1"/>
      <x:c r="R16" s="1"/>
      <x:c r="S16" s="1"/>
      <x:c r="T16" s="1"/>
      <x:c r="U16" s="1"/>
      <x:c r="V16" s="1"/>
      <x:c r="W16" s="1"/>
      <x:c r="X16" s="1"/>
      <x:c r="Y16" s="1"/>
      <x:c r="Z16" s="1"/>
    </x:row>
    <x:row r="17">
      <x:c r="A17" s="17" t="str">
        <x:v>Deadline</x:v>
      </x:c>
      <x:c r="B17" s="17" t="str">
        <x:v>Law &amp; Order</x:v>
      </x:c>
      <x:c r="C17" s="17" t="str">
        <x:v>connected</x:v>
      </x:c>
      <x:c r="D17" s="23" t="n">
        <x:v>13</x:v>
      </x:c>
      <x:c r="E17" s="23" t="n">
        <x:v>0</x:v>
      </x:c>
      <x:c r="F17" s="20" t="n">
        <x:v>36801</x:v>
      </x:c>
      <x:c r="G17" s="20" t="n">
        <x:v>36988</x:v>
      </x:c>
      <x:c r="H17" s="17" t="str">
        <x:v>deadline</x:v>
      </x:c>
      <x:c r="I17" s="17" t="str">
        <x:v>2485</x:v>
      </x:c>
      <x:c r="J17" s="17" t="str">
        <x:v>tt0247086</x:v>
      </x:c>
      <x:c r="K17" s="17" t="str">
        <x:v>Wolf Universe</x:v>
      </x:c>
      <x:c r="L17" s="53" t="str">
        <x:v>Dick Wolf New York newspaper/legal-adjacent drama</x:v>
      </x:c>
      <x:c r="M17" s="1"/>
      <x:c r="N17" s="1"/>
      <x:c r="O17" s="1"/>
      <x:c r="P17" s="1"/>
      <x:c r="Q17" s="1"/>
      <x:c r="R17" s="1"/>
      <x:c r="S17" s="1"/>
      <x:c r="T17" s="1"/>
      <x:c r="U17" s="1"/>
      <x:c r="V17" s="1"/>
      <x:c r="W17" s="1"/>
      <x:c r="X17" s="1"/>
      <x:c r="Y17" s="1"/>
      <x:c r="Z17" s="1"/>
    </x:row>
    <x:row r="18">
      <x:c r="A18" s="17" t="str">
        <x:v>Exiled: A Law &amp; Order Movie</x:v>
      </x:c>
      <x:c r="B18" s="17" t="str">
        <x:v>Wolf Specials</x:v>
      </x:c>
      <x:c r="C18" s="17" t="str">
        <x:v>connected</x:v>
      </x:c>
      <x:c r="D18" s="23" t="n">
        <x:v>1</x:v>
      </x:c>
      <x:c r="E18" s="23" t="n">
        <x:v>1</x:v>
      </x:c>
      <x:c r="F18" s="20" t="n">
        <x:v>36107</x:v>
      </x:c>
      <x:c r="G18" s="20" t="n">
        <x:v>36107</x:v>
      </x:c>
      <x:c r="H18" s="17" t="str">
        <x:v>exiled</x:v>
      </x:c>
      <x:c r="I18" s="17" t="str"/>
      <x:c r="J18" s="17" t="str">
        <x:v>tt0164023</x:v>
      </x:c>
      <x:c r="K18" s="17" t="str">
        <x:v>IMDb list + Wolf Universe</x:v>
      </x:c>
      <x:c r="L18" s="53" t="str">
        <x:v>Direct Law &amp; Order television movie continuing Mike Logan's story.</x:v>
      </x:c>
      <x:c r="M18" s="1"/>
      <x:c r="N18" s="1"/>
      <x:c r="O18" s="1"/>
      <x:c r="P18" s="1"/>
      <x:c r="Q18" s="1"/>
      <x:c r="R18" s="1"/>
      <x:c r="S18" s="1"/>
      <x:c r="T18" s="1"/>
      <x:c r="U18" s="1"/>
      <x:c r="V18" s="1"/>
      <x:c r="W18" s="1"/>
      <x:c r="X18" s="1"/>
      <x:c r="Y18" s="1"/>
      <x:c r="Z18" s="1"/>
    </x:row>
    <x:row r="19">
      <x:c r="A19" s="17" t="str">
        <x:v>FBI</x:v>
      </x:c>
      <x:c r="B19" s="17" t="str">
        <x:v>FBI</x:v>
      </x:c>
      <x:c r="C19" s="17" t="str">
        <x:v>core</x:v>
      </x:c>
      <x:c r="D19" s="23" t="n">
        <x:v>158</x:v>
      </x:c>
      <x:c r="E19" s="23" t="n">
        <x:v>5</x:v>
      </x:c>
      <x:c r="F19" s="20" t="n">
        <x:v>43369</x:v>
      </x:c>
      <x:c r="G19" s="20" t="n">
        <x:v>46161</x:v>
      </x:c>
      <x:c r="H19" s="17" t="str">
        <x:v>fbi</x:v>
      </x:c>
      <x:c r="I19" s="17" t="str">
        <x:v>133964</x:v>
      </x:c>
      <x:c r="J19" s="17" t="str">
        <x:v>tt7491982</x:v>
      </x:c>
      <x:c r="K19" s="17" t="str">
        <x:v>IMDb list + Wolf Universe</x:v>
      </x:c>
      <x:c r="L19" s="53" t="str">
        <x:v>Core FBI franchise</x:v>
      </x:c>
      <x:c r="M19" s="1"/>
      <x:c r="N19" s="1"/>
      <x:c r="O19" s="1"/>
      <x:c r="P19" s="1"/>
      <x:c r="Q19" s="1"/>
      <x:c r="R19" s="1"/>
      <x:c r="S19" s="1"/>
      <x:c r="T19" s="1"/>
      <x:c r="U19" s="1"/>
      <x:c r="V19" s="1"/>
      <x:c r="W19" s="1"/>
      <x:c r="X19" s="1"/>
      <x:c r="Y19" s="1"/>
      <x:c r="Z19" s="1"/>
    </x:row>
    <x:row r="20">
      <x:c r="A20" s="17" t="str">
        <x:v>FBI: International</x:v>
      </x:c>
      <x:c r="B20" s="17" t="str">
        <x:v>FBI</x:v>
      </x:c>
      <x:c r="C20" s="17" t="str">
        <x:v>core</x:v>
      </x:c>
      <x:c r="D20" s="23" t="n">
        <x:v>78</x:v>
      </x:c>
      <x:c r="E20" s="23" t="n">
        <x:v>2</x:v>
      </x:c>
      <x:c r="F20" s="20" t="n">
        <x:v>44461</x:v>
      </x:c>
      <x:c r="G20" s="20" t="n">
        <x:v>45798</x:v>
      </x:c>
      <x:c r="H20" s="17" t="str">
        <x:v>fbi-international</x:v>
      </x:c>
      <x:c r="I20" s="17" t="str">
        <x:v>176381</x:v>
      </x:c>
      <x:c r="J20" s="17" t="str">
        <x:v>tt14449470</x:v>
      </x:c>
      <x:c r="K20" s="17" t="str">
        <x:v>IMDb list + Wolf Universe</x:v>
      </x:c>
      <x:c r="L20" s="53" t="str">
        <x:v>Core FBI franchise</x:v>
      </x:c>
      <x:c r="M20" s="1"/>
      <x:c r="N20" s="1"/>
      <x:c r="O20" s="1"/>
      <x:c r="P20" s="1"/>
      <x:c r="Q20" s="1"/>
      <x:c r="R20" s="1"/>
      <x:c r="S20" s="1"/>
      <x:c r="T20" s="1"/>
      <x:c r="U20" s="1"/>
      <x:c r="V20" s="1"/>
      <x:c r="W20" s="1"/>
      <x:c r="X20" s="1"/>
      <x:c r="Y20" s="1"/>
      <x:c r="Z20" s="1"/>
    </x:row>
    <x:row r="21">
      <x:c r="A21" s="17" t="str">
        <x:v>FBI: Most Wanted</x:v>
      </x:c>
      <x:c r="B21" s="17" t="str">
        <x:v>FBI</x:v>
      </x:c>
      <x:c r="C21" s="17" t="str">
        <x:v>core</x:v>
      </x:c>
      <x:c r="D21" s="23" t="n">
        <x:v>108</x:v>
      </x:c>
      <x:c r="E21" s="23" t="n">
        <x:v>3</x:v>
      </x:c>
      <x:c r="F21" s="20" t="n">
        <x:v>43838</x:v>
      </x:c>
      <x:c r="G21" s="20" t="n">
        <x:v>45798</x:v>
      </x:c>
      <x:c r="H21" s="17" t="str">
        <x:v>fbi-most-wanted</x:v>
      </x:c>
      <x:c r="I21" s="17" t="str">
        <x:v>147910</x:v>
      </x:c>
      <x:c r="J21" s="17" t="str">
        <x:v>tt9742936</x:v>
      </x:c>
      <x:c r="K21" s="17" t="str">
        <x:v>IMDb list + Wolf Universe</x:v>
      </x:c>
      <x:c r="L21" s="53" t="str">
        <x:v>Core FBI franchise</x:v>
      </x:c>
      <x:c r="M21" s="1"/>
      <x:c r="N21" s="1"/>
      <x:c r="O21" s="1"/>
      <x:c r="P21" s="1"/>
      <x:c r="Q21" s="1"/>
      <x:c r="R21" s="1"/>
      <x:c r="S21" s="1"/>
      <x:c r="T21" s="1"/>
      <x:c r="U21" s="1"/>
      <x:c r="V21" s="1"/>
      <x:c r="W21" s="1"/>
      <x:c r="X21" s="1"/>
      <x:c r="Y21" s="1"/>
      <x:c r="Z21" s="1"/>
    </x:row>
    <x:row r="22">
      <x:c r="A22" s="17" t="str">
        <x:v>Feds</x:v>
      </x:c>
      <x:c r="B22" s="17" t="str">
        <x:v>Crossover Adjacent</x:v>
      </x:c>
      <x:c r="C22" s="17" t="str">
        <x:v>complete</x:v>
      </x:c>
      <x:c r="D22" s="23" t="n">
        <x:v>6</x:v>
      </x:c>
      <x:c r="E22" s="23" t="n">
        <x:v>0</x:v>
      </x:c>
      <x:c r="F22" s="20" t="n">
        <x:v>35494</x:v>
      </x:c>
      <x:c r="G22" s="20" t="n">
        <x:v>35529</x:v>
      </x:c>
      <x:c r="H22" s="17" t="str">
        <x:v>feds</x:v>
      </x:c>
      <x:c r="I22" s="17" t="str">
        <x:v>35802</x:v>
      </x:c>
      <x:c r="J22" s="17" t="str">
        <x:v>tt0118313</x:v>
      </x:c>
      <x:c r="K22" s="17" t="str">
        <x:v>Extended verified archive</x:v>
      </x:c>
      <x:c r="L22" s="53" t="str">
        <x:v>Dick Wolf-created federal-law series</x:v>
      </x:c>
      <x:c r="M22" s="1"/>
      <x:c r="N22" s="1"/>
      <x:c r="O22" s="1"/>
      <x:c r="P22" s="1"/>
      <x:c r="Q22" s="1"/>
      <x:c r="R22" s="1"/>
      <x:c r="S22" s="1"/>
      <x:c r="T22" s="1"/>
      <x:c r="U22" s="1"/>
      <x:c r="V22" s="1"/>
      <x:c r="W22" s="1"/>
      <x:c r="X22" s="1"/>
      <x:c r="Y22" s="1"/>
      <x:c r="Z22" s="1"/>
    </x:row>
    <x:row r="23">
      <x:c r="A23" s="17" t="str">
        <x:v>Gideon Oliver</x:v>
      </x:c>
      <x:c r="B23" s="17" t="str">
        <x:v>Crossover Adjacent</x:v>
      </x:c>
      <x:c r="C23" s="17" t="str">
        <x:v>complete</x:v>
      </x:c>
      <x:c r="D23" s="23" t="n">
        <x:v>5</x:v>
      </x:c>
      <x:c r="E23" s="23" t="n">
        <x:v>0</x:v>
      </x:c>
      <x:c r="F23" s="20" t="n">
        <x:v>32560</x:v>
      </x:c>
      <x:c r="G23" s="20" t="n">
        <x:v>32651</x:v>
      </x:c>
      <x:c r="H23" s="17" t="str">
        <x:v>gideon-oliver</x:v>
      </x:c>
      <x:c r="I23" s="17" t="str">
        <x:v>126705</x:v>
      </x:c>
      <x:c r="J23" s="17" t="str">
        <x:v>tt0096594</x:v>
      </x:c>
      <x:c r="K23" s="17" t="str">
        <x:v>Extended verified archive</x:v>
      </x:c>
      <x:c r="L23" s="53" t="str">
        <x:v>Early Dick Wolf television work</x:v>
      </x:c>
      <x:c r="M23" s="1"/>
      <x:c r="N23" s="1"/>
      <x:c r="O23" s="1"/>
      <x:c r="P23" s="1"/>
      <x:c r="Q23" s="1"/>
      <x:c r="R23" s="1"/>
      <x:c r="S23" s="1"/>
      <x:c r="T23" s="1"/>
      <x:c r="U23" s="1"/>
      <x:c r="V23" s="1"/>
      <x:c r="W23" s="1"/>
      <x:c r="X23" s="1"/>
      <x:c r="Y23" s="1"/>
      <x:c r="Z23" s="1"/>
    </x:row>
    <x:row r="24">
      <x:c r="A24" s="17" t="str">
        <x:v>H.E.L.P.</x:v>
      </x:c>
      <x:c r="B24" s="17" t="str">
        <x:v>Crossover Adjacent</x:v>
      </x:c>
      <x:c r="C24" s="17" t="str">
        <x:v>complete</x:v>
      </x:c>
      <x:c r="D24" s="23" t="n">
        <x:v>6</x:v>
      </x:c>
      <x:c r="E24" s="23" t="n">
        <x:v>0</x:v>
      </x:c>
      <x:c r="F24" s="20" t="n">
        <x:v>32936</x:v>
      </x:c>
      <x:c r="G24" s="20" t="n">
        <x:v>32971</x:v>
      </x:c>
      <x:c r="H24" s="17" t="str">
        <x:v>h-e-l-p</x:v>
      </x:c>
      <x:c r="I24" s="17" t="str">
        <x:v>205997</x:v>
      </x:c>
      <x:c r="J24" s="17" t="str">
        <x:v>tt0098815</x:v>
      </x:c>
      <x:c r="K24" s="17" t="str">
        <x:v>Extended verified archive</x:v>
      </x:c>
      <x:c r="L24" s="53" t="str">
        <x:v>Wolf Entertainment / Dick Wolf archive title</x:v>
      </x:c>
      <x:c r="M24" s="1"/>
      <x:c r="N24" s="1"/>
      <x:c r="O24" s="1"/>
      <x:c r="P24" s="1"/>
      <x:c r="Q24" s="1"/>
      <x:c r="R24" s="1"/>
      <x:c r="S24" s="1"/>
      <x:c r="T24" s="1"/>
      <x:c r="U24" s="1"/>
      <x:c r="V24" s="1"/>
      <x:c r="W24" s="1"/>
      <x:c r="X24" s="1"/>
      <x:c r="Y24" s="1"/>
      <x:c r="Z24" s="1"/>
    </x:row>
    <x:row r="25">
      <x:c r="A25" s="17" t="str">
        <x:v>Homicide: Life on the Street</x:v>
      </x:c>
      <x:c r="B25" s="17" t="str">
        <x:v>Law &amp; Order</x:v>
      </x:c>
      <x:c r="C25" s="17" t="str">
        <x:v>connected</x:v>
      </x:c>
      <x:c r="D25" s="23" t="n">
        <x:v>138</x:v>
      </x:c>
      <x:c r="E25" s="23" t="n">
        <x:v>3</x:v>
      </x:c>
      <x:c r="F25" s="20" t="n">
        <x:v>33971</x:v>
      </x:c>
      <x:c r="G25" s="20" t="n">
        <x:v>38504</x:v>
      </x:c>
      <x:c r="H25" s="17" t="str">
        <x:v>homicide-life-on-the-street</x:v>
      </x:c>
      <x:c r="I25" s="17" t="str">
        <x:v>4440</x:v>
      </x:c>
      <x:c r="J25" s="17" t="str">
        <x:v>tt0106028</x:v>
      </x:c>
      <x:c r="K25" s="17" t="str">
        <x:v>Extended verified archive</x:v>
      </x:c>
      <x:c r="L25" s="53" t="str">
        <x:v>Direct crossover with Law &amp; Order; Munch bridge to SVU</x:v>
      </x:c>
      <x:c r="M25" s="1"/>
      <x:c r="N25" s="1"/>
      <x:c r="O25" s="1"/>
      <x:c r="P25" s="1"/>
      <x:c r="Q25" s="1"/>
      <x:c r="R25" s="1"/>
      <x:c r="S25" s="1"/>
      <x:c r="T25" s="1"/>
      <x:c r="U25" s="1"/>
      <x:c r="V25" s="1"/>
      <x:c r="W25" s="1"/>
      <x:c r="X25" s="1"/>
      <x:c r="Y25" s="1"/>
      <x:c r="Z25" s="1"/>
    </x:row>
    <x:row r="26">
      <x:c r="A26" s="17" t="str">
        <x:v>Homicide: The Movie</x:v>
      </x:c>
      <x:c r="B26" s="17" t="str">
        <x:v>Wolf Specials</x:v>
      </x:c>
      <x:c r="C26" s="17" t="str">
        <x:v>connected</x:v>
      </x:c>
      <x:c r="D26" s="23" t="n">
        <x:v>1</x:v>
      </x:c>
      <x:c r="E26" s="23" t="n">
        <x:v>1</x:v>
      </x:c>
      <x:c r="F26" s="20" t="n">
        <x:v>36569</x:v>
      </x:c>
      <x:c r="G26" s="20" t="n">
        <x:v>36569</x:v>
      </x:c>
      <x:c r="H26" s="17" t="str">
        <x:v>homicide-the-movie-2000</x:v>
      </x:c>
      <x:c r="I26" s="17" t="str">
        <x:v>19764</x:v>
      </x:c>
      <x:c r="J26" s="17" t="str">
        <x:v>tt0226771</x:v>
      </x:c>
      <x:c r="K26" s="17" t="str">
        <x:v>Extended verified archive</x:v>
      </x:c>
      <x:c r="L26" s="53" t="str">
        <x:v>Feature-length continuation and finale for Homicide: Life on the Street; part of the John Munch timeline.</x:v>
      </x:c>
      <x:c r="M26" s="1"/>
      <x:c r="N26" s="1"/>
      <x:c r="O26" s="1"/>
      <x:c r="P26" s="1"/>
      <x:c r="Q26" s="1"/>
      <x:c r="R26" s="1"/>
      <x:c r="S26" s="1"/>
      <x:c r="T26" s="1"/>
      <x:c r="U26" s="1"/>
      <x:c r="V26" s="1"/>
      <x:c r="W26" s="1"/>
      <x:c r="X26" s="1"/>
      <x:c r="Y26" s="1"/>
      <x:c r="Z26" s="1"/>
    </x:row>
    <x:row r="27">
      <x:c r="A27" s="17" t="str">
        <x:v>In Plain Sight</x:v>
      </x:c>
      <x:c r="B27" s="17" t="str">
        <x:v>Crossover Adjacent</x:v>
      </x:c>
      <x:c r="C27" s="17" t="str">
        <x:v>connected</x:v>
      </x:c>
      <x:c r="D27" s="23" t="n">
        <x:v>61</x:v>
      </x:c>
      <x:c r="E27" s="23" t="n">
        <x:v>0</x:v>
      </x:c>
      <x:c r="F27" s="20" t="n">
        <x:v>39600</x:v>
      </x:c>
      <x:c r="G27" s="20" t="n">
        <x:v>41033</x:v>
      </x:c>
      <x:c r="H27" s="17" t="str">
        <x:v>in-plain-sight</x:v>
      </x:c>
      <x:c r="I27" s="17" t="str">
        <x:v>7194</x:v>
      </x:c>
      <x:c r="J27" s="17" t="str">
        <x:v>tt0935095</x:v>
      </x:c>
      <x:c r="K27" s="17" t="str">
        <x:v>Extended verified archive</x:v>
      </x:c>
      <x:c r="L27" s="53" t="str">
        <x:v>SVU character crossover / shared Dick Wolf connection</x:v>
      </x:c>
      <x:c r="M27" s="1"/>
      <x:c r="N27" s="1"/>
      <x:c r="O27" s="1"/>
      <x:c r="P27" s="1"/>
      <x:c r="Q27" s="1"/>
      <x:c r="R27" s="1"/>
      <x:c r="S27" s="1"/>
      <x:c r="T27" s="1"/>
      <x:c r="U27" s="1"/>
      <x:c r="V27" s="1"/>
      <x:c r="W27" s="1"/>
      <x:c r="X27" s="1"/>
      <x:c r="Y27" s="1"/>
      <x:c r="Z27" s="1"/>
    </x:row>
    <x:row r="28">
      <x:c r="A28" s="17" t="str">
        <x:v>L.A. Dragnet</x:v>
      </x:c>
      <x:c r="B28" s="17" t="str">
        <x:v>Wolf Adjacent</x:v>
      </x:c>
      <x:c r="C28" s="17" t="str">
        <x:v>adjacent</x:v>
      </x:c>
      <x:c r="D28" s="23" t="n">
        <x:v>22</x:v>
      </x:c>
      <x:c r="E28" s="23" t="n">
        <x:v>0</x:v>
      </x:c>
      <x:c r="F28" s="20" t="n">
        <x:v>37654</x:v>
      </x:c>
      <x:c r="G28" s="20" t="n">
        <x:v>38325</x:v>
      </x:c>
      <x:c r="H28" s="17" t="str">
        <x:v>l-a-dragnet</x:v>
      </x:c>
      <x:c r="I28" s="17" t="str">
        <x:v>45133</x:v>
      </x:c>
      <x:c r="J28" s="17" t="str">
        <x:v>tt0319987</x:v>
      </x:c>
      <x:c r="K28" s="17" t="str">
        <x:v>Extended verified archive</x:v>
      </x:c>
      <x:c r="L28" s="53" t="str">
        <x:v>2003 Dick Wolf-created Dragnet revival; kept separate from the 1950s Dragnet.</x:v>
      </x:c>
      <x:c r="M28" s="1"/>
      <x:c r="N28" s="1"/>
      <x:c r="O28" s="1"/>
      <x:c r="P28" s="1"/>
      <x:c r="Q28" s="1"/>
      <x:c r="R28" s="1"/>
      <x:c r="S28" s="1"/>
      <x:c r="T28" s="1"/>
      <x:c r="U28" s="1"/>
      <x:c r="V28" s="1"/>
      <x:c r="W28" s="1"/>
      <x:c r="X28" s="1"/>
      <x:c r="Y28" s="1"/>
      <x:c r="Z28" s="1"/>
    </x:row>
    <x:row r="29">
      <x:c r="A29" s="17" t="str">
        <x:v>LA Fire &amp; Rescue</x:v>
      </x:c>
      <x:c r="B29" s="17" t="str">
        <x:v>Crossover Adjacent</x:v>
      </x:c>
      <x:c r="C29" s="17" t="str">
        <x:v>complete</x:v>
      </x:c>
      <x:c r="D29" s="23" t="n">
        <x:v>8</x:v>
      </x:c>
      <x:c r="E29" s="23" t="n">
        <x:v>0</x:v>
      </x:c>
      <x:c r="F29" s="20" t="n">
        <x:v>45099</x:v>
      </x:c>
      <x:c r="G29" s="20" t="n">
        <x:v>45148</x:v>
      </x:c>
      <x:c r="H29" s="17" t="str">
        <x:v>la-fire-rescue</x:v>
      </x:c>
      <x:c r="I29" s="17" t="str">
        <x:v>198562</x:v>
      </x:c>
      <x:c r="J29" s="17" t="str">
        <x:v>tt14663198</x:v>
      </x:c>
      <x:c r="K29" s="17" t="str">
        <x:v>Extended verified archive</x:v>
      </x:c>
      <x:c r="L29" s="53" t="str">
        <x:v>Wolf Entertainment first-responder docuseries</x:v>
      </x:c>
      <x:c r="M29" s="1"/>
      <x:c r="N29" s="1"/>
      <x:c r="O29" s="1"/>
      <x:c r="P29" s="1"/>
      <x:c r="Q29" s="1"/>
      <x:c r="R29" s="1"/>
      <x:c r="S29" s="1"/>
      <x:c r="T29" s="1"/>
      <x:c r="U29" s="1"/>
      <x:c r="V29" s="1"/>
      <x:c r="W29" s="1"/>
      <x:c r="X29" s="1"/>
      <x:c r="Y29" s="1"/>
      <x:c r="Z29" s="1"/>
    </x:row>
    <x:row r="30">
      <x:c r="A30" s="17" t="str">
        <x:v>Law &amp; Order</x:v>
      </x:c>
      <x:c r="B30" s="17" t="str">
        <x:v>Law &amp; Order</x:v>
      </x:c>
      <x:c r="C30" s="17" t="str">
        <x:v>core</x:v>
      </x:c>
      <x:c r="D30" s="23" t="n">
        <x:v>561</x:v>
      </x:c>
      <x:c r="E30" s="23" t="n">
        <x:v>9</x:v>
      </x:c>
      <x:c r="F30" s="20" t="n">
        <x:v>33129</x:v>
      </x:c>
      <x:c r="G30" s="20" t="n">
        <x:v>46304</x:v>
      </x:c>
      <x:c r="H30" s="17" t="str">
        <x:v>law-order</x:v>
      </x:c>
      <x:c r="I30" s="17" t="str">
        <x:v>548</x:v>
      </x:c>
      <x:c r="J30" s="17" t="str">
        <x:v>tt0098844</x:v>
      </x:c>
      <x:c r="K30" s="17" t="str">
        <x:v>IMDb list + Wolf Universe</x:v>
      </x:c>
      <x:c r="L30" s="53" t="str">
        <x:v>Core Law &amp; Order franchise</x:v>
      </x:c>
      <x:c r="M30" s="1"/>
      <x:c r="N30" s="1"/>
      <x:c r="O30" s="1"/>
      <x:c r="P30" s="1"/>
      <x:c r="Q30" s="1"/>
      <x:c r="R30" s="1"/>
      <x:c r="S30" s="1"/>
      <x:c r="T30" s="1"/>
      <x:c r="U30" s="1"/>
      <x:c r="V30" s="1"/>
      <x:c r="W30" s="1"/>
      <x:c r="X30" s="1"/>
      <x:c r="Y30" s="1"/>
      <x:c r="Z30" s="1"/>
    </x:row>
    <x:row r="31">
      <x:c r="A31" s="17" t="str">
        <x:v>Law &amp; Order Toronto: Criminal Intent</x:v>
      </x:c>
      <x:c r="B31" s="17" t="str">
        <x:v>Law &amp; Order</x:v>
      </x:c>
      <x:c r="C31" s="17" t="str">
        <x:v>core</x:v>
      </x:c>
      <x:c r="D31" s="23" t="n">
        <x:v>30</x:v>
      </x:c>
      <x:c r="E31" s="23" t="n">
        <x:v>0</x:v>
      </x:c>
      <x:c r="F31" s="20" t="n">
        <x:v>45344</x:v>
      </x:c>
      <x:c r="G31" s="20" t="n">
        <x:v>46157</x:v>
      </x:c>
      <x:c r="H31" s="17" t="str">
        <x:v>law-order-toronto-criminal-intent</x:v>
      </x:c>
      <x:c r="I31" s="17" t="str">
        <x:v>206488</x:v>
      </x:c>
      <x:c r="J31" s="17" t="str">
        <x:v>tt27954448</x:v>
      </x:c>
      <x:c r="K31" s="17" t="str">
        <x:v>Wolf Universe</x:v>
      </x:c>
      <x:c r="L31" s="53" t="str">
        <x:v>Law &amp; Order international franchise</x:v>
      </x:c>
      <x:c r="M31" s="1"/>
      <x:c r="N31" s="1"/>
      <x:c r="O31" s="1"/>
      <x:c r="P31" s="1"/>
      <x:c r="Q31" s="1"/>
      <x:c r="R31" s="1"/>
      <x:c r="S31" s="1"/>
      <x:c r="T31" s="1"/>
      <x:c r="U31" s="1"/>
      <x:c r="V31" s="1"/>
      <x:c r="W31" s="1"/>
      <x:c r="X31" s="1"/>
      <x:c r="Y31" s="1"/>
      <x:c r="Z31" s="1"/>
    </x:row>
    <x:row r="32">
      <x:c r="A32" s="17" t="str">
        <x:v>Law &amp; Order True Crime</x:v>
      </x:c>
      <x:c r="B32" s="17" t="str">
        <x:v>Law &amp; Order</x:v>
      </x:c>
      <x:c r="C32" s="17" t="str">
        <x:v>core</x:v>
      </x:c>
      <x:c r="D32" s="23" t="n">
        <x:v>8</x:v>
      </x:c>
      <x:c r="E32" s="23" t="n">
        <x:v>0</x:v>
      </x:c>
      <x:c r="F32" s="20" t="n">
        <x:v>43004</x:v>
      </x:c>
      <x:c r="G32" s="20" t="n">
        <x:v>43053</x:v>
      </x:c>
      <x:c r="H32" s="17" t="str">
        <x:v>law-order-true-crime</x:v>
      </x:c>
      <x:c r="I32" s="17" t="str">
        <x:v>119023</x:v>
      </x:c>
      <x:c r="J32" s="17" t="str">
        <x:v>tt6110318</x:v>
      </x:c>
      <x:c r="K32" s="17" t="str">
        <x:v>IMDb list</x:v>
      </x:c>
      <x:c r="L32" s="53" t="str">
        <x:v>Law &amp; Order anthology spinoff</x:v>
      </x:c>
      <x:c r="M32" s="1"/>
      <x:c r="N32" s="1"/>
      <x:c r="O32" s="1"/>
      <x:c r="P32" s="1"/>
      <x:c r="Q32" s="1"/>
      <x:c r="R32" s="1"/>
      <x:c r="S32" s="1"/>
      <x:c r="T32" s="1"/>
      <x:c r="U32" s="1"/>
      <x:c r="V32" s="1"/>
      <x:c r="W32" s="1"/>
      <x:c r="X32" s="1"/>
      <x:c r="Y32" s="1"/>
      <x:c r="Z32" s="1"/>
    </x:row>
    <x:row r="33">
      <x:c r="A33" s="17" t="str">
        <x:v>Law &amp; Order: Criminal Intent</x:v>
      </x:c>
      <x:c r="B33" s="17" t="str">
        <x:v>Law &amp; Order</x:v>
      </x:c>
      <x:c r="C33" s="17" t="str">
        <x:v>core</x:v>
      </x:c>
      <x:c r="D33" s="23" t="n">
        <x:v>197</x:v>
      </x:c>
      <x:c r="E33" s="23" t="n">
        <x:v>0</x:v>
      </x:c>
      <x:c r="F33" s="20" t="n">
        <x:v>37164</x:v>
      </x:c>
      <x:c r="G33" s="20" t="n">
        <x:v>40720</x:v>
      </x:c>
      <x:c r="H33" s="17" t="str">
        <x:v>law-order-criminal-intent</x:v>
      </x:c>
      <x:c r="I33" s="17" t="str">
        <x:v>4577</x:v>
      </x:c>
      <x:c r="J33" s="17" t="str">
        <x:v>tt0275140</x:v>
      </x:c>
      <x:c r="K33" s="17" t="str">
        <x:v>IMDb list + Wolf Universe</x:v>
      </x:c>
      <x:c r="L33" s="53" t="str">
        <x:v>Core Law &amp; Order franchise</x:v>
      </x:c>
      <x:c r="M33" s="1"/>
      <x:c r="N33" s="1"/>
      <x:c r="O33" s="1"/>
      <x:c r="P33" s="1"/>
      <x:c r="Q33" s="1"/>
      <x:c r="R33" s="1"/>
      <x:c r="S33" s="1"/>
      <x:c r="T33" s="1"/>
      <x:c r="U33" s="1"/>
      <x:c r="V33" s="1"/>
      <x:c r="W33" s="1"/>
      <x:c r="X33" s="1"/>
      <x:c r="Y33" s="1"/>
      <x:c r="Z33" s="1"/>
    </x:row>
    <x:row r="34">
      <x:c r="A34" s="17" t="str">
        <x:v>Law &amp; Order: LA</x:v>
      </x:c>
      <x:c r="B34" s="17" t="str">
        <x:v>Law &amp; Order</x:v>
      </x:c>
      <x:c r="C34" s="17" t="str">
        <x:v>core</x:v>
      </x:c>
      <x:c r="D34" s="23" t="n">
        <x:v>23</x:v>
      </x:c>
      <x:c r="E34" s="23" t="n">
        <x:v>0</x:v>
      </x:c>
      <x:c r="F34" s="20" t="n">
        <x:v>40429</x:v>
      </x:c>
      <x:c r="G34" s="20" t="n">
        <x:v>40735</x:v>
      </x:c>
      <x:c r="H34" s="17" t="str">
        <x:v>law-order-los-angeles</x:v>
      </x:c>
      <x:c r="I34" s="17" t="str">
        <x:v>32492</x:v>
      </x:c>
      <x:c r="J34" s="17" t="str">
        <x:v>tt1657081</x:v>
      </x:c>
      <x:c r="K34" s="17" t="str">
        <x:v>IMDb list + Wolf Universe</x:v>
      </x:c>
      <x:c r="L34" s="53" t="str">
        <x:v>Law &amp; Order franchise spinoff</x:v>
      </x:c>
      <x:c r="M34" s="1"/>
      <x:c r="N34" s="1"/>
      <x:c r="O34" s="1"/>
      <x:c r="P34" s="1"/>
      <x:c r="Q34" s="1"/>
      <x:c r="R34" s="1"/>
      <x:c r="S34" s="1"/>
      <x:c r="T34" s="1"/>
      <x:c r="U34" s="1"/>
      <x:c r="V34" s="1"/>
      <x:c r="W34" s="1"/>
      <x:c r="X34" s="1"/>
      <x:c r="Y34" s="1"/>
      <x:c r="Z34" s="1"/>
    </x:row>
    <x:row r="35">
      <x:c r="A35" s="17" t="str">
        <x:v>Law &amp; Order: Organized Crime</x:v>
      </x:c>
      <x:c r="B35" s="17" t="str">
        <x:v>Law &amp; Order</x:v>
      </x:c>
      <x:c r="C35" s="17" t="str">
        <x:v>core</x:v>
      </x:c>
      <x:c r="D35" s="23" t="n">
        <x:v>75</x:v>
      </x:c>
      <x:c r="E35" s="23" t="n">
        <x:v>7</x:v>
      </x:c>
      <x:c r="F35" s="20" t="n">
        <x:v>44287</x:v>
      </x:c>
      <x:c r="G35" s="20" t="n">
        <x:v>45820</x:v>
      </x:c>
      <x:c r="H35" s="17" t="str">
        <x:v>law-order-organized-crime</x:v>
      </x:c>
      <x:c r="I35" s="17" t="str">
        <x:v>162816</x:v>
      </x:c>
      <x:c r="J35" s="17" t="str">
        <x:v>tt12677870</x:v>
      </x:c>
      <x:c r="K35" s="17" t="str">
        <x:v>IMDb list + Wolf Universe</x:v>
      </x:c>
      <x:c r="L35" s="53" t="str">
        <x:v>Core Law &amp; Order franchise</x:v>
      </x:c>
      <x:c r="M35" s="1"/>
      <x:c r="N35" s="1"/>
      <x:c r="O35" s="1"/>
      <x:c r="P35" s="1"/>
      <x:c r="Q35" s="1"/>
      <x:c r="R35" s="1"/>
      <x:c r="S35" s="1"/>
      <x:c r="T35" s="1"/>
      <x:c r="U35" s="1"/>
      <x:c r="V35" s="1"/>
      <x:c r="W35" s="1"/>
      <x:c r="X35" s="1"/>
      <x:c r="Y35" s="1"/>
      <x:c r="Z35" s="1"/>
    </x:row>
    <x:row r="36">
      <x:c r="A36" s="17" t="str">
        <x:v>Law &amp; Order: Special Victims Unit</x:v>
      </x:c>
      <x:c r="B36" s="17" t="str">
        <x:v>Law &amp; Order</x:v>
      </x:c>
      <x:c r="C36" s="17" t="str">
        <x:v>core</x:v>
      </x:c>
      <x:c r="D36" s="23" t="n">
        <x:v>602</x:v>
      </x:c>
      <x:c r="E36" s="23" t="n">
        <x:v>16</x:v>
      </x:c>
      <x:c r="F36" s="20" t="n">
        <x:v>36423</x:v>
      </x:c>
      <x:c r="G36" s="20" t="n">
        <x:v>46304</x:v>
      </x:c>
      <x:c r="H36" s="17" t="str">
        <x:v>law-order-special-victims-unit</x:v>
      </x:c>
      <x:c r="I36" s="17" t="str">
        <x:v>2716</x:v>
      </x:c>
      <x:c r="J36" s="17" t="str">
        <x:v>tt0203259</x:v>
      </x:c>
      <x:c r="K36" s="17" t="str">
        <x:v>IMDb list + Wolf Universe</x:v>
      </x:c>
      <x:c r="L36" s="53" t="str">
        <x:v>Core Law &amp; Order franchise</x:v>
      </x:c>
      <x:c r="M36" s="1"/>
      <x:c r="N36" s="1"/>
      <x:c r="O36" s="1"/>
      <x:c r="P36" s="1"/>
      <x:c r="Q36" s="1"/>
      <x:c r="R36" s="1"/>
      <x:c r="S36" s="1"/>
      <x:c r="T36" s="1"/>
      <x:c r="U36" s="1"/>
      <x:c r="V36" s="1"/>
      <x:c r="W36" s="1"/>
      <x:c r="X36" s="1"/>
      <x:c r="Y36" s="1"/>
      <x:c r="Z36" s="1"/>
    </x:row>
    <x:row r="37">
      <x:c r="A37" s="17" t="str">
        <x:v>Law &amp; Order: Trial by Jury</x:v>
      </x:c>
      <x:c r="B37" s="17" t="str">
        <x:v>Law &amp; Order</x:v>
      </x:c>
      <x:c r="C37" s="17" t="str">
        <x:v>core</x:v>
      </x:c>
      <x:c r="D37" s="23" t="n">
        <x:v>15</x:v>
      </x:c>
      <x:c r="E37" s="23" t="n">
        <x:v>2</x:v>
      </x:c>
      <x:c r="F37" s="20" t="n">
        <x:v>38414</x:v>
      </x:c>
      <x:c r="G37" s="20" t="n">
        <x:v>38739</x:v>
      </x:c>
      <x:c r="H37" s="17" t="str">
        <x:v>law-order-trial-by-jury</x:v>
      </x:c>
      <x:c r="I37" s="17" t="str">
        <x:v>3335</x:v>
      </x:c>
      <x:c r="J37" s="17" t="str">
        <x:v>tt0406429</x:v>
      </x:c>
      <x:c r="K37" s="17" t="str">
        <x:v>IMDb list + Wolf Universe</x:v>
      </x:c>
      <x:c r="L37" s="53" t="str">
        <x:v>Core Law &amp; Order franchise</x:v>
      </x:c>
      <x:c r="M37" s="1"/>
      <x:c r="N37" s="1"/>
      <x:c r="O37" s="1"/>
      <x:c r="P37" s="1"/>
      <x:c r="Q37" s="1"/>
      <x:c r="R37" s="1"/>
      <x:c r="S37" s="1"/>
      <x:c r="T37" s="1"/>
      <x:c r="U37" s="1"/>
      <x:c r="V37" s="1"/>
      <x:c r="W37" s="1"/>
      <x:c r="X37" s="1"/>
      <x:c r="Y37" s="1"/>
      <x:c r="Z37" s="1"/>
    </x:row>
    <x:row r="38">
      <x:c r="A38" s="17" t="str">
        <x:v>Law &amp; Order: UK</x:v>
      </x:c>
      <x:c r="B38" s="17" t="str">
        <x:v>Law &amp; Order</x:v>
      </x:c>
      <x:c r="C38" s="17" t="str">
        <x:v>core</x:v>
      </x:c>
      <x:c r="D38" s="23" t="n">
        <x:v>53</x:v>
      </x:c>
      <x:c r="E38" s="23" t="n">
        <x:v>0</x:v>
      </x:c>
      <x:c r="F38" s="20" t="n">
        <x:v>39867</x:v>
      </x:c>
      <x:c r="G38" s="20" t="n">
        <x:v>41801</x:v>
      </x:c>
      <x:c r="H38" s="17" t="str">
        <x:v>law-order-uk</x:v>
      </x:c>
      <x:c r="I38" s="17" t="str">
        <x:v>7057</x:v>
      </x:c>
      <x:c r="J38" s="17" t="str">
        <x:v>tt1166893</x:v>
      </x:c>
      <x:c r="K38" s="17" t="str">
        <x:v>Extended verified archive</x:v>
      </x:c>
      <x:c r="L38" s="53" t="str">
        <x:v>Law &amp; Order format/franchise</x:v>
      </x:c>
      <x:c r="M38" s="1"/>
      <x:c r="N38" s="1"/>
      <x:c r="O38" s="1"/>
      <x:c r="P38" s="1"/>
      <x:c r="Q38" s="1"/>
      <x:c r="R38" s="1"/>
      <x:c r="S38" s="1"/>
      <x:c r="T38" s="1"/>
      <x:c r="U38" s="1"/>
      <x:c r="V38" s="1"/>
      <x:c r="W38" s="1"/>
      <x:c r="X38" s="1"/>
      <x:c r="Y38" s="1"/>
      <x:c r="Z38" s="1"/>
    </x:row>
    <x:row r="39">
      <x:c r="A39" s="17" t="str">
        <x:v>Mann &amp; Machine</x:v>
      </x:c>
      <x:c r="B39" s="17" t="str">
        <x:v>Crossover Adjacent</x:v>
      </x:c>
      <x:c r="C39" s="17" t="str">
        <x:v>complete</x:v>
      </x:c>
      <x:c r="D39" s="23" t="n">
        <x:v>9</x:v>
      </x:c>
      <x:c r="E39" s="23" t="n">
        <x:v>0</x:v>
      </x:c>
      <x:c r="F39" s="20" t="n">
        <x:v>33699</x:v>
      </x:c>
      <x:c r="G39" s="20" t="n">
        <x:v>33799</x:v>
      </x:c>
      <x:c r="H39" s="17" t="str">
        <x:v>mann-machine</x:v>
      </x:c>
      <x:c r="I39" s="17" t="str">
        <x:v>12430</x:v>
      </x:c>
      <x:c r="J39" s="17" t="str">
        <x:v>tt0103486</x:v>
      </x:c>
      <x:c r="K39" s="17" t="str">
        <x:v>Extended verified archive</x:v>
      </x:c>
      <x:c r="L39" s="53" t="str">
        <x:v>Early Dick Wolf sci-fi police series</x:v>
      </x:c>
      <x:c r="M39" s="1"/>
      <x:c r="N39" s="1"/>
      <x:c r="O39" s="1"/>
      <x:c r="P39" s="1"/>
      <x:c r="Q39" s="1"/>
      <x:c r="R39" s="1"/>
      <x:c r="S39" s="1"/>
      <x:c r="T39" s="1"/>
      <x:c r="U39" s="1"/>
      <x:c r="V39" s="1"/>
      <x:c r="W39" s="1"/>
      <x:c r="X39" s="1"/>
      <x:c r="Y39" s="1"/>
      <x:c r="Z39" s="1"/>
    </x:row>
    <x:row r="40">
      <x:c r="A40" s="17" t="str">
        <x:v>Nasty Boys</x:v>
      </x:c>
      <x:c r="B40" s="17" t="str">
        <x:v>Crossover Adjacent</x:v>
      </x:c>
      <x:c r="C40" s="17" t="str">
        <x:v>complete</x:v>
      </x:c>
      <x:c r="D40" s="23" t="n">
        <x:v>13</x:v>
      </x:c>
      <x:c r="E40" s="23" t="n">
        <x:v>0</x:v>
      </x:c>
      <x:c r="F40" s="20" t="n">
        <x:v>32773</x:v>
      </x:c>
      <x:c r="G40" s="20" t="n">
        <x:v>33074</x:v>
      </x:c>
      <x:c r="H40" s="17" t="str">
        <x:v>nasty-boys</x:v>
      </x:c>
      <x:c r="I40" s="17" t="str">
        <x:v>20819</x:v>
      </x:c>
      <x:c r="J40" s="17" t="str">
        <x:v>tt0098868</x:v>
      </x:c>
      <x:c r="K40" s="17" t="str">
        <x:v>Extended verified archive</x:v>
      </x:c>
      <x:c r="L40" s="53" t="str">
        <x:v>Dick Wolf-created police drama</x:v>
      </x:c>
      <x:c r="M40" s="1"/>
      <x:c r="N40" s="1"/>
      <x:c r="O40" s="1"/>
      <x:c r="P40" s="1"/>
      <x:c r="Q40" s="1"/>
      <x:c r="R40" s="1"/>
      <x:c r="S40" s="1"/>
      <x:c r="T40" s="1"/>
      <x:c r="U40" s="1"/>
      <x:c r="V40" s="1"/>
      <x:c r="W40" s="1"/>
      <x:c r="X40" s="1"/>
      <x:c r="Y40" s="1"/>
      <x:c r="Z40" s="1"/>
    </x:row>
    <x:row r="41">
      <x:c r="A41" s="17" t="str">
        <x:v>New York News</x:v>
      </x:c>
      <x:c r="B41" s="17" t="str">
        <x:v>Crossover Adjacent</x:v>
      </x:c>
      <x:c r="C41" s="17" t="str">
        <x:v>complete</x:v>
      </x:c>
      <x:c r="D41" s="23" t="n">
        <x:v>13</x:v>
      </x:c>
      <x:c r="E41" s="23" t="n">
        <x:v>0</x:v>
      </x:c>
      <x:c r="F41" s="20" t="n">
        <x:v>34970</x:v>
      </x:c>
      <x:c r="G41" s="20" t="n">
        <x:v>35033</x:v>
      </x:c>
      <x:c r="H41" s="17" t="str">
        <x:v>new-york-news</x:v>
      </x:c>
      <x:c r="I41" s="17" t="str">
        <x:v>11519</x:v>
      </x:c>
      <x:c r="J41" s="17" t="str">
        <x:v>tt0112094</x:v>
      </x:c>
      <x:c r="K41" s="17" t="str">
        <x:v>Extended verified archive</x:v>
      </x:c>
      <x:c r="L41" s="53" t="str">
        <x:v>Dick Wolf-produced New York drama</x:v>
      </x:c>
      <x:c r="M41" s="1"/>
      <x:c r="N41" s="1"/>
      <x:c r="O41" s="1"/>
      <x:c r="P41" s="1"/>
      <x:c r="Q41" s="1"/>
      <x:c r="R41" s="1"/>
      <x:c r="S41" s="1"/>
      <x:c r="T41" s="1"/>
      <x:c r="U41" s="1"/>
      <x:c r="V41" s="1"/>
      <x:c r="W41" s="1"/>
      <x:c r="X41" s="1"/>
      <x:c r="Y41" s="1"/>
      <x:c r="Z41" s="1"/>
    </x:row>
    <x:row r="42">
      <x:c r="A42" s="17" t="str">
        <x:v>New York Undercover</x:v>
      </x:c>
      <x:c r="B42" s="17" t="str">
        <x:v>Law &amp; Order</x:v>
      </x:c>
      <x:c r="C42" s="17" t="str">
        <x:v>connected</x:v>
      </x:c>
      <x:c r="D42" s="23" t="n">
        <x:v>89</x:v>
      </x:c>
      <x:c r="E42" s="23" t="n">
        <x:v>0</x:v>
      </x:c>
      <x:c r="F42" s="20" t="n">
        <x:v>34585</x:v>
      </x:c>
      <x:c r="G42" s="20" t="n">
        <x:v>36202</x:v>
      </x:c>
      <x:c r="H42" s="17" t="str">
        <x:v>new-york-undercover</x:v>
      </x:c>
      <x:c r="I42" s="17" t="str">
        <x:v>4016</x:v>
      </x:c>
      <x:c r="J42" s="17" t="str">
        <x:v>tt0108876</x:v>
      </x:c>
      <x:c r="K42" s="17" t="str">
        <x:v>Wolf Universe</x:v>
      </x:c>
      <x:c r="L42" s="53" t="str">
        <x:v>Wolf-produced New York police drama; crossover-adjacent to the Law &amp; Order era</x:v>
      </x:c>
      <x:c r="M42" s="1"/>
      <x:c r="N42" s="1"/>
      <x:c r="O42" s="1"/>
      <x:c r="P42" s="1"/>
      <x:c r="Q42" s="1"/>
      <x:c r="R42" s="1"/>
      <x:c r="S42" s="1"/>
      <x:c r="T42" s="1"/>
      <x:c r="U42" s="1"/>
      <x:c r="V42" s="1"/>
      <x:c r="W42" s="1"/>
      <x:c r="X42" s="1"/>
      <x:c r="Y42" s="1"/>
      <x:c r="Z42" s="1"/>
    </x:row>
    <x:row r="43">
      <x:c r="A43" s="17" t="str">
        <x:v>On Call</x:v>
      </x:c>
      <x:c r="B43" s="17" t="str">
        <x:v>Crossover Adjacent</x:v>
      </x:c>
      <x:c r="C43" s="17" t="str">
        <x:v>connected</x:v>
      </x:c>
      <x:c r="D43" s="23" t="n">
        <x:v>8</x:v>
      </x:c>
      <x:c r="E43" s="23" t="n">
        <x:v>0</x:v>
      </x:c>
      <x:c r="F43" s="20" t="n">
        <x:v>45666</x:v>
      </x:c>
      <x:c r="G43" s="20" t="n">
        <x:v>45666</x:v>
      </x:c>
      <x:c r="H43" s="17" t="str">
        <x:v>on-call</x:v>
      </x:c>
      <x:c r="I43" s="17" t="str">
        <x:v>217711</x:v>
      </x:c>
      <x:c r="J43" s="17" t="str">
        <x:v>tt14582876</x:v>
      </x:c>
      <x:c r="K43" s="17" t="str">
        <x:v>Extended verified archive</x:v>
      </x:c>
      <x:c r="L43" s="53" t="str">
        <x:v>Wolf Entertainment scripted police series; created by Elliot Wolf/Tim Walsh, executive produced by Dick Wolf</x:v>
      </x:c>
      <x:c r="M43" s="1"/>
      <x:c r="N43" s="1"/>
      <x:c r="O43" s="1"/>
      <x:c r="P43" s="1"/>
      <x:c r="Q43" s="1"/>
      <x:c r="R43" s="1"/>
      <x:c r="S43" s="1"/>
      <x:c r="T43" s="1"/>
      <x:c r="U43" s="1"/>
      <x:c r="V43" s="1"/>
      <x:c r="W43" s="1"/>
      <x:c r="X43" s="1"/>
      <x:c r="Y43" s="1"/>
      <x:c r="Z43" s="1"/>
    </x:row>
    <x:row r="44">
      <x:c r="A44" s="17" t="str">
        <x:v>Paris enquêtes criminelles</x:v>
      </x:c>
      <x:c r="B44" s="17" t="str">
        <x:v>Law &amp; Order</x:v>
      </x:c>
      <x:c r="C44" s="17" t="str">
        <x:v>complete</x:v>
      </x:c>
      <x:c r="D44" s="23" t="n">
        <x:v>20</x:v>
      </x:c>
      <x:c r="E44" s="23" t="n">
        <x:v>0</x:v>
      </x:c>
      <x:c r="F44" s="20" t="n">
        <x:v>39204</x:v>
      </x:c>
      <x:c r="G44" s="20" t="n">
        <x:v>39757</x:v>
      </x:c>
      <x:c r="H44" s="17" t="str">
        <x:v>paris-enquetes-criminelles</x:v>
      </x:c>
      <x:c r="I44" s="17" t="str">
        <x:v>14709</x:v>
      </x:c>
      <x:c r="J44" s="17" t="str">
        <x:v>tt1002919</x:v>
      </x:c>
      <x:c r="K44" s="17" t="str">
        <x:v>Extended verified archive</x:v>
      </x:c>
      <x:c r="L44" s="53" t="str">
        <x:v>French Law &amp; Order: Criminal Intent adaptation</x:v>
      </x:c>
      <x:c r="M44" s="1"/>
      <x:c r="N44" s="1"/>
      <x:c r="O44" s="1"/>
      <x:c r="P44" s="1"/>
      <x:c r="Q44" s="1"/>
      <x:c r="R44" s="1"/>
      <x:c r="S44" s="1"/>
      <x:c r="T44" s="1"/>
      <x:c r="U44" s="1"/>
      <x:c r="V44" s="1"/>
      <x:c r="W44" s="1"/>
      <x:c r="X44" s="1"/>
      <x:c r="Y44" s="1"/>
      <x:c r="Z44" s="1"/>
    </x:row>
    <x:row r="45">
      <x:c r="A45" s="17" t="str">
        <x:v>Players</x:v>
      </x:c>
      <x:c r="B45" s="17" t="str">
        <x:v>Crossover Adjacent</x:v>
      </x:c>
      <x:c r="C45" s="17" t="str">
        <x:v>complete</x:v>
      </x:c>
      <x:c r="D45" s="23" t="n">
        <x:v>18</x:v>
      </x:c>
      <x:c r="E45" s="23" t="n">
        <x:v>0</x:v>
      </x:c>
      <x:c r="F45" s="20" t="n">
        <x:v>35720</x:v>
      </x:c>
      <x:c r="G45" s="20" t="n">
        <x:v>35902</x:v>
      </x:c>
      <x:c r="H45" s="17" t="str">
        <x:v>players</x:v>
      </x:c>
      <x:c r="I45" s="17" t="str">
        <x:v>12406</x:v>
      </x:c>
      <x:c r="J45" s="17" t="str">
        <x:v>tt0118431</x:v>
      </x:c>
      <x:c r="K45" s="17" t="str">
        <x:v>Extended verified archive</x:v>
      </x:c>
      <x:c r="L45" s="53" t="str">
        <x:v>Dick Wolf crime drama</x:v>
      </x:c>
      <x:c r="M45" s="1"/>
      <x:c r="N45" s="1"/>
      <x:c r="O45" s="1"/>
      <x:c r="P45" s="1"/>
      <x:c r="Q45" s="1"/>
      <x:c r="R45" s="1"/>
      <x:c r="S45" s="1"/>
      <x:c r="T45" s="1"/>
      <x:c r="U45" s="1"/>
      <x:c r="V45" s="1"/>
      <x:c r="W45" s="1"/>
      <x:c r="X45" s="1"/>
      <x:c r="Y45" s="1"/>
      <x:c r="Z45" s="1"/>
    </x:row>
    <x:row r="46">
      <x:c r="A46" s="17" t="str">
        <x:v>South Beach</x:v>
      </x:c>
      <x:c r="B46" s="17" t="str">
        <x:v>Wolf Archive</x:v>
      </x:c>
      <x:c r="C46" s="17" t="str">
        <x:v>complete</x:v>
      </x:c>
      <x:c r="D46" s="23" t="n">
        <x:v>7</x:v>
      </x:c>
      <x:c r="E46" s="23" t="n">
        <x:v>1</x:v>
      </x:c>
      <x:c r="F46" s="20" t="n">
        <x:v>34126</x:v>
      </x:c>
      <x:c r="G46" s="20" t="n">
        <x:v>34200</x:v>
      </x:c>
      <x:c r="H46" s="17" t="str">
        <x:v>south-beach-1993</x:v>
      </x:c>
      <x:c r="I46" s="17" t="str">
        <x:v>12429</x:v>
      </x:c>
      <x:c r="J46" s="17" t="str">
        <x:v>tt0106141</x:v>
      </x:c>
      <x:c r="K46" s="17" t="str">
        <x:v>Extended verified archive</x:v>
      </x:c>
      <x:c r="L46" s="53" t="str">
        <x:v>1993 Dick Wolf/Bob DeLaurentis crime drama; the unrelated 2006 UPN series is excluded.</x:v>
      </x:c>
      <x:c r="M46" s="1"/>
      <x:c r="N46" s="1"/>
      <x:c r="O46" s="1"/>
      <x:c r="P46" s="1"/>
      <x:c r="Q46" s="1"/>
      <x:c r="R46" s="1"/>
      <x:c r="S46" s="1"/>
      <x:c r="T46" s="1"/>
      <x:c r="U46" s="1"/>
      <x:c r="V46" s="1"/>
      <x:c r="W46" s="1"/>
      <x:c r="X46" s="1"/>
      <x:c r="Y46" s="1"/>
      <x:c r="Z46" s="1"/>
    </x:row>
    <x:row r="47">
      <x:c r="A47" s="17" t="str">
        <x:v>Swift Justice</x:v>
      </x:c>
      <x:c r="B47" s="17" t="str">
        <x:v>Crossover Adjacent</x:v>
      </x:c>
      <x:c r="C47" s="17" t="str">
        <x:v>complete</x:v>
      </x:c>
      <x:c r="D47" s="23" t="n">
        <x:v>13</x:v>
      </x:c>
      <x:c r="E47" s="23" t="n">
        <x:v>0</x:v>
      </x:c>
      <x:c r="F47" s="20" t="n">
        <x:v>35137</x:v>
      </x:c>
      <x:c r="G47" s="20" t="n">
        <x:v>35263</x:v>
      </x:c>
      <x:c r="H47" s="17" t="str">
        <x:v>swift-justice</x:v>
      </x:c>
      <x:c r="I47" s="17" t="str">
        <x:v>17646</x:v>
      </x:c>
      <x:c r="J47" s="17" t="str">
        <x:v>tt0115380</x:v>
      </x:c>
      <x:c r="K47" s="17" t="str">
        <x:v>Extended verified archive</x:v>
      </x:c>
      <x:c r="L47" s="53" t="str">
        <x:v>Dick Wolf-created crime drama</x:v>
      </x:c>
      <x:c r="M47" s="1"/>
      <x:c r="N47" s="1"/>
      <x:c r="O47" s="1"/>
      <x:c r="P47" s="1"/>
      <x:c r="Q47" s="1"/>
      <x:c r="R47" s="1"/>
      <x:c r="S47" s="1"/>
      <x:c r="T47" s="1"/>
      <x:c r="U47" s="1"/>
      <x:c r="V47" s="1"/>
      <x:c r="W47" s="1"/>
      <x:c r="X47" s="1"/>
      <x:c r="Y47" s="1"/>
      <x:c r="Z47" s="1"/>
    </x:row>
    <x:row r="48">
      <x:c r="A48" s="17" t="str">
        <x:v>The Human Factor</x:v>
      </x:c>
      <x:c r="B48" s="17" t="str">
        <x:v>Crossover Adjacent</x:v>
      </x:c>
      <x:c r="C48" s="17" t="str">
        <x:v>complete</x:v>
      </x:c>
      <x:c r="D48" s="23" t="n">
        <x:v>8</x:v>
      </x:c>
      <x:c r="E48" s="23" t="n">
        <x:v>0</x:v>
      </x:c>
      <x:c r="F48" s="20" t="n">
        <x:v>33710</x:v>
      </x:c>
      <x:c r="G48" s="20" t="n">
        <x:v>33752</x:v>
      </x:c>
      <x:c r="H48" s="17" t="str">
        <x:v>the-human-factor</x:v>
      </x:c>
      <x:c r="I48" s="17" t="str">
        <x:v>28297</x:v>
      </x:c>
      <x:c r="J48" s="17" t="str">
        <x:v>tt0103446</x:v>
      </x:c>
      <x:c r="K48" s="17" t="str">
        <x:v>Extended verified archive</x:v>
      </x:c>
      <x:c r="L48" s="53" t="str">
        <x:v>Wolf Entertainment / Dick Wolf archive title</x:v>
      </x:c>
      <x:c r="M48" s="1"/>
      <x:c r="N48" s="1"/>
      <x:c r="O48" s="1"/>
      <x:c r="P48" s="1"/>
      <x:c r="Q48" s="1"/>
      <x:c r="R48" s="1"/>
      <x:c r="S48" s="1"/>
      <x:c r="T48" s="1"/>
      <x:c r="U48" s="1"/>
      <x:c r="V48" s="1"/>
      <x:c r="W48" s="1"/>
      <x:c r="X48" s="1"/>
      <x:c r="Y48" s="1"/>
      <x:c r="Z48" s="1"/>
    </x:row>
    <x:row r="49">
      <x:c r="A49" s="17" t="str">
        <x:v>The Invisible Man</x:v>
      </x:c>
      <x:c r="B49" s="17" t="str">
        <x:v>Wolf Specials</x:v>
      </x:c>
      <x:c r="C49" s="17" t="str">
        <x:v>complete</x:v>
      </x:c>
      <x:c r="D49" s="23" t="n">
        <x:v>1</x:v>
      </x:c>
      <x:c r="E49" s="23" t="n">
        <x:v>1</x:v>
      </x:c>
      <x:c r="F49" s="20" t="n">
        <x:v>35947</x:v>
      </x:c>
      <x:c r="G49" s="20" t="n">
        <x:v>35947</x:v>
      </x:c>
      <x:c r="H49" s="17" t="str">
        <x:v>the-invisible-man-1998</x:v>
      </x:c>
      <x:c r="I49" s="17" t="str">
        <x:v>1228600</x:v>
      </x:c>
      <x:c r="J49" s="17" t="str">
        <x:v>tt0275427</x:v>
      </x:c>
      <x:c r="K49" s="17" t="str">
        <x:v>Extended verified archive</x:v>
      </x:c>
      <x:c r="L49" s="53" t="str">
        <x:v>1998 Dick Wolf-produced television movie / unaired pilot; the unrelated 2000 series is excluded.</x:v>
      </x:c>
      <x:c r="M49" s="1"/>
      <x:c r="N49" s="1"/>
      <x:c r="O49" s="1"/>
      <x:c r="P49" s="1"/>
      <x:c r="Q49" s="1"/>
      <x:c r="R49" s="1"/>
      <x:c r="S49" s="1"/>
      <x:c r="T49" s="1"/>
      <x:c r="U49" s="1"/>
      <x:c r="V49" s="1"/>
      <x:c r="W49" s="1"/>
      <x:c r="X49" s="1"/>
      <x:c r="Y49" s="1"/>
      <x:c r="Z49" s="1"/>
    </x:row>
    <x:row r="50">
      <x:c r="A50" s="18" t="str">
        <x:v>The Wright Verdicts</x:v>
      </x:c>
      <x:c r="B50" s="18" t="str">
        <x:v>Crossover Adjacent</x:v>
      </x:c>
      <x:c r="C50" s="18" t="str">
        <x:v>complete</x:v>
      </x:c>
      <x:c r="D50" s="24" t="n">
        <x:v>7</x:v>
      </x:c>
      <x:c r="E50" s="24" t="n">
        <x:v>0</x:v>
      </x:c>
      <x:c r="F50" s="21" t="n">
        <x:v>34789</x:v>
      </x:c>
      <x:c r="G50" s="21" t="n">
        <x:v>34861</x:v>
      </x:c>
      <x:c r="H50" s="18" t="str">
        <x:v>the-wright-verdicts</x:v>
      </x:c>
      <x:c r="I50" s="18" t="str">
        <x:v>24481</x:v>
      </x:c>
      <x:c r="J50" s="18" t="str">
        <x:v>tt0112229</x:v>
      </x:c>
      <x:c r="K50" s="18" t="str">
        <x:v>Extended verified archive</x:v>
      </x:c>
      <x:c r="L50" s="54" t="str">
        <x:v>Dick Wolf-created legal drama</x:v>
      </x:c>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L2"/>
    <x:mergeCell ref="A3:L3"/>
  </x:mergeCells>
  <x:conditionalFormatting sqref="C5:C50">
    <x:cfRule type="containsText" dxfId="8" priority="1" operator="containsText" text="core"/>
    <x:cfRule type="containsText" dxfId="9" priority="2" operator="containsText" text="connected"/>
  </x:conditionalFormatting>
  <x:conditionalFormatting sqref="K5:K50">
    <x:cfRule type="notContainsBlanks" dxfId="10" priority="3"/>
  </x:conditionalFormatting>
  <x:pageMargins left="0.7" right="0.7" top="0.75" bottom="0.75" header="0.3" footer="0.3"/>
  <x:tableParts count="1">
    <x:tablePart xmlns:r="http://schemas.openxmlformats.org/officeDocument/2006/relationships" r:id="R3168a814a804466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1" hidden="0" customWidth="1"/>
    <x:col min="4" max="4" width="16" hidden="0" customWidth="1"/>
    <x:col min="5" max="5" width="16" hidden="0" customWidth="1"/>
    <x:col min="6" max="6" width="28" hidden="0" customWidth="1"/>
    <x:col min="7" max="7" width="3" hidden="0" customWidth="1"/>
    <x:col min="8" max="8" width="27" hidden="0" customWidth="1"/>
    <x:col min="9" max="9" width="18" hidden="0" customWidth="1"/>
    <x:col min="10" max="10" width="20" hidden="0" customWidth="1"/>
    <x:col min="11" max="11" width="18" hidden="0" customWidth="1"/>
    <x:col min="12" max="12" width="18" hidden="0" customWidth="1"/>
  </x:cols>
  <x:sheetData>
    <x:row r="1" ht="30" customHeight="1">
      <x:c r="A1" s="5" t="str">
        <x:v>Connected-Account Trakt Lists</x:v>
      </x:c>
      <x:c r="B1" s="5" t="str">
        <x:v>Connected-Account Trakt Lists</x:v>
      </x:c>
      <x:c r="C1" s="5" t="str">
        <x:v>Connected-Account Trakt Lists</x:v>
      </x:c>
      <x:c r="D1" s="5" t="str">
        <x:v>Connected-Account Trakt Lists</x:v>
      </x:c>
      <x:c r="E1" s="5" t="str">
        <x:v>Connected-Account Trakt Lists</x:v>
      </x:c>
      <x:c r="F1" s="5" t="str">
        <x:v>Connected-Account Trakt Lists</x:v>
      </x:c>
      <x:c r="G1" s="5" t="str">
        <x:v>Connected-Account Trakt Lists</x:v>
      </x:c>
      <x:c r="H1" s="5" t="str">
        <x:v>Connected-Account Trakt Lists</x:v>
      </x:c>
      <x:c r="I1" s="5" t="str">
        <x:v>Connected-Account Trakt Lists</x:v>
      </x:c>
      <x:c r="J1" s="5" t="str">
        <x:v>Connected-Account Trakt Lists</x:v>
      </x:c>
      <x:c r="K1" s="5" t="str">
        <x:v>Connected-Account Trakt Lists</x:v>
      </x:c>
      <x:c r="L1" s="5" t="str">
        <x:v>Connected-Account Trakt Lists</x:v>
      </x:c>
      <x:c r="M1" s="1"/>
      <x:c r="N1" s="1"/>
      <x:c r="O1" s="1"/>
      <x:c r="P1" s="1"/>
      <x:c r="Q1" s="1"/>
      <x:c r="R1" s="1"/>
      <x:c r="S1" s="1"/>
      <x:c r="T1" s="1"/>
      <x:c r="U1" s="1"/>
      <x:c r="V1" s="1"/>
      <x:c r="W1" s="1"/>
      <x:c r="X1" s="1"/>
      <x:c r="Y1" s="1"/>
      <x:c r="Z1" s="1"/>
    </x:row>
    <x:row r="2" ht="30" customHeight="1">
      <x:c r="A2" s="5" t="str">
        <x:v>Connected-Account Trakt Lists</x:v>
      </x:c>
      <x:c r="B2" s="5" t="str">
        <x:v>Connected-Account Trakt Lists</x:v>
      </x:c>
      <x:c r="C2" s="5" t="str">
        <x:v>Connected-Account Trakt Lists</x:v>
      </x:c>
      <x:c r="D2" s="5" t="str">
        <x:v>Connected-Account Trakt Lists</x:v>
      </x:c>
      <x:c r="E2" s="5" t="str">
        <x:v>Connected-Account Trakt Lists</x:v>
      </x:c>
      <x:c r="F2" s="5" t="str">
        <x:v>Connected-Account Trakt Lists</x:v>
      </x:c>
      <x:c r="G2" s="5" t="str">
        <x:v>Connected-Account Trakt Lists</x:v>
      </x:c>
      <x:c r="H2" s="5" t="str">
        <x:v>Connected-Account Trakt Lists</x:v>
      </x:c>
      <x:c r="I2" s="5" t="str">
        <x:v>Connected-Account Trakt Lists</x:v>
      </x:c>
      <x:c r="J2" s="5" t="str">
        <x:v>Connected-Account Trakt Lists</x:v>
      </x:c>
      <x:c r="K2" s="5" t="str">
        <x:v>Connected-Account Trakt Lists</x:v>
      </x:c>
      <x:c r="L2" s="5" t="str">
        <x:v>Connected-Account Trakt Lists</x:v>
      </x:c>
      <x:c r="M2" s="1"/>
      <x:c r="N2" s="1"/>
      <x:c r="O2" s="1"/>
      <x:c r="P2" s="1"/>
      <x:c r="Q2" s="1"/>
      <x:c r="R2" s="1"/>
      <x:c r="S2" s="1"/>
      <x:c r="T2" s="1"/>
      <x:c r="U2" s="1"/>
      <x:c r="V2" s="1"/>
      <x:c r="W2" s="1"/>
      <x:c r="X2" s="1"/>
      <x:c r="Y2" s="1"/>
      <x:c r="Z2" s="1"/>
    </x:row>
    <x:row r="3" ht="24" customHeight="1">
      <x:c r="A3" s="10" t="str">
        <x:v>The companion app can create a custom Trakt list from the titles selected by the signed-in user—without exposing Trakt tokens to the browser.</x:v>
      </x:c>
      <x:c r="B3" s="10" t="str">
        <x:v>The companion app can create a custom Trakt list from the titles selected by the signed-in user—without exposing Trakt tokens to the browser.</x:v>
      </x:c>
      <x:c r="C3" s="10" t="str">
        <x:v>The companion app can create a custom Trakt list from the titles selected by the signed-in user—without exposing Trakt tokens to the browser.</x:v>
      </x:c>
      <x:c r="D3" s="10" t="str">
        <x:v>The companion app can create a custom Trakt list from the titles selected by the signed-in user—without exposing Trakt tokens to the browser.</x:v>
      </x:c>
      <x:c r="E3" s="10" t="str">
        <x:v>The companion app can create a custom Trakt list from the titles selected by the signed-in user—without exposing Trakt tokens to the browser.</x:v>
      </x:c>
      <x:c r="F3" s="10" t="str">
        <x:v>The companion app can create a custom Trakt list from the titles selected by the signed-in user—without exposing Trakt tokens to the browser.</x:v>
      </x:c>
      <x:c r="G3" s="10" t="str">
        <x:v>The companion app can create a custom Trakt list from the titles selected by the signed-in user—without exposing Trakt tokens to the browser.</x:v>
      </x:c>
      <x:c r="H3" s="10" t="str">
        <x:v>The companion app can create a custom Trakt list from the titles selected by the signed-in user—without exposing Trakt tokens to the browser.</x:v>
      </x:c>
      <x:c r="I3" s="10" t="str">
        <x:v>The companion app can create a custom Trakt list from the titles selected by the signed-in user—without exposing Trakt tokens to the browser.</x:v>
      </x:c>
      <x:c r="J3" s="10" t="str">
        <x:v>The companion app can create a custom Trakt list from the titles selected by the signed-in user—without exposing Trakt tokens to the browser.</x:v>
      </x:c>
      <x:c r="K3" s="10" t="str">
        <x:v>The companion app can create a custom Trakt list from the titles selected by the signed-in user—without exposing Trakt tokens to the browser.</x:v>
      </x:c>
      <x:c r="L3" s="10" t="str">
        <x:v>The companion app can create a custom Trakt list from the titles selected by the signed-in user—without exposing Trakt tokens to the browser.</x:v>
      </x:c>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24" customHeight="1">
      <x:c r="A5" s="157" t="str">
        <x:v>Workflow</x:v>
      </x:c>
      <x:c r="B5" s="157"/>
      <x:c r="C5" s="157"/>
      <x:c r="D5" s="157"/>
      <x:c r="E5" s="157"/>
      <x:c r="F5" s="157"/>
      <x:c r="G5" s="1"/>
      <x:c r="H5" s="196" t="str">
        <x:v>Current identifier coverage</x:v>
      </x:c>
      <x:c r="I5" s="196"/>
      <x:c r="J5" s="196"/>
      <x:c r="K5" s="196"/>
      <x:c r="L5" s="196"/>
      <x:c r="M5" s="1"/>
      <x:c r="N5" s="1"/>
      <x:c r="O5" s="1"/>
      <x:c r="P5" s="1"/>
      <x:c r="Q5" s="1"/>
      <x:c r="R5" s="1"/>
      <x:c r="S5" s="1"/>
      <x:c r="T5" s="1"/>
      <x:c r="U5" s="1"/>
      <x:c r="V5" s="1"/>
      <x:c r="W5" s="1"/>
      <x:c r="X5" s="1"/>
      <x:c r="Y5" s="1"/>
      <x:c r="Z5" s="1"/>
    </x:row>
    <x:row r="6" ht="28" customHeight="1">
      <x:c r="A6" s="14" t="str">
        <x:v>Step</x:v>
      </x:c>
      <x:c r="B6" s="14" t="str">
        <x:v>Action</x:v>
      </x:c>
      <x:c r="C6" s="14" t="str"/>
      <x:c r="D6" s="14" t="str"/>
      <x:c r="E6" s="14" t="str"/>
      <x:c r="F6" s="14" t="str">
        <x:v>Result</x:v>
      </x:c>
      <x:c r="G6" s="1"/>
      <x:c r="H6" s="202" t="str">
        <x:v>Titles with usable IDs</x:v>
      </x:c>
      <x:c r="I6" s="163" t="n">
        <x:v>46</x:v>
      </x:c>
      <x:c r="J6" s="163" t="str">
        <x:v>of 46</x:v>
      </x:c>
      <x:c r="K6" s="1"/>
      <x:c r="L6" s="1"/>
      <x:c r="M6" s="1"/>
      <x:c r="N6" s="1"/>
      <x:c r="O6" s="1"/>
      <x:c r="P6" s="1"/>
      <x:c r="Q6" s="1"/>
      <x:c r="R6" s="1"/>
      <x:c r="S6" s="1"/>
      <x:c r="T6" s="1"/>
      <x:c r="U6" s="1"/>
      <x:c r="V6" s="1"/>
      <x:c r="W6" s="1"/>
      <x:c r="X6" s="1"/>
      <x:c r="Y6" s="1"/>
      <x:c r="Z6" s="1"/>
    </x:row>
    <x:row r="7" ht="32" customHeight="1">
      <x:c r="A7" s="249" t="n">
        <x:v>1</x:v>
      </x:c>
      <x:c r="B7" s="245" t="str">
        <x:v>Sign in with Trakt from the Account panel.</x:v>
      </x:c>
      <x:c r="C7" s="245"/>
      <x:c r="D7" s="245"/>
      <x:c r="E7" s="245"/>
      <x:c r="F7" s="245" t="str">
        <x:v>A server session is established.</x:v>
      </x:c>
      <x:c r="G7" s="1"/>
      <x:c r="H7" s="203" t="str">
        <x:v>Episode / film Trakt IDs</x:v>
      </x:c>
      <x:c r="I7" s="166" t="n">
        <x:v>3558</x:v>
      </x:c>
      <x:c r="J7" s="166" t="str">
        <x:v>of 3571</x:v>
      </x:c>
      <x:c r="K7" s="1"/>
      <x:c r="L7" s="1"/>
      <x:c r="M7" s="1"/>
      <x:c r="N7" s="1"/>
      <x:c r="O7" s="1"/>
      <x:c r="P7" s="1"/>
      <x:c r="Q7" s="1"/>
      <x:c r="R7" s="1"/>
      <x:c r="S7" s="1"/>
      <x:c r="T7" s="1"/>
      <x:c r="U7" s="1"/>
      <x:c r="V7" s="1"/>
      <x:c r="W7" s="1"/>
      <x:c r="X7" s="1"/>
      <x:c r="Y7" s="1"/>
      <x:c r="Z7" s="1"/>
    </x:row>
    <x:row r="8" ht="32" customHeight="1">
      <x:c r="A8" s="250" t="n">
        <x:v>2</x:v>
      </x:c>
      <x:c r="B8" s="246" t="str">
        <x:v>Open Create Trakt list and select a scope, current filter, or individual titles.</x:v>
      </x:c>
      <x:c r="C8" s="246"/>
      <x:c r="D8" s="246"/>
      <x:c r="E8" s="246"/>
      <x:c r="F8" s="246" t="str">
        <x:v>The item estimate updates before saving.</x:v>
      </x:c>
      <x:c r="G8" s="1"/>
      <x:c r="H8" s="203" t="str">
        <x:v>IMDb fallback supported</x:v>
      </x:c>
      <x:c r="I8" s="166" t="str">
        <x:v>Yes</x:v>
      </x:c>
      <x:c r="J8" s="166" t="str">
        <x:v>for films such as Exiled</x:v>
      </x:c>
      <x:c r="K8" s="1"/>
      <x:c r="L8" s="1"/>
      <x:c r="M8" s="1"/>
      <x:c r="N8" s="1"/>
      <x:c r="O8" s="1"/>
      <x:c r="P8" s="1"/>
      <x:c r="Q8" s="1"/>
      <x:c r="R8" s="1"/>
      <x:c r="S8" s="1"/>
      <x:c r="T8" s="1"/>
      <x:c r="U8" s="1"/>
      <x:c r="V8" s="1"/>
      <x:c r="W8" s="1"/>
      <x:c r="X8" s="1"/>
      <x:c r="Y8" s="1"/>
      <x:c r="Z8" s="1"/>
    </x:row>
    <x:row r="9" ht="32" customHeight="1">
      <x:c r="A9" s="250" t="n">
        <x:v>3</x:v>
      </x:c>
      <x:c r="B9" s="246" t="str">
        <x:v>Choose Titles only or Chronological episodes, then set privacy and specials.</x:v>
      </x:c>
      <x:c r="C9" s="246"/>
      <x:c r="D9" s="246"/>
      <x:c r="E9" s="246"/>
      <x:c r="F9" s="246" t="str">
        <x:v>The intended list contents are explicit.</x:v>
      </x:c>
      <x:c r="G9" s="1"/>
      <x:c r="H9" s="204" t="str">
        <x:v>Per-request safety cap</x:v>
      </x:c>
      <x:c r="I9" s="169" t="n">
        <x:v>5000</x:v>
      </x:c>
      <x:c r="J9" s="169" t="str">
        <x:v>items</x:v>
      </x:c>
      <x:c r="K9" s="1"/>
      <x:c r="L9" s="1"/>
      <x:c r="M9" s="1"/>
      <x:c r="N9" s="1"/>
      <x:c r="O9" s="1"/>
      <x:c r="P9" s="1"/>
      <x:c r="Q9" s="1"/>
      <x:c r="R9" s="1"/>
      <x:c r="S9" s="1"/>
      <x:c r="T9" s="1"/>
      <x:c r="U9" s="1"/>
      <x:c r="V9" s="1"/>
      <x:c r="W9" s="1"/>
      <x:c r="X9" s="1"/>
      <x:c r="Y9" s="1"/>
      <x:c r="Z9" s="1"/>
    </x:row>
    <x:row r="10" ht="54" customHeight="1">
      <x:c r="A10" s="251" t="n">
        <x:v>4</x:v>
      </x:c>
      <x:c r="B10" s="247" t="str">
        <x:v>Save the list.</x:v>
      </x:c>
      <x:c r="C10" s="247"/>
      <x:c r="D10" s="247"/>
      <x:c r="E10" s="247"/>
      <x:c r="F10" s="247" t="str">
        <x:v>The server validates IDs, verifies every add response, rolls back incomplete lists, and returns the final Trakt URL.</x:v>
      </x:c>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24" customHeight="1">
      <x:c r="A13" s="160" t="str">
        <x:v>Available list modes</x:v>
      </x:c>
      <x:c r="B13" s="160"/>
      <x:c r="C13" s="160"/>
      <x:c r="D13" s="160"/>
      <x:c r="E13" s="160"/>
      <x:c r="F13" s="160"/>
      <x:c r="G13" s="1"/>
      <x:c r="H13" s="200" t="str">
        <x:v>Security and failure handling</x:v>
      </x:c>
      <x:c r="I13" s="200"/>
      <x:c r="J13" s="200"/>
      <x:c r="K13" s="200"/>
      <x:c r="L13" s="200"/>
      <x:c r="M13" s="1"/>
      <x:c r="N13" s="1"/>
      <x:c r="O13" s="1"/>
      <x:c r="P13" s="1"/>
      <x:c r="Q13" s="1"/>
      <x:c r="R13" s="1"/>
      <x:c r="S13" s="1"/>
      <x:c r="T13" s="1"/>
      <x:c r="U13" s="1"/>
      <x:c r="V13" s="1"/>
      <x:c r="W13" s="1"/>
      <x:c r="X13" s="1"/>
      <x:c r="Y13" s="1"/>
      <x:c r="Z13" s="1"/>
    </x:row>
    <x:row r="14" ht="28" customHeight="1">
      <x:c r="A14" s="59" t="str">
        <x:v>Mode</x:v>
      </x:c>
      <x:c r="B14" s="59" t="str">
        <x:v>What is saved</x:v>
      </x:c>
      <x:c r="C14" s="59" t="str">
        <x:v>Best use</x:v>
      </x:c>
      <x:c r="D14" s="1"/>
      <x:c r="E14" s="1"/>
      <x:c r="F14" s="1"/>
      <x:c r="G14" s="1"/>
      <x:c r="H14" s="270" t="str">
        <x:v>• Same-origin and authenticated-session checks
• Trakt tokens remain server-side and are refreshed when required
• Show selections are resolved only against the bundled verified guide
• Scheduled/unaired episode items require explicit opt-in
• Added, existing, and not-found counts are verified
• Incomplete new lists are rolled back instead of reported as successful</x:v>
      </x:c>
      <x:c r="I14" s="271"/>
      <x:c r="J14" s="271"/>
      <x:c r="K14" s="271"/>
      <x:c r="L14" s="272"/>
      <x:c r="M14" s="1"/>
      <x:c r="N14" s="1"/>
      <x:c r="O14" s="1"/>
      <x:c r="P14" s="1"/>
      <x:c r="Q14" s="1"/>
      <x:c r="R14" s="1"/>
      <x:c r="S14" s="1"/>
      <x:c r="T14" s="1"/>
      <x:c r="U14" s="1"/>
      <x:c r="V14" s="1"/>
      <x:c r="W14" s="1"/>
      <x:c r="X14" s="1"/>
      <x:c r="Y14" s="1"/>
      <x:c r="Z14" s="1"/>
    </x:row>
    <x:row r="15" ht="42" customHeight="1">
      <x:c r="A15" s="181" t="str">
        <x:v>Titles only</x:v>
      </x:c>
      <x:c r="B15" s="181" t="str">
        <x:v>One show/movie entry per selected title</x:v>
      </x:c>
      <x:c r="C15" s="181" t="str">
        <x:v>Build a clean franchise watchlist</x:v>
      </x:c>
      <x:c r="D15" s="1"/>
      <x:c r="E15" s="1"/>
      <x:c r="F15" s="1"/>
      <x:c r="G15" s="1"/>
      <x:c r="H15" s="273"/>
      <x:c r="I15" s="274"/>
      <x:c r="J15" s="274"/>
      <x:c r="K15" s="274"/>
      <x:c r="L15" s="275"/>
      <x:c r="M15" s="1"/>
      <x:c r="N15" s="1"/>
      <x:c r="O15" s="1"/>
      <x:c r="P15" s="1"/>
      <x:c r="Q15" s="1"/>
      <x:c r="R15" s="1"/>
      <x:c r="S15" s="1"/>
      <x:c r="T15" s="1"/>
      <x:c r="U15" s="1"/>
      <x:c r="V15" s="1"/>
      <x:c r="W15" s="1"/>
      <x:c r="X15" s="1"/>
      <x:c r="Y15" s="1"/>
      <x:c r="Z15" s="1"/>
    </x:row>
    <x:row r="16" ht="42" customHeight="1">
      <x:c r="A16" s="182" t="str">
        <x:v>Chronological episodes</x:v>
      </x:c>
      <x:c r="B16" s="182" t="str">
        <x:v>Each selected episode/film in guide order</x:v>
      </x:c>
      <x:c r="C16" s="182" t="str">
        <x:v>Follow the integrated timeline</x:v>
      </x:c>
      <x:c r="D16" s="1"/>
      <x:c r="E16" s="1"/>
      <x:c r="F16" s="1"/>
      <x:c r="G16" s="1"/>
      <x:c r="H16" s="273"/>
      <x:c r="I16" s="274"/>
      <x:c r="J16" s="274"/>
      <x:c r="K16" s="274"/>
      <x:c r="L16" s="275"/>
      <x:c r="M16" s="1"/>
      <x:c r="N16" s="1"/>
      <x:c r="O16" s="1"/>
      <x:c r="P16" s="1"/>
      <x:c r="Q16" s="1"/>
      <x:c r="R16" s="1"/>
      <x:c r="S16" s="1"/>
      <x:c r="T16" s="1"/>
      <x:c r="U16" s="1"/>
      <x:c r="V16" s="1"/>
      <x:c r="W16" s="1"/>
      <x:c r="X16" s="1"/>
      <x:c r="Y16" s="1"/>
      <x:c r="Z16" s="1"/>
    </x:row>
    <x:row r="17" ht="42" customHeight="1">
      <x:c r="A17" s="183" t="str">
        <x:v>Include specials</x:v>
      </x:c>
      <x:c r="B17" s="183" t="str">
        <x:v>Season-zero specials and films are retained</x:v>
      </x:c>
      <x:c r="C17" s="183" t="str">
        <x:v>Preserve crossover-adjacent movies and pilots</x:v>
      </x:c>
      <x:c r="D17" s="1"/>
      <x:c r="E17" s="1"/>
      <x:c r="F17" s="1"/>
      <x:c r="G17" s="1"/>
      <x:c r="H17" s="273"/>
      <x:c r="I17" s="274"/>
      <x:c r="J17" s="274"/>
      <x:c r="K17" s="274"/>
      <x:c r="L17" s="275"/>
      <x:c r="M17" s="1"/>
      <x:c r="N17" s="1"/>
      <x:c r="O17" s="1"/>
      <x:c r="P17" s="1"/>
      <x:c r="Q17" s="1"/>
      <x:c r="R17" s="1"/>
      <x:c r="S17" s="1"/>
      <x:c r="T17" s="1"/>
      <x:c r="U17" s="1"/>
      <x:c r="V17" s="1"/>
      <x:c r="W17" s="1"/>
      <x:c r="X17" s="1"/>
      <x:c r="Y17" s="1"/>
      <x:c r="Z17" s="1"/>
    </x:row>
    <x:row r="18">
      <x:c r="A18" s="1"/>
      <x:c r="B18" s="1"/>
      <x:c r="C18" s="1"/>
      <x:c r="D18" s="1"/>
      <x:c r="E18" s="1"/>
      <x:c r="F18" s="1"/>
      <x:c r="G18" s="1"/>
      <x:c r="H18" s="273"/>
      <x:c r="I18" s="274"/>
      <x:c r="J18" s="274"/>
      <x:c r="K18" s="274"/>
      <x:c r="L18" s="275"/>
      <x:c r="M18" s="1"/>
      <x:c r="N18" s="1"/>
      <x:c r="O18" s="1"/>
      <x:c r="P18" s="1"/>
      <x:c r="Q18" s="1"/>
      <x:c r="R18" s="1"/>
      <x:c r="S18" s="1"/>
      <x:c r="T18" s="1"/>
      <x:c r="U18" s="1"/>
      <x:c r="V18" s="1"/>
      <x:c r="W18" s="1"/>
      <x:c r="X18" s="1"/>
      <x:c r="Y18" s="1"/>
      <x:c r="Z18" s="1"/>
    </x:row>
    <x:row r="19">
      <x:c r="A19" s="1"/>
      <x:c r="B19" s="1"/>
      <x:c r="C19" s="1"/>
      <x:c r="D19" s="1"/>
      <x:c r="E19" s="1"/>
      <x:c r="F19" s="1"/>
      <x:c r="G19" s="1"/>
      <x:c r="H19" s="276"/>
      <x:c r="I19" s="277"/>
      <x:c r="J19" s="277"/>
      <x:c r="K19" s="277"/>
      <x:c r="L19" s="278"/>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280" t="str">
        <x:v>Official API reference: https://trakt.docs.apiary.io/</x:v>
      </x:c>
      <x:c r="B21" s="280"/>
      <x:c r="C21" s="280"/>
      <x:c r="D21" s="280"/>
      <x:c r="E21" s="280"/>
      <x:c r="F21" s="280"/>
      <x:c r="G21" s="280"/>
      <x:c r="H21" s="280"/>
      <x:c r="I21" s="280"/>
      <x:c r="J21" s="280"/>
      <x:c r="K21" s="280"/>
      <x:c r="L21" s="280"/>
      <x:c r="M21" s="1"/>
      <x:c r="N21" s="1"/>
      <x:c r="O21" s="1"/>
      <x:c r="P21" s="1"/>
      <x:c r="Q21" s="1"/>
      <x:c r="R21" s="1"/>
      <x:c r="S21" s="1"/>
      <x:c r="T21" s="1"/>
      <x:c r="U21" s="1"/>
      <x:c r="V21" s="1"/>
      <x:c r="W21" s="1"/>
      <x:c r="X21" s="1"/>
      <x:c r="Y21" s="1"/>
      <x:c r="Z21" s="1"/>
    </x:row>
    <x:row r="22">
      <x:c r="A22" s="283" t="str">
        <x:v>Deployment note: configure the documented Vercel/Supabase/Trakt environment variables. Credentials and personal tokens are intentionally excluded from this release.</x:v>
      </x:c>
      <x:c r="B22" s="283"/>
      <x:c r="C22" s="283"/>
      <x:c r="D22" s="283"/>
      <x:c r="E22" s="283"/>
      <x:c r="F22" s="283"/>
      <x:c r="G22" s="283"/>
      <x:c r="H22" s="283"/>
      <x:c r="I22" s="283"/>
      <x:c r="J22" s="283"/>
      <x:c r="K22" s="283"/>
      <x:c r="L22" s="283"/>
      <x:c r="M22" s="1"/>
      <x:c r="N22" s="1"/>
      <x:c r="O22" s="1"/>
      <x:c r="P22" s="1"/>
      <x:c r="Q22" s="1"/>
      <x:c r="R22" s="1"/>
      <x:c r="S22" s="1"/>
      <x:c r="T22" s="1"/>
      <x:c r="U22" s="1"/>
      <x:c r="V22" s="1"/>
      <x:c r="W22" s="1"/>
      <x:c r="X22" s="1"/>
      <x:c r="Y22" s="1"/>
      <x:c r="Z22" s="1"/>
    </x:row>
    <x:row r="23">
      <x:c r="A23" s="283"/>
      <x:c r="B23" s="283"/>
      <x:c r="C23" s="283"/>
      <x:c r="D23" s="283"/>
      <x:c r="E23" s="283"/>
      <x:c r="F23" s="283"/>
      <x:c r="G23" s="283"/>
      <x:c r="H23" s="283"/>
      <x:c r="I23" s="283"/>
      <x:c r="J23" s="283"/>
      <x:c r="K23" s="283"/>
      <x:c r="L23" s="283"/>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L2"/>
    <x:mergeCell ref="A3:L3"/>
    <x:mergeCell ref="A5:F5"/>
    <x:mergeCell ref="B6:E6"/>
    <x:mergeCell ref="B7:E7"/>
    <x:mergeCell ref="B8:E8"/>
    <x:mergeCell ref="B9:E9"/>
    <x:mergeCell ref="B10:E10"/>
    <x:mergeCell ref="H5:L5"/>
    <x:mergeCell ref="A13:F13"/>
    <x:mergeCell ref="H13:L13"/>
    <x:mergeCell ref="H14:L19"/>
    <x:mergeCell ref="A21:L21"/>
    <x:mergeCell ref="A22:L2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30" customHeight="1">
      <x:c r="A1" s="5" t="str">
        <x:v>Catalogue Methodology &amp; Sources</x:v>
      </x:c>
      <x:c r="B1" s="5" t="str">
        <x:v>Catalogue Methodology &amp; Sources</x:v>
      </x:c>
      <x:c r="C1" s="5" t="str">
        <x:v>Catalogue Methodology &amp; Sources</x:v>
      </x:c>
      <x:c r="D1" s="5" t="str">
        <x:v>Catalogue Methodology &amp; Sources</x:v>
      </x:c>
      <x:c r="E1" s="5" t="str">
        <x:v>Catalogue Methodology &amp; Sources</x:v>
      </x:c>
      <x:c r="F1" s="5" t="str">
        <x:v>Catalogue Methodology &amp; Sources</x:v>
      </x:c>
      <x:c r="G1" s="5" t="str">
        <x:v>Catalogue Methodology &amp; Sources</x:v>
      </x:c>
      <x:c r="H1" s="5" t="str">
        <x:v>Catalogue Methodology &amp; Sources</x:v>
      </x:c>
      <x:c r="I1" s="5" t="str">
        <x:v>Catalogue Methodology &amp; Sources</x:v>
      </x:c>
      <x:c r="J1" s="5" t="str">
        <x:v>Catalogue Methodology &amp; Sources</x:v>
      </x:c>
      <x:c r="K1" s="5" t="str">
        <x:v>Catalogue Methodology &amp; Sources</x:v>
      </x:c>
      <x:c r="L1" s="5" t="str">
        <x:v>Catalogue Methodology &amp; Sources</x:v>
      </x:c>
      <x:c r="M1" s="1"/>
      <x:c r="N1" s="1"/>
      <x:c r="O1" s="1"/>
      <x:c r="P1" s="1"/>
      <x:c r="Q1" s="1"/>
      <x:c r="R1" s="1"/>
      <x:c r="S1" s="1"/>
      <x:c r="T1" s="1"/>
      <x:c r="U1" s="1"/>
      <x:c r="V1" s="1"/>
      <x:c r="W1" s="1"/>
      <x:c r="X1" s="1"/>
      <x:c r="Y1" s="1"/>
      <x:c r="Z1" s="1"/>
    </x:row>
    <x:row r="2" ht="30" customHeight="1">
      <x:c r="A2" s="5" t="str">
        <x:v>Catalogue Methodology &amp; Sources</x:v>
      </x:c>
      <x:c r="B2" s="5" t="str">
        <x:v>Catalogue Methodology &amp; Sources</x:v>
      </x:c>
      <x:c r="C2" s="5" t="str">
        <x:v>Catalogue Methodology &amp; Sources</x:v>
      </x:c>
      <x:c r="D2" s="5" t="str">
        <x:v>Catalogue Methodology &amp; Sources</x:v>
      </x:c>
      <x:c r="E2" s="5" t="str">
        <x:v>Catalogue Methodology &amp; Sources</x:v>
      </x:c>
      <x:c r="F2" s="5" t="str">
        <x:v>Catalogue Methodology &amp; Sources</x:v>
      </x:c>
      <x:c r="G2" s="5" t="str">
        <x:v>Catalogue Methodology &amp; Sources</x:v>
      </x:c>
      <x:c r="H2" s="5" t="str">
        <x:v>Catalogue Methodology &amp; Sources</x:v>
      </x:c>
      <x:c r="I2" s="5" t="str">
        <x:v>Catalogue Methodology &amp; Sources</x:v>
      </x:c>
      <x:c r="J2" s="5" t="str">
        <x:v>Catalogue Methodology &amp; Sources</x:v>
      </x:c>
      <x:c r="K2" s="5" t="str">
        <x:v>Catalogue Methodology &amp; Sources</x:v>
      </x:c>
      <x:c r="L2" s="5" t="str">
        <x:v>Catalogue Methodology &amp; Sources</x:v>
      </x:c>
      <x:c r="M2" s="1"/>
      <x:c r="N2" s="1"/>
      <x:c r="O2" s="1"/>
      <x:c r="P2" s="1"/>
      <x:c r="Q2" s="1"/>
      <x:c r="R2" s="1"/>
      <x:c r="S2" s="1"/>
      <x:c r="T2" s="1"/>
      <x:c r="U2" s="1"/>
      <x:c r="V2" s="1"/>
      <x:c r="W2" s="1"/>
      <x:c r="X2" s="1"/>
      <x:c r="Y2" s="1"/>
      <x:c r="Z2" s="1"/>
    </x:row>
    <x:row r="3" ht="24" customHeight="1">
      <x:c r="A3" s="10" t="str">
        <x:v>A concise audit trail for the v4 corrections and relationship metadata. Source URLs are plain text for portability and review.</x:v>
      </x:c>
      <x:c r="B3" s="10" t="str">
        <x:v>A concise audit trail for the v4 corrections and relationship metadata. Source URLs are plain text for portability and review.</x:v>
      </x:c>
      <x:c r="C3" s="10" t="str">
        <x:v>A concise audit trail for the v4 corrections and relationship metadata. Source URLs are plain text for portability and review.</x:v>
      </x:c>
      <x:c r="D3" s="10" t="str">
        <x:v>A concise audit trail for the v4 corrections and relationship metadata. Source URLs are plain text for portability and review.</x:v>
      </x:c>
      <x:c r="E3" s="10" t="str">
        <x:v>A concise audit trail for the v4 corrections and relationship metadata. Source URLs are plain text for portability and review.</x:v>
      </x:c>
      <x:c r="F3" s="10" t="str">
        <x:v>A concise audit trail for the v4 corrections and relationship metadata. Source URLs are plain text for portability and review.</x:v>
      </x:c>
      <x:c r="G3" s="10" t="str">
        <x:v>A concise audit trail for the v4 corrections and relationship metadata. Source URLs are plain text for portability and review.</x:v>
      </x:c>
      <x:c r="H3" s="10" t="str">
        <x:v>A concise audit trail for the v4 corrections and relationship metadata. Source URLs are plain text for portability and review.</x:v>
      </x:c>
      <x:c r="I3" s="10" t="str">
        <x:v>A concise audit trail for the v4 corrections and relationship metadata. Source URLs are plain text for portability and review.</x:v>
      </x:c>
      <x:c r="J3" s="10" t="str">
        <x:v>A concise audit trail for the v4 corrections and relationship metadata. Source URLs are plain text for portability and review.</x:v>
      </x:c>
      <x:c r="K3" s="10" t="str">
        <x:v>A concise audit trail for the v4 corrections and relationship metadata. Source URLs are plain text for portability and review.</x:v>
      </x:c>
      <x:c r="L3" s="10" t="str">
        <x:v>A concise audit trail for the v4 corrections and relationship metadata. Source URLs are plain text for portability and review.</x:v>
      </x:c>
      <x:c r="M3" s="1"/>
      <x:c r="N3" s="1"/>
      <x:c r="O3" s="1"/>
      <x:c r="P3" s="1"/>
      <x:c r="Q3" s="1"/>
      <x:c r="R3" s="1"/>
      <x:c r="S3" s="1"/>
      <x:c r="T3" s="1"/>
      <x:c r="U3" s="1"/>
      <x:c r="V3" s="1"/>
      <x:c r="W3" s="1"/>
      <x:c r="X3" s="1"/>
      <x:c r="Y3" s="1"/>
      <x:c r="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row>
    <x:row r="5" ht="24" customHeight="1">
      <x:c r="A5" s="160" t="str">
        <x:v>Key audit findings</x:v>
      </x:c>
      <x:c r="B5" s="160"/>
      <x:c r="C5" s="160"/>
      <x:c r="D5" s="160"/>
      <x:c r="E5" s="160"/>
      <x:c r="F5" s="160"/>
      <x:c r="G5" s="160"/>
      <x:c r="H5" s="160"/>
      <x:c r="I5" s="160"/>
      <x:c r="J5" s="160"/>
      <x:c r="K5" s="160"/>
      <x:c r="L5" s="160"/>
      <x:c r="M5" s="1"/>
      <x:c r="N5" s="1"/>
      <x:c r="O5" s="1"/>
      <x:c r="P5" s="1"/>
      <x:c r="Q5" s="1"/>
      <x:c r="R5" s="1"/>
      <x:c r="S5" s="1"/>
      <x:c r="T5" s="1"/>
      <x:c r="U5" s="1"/>
      <x:c r="V5" s="1"/>
      <x:c r="W5" s="1"/>
      <x:c r="X5" s="1"/>
      <x:c r="Y5" s="1"/>
      <x:c r="Z5" s="1"/>
    </x:row>
    <x:row r="6">
      <x:c r="A6" s="187" t="str">
        <x:v>Blood &amp; Money</x:v>
      </x:c>
      <x:c r="B6" s="187"/>
      <x:c r="C6" s="187"/>
      <x:c r="D6" s="245" t="str">
        <x:v>Confirmed as the 2023 Dick Wolf-created Oxygen series; the unrelated 1981 title was removed.</x:v>
      </x:c>
      <x:c r="E6" s="245"/>
      <x:c r="F6" s="245"/>
      <x:c r="G6" s="245"/>
      <x:c r="H6" s="245"/>
      <x:c r="I6" s="245"/>
      <x:c r="J6" s="245"/>
      <x:c r="K6" s="245"/>
      <x:c r="L6" s="245"/>
      <x:c r="M6" s="1"/>
      <x:c r="N6" s="1"/>
      <x:c r="O6" s="1"/>
      <x:c r="P6" s="1"/>
      <x:c r="Q6" s="1"/>
      <x:c r="R6" s="1"/>
      <x:c r="S6" s="1"/>
      <x:c r="T6" s="1"/>
      <x:c r="U6" s="1"/>
      <x:c r="V6" s="1"/>
      <x:c r="W6" s="1"/>
      <x:c r="X6" s="1"/>
      <x:c r="Y6" s="1"/>
      <x:c r="Z6" s="1"/>
    </x:row>
    <x:row r="7">
      <x:c r="A7" s="188" t="str">
        <x:v>South Beach</x:v>
      </x:c>
      <x:c r="B7" s="188"/>
      <x:c r="C7" s="188"/>
      <x:c r="D7" s="246" t="str">
        <x:v>Corrected to the 1993 NBC Dick Wolf/Bob DeLaurentis crime drama; seven produced episodes are listed, with the seventh flagged unaired.</x:v>
      </x:c>
      <x:c r="E7" s="246"/>
      <x:c r="F7" s="246"/>
      <x:c r="G7" s="246"/>
      <x:c r="H7" s="246"/>
      <x:c r="I7" s="246"/>
      <x:c r="J7" s="246"/>
      <x:c r="K7" s="246"/>
      <x:c r="L7" s="246"/>
      <x:c r="M7" s="1"/>
      <x:c r="N7" s="1"/>
      <x:c r="O7" s="1"/>
      <x:c r="P7" s="1"/>
      <x:c r="Q7" s="1"/>
      <x:c r="R7" s="1"/>
      <x:c r="S7" s="1"/>
      <x:c r="T7" s="1"/>
      <x:c r="U7" s="1"/>
      <x:c r="V7" s="1"/>
      <x:c r="W7" s="1"/>
      <x:c r="X7" s="1"/>
      <x:c r="Y7" s="1"/>
      <x:c r="Z7" s="1"/>
    </x:row>
    <x:row r="8">
      <x:c r="A8" s="188" t="str">
        <x:v>The Invisible Man</x:v>
      </x:c>
      <x:c r="B8" s="188"/>
      <x:c r="C8" s="188"/>
      <x:c r="D8" s="246" t="str">
        <x:v>Corrected to the 1998 Dick Wolf-produced television movie / unaired pilot; the unrelated 2000 series was removed.</x:v>
      </x:c>
      <x:c r="E8" s="246"/>
      <x:c r="F8" s="246"/>
      <x:c r="G8" s="246"/>
      <x:c r="H8" s="246"/>
      <x:c r="I8" s="246"/>
      <x:c r="J8" s="246"/>
      <x:c r="K8" s="246"/>
      <x:c r="L8" s="246"/>
      <x:c r="M8" s="1"/>
      <x:c r="N8" s="1"/>
      <x:c r="O8" s="1"/>
      <x:c r="P8" s="1"/>
      <x:c r="Q8" s="1"/>
      <x:c r="R8" s="1"/>
      <x:c r="S8" s="1"/>
      <x:c r="T8" s="1"/>
      <x:c r="U8" s="1"/>
      <x:c r="V8" s="1"/>
      <x:c r="W8" s="1"/>
      <x:c r="X8" s="1"/>
      <x:c r="Y8" s="1"/>
      <x:c r="Z8" s="1"/>
    </x:row>
    <x:row r="9">
      <x:c r="A9" s="188" t="str">
        <x:v>Dragnet</x:v>
      </x:c>
      <x:c r="B9" s="188"/>
      <x:c r="C9" s="188"/>
      <x:c r="D9" s="246" t="str">
        <x:v>The unrelated 1951 series was removed; L.A. Dragnet (2003) remains in the extended archive.</x:v>
      </x:c>
      <x:c r="E9" s="246"/>
      <x:c r="F9" s="246"/>
      <x:c r="G9" s="246"/>
      <x:c r="H9" s="246"/>
      <x:c r="I9" s="246"/>
      <x:c r="J9" s="246"/>
      <x:c r="K9" s="246"/>
      <x:c r="L9" s="246"/>
      <x:c r="M9" s="1"/>
      <x:c r="N9" s="1"/>
      <x:c r="O9" s="1"/>
      <x:c r="P9" s="1"/>
      <x:c r="Q9" s="1"/>
      <x:c r="R9" s="1"/>
      <x:c r="S9" s="1"/>
      <x:c r="T9" s="1"/>
      <x:c r="U9" s="1"/>
      <x:c r="V9" s="1"/>
      <x:c r="W9" s="1"/>
      <x:c r="X9" s="1"/>
      <x:c r="Y9" s="1"/>
      <x:c r="Z9" s="1"/>
    </x:row>
    <x:row r="10">
      <x:c r="A10" s="188" t="str">
        <x:v>Exiled / duplicate films</x:v>
      </x:c>
      <x:c r="B10" s="188"/>
      <x:c r="C10" s="188"/>
      <x:c r="D10" s="246" t="str">
        <x:v>Exiled was corrected to IMDb tt0164023 with an 84-minute runtime; repeated Exiled and Homicide: The Movie rows were collapsed to one canonical film item each.</x:v>
      </x:c>
      <x:c r="E10" s="246"/>
      <x:c r="F10" s="246"/>
      <x:c r="G10" s="246"/>
      <x:c r="H10" s="246"/>
      <x:c r="I10" s="246"/>
      <x:c r="J10" s="246"/>
      <x:c r="K10" s="246"/>
      <x:c r="L10" s="246"/>
      <x:c r="M10" s="1"/>
      <x:c r="N10" s="1"/>
      <x:c r="O10" s="1"/>
      <x:c r="P10" s="1"/>
      <x:c r="Q10" s="1"/>
      <x:c r="R10" s="1"/>
      <x:c r="S10" s="1"/>
      <x:c r="T10" s="1"/>
      <x:c r="U10" s="1"/>
      <x:c r="V10" s="1"/>
      <x:c r="W10" s="1"/>
      <x:c r="X10" s="1"/>
      <x:c r="Y10" s="1"/>
      <x:c r="Z10" s="1"/>
    </x:row>
    <x:row r="11">
      <x:c r="A11" s="189" t="str">
        <x:v>Supplied-source coverage</x:v>
      </x:c>
      <x:c r="B11" s="189"/>
      <x:c r="C11" s="189"/>
      <x:c r="D11" s="247" t="str">
        <x:v>All 15 IMDb-list titles and all 19 Wolf Universe page titles are present.</x:v>
      </x:c>
      <x:c r="E11" s="247"/>
      <x:c r="F11" s="247"/>
      <x:c r="G11" s="247"/>
      <x:c r="H11" s="247"/>
      <x:c r="I11" s="247"/>
      <x:c r="J11" s="247"/>
      <x:c r="K11" s="247"/>
      <x:c r="L11" s="247"/>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24" customHeight="1">
      <x:c r="A13" s="157" t="str">
        <x:v>Relationship metadata policy</x:v>
      </x:c>
      <x:c r="B13" s="157"/>
      <x:c r="C13" s="157"/>
      <x:c r="D13" s="157"/>
      <x:c r="E13" s="157"/>
      <x:c r="F13" s="157"/>
      <x:c r="G13" s="157"/>
      <x:c r="H13" s="157"/>
      <x:c r="I13" s="157"/>
      <x:c r="J13" s="157"/>
      <x:c r="K13" s="157"/>
      <x:c r="L13" s="157"/>
      <x:c r="M13" s="1"/>
      <x:c r="N13" s="1"/>
      <x:c r="O13" s="1"/>
      <x:c r="P13" s="1"/>
      <x:c r="Q13" s="1"/>
      <x:c r="R13" s="1"/>
      <x:c r="S13" s="1"/>
      <x:c r="T13" s="1"/>
      <x:c r="U13" s="1"/>
      <x:c r="V13" s="1"/>
      <x:c r="W13" s="1"/>
      <x:c r="X13" s="1"/>
      <x:c r="Y13" s="1"/>
      <x:c r="Z13" s="1"/>
    </x:row>
    <x:row r="14">
      <x:c r="A14" s="304" t="str">
        <x:v>Curated relationship tags are applied to source-backed crossover events, backdoor pilots, continuations, and character bridges. Multi-episode titles with explicit Roman-numeral parts are tagged conservatively as story arcs and labelled ‘title inference’ rather than treated as sourced crossover facts. Every tagged row exposes its type, event, part number, narrative role, related episodes, evidence URL, and confidence.</x:v>
      </x:c>
      <x:c r="B14" s="305"/>
      <x:c r="C14" s="305"/>
      <x:c r="D14" s="305"/>
      <x:c r="E14" s="305"/>
      <x:c r="F14" s="305"/>
      <x:c r="G14" s="305"/>
      <x:c r="H14" s="305"/>
      <x:c r="I14" s="305"/>
      <x:c r="J14" s="305"/>
      <x:c r="K14" s="305"/>
      <x:c r="L14" s="306"/>
      <x:c r="M14" s="1"/>
      <x:c r="N14" s="1"/>
      <x:c r="O14" s="1"/>
      <x:c r="P14" s="1"/>
      <x:c r="Q14" s="1"/>
      <x:c r="R14" s="1"/>
      <x:c r="S14" s="1"/>
      <x:c r="T14" s="1"/>
      <x:c r="U14" s="1"/>
      <x:c r="V14" s="1"/>
      <x:c r="W14" s="1"/>
      <x:c r="X14" s="1"/>
      <x:c r="Y14" s="1"/>
      <x:c r="Z14" s="1"/>
    </x:row>
    <x:row r="15">
      <x:c r="A15" s="307"/>
      <x:c r="B15" s="308"/>
      <x:c r="C15" s="308"/>
      <x:c r="D15" s="308"/>
      <x:c r="E15" s="308"/>
      <x:c r="F15" s="308"/>
      <x:c r="G15" s="308"/>
      <x:c r="H15" s="308"/>
      <x:c r="I15" s="308"/>
      <x:c r="J15" s="308"/>
      <x:c r="K15" s="308"/>
      <x:c r="L15" s="309"/>
      <x:c r="M15" s="1"/>
      <x:c r="N15" s="1"/>
      <x:c r="O15" s="1"/>
      <x:c r="P15" s="1"/>
      <x:c r="Q15" s="1"/>
      <x:c r="R15" s="1"/>
      <x:c r="S15" s="1"/>
      <x:c r="T15" s="1"/>
      <x:c r="U15" s="1"/>
      <x:c r="V15" s="1"/>
      <x:c r="W15" s="1"/>
      <x:c r="X15" s="1"/>
      <x:c r="Y15" s="1"/>
      <x:c r="Z15" s="1"/>
    </x:row>
    <x:row r="16">
      <x:c r="A16" s="310"/>
      <x:c r="B16" s="311"/>
      <x:c r="C16" s="311"/>
      <x:c r="D16" s="311"/>
      <x:c r="E16" s="311"/>
      <x:c r="F16" s="311"/>
      <x:c r="G16" s="311"/>
      <x:c r="H16" s="311"/>
      <x:c r="I16" s="311"/>
      <x:c r="J16" s="311"/>
      <x:c r="K16" s="311"/>
      <x:c r="L16" s="312"/>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24" customHeight="1">
      <x:c r="A18" s="196" t="str">
        <x:v>Principal sources</x:v>
      </x:c>
      <x:c r="B18" s="196"/>
      <x:c r="C18" s="196"/>
      <x:c r="D18" s="196"/>
      <x:c r="E18" s="196"/>
      <x:c r="F18" s="196"/>
      <x:c r="G18" s="196"/>
      <x:c r="H18" s="196"/>
      <x:c r="I18" s="196"/>
      <x:c r="J18" s="196"/>
      <x:c r="K18" s="196"/>
      <x:c r="L18" s="196"/>
      <x:c r="M18" s="1"/>
      <x:c r="N18" s="1"/>
      <x:c r="O18" s="1"/>
      <x:c r="P18" s="1"/>
      <x:c r="Q18" s="1"/>
      <x:c r="R18" s="1"/>
      <x:c r="S18" s="1"/>
      <x:c r="T18" s="1"/>
      <x:c r="U18" s="1"/>
      <x:c r="V18" s="1"/>
      <x:c r="W18" s="1"/>
      <x:c r="X18" s="1"/>
      <x:c r="Y18" s="1"/>
      <x:c r="Z18" s="1"/>
    </x:row>
    <x:row r="19" ht="28" customHeight="1">
      <x:c r="A19" s="316" t="str">
        <x:v>Source</x:v>
      </x:c>
      <x:c r="B19" s="316" t="str">
        <x:v>Use</x:v>
      </x:c>
      <x:c r="C19" s="316" t="str">
        <x:v>URL</x:v>
      </x:c>
      <x:c r="D19" s="316"/>
      <x:c r="E19" s="316"/>
      <x:c r="F19" s="316"/>
      <x:c r="G19" s="316"/>
      <x:c r="H19" s="316"/>
      <x:c r="I19" s="316"/>
      <x:c r="J19" s="316"/>
      <x:c r="K19" s="316"/>
      <x:c r="L19" s="316"/>
      <x:c r="M19" s="1"/>
      <x:c r="N19" s="1"/>
      <x:c r="O19" s="1"/>
      <x:c r="P19" s="1"/>
      <x:c r="Q19" s="1"/>
      <x:c r="R19" s="1"/>
      <x:c r="S19" s="1"/>
      <x:c r="T19" s="1"/>
      <x:c r="U19" s="1"/>
      <x:c r="V19" s="1"/>
      <x:c r="W19" s="1"/>
      <x:c r="X19" s="1"/>
      <x:c r="Y19" s="1"/>
      <x:c r="Z19" s="1"/>
    </x:row>
    <x:row r="20">
      <x:c r="A20" s="317" t="str">
        <x:v>IMDb supplied list</x:v>
      </x:c>
      <x:c r="B20" s="245" t="str">
        <x:v>Required title coverage</x:v>
      </x:c>
      <x:c r="C20" s="245" t="str">
        <x:v>https://www.imdb.com/list/ls563325462/</x:v>
      </x:c>
      <x:c r="D20" s="245"/>
      <x:c r="E20" s="245"/>
      <x:c r="F20" s="245"/>
      <x:c r="G20" s="245"/>
      <x:c r="H20" s="245"/>
      <x:c r="I20" s="245"/>
      <x:c r="J20" s="245"/>
      <x:c r="K20" s="245"/>
      <x:c r="L20" s="245"/>
      <x:c r="M20" s="1"/>
      <x:c r="N20" s="1"/>
      <x:c r="O20" s="1"/>
      <x:c r="P20" s="1"/>
      <x:c r="Q20" s="1"/>
      <x:c r="R20" s="1"/>
      <x:c r="S20" s="1"/>
      <x:c r="T20" s="1"/>
      <x:c r="U20" s="1"/>
      <x:c r="V20" s="1"/>
      <x:c r="W20" s="1"/>
      <x:c r="X20" s="1"/>
      <x:c r="Y20" s="1"/>
      <x:c r="Z20" s="1"/>
    </x:row>
    <x:row r="21">
      <x:c r="A21" s="318" t="str">
        <x:v>Wolf Universe</x:v>
      </x:c>
      <x:c r="B21" s="246" t="str">
        <x:v>Connected-universe title coverage</x:v>
      </x:c>
      <x:c r="C21" s="246" t="str">
        <x:v>https://one-chicago-fbi.fandom.com/wiki/Wolf_Universe</x:v>
      </x:c>
      <x:c r="D21" s="246"/>
      <x:c r="E21" s="246"/>
      <x:c r="F21" s="246"/>
      <x:c r="G21" s="246"/>
      <x:c r="H21" s="246"/>
      <x:c r="I21" s="246"/>
      <x:c r="J21" s="246"/>
      <x:c r="K21" s="246"/>
      <x:c r="L21" s="246"/>
      <x:c r="M21" s="1"/>
      <x:c r="N21" s="1"/>
      <x:c r="O21" s="1"/>
      <x:c r="P21" s="1"/>
      <x:c r="Q21" s="1"/>
      <x:c r="R21" s="1"/>
      <x:c r="S21" s="1"/>
      <x:c r="T21" s="1"/>
      <x:c r="U21" s="1"/>
      <x:c r="V21" s="1"/>
      <x:c r="W21" s="1"/>
      <x:c r="X21" s="1"/>
      <x:c r="Y21" s="1"/>
      <x:c r="Z21" s="1"/>
    </x:row>
    <x:row r="22">
      <x:c r="A22" s="318" t="str">
        <x:v>Crossovers &amp; Milestones</x:v>
      </x:c>
      <x:c r="B22" s="246" t="str">
        <x:v>Cross-franchise event mapping</x:v>
      </x:c>
      <x:c r="C22" s="246" t="str">
        <x:v>https://one-chicago-fbi.fandom.com/wiki/Crossovers_and_Milestones</x:v>
      </x:c>
      <x:c r="D22" s="246"/>
      <x:c r="E22" s="246"/>
      <x:c r="F22" s="246"/>
      <x:c r="G22" s="246"/>
      <x:c r="H22" s="246"/>
      <x:c r="I22" s="246"/>
      <x:c r="J22" s="246"/>
      <x:c r="K22" s="246"/>
      <x:c r="L22" s="246"/>
      <x:c r="M22" s="1"/>
      <x:c r="N22" s="1"/>
      <x:c r="O22" s="1"/>
      <x:c r="P22" s="1"/>
      <x:c r="Q22" s="1"/>
      <x:c r="R22" s="1"/>
      <x:c r="S22" s="1"/>
      <x:c r="T22" s="1"/>
      <x:c r="U22" s="1"/>
      <x:c r="V22" s="1"/>
      <x:c r="W22" s="1"/>
      <x:c r="X22" s="1"/>
      <x:c r="Y22" s="1"/>
      <x:c r="Z22" s="1"/>
    </x:row>
    <x:row r="23">
      <x:c r="A23" s="318" t="str">
        <x:v>Oxygen</x:v>
      </x:c>
      <x:c r="B23" s="246" t="str">
        <x:v>Blood &amp; Money (2023) series/episode validation</x:v>
      </x:c>
      <x:c r="C23" s="246" t="str">
        <x:v>https://www.oxygen.com/blood-money/season-1/episode-5/high-society-schemers</x:v>
      </x:c>
      <x:c r="D23" s="246"/>
      <x:c r="E23" s="246"/>
      <x:c r="F23" s="246"/>
      <x:c r="G23" s="246"/>
      <x:c r="H23" s="246"/>
      <x:c r="I23" s="246"/>
      <x:c r="J23" s="246"/>
      <x:c r="K23" s="246"/>
      <x:c r="L23" s="246"/>
      <x:c r="M23" s="1"/>
      <x:c r="N23" s="1"/>
      <x:c r="O23" s="1"/>
      <x:c r="P23" s="1"/>
      <x:c r="Q23" s="1"/>
      <x:c r="R23" s="1"/>
      <x:c r="S23" s="1"/>
      <x:c r="T23" s="1"/>
      <x:c r="U23" s="1"/>
      <x:c r="V23" s="1"/>
      <x:c r="W23" s="1"/>
      <x:c r="X23" s="1"/>
      <x:c r="Y23" s="1"/>
      <x:c r="Z23" s="1"/>
    </x:row>
    <x:row r="24">
      <x:c r="A24" s="318" t="str">
        <x:v>TV Guide</x:v>
      </x:c>
      <x:c r="B24" s="246" t="str">
        <x:v>South Beach (1993) episode catalogue</x:v>
      </x:c>
      <x:c r="C24" s="246" t="str">
        <x:v>https://www.tvguide.com/tvshows/south-beach/episodes-season-1/1030084708/</x:v>
      </x:c>
      <x:c r="D24" s="246"/>
      <x:c r="E24" s="246"/>
      <x:c r="F24" s="246"/>
      <x:c r="G24" s="246"/>
      <x:c r="H24" s="246"/>
      <x:c r="I24" s="246"/>
      <x:c r="J24" s="246"/>
      <x:c r="K24" s="246"/>
      <x:c r="L24" s="246"/>
      <x:c r="M24" s="1"/>
      <x:c r="N24" s="1"/>
      <x:c r="O24" s="1"/>
      <x:c r="P24" s="1"/>
      <x:c r="Q24" s="1"/>
      <x:c r="R24" s="1"/>
      <x:c r="S24" s="1"/>
      <x:c r="T24" s="1"/>
      <x:c r="U24" s="1"/>
      <x:c r="V24" s="1"/>
      <x:c r="W24" s="1"/>
      <x:c r="X24" s="1"/>
      <x:c r="Y24" s="1"/>
      <x:c r="Z24" s="1"/>
    </x:row>
    <x:row r="25">
      <x:c r="A25" s="318" t="str">
        <x:v>Variety</x:v>
      </x:c>
      <x:c r="B25" s="246" t="str">
        <x:v>The Invisible Man (1998) pilot/movie context</x:v>
      </x:c>
      <x:c r="C25" s="246" t="str">
        <x:v>https://variety.com/1998/voices/columns/wolf-s-disappearing-act-two-hour-sein-off-1117467116/</x:v>
      </x:c>
      <x:c r="D25" s="246"/>
      <x:c r="E25" s="246"/>
      <x:c r="F25" s="246"/>
      <x:c r="G25" s="246"/>
      <x:c r="H25" s="246"/>
      <x:c r="I25" s="246"/>
      <x:c r="J25" s="246"/>
      <x:c r="K25" s="246"/>
      <x:c r="L25" s="246"/>
      <x:c r="M25" s="1"/>
      <x:c r="N25" s="1"/>
      <x:c r="O25" s="1"/>
      <x:c r="P25" s="1"/>
      <x:c r="Q25" s="1"/>
      <x:c r="R25" s="1"/>
      <x:c r="S25" s="1"/>
      <x:c r="T25" s="1"/>
      <x:c r="U25" s="1"/>
      <x:c r="V25" s="1"/>
      <x:c r="W25" s="1"/>
      <x:c r="X25" s="1"/>
      <x:c r="Y25" s="1"/>
      <x:c r="Z25" s="1"/>
    </x:row>
    <x:row r="26">
      <x:c r="A26" s="319" t="str">
        <x:v>Trakt API docs</x:v>
      </x:c>
      <x:c r="B26" s="247" t="str">
        <x:v>Connected-account custom list implementation</x:v>
      </x:c>
      <x:c r="C26" s="247" t="str">
        <x:v>https://trakt.docs.apiary.io/</x:v>
      </x:c>
      <x:c r="D26" s="247"/>
      <x:c r="E26" s="247"/>
      <x:c r="F26" s="247"/>
      <x:c r="G26" s="247"/>
      <x:c r="H26" s="247"/>
      <x:c r="I26" s="247"/>
      <x:c r="J26" s="247"/>
      <x:c r="K26" s="247"/>
      <x:c r="L26" s="247"/>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338" t="str">
        <x:v>Release metrics: 3,571 guide items across 46 titles; 91 relationship-tagged rows, including 67 crossover parts and 5 launch pilots. 354 legacy false-match or duplicate rows were removed from the prior generated catalogue.</x:v>
      </x:c>
      <x:c r="B28" s="339"/>
      <x:c r="C28" s="339"/>
      <x:c r="D28" s="339"/>
      <x:c r="E28" s="339"/>
      <x:c r="F28" s="339"/>
      <x:c r="G28" s="339"/>
      <x:c r="H28" s="339"/>
      <x:c r="I28" s="339"/>
      <x:c r="J28" s="339"/>
      <x:c r="K28" s="339"/>
      <x:c r="L28" s="340"/>
      <x:c r="M28" s="1"/>
      <x:c r="N28" s="1"/>
      <x:c r="O28" s="1"/>
      <x:c r="P28" s="1"/>
      <x:c r="Q28" s="1"/>
      <x:c r="R28" s="1"/>
      <x:c r="S28" s="1"/>
      <x:c r="T28" s="1"/>
      <x:c r="U28" s="1"/>
      <x:c r="V28" s="1"/>
      <x:c r="W28" s="1"/>
      <x:c r="X28" s="1"/>
      <x:c r="Y28" s="1"/>
      <x:c r="Z28" s="1"/>
    </x:row>
    <x:row r="29">
      <x:c r="A29" s="341"/>
      <x:c r="B29" s="342"/>
      <x:c r="C29" s="342"/>
      <x:c r="D29" s="342"/>
      <x:c r="E29" s="342"/>
      <x:c r="F29" s="342"/>
      <x:c r="G29" s="342"/>
      <x:c r="H29" s="342"/>
      <x:c r="I29" s="342"/>
      <x:c r="J29" s="342"/>
      <x:c r="K29" s="342"/>
      <x:c r="L29" s="343"/>
      <x:c r="M29" s="1"/>
      <x:c r="N29" s="1"/>
      <x:c r="O29" s="1"/>
      <x:c r="P29" s="1"/>
      <x:c r="Q29" s="1"/>
      <x:c r="R29" s="1"/>
      <x:c r="S29" s="1"/>
      <x:c r="T29" s="1"/>
      <x:c r="U29" s="1"/>
      <x:c r="V29" s="1"/>
      <x:c r="W29" s="1"/>
      <x:c r="X29" s="1"/>
      <x:c r="Y29" s="1"/>
      <x:c r="Z29" s="1"/>
    </x:row>
    <x:row r="30">
      <x:c r="A30" s="344"/>
      <x:c r="B30" s="345"/>
      <x:c r="C30" s="345"/>
      <x:c r="D30" s="345"/>
      <x:c r="E30" s="345"/>
      <x:c r="F30" s="345"/>
      <x:c r="G30" s="345"/>
      <x:c r="H30" s="345"/>
      <x:c r="I30" s="345"/>
      <x:c r="J30" s="345"/>
      <x:c r="K30" s="345"/>
      <x:c r="L30" s="346"/>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L2"/>
    <x:mergeCell ref="A3:L3"/>
    <x:mergeCell ref="A5:L5"/>
    <x:mergeCell ref="A6:C6"/>
    <x:mergeCell ref="D6:L6"/>
    <x:mergeCell ref="A7:C7"/>
    <x:mergeCell ref="D7:L7"/>
    <x:mergeCell ref="A8:C8"/>
    <x:mergeCell ref="D8:L8"/>
    <x:mergeCell ref="A9:C9"/>
    <x:mergeCell ref="D9:L9"/>
    <x:mergeCell ref="A10:C10"/>
    <x:mergeCell ref="D10:L10"/>
    <x:mergeCell ref="A11:C11"/>
    <x:mergeCell ref="D11:L11"/>
    <x:mergeCell ref="A13:L13"/>
    <x:mergeCell ref="A14:L16"/>
    <x:mergeCell ref="A18:L18"/>
    <x:mergeCell ref="C19:L19"/>
    <x:mergeCell ref="C20:L20"/>
    <x:mergeCell ref="C21:L21"/>
    <x:mergeCell ref="C22:L22"/>
    <x:mergeCell ref="C23:L23"/>
    <x:mergeCell ref="C24:L24"/>
    <x:mergeCell ref="C25:L25"/>
    <x:mergeCell ref="C26:L26"/>
    <x:mergeCell ref="A28:L30"/>
  </x:mergeCells>
  <x:pageMargins left="0.7" right="0.7" top="0.75" bottom="0.75" header="0.3" footer="0.3"/>
</x:worksheet>
</file>